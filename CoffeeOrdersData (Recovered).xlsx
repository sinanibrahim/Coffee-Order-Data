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07f7dfeacab91ceb/Desktop/data cls/"/>
    </mc:Choice>
  </mc:AlternateContent>
  <xr:revisionPtr revIDLastSave="5" documentId="8_{870E5080-DA18-4FC8-BFF0-9A075FEF1919}" xr6:coauthVersionLast="47" xr6:coauthVersionMax="47" xr10:uidLastSave="{4286402D-546F-47A2-9415-335B104188F8}"/>
  <bookViews>
    <workbookView xWindow="-108" yWindow="-108" windowWidth="23256" windowHeight="12456" firstSheet="5" activeTab="6" xr2:uid="{00000000-000D-0000-FFFF-FFFF00000000}"/>
  </bookViews>
  <sheets>
    <sheet name="Orders" sheetId="1" r:id="rId1"/>
    <sheet name="Customers" sheetId="2" r:id="rId2"/>
    <sheet name="Products" sheetId="3" r:id="rId3"/>
    <sheet name="Orders (2)" sheetId="4" r:id="rId4"/>
    <sheet name="Customers (2)" sheetId="5" r:id="rId5"/>
    <sheet name="Products (2)" sheetId="6" r:id="rId6"/>
    <sheet name="Sheet2" sheetId="9" r:id="rId7"/>
    <sheet name="DASHBOARD" sheetId="10" r:id="rId8"/>
    <sheet name="WORKSHEET" sheetId="7" r:id="rId9"/>
  </sheets>
  <externalReferences>
    <externalReference r:id="rId10"/>
  </externalReferences>
  <definedNames>
    <definedName name="Slicer_COFFEE_TYPE">#N/A</definedName>
    <definedName name="Slicer_COUNTRY">#N/A</definedName>
    <definedName name="Slicer_YEAR">#N/A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V1001" i="7" l="1"/>
  <c r="U1001" i="7"/>
  <c r="T1001" i="7"/>
  <c r="S1001" i="7"/>
  <c r="R1001" i="7"/>
  <c r="P1001" i="7"/>
  <c r="O1001" i="7"/>
  <c r="N1001" i="7"/>
  <c r="L1001" i="7"/>
  <c r="K1001" i="7"/>
  <c r="J1001" i="7"/>
  <c r="I1001" i="7"/>
  <c r="H1001" i="7"/>
  <c r="G1001" i="7"/>
  <c r="E1001" i="7"/>
  <c r="D1001" i="7"/>
  <c r="C1001" i="7"/>
  <c r="V1000" i="7"/>
  <c r="U1000" i="7"/>
  <c r="T1000" i="7"/>
  <c r="S1000" i="7"/>
  <c r="R1000" i="7"/>
  <c r="P1000" i="7"/>
  <c r="O1000" i="7"/>
  <c r="N1000" i="7"/>
  <c r="L1000" i="7"/>
  <c r="K1000" i="7"/>
  <c r="J1000" i="7"/>
  <c r="I1000" i="7"/>
  <c r="H1000" i="7"/>
  <c r="G1000" i="7"/>
  <c r="E1000" i="7"/>
  <c r="D1000" i="7"/>
  <c r="C1000" i="7"/>
  <c r="V999" i="7"/>
  <c r="U999" i="7"/>
  <c r="T999" i="7"/>
  <c r="S999" i="7"/>
  <c r="R999" i="7"/>
  <c r="P999" i="7"/>
  <c r="O999" i="7"/>
  <c r="N999" i="7"/>
  <c r="L999" i="7"/>
  <c r="K999" i="7"/>
  <c r="J999" i="7"/>
  <c r="I999" i="7"/>
  <c r="H999" i="7"/>
  <c r="G999" i="7"/>
  <c r="E999" i="7"/>
  <c r="D999" i="7"/>
  <c r="C999" i="7"/>
  <c r="V998" i="7"/>
  <c r="U998" i="7"/>
  <c r="T998" i="7"/>
  <c r="S998" i="7"/>
  <c r="R998" i="7"/>
  <c r="P998" i="7"/>
  <c r="O998" i="7"/>
  <c r="N998" i="7"/>
  <c r="L998" i="7"/>
  <c r="K998" i="7"/>
  <c r="J998" i="7"/>
  <c r="I998" i="7"/>
  <c r="H998" i="7"/>
  <c r="G998" i="7"/>
  <c r="E998" i="7"/>
  <c r="D998" i="7"/>
  <c r="C998" i="7"/>
  <c r="V997" i="7"/>
  <c r="U997" i="7"/>
  <c r="T997" i="7"/>
  <c r="S997" i="7"/>
  <c r="R997" i="7"/>
  <c r="P997" i="7"/>
  <c r="O997" i="7"/>
  <c r="N997" i="7"/>
  <c r="L997" i="7"/>
  <c r="K997" i="7"/>
  <c r="J997" i="7"/>
  <c r="I997" i="7"/>
  <c r="H997" i="7"/>
  <c r="G997" i="7"/>
  <c r="E997" i="7"/>
  <c r="D997" i="7"/>
  <c r="C997" i="7"/>
  <c r="V996" i="7"/>
  <c r="U996" i="7"/>
  <c r="T996" i="7"/>
  <c r="S996" i="7"/>
  <c r="R996" i="7"/>
  <c r="P996" i="7"/>
  <c r="O996" i="7"/>
  <c r="N996" i="7"/>
  <c r="L996" i="7"/>
  <c r="K996" i="7"/>
  <c r="J996" i="7"/>
  <c r="I996" i="7"/>
  <c r="H996" i="7"/>
  <c r="G996" i="7"/>
  <c r="E996" i="7"/>
  <c r="D996" i="7"/>
  <c r="C996" i="7"/>
  <c r="V995" i="7"/>
  <c r="U995" i="7"/>
  <c r="T995" i="7"/>
  <c r="S995" i="7"/>
  <c r="R995" i="7"/>
  <c r="P995" i="7"/>
  <c r="O995" i="7"/>
  <c r="N995" i="7"/>
  <c r="L995" i="7"/>
  <c r="K995" i="7"/>
  <c r="J995" i="7"/>
  <c r="I995" i="7"/>
  <c r="H995" i="7"/>
  <c r="G995" i="7"/>
  <c r="E995" i="7"/>
  <c r="D995" i="7"/>
  <c r="C995" i="7"/>
  <c r="V994" i="7"/>
  <c r="U994" i="7"/>
  <c r="T994" i="7"/>
  <c r="S994" i="7"/>
  <c r="R994" i="7"/>
  <c r="P994" i="7"/>
  <c r="O994" i="7"/>
  <c r="N994" i="7"/>
  <c r="L994" i="7"/>
  <c r="K994" i="7"/>
  <c r="J994" i="7"/>
  <c r="I994" i="7"/>
  <c r="H994" i="7"/>
  <c r="G994" i="7"/>
  <c r="E994" i="7"/>
  <c r="D994" i="7"/>
  <c r="C994" i="7"/>
  <c r="V993" i="7"/>
  <c r="U993" i="7"/>
  <c r="T993" i="7"/>
  <c r="S993" i="7"/>
  <c r="R993" i="7"/>
  <c r="P993" i="7"/>
  <c r="O993" i="7"/>
  <c r="N993" i="7"/>
  <c r="L993" i="7"/>
  <c r="K993" i="7"/>
  <c r="J993" i="7"/>
  <c r="I993" i="7"/>
  <c r="H993" i="7"/>
  <c r="G993" i="7"/>
  <c r="E993" i="7"/>
  <c r="D993" i="7"/>
  <c r="C993" i="7"/>
  <c r="V992" i="7"/>
  <c r="U992" i="7"/>
  <c r="T992" i="7"/>
  <c r="S992" i="7"/>
  <c r="R992" i="7"/>
  <c r="P992" i="7"/>
  <c r="O992" i="7"/>
  <c r="N992" i="7"/>
  <c r="L992" i="7"/>
  <c r="K992" i="7"/>
  <c r="J992" i="7"/>
  <c r="I992" i="7"/>
  <c r="H992" i="7"/>
  <c r="G992" i="7"/>
  <c r="E992" i="7"/>
  <c r="D992" i="7"/>
  <c r="C992" i="7"/>
  <c r="V991" i="7"/>
  <c r="U991" i="7"/>
  <c r="T991" i="7"/>
  <c r="S991" i="7"/>
  <c r="R991" i="7"/>
  <c r="P991" i="7"/>
  <c r="O991" i="7"/>
  <c r="N991" i="7"/>
  <c r="L991" i="7"/>
  <c r="K991" i="7"/>
  <c r="J991" i="7"/>
  <c r="I991" i="7"/>
  <c r="H991" i="7"/>
  <c r="G991" i="7"/>
  <c r="E991" i="7"/>
  <c r="D991" i="7"/>
  <c r="C991" i="7"/>
  <c r="V990" i="7"/>
  <c r="U990" i="7"/>
  <c r="T990" i="7"/>
  <c r="S990" i="7"/>
  <c r="R990" i="7"/>
  <c r="P990" i="7"/>
  <c r="O990" i="7"/>
  <c r="N990" i="7"/>
  <c r="L990" i="7"/>
  <c r="K990" i="7"/>
  <c r="J990" i="7"/>
  <c r="I990" i="7"/>
  <c r="H990" i="7"/>
  <c r="G990" i="7"/>
  <c r="E990" i="7"/>
  <c r="D990" i="7"/>
  <c r="C990" i="7"/>
  <c r="V989" i="7"/>
  <c r="U989" i="7"/>
  <c r="T989" i="7"/>
  <c r="S989" i="7"/>
  <c r="R989" i="7"/>
  <c r="P989" i="7"/>
  <c r="O989" i="7"/>
  <c r="N989" i="7"/>
  <c r="L989" i="7"/>
  <c r="K989" i="7"/>
  <c r="J989" i="7"/>
  <c r="I989" i="7"/>
  <c r="H989" i="7"/>
  <c r="G989" i="7"/>
  <c r="E989" i="7"/>
  <c r="D989" i="7"/>
  <c r="C989" i="7"/>
  <c r="V988" i="7"/>
  <c r="U988" i="7"/>
  <c r="T988" i="7"/>
  <c r="S988" i="7"/>
  <c r="R988" i="7"/>
  <c r="P988" i="7"/>
  <c r="O988" i="7"/>
  <c r="N988" i="7"/>
  <c r="L988" i="7"/>
  <c r="K988" i="7"/>
  <c r="J988" i="7"/>
  <c r="I988" i="7"/>
  <c r="H988" i="7"/>
  <c r="G988" i="7"/>
  <c r="E988" i="7"/>
  <c r="D988" i="7"/>
  <c r="C988" i="7"/>
  <c r="V987" i="7"/>
  <c r="U987" i="7"/>
  <c r="T987" i="7"/>
  <c r="S987" i="7"/>
  <c r="R987" i="7"/>
  <c r="P987" i="7"/>
  <c r="O987" i="7"/>
  <c r="N987" i="7"/>
  <c r="L987" i="7"/>
  <c r="K987" i="7"/>
  <c r="J987" i="7"/>
  <c r="I987" i="7"/>
  <c r="H987" i="7"/>
  <c r="G987" i="7"/>
  <c r="E987" i="7"/>
  <c r="D987" i="7"/>
  <c r="C987" i="7"/>
  <c r="V986" i="7"/>
  <c r="U986" i="7"/>
  <c r="T986" i="7"/>
  <c r="S986" i="7"/>
  <c r="R986" i="7"/>
  <c r="P986" i="7"/>
  <c r="O986" i="7"/>
  <c r="N986" i="7"/>
  <c r="L986" i="7"/>
  <c r="K986" i="7"/>
  <c r="J986" i="7"/>
  <c r="I986" i="7"/>
  <c r="H986" i="7"/>
  <c r="G986" i="7"/>
  <c r="E986" i="7"/>
  <c r="D986" i="7"/>
  <c r="C986" i="7"/>
  <c r="V985" i="7"/>
  <c r="U985" i="7"/>
  <c r="T985" i="7"/>
  <c r="S985" i="7"/>
  <c r="R985" i="7"/>
  <c r="P985" i="7"/>
  <c r="O985" i="7"/>
  <c r="N985" i="7"/>
  <c r="L985" i="7"/>
  <c r="K985" i="7"/>
  <c r="J985" i="7"/>
  <c r="I985" i="7"/>
  <c r="H985" i="7"/>
  <c r="G985" i="7"/>
  <c r="E985" i="7"/>
  <c r="D985" i="7"/>
  <c r="C985" i="7"/>
  <c r="V984" i="7"/>
  <c r="U984" i="7"/>
  <c r="T984" i="7"/>
  <c r="S984" i="7"/>
  <c r="R984" i="7"/>
  <c r="P984" i="7"/>
  <c r="O984" i="7"/>
  <c r="N984" i="7"/>
  <c r="L984" i="7"/>
  <c r="K984" i="7"/>
  <c r="J984" i="7"/>
  <c r="I984" i="7"/>
  <c r="H984" i="7"/>
  <c r="G984" i="7"/>
  <c r="E984" i="7"/>
  <c r="D984" i="7"/>
  <c r="C984" i="7"/>
  <c r="V983" i="7"/>
  <c r="U983" i="7"/>
  <c r="T983" i="7"/>
  <c r="S983" i="7"/>
  <c r="R983" i="7"/>
  <c r="P983" i="7"/>
  <c r="O983" i="7"/>
  <c r="N983" i="7"/>
  <c r="L983" i="7"/>
  <c r="K983" i="7"/>
  <c r="J983" i="7"/>
  <c r="I983" i="7"/>
  <c r="H983" i="7"/>
  <c r="G983" i="7"/>
  <c r="E983" i="7"/>
  <c r="D983" i="7"/>
  <c r="C983" i="7"/>
  <c r="V982" i="7"/>
  <c r="U982" i="7"/>
  <c r="T982" i="7"/>
  <c r="S982" i="7"/>
  <c r="R982" i="7"/>
  <c r="P982" i="7"/>
  <c r="O982" i="7"/>
  <c r="N982" i="7"/>
  <c r="L982" i="7"/>
  <c r="K982" i="7"/>
  <c r="J982" i="7"/>
  <c r="I982" i="7"/>
  <c r="H982" i="7"/>
  <c r="G982" i="7"/>
  <c r="E982" i="7"/>
  <c r="D982" i="7"/>
  <c r="C982" i="7"/>
  <c r="V981" i="7"/>
  <c r="U981" i="7"/>
  <c r="T981" i="7"/>
  <c r="S981" i="7"/>
  <c r="R981" i="7"/>
  <c r="P981" i="7"/>
  <c r="O981" i="7"/>
  <c r="N981" i="7"/>
  <c r="L981" i="7"/>
  <c r="K981" i="7"/>
  <c r="J981" i="7"/>
  <c r="I981" i="7"/>
  <c r="H981" i="7"/>
  <c r="G981" i="7"/>
  <c r="E981" i="7"/>
  <c r="D981" i="7"/>
  <c r="C981" i="7"/>
  <c r="V980" i="7"/>
  <c r="U980" i="7"/>
  <c r="T980" i="7"/>
  <c r="S980" i="7"/>
  <c r="R980" i="7"/>
  <c r="P980" i="7"/>
  <c r="O980" i="7"/>
  <c r="N980" i="7"/>
  <c r="L980" i="7"/>
  <c r="K980" i="7"/>
  <c r="J980" i="7"/>
  <c r="I980" i="7"/>
  <c r="H980" i="7"/>
  <c r="G980" i="7"/>
  <c r="E980" i="7"/>
  <c r="D980" i="7"/>
  <c r="C980" i="7"/>
  <c r="V979" i="7"/>
  <c r="U979" i="7"/>
  <c r="T979" i="7"/>
  <c r="S979" i="7"/>
  <c r="R979" i="7"/>
  <c r="P979" i="7"/>
  <c r="O979" i="7"/>
  <c r="N979" i="7"/>
  <c r="L979" i="7"/>
  <c r="K979" i="7"/>
  <c r="J979" i="7"/>
  <c r="I979" i="7"/>
  <c r="H979" i="7"/>
  <c r="G979" i="7"/>
  <c r="E979" i="7"/>
  <c r="D979" i="7"/>
  <c r="C979" i="7"/>
  <c r="V978" i="7"/>
  <c r="U978" i="7"/>
  <c r="T978" i="7"/>
  <c r="S978" i="7"/>
  <c r="R978" i="7"/>
  <c r="P978" i="7"/>
  <c r="O978" i="7"/>
  <c r="N978" i="7"/>
  <c r="L978" i="7"/>
  <c r="K978" i="7"/>
  <c r="J978" i="7"/>
  <c r="I978" i="7"/>
  <c r="H978" i="7"/>
  <c r="G978" i="7"/>
  <c r="E978" i="7"/>
  <c r="D978" i="7"/>
  <c r="C978" i="7"/>
  <c r="V977" i="7"/>
  <c r="U977" i="7"/>
  <c r="T977" i="7"/>
  <c r="S977" i="7"/>
  <c r="R977" i="7"/>
  <c r="P977" i="7"/>
  <c r="O977" i="7"/>
  <c r="N977" i="7"/>
  <c r="L977" i="7"/>
  <c r="K977" i="7"/>
  <c r="J977" i="7"/>
  <c r="I977" i="7"/>
  <c r="H977" i="7"/>
  <c r="G977" i="7"/>
  <c r="E977" i="7"/>
  <c r="D977" i="7"/>
  <c r="C977" i="7"/>
  <c r="V976" i="7"/>
  <c r="U976" i="7"/>
  <c r="T976" i="7"/>
  <c r="S976" i="7"/>
  <c r="R976" i="7"/>
  <c r="P976" i="7"/>
  <c r="O976" i="7"/>
  <c r="N976" i="7"/>
  <c r="L976" i="7"/>
  <c r="K976" i="7"/>
  <c r="J976" i="7"/>
  <c r="I976" i="7"/>
  <c r="H976" i="7"/>
  <c r="G976" i="7"/>
  <c r="E976" i="7"/>
  <c r="D976" i="7"/>
  <c r="C976" i="7"/>
  <c r="V975" i="7"/>
  <c r="U975" i="7"/>
  <c r="T975" i="7"/>
  <c r="S975" i="7"/>
  <c r="R975" i="7"/>
  <c r="P975" i="7"/>
  <c r="O975" i="7"/>
  <c r="N975" i="7"/>
  <c r="L975" i="7"/>
  <c r="K975" i="7"/>
  <c r="J975" i="7"/>
  <c r="I975" i="7"/>
  <c r="H975" i="7"/>
  <c r="G975" i="7"/>
  <c r="E975" i="7"/>
  <c r="D975" i="7"/>
  <c r="C975" i="7"/>
  <c r="V974" i="7"/>
  <c r="U974" i="7"/>
  <c r="T974" i="7"/>
  <c r="S974" i="7"/>
  <c r="R974" i="7"/>
  <c r="P974" i="7"/>
  <c r="O974" i="7"/>
  <c r="N974" i="7"/>
  <c r="L974" i="7"/>
  <c r="K974" i="7"/>
  <c r="J974" i="7"/>
  <c r="I974" i="7"/>
  <c r="H974" i="7"/>
  <c r="G974" i="7"/>
  <c r="E974" i="7"/>
  <c r="D974" i="7"/>
  <c r="C974" i="7"/>
  <c r="V973" i="7"/>
  <c r="U973" i="7"/>
  <c r="T973" i="7"/>
  <c r="S973" i="7"/>
  <c r="R973" i="7"/>
  <c r="P973" i="7"/>
  <c r="O973" i="7"/>
  <c r="N973" i="7"/>
  <c r="L973" i="7"/>
  <c r="K973" i="7"/>
  <c r="J973" i="7"/>
  <c r="I973" i="7"/>
  <c r="H973" i="7"/>
  <c r="G973" i="7"/>
  <c r="E973" i="7"/>
  <c r="D973" i="7"/>
  <c r="C973" i="7"/>
  <c r="V972" i="7"/>
  <c r="U972" i="7"/>
  <c r="T972" i="7"/>
  <c r="S972" i="7"/>
  <c r="R972" i="7"/>
  <c r="P972" i="7"/>
  <c r="O972" i="7"/>
  <c r="N972" i="7"/>
  <c r="L972" i="7"/>
  <c r="K972" i="7"/>
  <c r="J972" i="7"/>
  <c r="I972" i="7"/>
  <c r="H972" i="7"/>
  <c r="G972" i="7"/>
  <c r="E972" i="7"/>
  <c r="D972" i="7"/>
  <c r="C972" i="7"/>
  <c r="V971" i="7"/>
  <c r="U971" i="7"/>
  <c r="T971" i="7"/>
  <c r="S971" i="7"/>
  <c r="R971" i="7"/>
  <c r="P971" i="7"/>
  <c r="O971" i="7"/>
  <c r="N971" i="7"/>
  <c r="L971" i="7"/>
  <c r="K971" i="7"/>
  <c r="J971" i="7"/>
  <c r="I971" i="7"/>
  <c r="H971" i="7"/>
  <c r="G971" i="7"/>
  <c r="E971" i="7"/>
  <c r="D971" i="7"/>
  <c r="C971" i="7"/>
  <c r="V970" i="7"/>
  <c r="U970" i="7"/>
  <c r="T970" i="7"/>
  <c r="S970" i="7"/>
  <c r="R970" i="7"/>
  <c r="P970" i="7"/>
  <c r="O970" i="7"/>
  <c r="N970" i="7"/>
  <c r="L970" i="7"/>
  <c r="K970" i="7"/>
  <c r="J970" i="7"/>
  <c r="I970" i="7"/>
  <c r="H970" i="7"/>
  <c r="G970" i="7"/>
  <c r="E970" i="7"/>
  <c r="D970" i="7"/>
  <c r="C970" i="7"/>
  <c r="V969" i="7"/>
  <c r="U969" i="7"/>
  <c r="T969" i="7"/>
  <c r="S969" i="7"/>
  <c r="R969" i="7"/>
  <c r="P969" i="7"/>
  <c r="O969" i="7"/>
  <c r="N969" i="7"/>
  <c r="L969" i="7"/>
  <c r="K969" i="7"/>
  <c r="J969" i="7"/>
  <c r="I969" i="7"/>
  <c r="H969" i="7"/>
  <c r="G969" i="7"/>
  <c r="E969" i="7"/>
  <c r="D969" i="7"/>
  <c r="C969" i="7"/>
  <c r="V968" i="7"/>
  <c r="U968" i="7"/>
  <c r="T968" i="7"/>
  <c r="S968" i="7"/>
  <c r="R968" i="7"/>
  <c r="P968" i="7"/>
  <c r="O968" i="7"/>
  <c r="N968" i="7"/>
  <c r="L968" i="7"/>
  <c r="K968" i="7"/>
  <c r="J968" i="7"/>
  <c r="I968" i="7"/>
  <c r="H968" i="7"/>
  <c r="G968" i="7"/>
  <c r="E968" i="7"/>
  <c r="D968" i="7"/>
  <c r="C968" i="7"/>
  <c r="V967" i="7"/>
  <c r="U967" i="7"/>
  <c r="T967" i="7"/>
  <c r="S967" i="7"/>
  <c r="R967" i="7"/>
  <c r="P967" i="7"/>
  <c r="O967" i="7"/>
  <c r="N967" i="7"/>
  <c r="L967" i="7"/>
  <c r="K967" i="7"/>
  <c r="J967" i="7"/>
  <c r="I967" i="7"/>
  <c r="H967" i="7"/>
  <c r="G967" i="7"/>
  <c r="E967" i="7"/>
  <c r="D967" i="7"/>
  <c r="C967" i="7"/>
  <c r="V966" i="7"/>
  <c r="U966" i="7"/>
  <c r="T966" i="7"/>
  <c r="S966" i="7"/>
  <c r="R966" i="7"/>
  <c r="P966" i="7"/>
  <c r="O966" i="7"/>
  <c r="N966" i="7"/>
  <c r="L966" i="7"/>
  <c r="K966" i="7"/>
  <c r="J966" i="7"/>
  <c r="I966" i="7"/>
  <c r="H966" i="7"/>
  <c r="G966" i="7"/>
  <c r="E966" i="7"/>
  <c r="D966" i="7"/>
  <c r="C966" i="7"/>
  <c r="V965" i="7"/>
  <c r="U965" i="7"/>
  <c r="T965" i="7"/>
  <c r="S965" i="7"/>
  <c r="R965" i="7"/>
  <c r="P965" i="7"/>
  <c r="O965" i="7"/>
  <c r="N965" i="7"/>
  <c r="L965" i="7"/>
  <c r="K965" i="7"/>
  <c r="J965" i="7"/>
  <c r="I965" i="7"/>
  <c r="H965" i="7"/>
  <c r="G965" i="7"/>
  <c r="E965" i="7"/>
  <c r="D965" i="7"/>
  <c r="C965" i="7"/>
  <c r="V964" i="7"/>
  <c r="U964" i="7"/>
  <c r="T964" i="7"/>
  <c r="S964" i="7"/>
  <c r="R964" i="7"/>
  <c r="P964" i="7"/>
  <c r="O964" i="7"/>
  <c r="N964" i="7"/>
  <c r="L964" i="7"/>
  <c r="K964" i="7"/>
  <c r="J964" i="7"/>
  <c r="I964" i="7"/>
  <c r="H964" i="7"/>
  <c r="G964" i="7"/>
  <c r="E964" i="7"/>
  <c r="D964" i="7"/>
  <c r="C964" i="7"/>
  <c r="V963" i="7"/>
  <c r="U963" i="7"/>
  <c r="T963" i="7"/>
  <c r="S963" i="7"/>
  <c r="R963" i="7"/>
  <c r="P963" i="7"/>
  <c r="O963" i="7"/>
  <c r="N963" i="7"/>
  <c r="L963" i="7"/>
  <c r="K963" i="7"/>
  <c r="J963" i="7"/>
  <c r="I963" i="7"/>
  <c r="H963" i="7"/>
  <c r="G963" i="7"/>
  <c r="E963" i="7"/>
  <c r="D963" i="7"/>
  <c r="C963" i="7"/>
  <c r="V962" i="7"/>
  <c r="U962" i="7"/>
  <c r="T962" i="7"/>
  <c r="S962" i="7"/>
  <c r="R962" i="7"/>
  <c r="P962" i="7"/>
  <c r="O962" i="7"/>
  <c r="N962" i="7"/>
  <c r="L962" i="7"/>
  <c r="K962" i="7"/>
  <c r="J962" i="7"/>
  <c r="I962" i="7"/>
  <c r="H962" i="7"/>
  <c r="G962" i="7"/>
  <c r="E962" i="7"/>
  <c r="D962" i="7"/>
  <c r="C962" i="7"/>
  <c r="V961" i="7"/>
  <c r="U961" i="7"/>
  <c r="T961" i="7"/>
  <c r="S961" i="7"/>
  <c r="R961" i="7"/>
  <c r="P961" i="7"/>
  <c r="O961" i="7"/>
  <c r="N961" i="7"/>
  <c r="L961" i="7"/>
  <c r="K961" i="7"/>
  <c r="J961" i="7"/>
  <c r="I961" i="7"/>
  <c r="H961" i="7"/>
  <c r="G961" i="7"/>
  <c r="E961" i="7"/>
  <c r="D961" i="7"/>
  <c r="C961" i="7"/>
  <c r="V960" i="7"/>
  <c r="U960" i="7"/>
  <c r="T960" i="7"/>
  <c r="S960" i="7"/>
  <c r="R960" i="7"/>
  <c r="P960" i="7"/>
  <c r="O960" i="7"/>
  <c r="N960" i="7"/>
  <c r="L960" i="7"/>
  <c r="K960" i="7"/>
  <c r="J960" i="7"/>
  <c r="I960" i="7"/>
  <c r="H960" i="7"/>
  <c r="G960" i="7"/>
  <c r="E960" i="7"/>
  <c r="D960" i="7"/>
  <c r="C960" i="7"/>
  <c r="V959" i="7"/>
  <c r="U959" i="7"/>
  <c r="T959" i="7"/>
  <c r="S959" i="7"/>
  <c r="R959" i="7"/>
  <c r="P959" i="7"/>
  <c r="O959" i="7"/>
  <c r="N959" i="7"/>
  <c r="L959" i="7"/>
  <c r="K959" i="7"/>
  <c r="J959" i="7"/>
  <c r="I959" i="7"/>
  <c r="H959" i="7"/>
  <c r="G959" i="7"/>
  <c r="E959" i="7"/>
  <c r="D959" i="7"/>
  <c r="C959" i="7"/>
  <c r="V958" i="7"/>
  <c r="U958" i="7"/>
  <c r="T958" i="7"/>
  <c r="S958" i="7"/>
  <c r="R958" i="7"/>
  <c r="P958" i="7"/>
  <c r="O958" i="7"/>
  <c r="N958" i="7"/>
  <c r="L958" i="7"/>
  <c r="K958" i="7"/>
  <c r="J958" i="7"/>
  <c r="I958" i="7"/>
  <c r="H958" i="7"/>
  <c r="G958" i="7"/>
  <c r="E958" i="7"/>
  <c r="D958" i="7"/>
  <c r="C958" i="7"/>
  <c r="V957" i="7"/>
  <c r="U957" i="7"/>
  <c r="T957" i="7"/>
  <c r="S957" i="7"/>
  <c r="R957" i="7"/>
  <c r="P957" i="7"/>
  <c r="O957" i="7"/>
  <c r="N957" i="7"/>
  <c r="L957" i="7"/>
  <c r="K957" i="7"/>
  <c r="J957" i="7"/>
  <c r="I957" i="7"/>
  <c r="H957" i="7"/>
  <c r="G957" i="7"/>
  <c r="E957" i="7"/>
  <c r="D957" i="7"/>
  <c r="C957" i="7"/>
  <c r="V956" i="7"/>
  <c r="U956" i="7"/>
  <c r="T956" i="7"/>
  <c r="S956" i="7"/>
  <c r="R956" i="7"/>
  <c r="P956" i="7"/>
  <c r="O956" i="7"/>
  <c r="N956" i="7"/>
  <c r="L956" i="7"/>
  <c r="K956" i="7"/>
  <c r="J956" i="7"/>
  <c r="I956" i="7"/>
  <c r="H956" i="7"/>
  <c r="G956" i="7"/>
  <c r="E956" i="7"/>
  <c r="D956" i="7"/>
  <c r="C956" i="7"/>
  <c r="V955" i="7"/>
  <c r="U955" i="7"/>
  <c r="T955" i="7"/>
  <c r="S955" i="7"/>
  <c r="R955" i="7"/>
  <c r="P955" i="7"/>
  <c r="O955" i="7"/>
  <c r="N955" i="7"/>
  <c r="L955" i="7"/>
  <c r="K955" i="7"/>
  <c r="J955" i="7"/>
  <c r="I955" i="7"/>
  <c r="H955" i="7"/>
  <c r="G955" i="7"/>
  <c r="E955" i="7"/>
  <c r="D955" i="7"/>
  <c r="C955" i="7"/>
  <c r="V954" i="7"/>
  <c r="U954" i="7"/>
  <c r="T954" i="7"/>
  <c r="S954" i="7"/>
  <c r="R954" i="7"/>
  <c r="P954" i="7"/>
  <c r="O954" i="7"/>
  <c r="N954" i="7"/>
  <c r="L954" i="7"/>
  <c r="K954" i="7"/>
  <c r="J954" i="7"/>
  <c r="I954" i="7"/>
  <c r="H954" i="7"/>
  <c r="G954" i="7"/>
  <c r="E954" i="7"/>
  <c r="D954" i="7"/>
  <c r="C954" i="7"/>
  <c r="V953" i="7"/>
  <c r="U953" i="7"/>
  <c r="T953" i="7"/>
  <c r="S953" i="7"/>
  <c r="R953" i="7"/>
  <c r="P953" i="7"/>
  <c r="O953" i="7"/>
  <c r="N953" i="7"/>
  <c r="L953" i="7"/>
  <c r="K953" i="7"/>
  <c r="J953" i="7"/>
  <c r="I953" i="7"/>
  <c r="H953" i="7"/>
  <c r="G953" i="7"/>
  <c r="E953" i="7"/>
  <c r="D953" i="7"/>
  <c r="C953" i="7"/>
  <c r="V952" i="7"/>
  <c r="U952" i="7"/>
  <c r="T952" i="7"/>
  <c r="S952" i="7"/>
  <c r="R952" i="7"/>
  <c r="P952" i="7"/>
  <c r="O952" i="7"/>
  <c r="N952" i="7"/>
  <c r="L952" i="7"/>
  <c r="K952" i="7"/>
  <c r="J952" i="7"/>
  <c r="I952" i="7"/>
  <c r="H952" i="7"/>
  <c r="G952" i="7"/>
  <c r="E952" i="7"/>
  <c r="D952" i="7"/>
  <c r="C952" i="7"/>
  <c r="V951" i="7"/>
  <c r="U951" i="7"/>
  <c r="T951" i="7"/>
  <c r="S951" i="7"/>
  <c r="R951" i="7"/>
  <c r="P951" i="7"/>
  <c r="O951" i="7"/>
  <c r="N951" i="7"/>
  <c r="L951" i="7"/>
  <c r="K951" i="7"/>
  <c r="J951" i="7"/>
  <c r="I951" i="7"/>
  <c r="H951" i="7"/>
  <c r="G951" i="7"/>
  <c r="E951" i="7"/>
  <c r="D951" i="7"/>
  <c r="C951" i="7"/>
  <c r="V950" i="7"/>
  <c r="U950" i="7"/>
  <c r="T950" i="7"/>
  <c r="S950" i="7"/>
  <c r="R950" i="7"/>
  <c r="P950" i="7"/>
  <c r="O950" i="7"/>
  <c r="N950" i="7"/>
  <c r="L950" i="7"/>
  <c r="K950" i="7"/>
  <c r="J950" i="7"/>
  <c r="I950" i="7"/>
  <c r="H950" i="7"/>
  <c r="G950" i="7"/>
  <c r="E950" i="7"/>
  <c r="D950" i="7"/>
  <c r="C950" i="7"/>
  <c r="V949" i="7"/>
  <c r="U949" i="7"/>
  <c r="T949" i="7"/>
  <c r="S949" i="7"/>
  <c r="R949" i="7"/>
  <c r="P949" i="7"/>
  <c r="O949" i="7"/>
  <c r="N949" i="7"/>
  <c r="L949" i="7"/>
  <c r="K949" i="7"/>
  <c r="J949" i="7"/>
  <c r="I949" i="7"/>
  <c r="H949" i="7"/>
  <c r="G949" i="7"/>
  <c r="E949" i="7"/>
  <c r="D949" i="7"/>
  <c r="C949" i="7"/>
  <c r="V948" i="7"/>
  <c r="U948" i="7"/>
  <c r="T948" i="7"/>
  <c r="S948" i="7"/>
  <c r="R948" i="7"/>
  <c r="P948" i="7"/>
  <c r="O948" i="7"/>
  <c r="N948" i="7"/>
  <c r="L948" i="7"/>
  <c r="K948" i="7"/>
  <c r="J948" i="7"/>
  <c r="I948" i="7"/>
  <c r="H948" i="7"/>
  <c r="G948" i="7"/>
  <c r="E948" i="7"/>
  <c r="D948" i="7"/>
  <c r="C948" i="7"/>
  <c r="V947" i="7"/>
  <c r="U947" i="7"/>
  <c r="T947" i="7"/>
  <c r="S947" i="7"/>
  <c r="R947" i="7"/>
  <c r="P947" i="7"/>
  <c r="O947" i="7"/>
  <c r="N947" i="7"/>
  <c r="L947" i="7"/>
  <c r="K947" i="7"/>
  <c r="J947" i="7"/>
  <c r="I947" i="7"/>
  <c r="H947" i="7"/>
  <c r="G947" i="7"/>
  <c r="E947" i="7"/>
  <c r="D947" i="7"/>
  <c r="C947" i="7"/>
  <c r="V946" i="7"/>
  <c r="U946" i="7"/>
  <c r="T946" i="7"/>
  <c r="S946" i="7"/>
  <c r="R946" i="7"/>
  <c r="P946" i="7"/>
  <c r="O946" i="7"/>
  <c r="N946" i="7"/>
  <c r="L946" i="7"/>
  <c r="K946" i="7"/>
  <c r="J946" i="7"/>
  <c r="I946" i="7"/>
  <c r="H946" i="7"/>
  <c r="G946" i="7"/>
  <c r="E946" i="7"/>
  <c r="D946" i="7"/>
  <c r="C946" i="7"/>
  <c r="V945" i="7"/>
  <c r="U945" i="7"/>
  <c r="T945" i="7"/>
  <c r="S945" i="7"/>
  <c r="R945" i="7"/>
  <c r="P945" i="7"/>
  <c r="O945" i="7"/>
  <c r="N945" i="7"/>
  <c r="L945" i="7"/>
  <c r="K945" i="7"/>
  <c r="J945" i="7"/>
  <c r="I945" i="7"/>
  <c r="H945" i="7"/>
  <c r="G945" i="7"/>
  <c r="E945" i="7"/>
  <c r="D945" i="7"/>
  <c r="C945" i="7"/>
  <c r="V944" i="7"/>
  <c r="U944" i="7"/>
  <c r="T944" i="7"/>
  <c r="S944" i="7"/>
  <c r="R944" i="7"/>
  <c r="P944" i="7"/>
  <c r="O944" i="7"/>
  <c r="N944" i="7"/>
  <c r="L944" i="7"/>
  <c r="K944" i="7"/>
  <c r="J944" i="7"/>
  <c r="I944" i="7"/>
  <c r="H944" i="7"/>
  <c r="G944" i="7"/>
  <c r="E944" i="7"/>
  <c r="D944" i="7"/>
  <c r="C944" i="7"/>
  <c r="V943" i="7"/>
  <c r="U943" i="7"/>
  <c r="T943" i="7"/>
  <c r="S943" i="7"/>
  <c r="R943" i="7"/>
  <c r="P943" i="7"/>
  <c r="O943" i="7"/>
  <c r="N943" i="7"/>
  <c r="L943" i="7"/>
  <c r="K943" i="7"/>
  <c r="J943" i="7"/>
  <c r="I943" i="7"/>
  <c r="H943" i="7"/>
  <c r="G943" i="7"/>
  <c r="E943" i="7"/>
  <c r="D943" i="7"/>
  <c r="C943" i="7"/>
  <c r="V942" i="7"/>
  <c r="U942" i="7"/>
  <c r="T942" i="7"/>
  <c r="S942" i="7"/>
  <c r="R942" i="7"/>
  <c r="P942" i="7"/>
  <c r="O942" i="7"/>
  <c r="N942" i="7"/>
  <c r="L942" i="7"/>
  <c r="K942" i="7"/>
  <c r="J942" i="7"/>
  <c r="I942" i="7"/>
  <c r="H942" i="7"/>
  <c r="G942" i="7"/>
  <c r="E942" i="7"/>
  <c r="D942" i="7"/>
  <c r="C942" i="7"/>
  <c r="V941" i="7"/>
  <c r="U941" i="7"/>
  <c r="T941" i="7"/>
  <c r="S941" i="7"/>
  <c r="R941" i="7"/>
  <c r="P941" i="7"/>
  <c r="O941" i="7"/>
  <c r="N941" i="7"/>
  <c r="L941" i="7"/>
  <c r="K941" i="7"/>
  <c r="J941" i="7"/>
  <c r="I941" i="7"/>
  <c r="H941" i="7"/>
  <c r="G941" i="7"/>
  <c r="E941" i="7"/>
  <c r="D941" i="7"/>
  <c r="C941" i="7"/>
  <c r="V940" i="7"/>
  <c r="U940" i="7"/>
  <c r="T940" i="7"/>
  <c r="S940" i="7"/>
  <c r="R940" i="7"/>
  <c r="P940" i="7"/>
  <c r="O940" i="7"/>
  <c r="N940" i="7"/>
  <c r="L940" i="7"/>
  <c r="K940" i="7"/>
  <c r="J940" i="7"/>
  <c r="I940" i="7"/>
  <c r="H940" i="7"/>
  <c r="G940" i="7"/>
  <c r="E940" i="7"/>
  <c r="D940" i="7"/>
  <c r="C940" i="7"/>
  <c r="V939" i="7"/>
  <c r="U939" i="7"/>
  <c r="T939" i="7"/>
  <c r="S939" i="7"/>
  <c r="R939" i="7"/>
  <c r="P939" i="7"/>
  <c r="O939" i="7"/>
  <c r="N939" i="7"/>
  <c r="L939" i="7"/>
  <c r="K939" i="7"/>
  <c r="J939" i="7"/>
  <c r="I939" i="7"/>
  <c r="H939" i="7"/>
  <c r="G939" i="7"/>
  <c r="E939" i="7"/>
  <c r="D939" i="7"/>
  <c r="C939" i="7"/>
  <c r="V938" i="7"/>
  <c r="U938" i="7"/>
  <c r="T938" i="7"/>
  <c r="S938" i="7"/>
  <c r="R938" i="7"/>
  <c r="P938" i="7"/>
  <c r="O938" i="7"/>
  <c r="N938" i="7"/>
  <c r="L938" i="7"/>
  <c r="K938" i="7"/>
  <c r="J938" i="7"/>
  <c r="I938" i="7"/>
  <c r="H938" i="7"/>
  <c r="G938" i="7"/>
  <c r="E938" i="7"/>
  <c r="D938" i="7"/>
  <c r="C938" i="7"/>
  <c r="V937" i="7"/>
  <c r="U937" i="7"/>
  <c r="T937" i="7"/>
  <c r="S937" i="7"/>
  <c r="R937" i="7"/>
  <c r="P937" i="7"/>
  <c r="O937" i="7"/>
  <c r="N937" i="7"/>
  <c r="L937" i="7"/>
  <c r="K937" i="7"/>
  <c r="J937" i="7"/>
  <c r="I937" i="7"/>
  <c r="H937" i="7"/>
  <c r="G937" i="7"/>
  <c r="E937" i="7"/>
  <c r="D937" i="7"/>
  <c r="C937" i="7"/>
  <c r="V936" i="7"/>
  <c r="U936" i="7"/>
  <c r="T936" i="7"/>
  <c r="S936" i="7"/>
  <c r="R936" i="7"/>
  <c r="P936" i="7"/>
  <c r="O936" i="7"/>
  <c r="N936" i="7"/>
  <c r="L936" i="7"/>
  <c r="K936" i="7"/>
  <c r="J936" i="7"/>
  <c r="I936" i="7"/>
  <c r="H936" i="7"/>
  <c r="G936" i="7"/>
  <c r="E936" i="7"/>
  <c r="D936" i="7"/>
  <c r="C936" i="7"/>
  <c r="V935" i="7"/>
  <c r="U935" i="7"/>
  <c r="T935" i="7"/>
  <c r="S935" i="7"/>
  <c r="R935" i="7"/>
  <c r="P935" i="7"/>
  <c r="O935" i="7"/>
  <c r="N935" i="7"/>
  <c r="L935" i="7"/>
  <c r="K935" i="7"/>
  <c r="J935" i="7"/>
  <c r="I935" i="7"/>
  <c r="H935" i="7"/>
  <c r="G935" i="7"/>
  <c r="E935" i="7"/>
  <c r="D935" i="7"/>
  <c r="C935" i="7"/>
  <c r="V934" i="7"/>
  <c r="U934" i="7"/>
  <c r="T934" i="7"/>
  <c r="S934" i="7"/>
  <c r="R934" i="7"/>
  <c r="P934" i="7"/>
  <c r="O934" i="7"/>
  <c r="N934" i="7"/>
  <c r="L934" i="7"/>
  <c r="K934" i="7"/>
  <c r="J934" i="7"/>
  <c r="I934" i="7"/>
  <c r="H934" i="7"/>
  <c r="G934" i="7"/>
  <c r="E934" i="7"/>
  <c r="D934" i="7"/>
  <c r="C934" i="7"/>
  <c r="V933" i="7"/>
  <c r="U933" i="7"/>
  <c r="T933" i="7"/>
  <c r="S933" i="7"/>
  <c r="R933" i="7"/>
  <c r="P933" i="7"/>
  <c r="O933" i="7"/>
  <c r="N933" i="7"/>
  <c r="L933" i="7"/>
  <c r="K933" i="7"/>
  <c r="J933" i="7"/>
  <c r="I933" i="7"/>
  <c r="H933" i="7"/>
  <c r="G933" i="7"/>
  <c r="E933" i="7"/>
  <c r="D933" i="7"/>
  <c r="C933" i="7"/>
  <c r="V932" i="7"/>
  <c r="U932" i="7"/>
  <c r="T932" i="7"/>
  <c r="S932" i="7"/>
  <c r="R932" i="7"/>
  <c r="P932" i="7"/>
  <c r="O932" i="7"/>
  <c r="N932" i="7"/>
  <c r="L932" i="7"/>
  <c r="K932" i="7"/>
  <c r="J932" i="7"/>
  <c r="I932" i="7"/>
  <c r="H932" i="7"/>
  <c r="G932" i="7"/>
  <c r="E932" i="7"/>
  <c r="D932" i="7"/>
  <c r="C932" i="7"/>
  <c r="V931" i="7"/>
  <c r="U931" i="7"/>
  <c r="T931" i="7"/>
  <c r="S931" i="7"/>
  <c r="R931" i="7"/>
  <c r="P931" i="7"/>
  <c r="O931" i="7"/>
  <c r="N931" i="7"/>
  <c r="L931" i="7"/>
  <c r="K931" i="7"/>
  <c r="J931" i="7"/>
  <c r="I931" i="7"/>
  <c r="H931" i="7"/>
  <c r="G931" i="7"/>
  <c r="E931" i="7"/>
  <c r="D931" i="7"/>
  <c r="C931" i="7"/>
  <c r="V930" i="7"/>
  <c r="U930" i="7"/>
  <c r="T930" i="7"/>
  <c r="S930" i="7"/>
  <c r="R930" i="7"/>
  <c r="P930" i="7"/>
  <c r="O930" i="7"/>
  <c r="N930" i="7"/>
  <c r="L930" i="7"/>
  <c r="K930" i="7"/>
  <c r="J930" i="7"/>
  <c r="I930" i="7"/>
  <c r="H930" i="7"/>
  <c r="G930" i="7"/>
  <c r="E930" i="7"/>
  <c r="D930" i="7"/>
  <c r="C930" i="7"/>
  <c r="V929" i="7"/>
  <c r="U929" i="7"/>
  <c r="T929" i="7"/>
  <c r="S929" i="7"/>
  <c r="R929" i="7"/>
  <c r="P929" i="7"/>
  <c r="O929" i="7"/>
  <c r="N929" i="7"/>
  <c r="L929" i="7"/>
  <c r="K929" i="7"/>
  <c r="J929" i="7"/>
  <c r="I929" i="7"/>
  <c r="H929" i="7"/>
  <c r="G929" i="7"/>
  <c r="E929" i="7"/>
  <c r="D929" i="7"/>
  <c r="C929" i="7"/>
  <c r="V928" i="7"/>
  <c r="U928" i="7"/>
  <c r="T928" i="7"/>
  <c r="S928" i="7"/>
  <c r="R928" i="7"/>
  <c r="P928" i="7"/>
  <c r="O928" i="7"/>
  <c r="N928" i="7"/>
  <c r="L928" i="7"/>
  <c r="K928" i="7"/>
  <c r="J928" i="7"/>
  <c r="I928" i="7"/>
  <c r="H928" i="7"/>
  <c r="G928" i="7"/>
  <c r="E928" i="7"/>
  <c r="D928" i="7"/>
  <c r="C928" i="7"/>
  <c r="V927" i="7"/>
  <c r="U927" i="7"/>
  <c r="T927" i="7"/>
  <c r="S927" i="7"/>
  <c r="R927" i="7"/>
  <c r="P927" i="7"/>
  <c r="O927" i="7"/>
  <c r="N927" i="7"/>
  <c r="L927" i="7"/>
  <c r="K927" i="7"/>
  <c r="J927" i="7"/>
  <c r="I927" i="7"/>
  <c r="H927" i="7"/>
  <c r="G927" i="7"/>
  <c r="E927" i="7"/>
  <c r="D927" i="7"/>
  <c r="C927" i="7"/>
  <c r="V926" i="7"/>
  <c r="U926" i="7"/>
  <c r="T926" i="7"/>
  <c r="S926" i="7"/>
  <c r="R926" i="7"/>
  <c r="P926" i="7"/>
  <c r="O926" i="7"/>
  <c r="N926" i="7"/>
  <c r="L926" i="7"/>
  <c r="K926" i="7"/>
  <c r="J926" i="7"/>
  <c r="I926" i="7"/>
  <c r="H926" i="7"/>
  <c r="G926" i="7"/>
  <c r="E926" i="7"/>
  <c r="D926" i="7"/>
  <c r="C926" i="7"/>
  <c r="V925" i="7"/>
  <c r="U925" i="7"/>
  <c r="T925" i="7"/>
  <c r="S925" i="7"/>
  <c r="R925" i="7"/>
  <c r="P925" i="7"/>
  <c r="O925" i="7"/>
  <c r="N925" i="7"/>
  <c r="L925" i="7"/>
  <c r="K925" i="7"/>
  <c r="J925" i="7"/>
  <c r="I925" i="7"/>
  <c r="H925" i="7"/>
  <c r="G925" i="7"/>
  <c r="E925" i="7"/>
  <c r="D925" i="7"/>
  <c r="C925" i="7"/>
  <c r="V924" i="7"/>
  <c r="U924" i="7"/>
  <c r="T924" i="7"/>
  <c r="S924" i="7"/>
  <c r="R924" i="7"/>
  <c r="P924" i="7"/>
  <c r="O924" i="7"/>
  <c r="N924" i="7"/>
  <c r="L924" i="7"/>
  <c r="K924" i="7"/>
  <c r="J924" i="7"/>
  <c r="I924" i="7"/>
  <c r="H924" i="7"/>
  <c r="G924" i="7"/>
  <c r="E924" i="7"/>
  <c r="D924" i="7"/>
  <c r="C924" i="7"/>
  <c r="V923" i="7"/>
  <c r="U923" i="7"/>
  <c r="T923" i="7"/>
  <c r="S923" i="7"/>
  <c r="R923" i="7"/>
  <c r="P923" i="7"/>
  <c r="O923" i="7"/>
  <c r="N923" i="7"/>
  <c r="L923" i="7"/>
  <c r="K923" i="7"/>
  <c r="J923" i="7"/>
  <c r="I923" i="7"/>
  <c r="H923" i="7"/>
  <c r="G923" i="7"/>
  <c r="E923" i="7"/>
  <c r="D923" i="7"/>
  <c r="C923" i="7"/>
  <c r="V922" i="7"/>
  <c r="U922" i="7"/>
  <c r="T922" i="7"/>
  <c r="S922" i="7"/>
  <c r="R922" i="7"/>
  <c r="P922" i="7"/>
  <c r="O922" i="7"/>
  <c r="N922" i="7"/>
  <c r="L922" i="7"/>
  <c r="K922" i="7"/>
  <c r="J922" i="7"/>
  <c r="I922" i="7"/>
  <c r="H922" i="7"/>
  <c r="G922" i="7"/>
  <c r="E922" i="7"/>
  <c r="D922" i="7"/>
  <c r="C922" i="7"/>
  <c r="V921" i="7"/>
  <c r="U921" i="7"/>
  <c r="T921" i="7"/>
  <c r="S921" i="7"/>
  <c r="R921" i="7"/>
  <c r="P921" i="7"/>
  <c r="O921" i="7"/>
  <c r="N921" i="7"/>
  <c r="L921" i="7"/>
  <c r="K921" i="7"/>
  <c r="J921" i="7"/>
  <c r="I921" i="7"/>
  <c r="H921" i="7"/>
  <c r="G921" i="7"/>
  <c r="E921" i="7"/>
  <c r="D921" i="7"/>
  <c r="C921" i="7"/>
  <c r="V920" i="7"/>
  <c r="U920" i="7"/>
  <c r="T920" i="7"/>
  <c r="S920" i="7"/>
  <c r="R920" i="7"/>
  <c r="P920" i="7"/>
  <c r="O920" i="7"/>
  <c r="N920" i="7"/>
  <c r="L920" i="7"/>
  <c r="K920" i="7"/>
  <c r="J920" i="7"/>
  <c r="I920" i="7"/>
  <c r="H920" i="7"/>
  <c r="G920" i="7"/>
  <c r="E920" i="7"/>
  <c r="D920" i="7"/>
  <c r="C920" i="7"/>
  <c r="V919" i="7"/>
  <c r="U919" i="7"/>
  <c r="T919" i="7"/>
  <c r="S919" i="7"/>
  <c r="R919" i="7"/>
  <c r="P919" i="7"/>
  <c r="O919" i="7"/>
  <c r="N919" i="7"/>
  <c r="L919" i="7"/>
  <c r="K919" i="7"/>
  <c r="J919" i="7"/>
  <c r="I919" i="7"/>
  <c r="H919" i="7"/>
  <c r="G919" i="7"/>
  <c r="E919" i="7"/>
  <c r="D919" i="7"/>
  <c r="C919" i="7"/>
  <c r="V918" i="7"/>
  <c r="U918" i="7"/>
  <c r="T918" i="7"/>
  <c r="S918" i="7"/>
  <c r="R918" i="7"/>
  <c r="P918" i="7"/>
  <c r="O918" i="7"/>
  <c r="N918" i="7"/>
  <c r="L918" i="7"/>
  <c r="K918" i="7"/>
  <c r="J918" i="7"/>
  <c r="I918" i="7"/>
  <c r="H918" i="7"/>
  <c r="G918" i="7"/>
  <c r="E918" i="7"/>
  <c r="D918" i="7"/>
  <c r="C918" i="7"/>
  <c r="V917" i="7"/>
  <c r="U917" i="7"/>
  <c r="T917" i="7"/>
  <c r="S917" i="7"/>
  <c r="R917" i="7"/>
  <c r="P917" i="7"/>
  <c r="O917" i="7"/>
  <c r="N917" i="7"/>
  <c r="L917" i="7"/>
  <c r="K917" i="7"/>
  <c r="J917" i="7"/>
  <c r="I917" i="7"/>
  <c r="H917" i="7"/>
  <c r="G917" i="7"/>
  <c r="E917" i="7"/>
  <c r="D917" i="7"/>
  <c r="C917" i="7"/>
  <c r="V916" i="7"/>
  <c r="U916" i="7"/>
  <c r="T916" i="7"/>
  <c r="S916" i="7"/>
  <c r="R916" i="7"/>
  <c r="P916" i="7"/>
  <c r="O916" i="7"/>
  <c r="N916" i="7"/>
  <c r="L916" i="7"/>
  <c r="K916" i="7"/>
  <c r="J916" i="7"/>
  <c r="I916" i="7"/>
  <c r="H916" i="7"/>
  <c r="G916" i="7"/>
  <c r="E916" i="7"/>
  <c r="D916" i="7"/>
  <c r="C916" i="7"/>
  <c r="V915" i="7"/>
  <c r="U915" i="7"/>
  <c r="T915" i="7"/>
  <c r="S915" i="7"/>
  <c r="R915" i="7"/>
  <c r="P915" i="7"/>
  <c r="O915" i="7"/>
  <c r="N915" i="7"/>
  <c r="L915" i="7"/>
  <c r="K915" i="7"/>
  <c r="J915" i="7"/>
  <c r="I915" i="7"/>
  <c r="H915" i="7"/>
  <c r="G915" i="7"/>
  <c r="E915" i="7"/>
  <c r="D915" i="7"/>
  <c r="C915" i="7"/>
  <c r="V914" i="7"/>
  <c r="U914" i="7"/>
  <c r="T914" i="7"/>
  <c r="S914" i="7"/>
  <c r="R914" i="7"/>
  <c r="P914" i="7"/>
  <c r="O914" i="7"/>
  <c r="N914" i="7"/>
  <c r="L914" i="7"/>
  <c r="K914" i="7"/>
  <c r="J914" i="7"/>
  <c r="I914" i="7"/>
  <c r="H914" i="7"/>
  <c r="G914" i="7"/>
  <c r="E914" i="7"/>
  <c r="D914" i="7"/>
  <c r="C914" i="7"/>
  <c r="V913" i="7"/>
  <c r="U913" i="7"/>
  <c r="T913" i="7"/>
  <c r="S913" i="7"/>
  <c r="R913" i="7"/>
  <c r="P913" i="7"/>
  <c r="O913" i="7"/>
  <c r="N913" i="7"/>
  <c r="L913" i="7"/>
  <c r="K913" i="7"/>
  <c r="J913" i="7"/>
  <c r="I913" i="7"/>
  <c r="H913" i="7"/>
  <c r="G913" i="7"/>
  <c r="E913" i="7"/>
  <c r="D913" i="7"/>
  <c r="C913" i="7"/>
  <c r="V912" i="7"/>
  <c r="U912" i="7"/>
  <c r="T912" i="7"/>
  <c r="S912" i="7"/>
  <c r="R912" i="7"/>
  <c r="P912" i="7"/>
  <c r="O912" i="7"/>
  <c r="N912" i="7"/>
  <c r="L912" i="7"/>
  <c r="K912" i="7"/>
  <c r="J912" i="7"/>
  <c r="I912" i="7"/>
  <c r="H912" i="7"/>
  <c r="G912" i="7"/>
  <c r="E912" i="7"/>
  <c r="D912" i="7"/>
  <c r="C912" i="7"/>
  <c r="V911" i="7"/>
  <c r="U911" i="7"/>
  <c r="T911" i="7"/>
  <c r="S911" i="7"/>
  <c r="R911" i="7"/>
  <c r="P911" i="7"/>
  <c r="O911" i="7"/>
  <c r="N911" i="7"/>
  <c r="L911" i="7"/>
  <c r="K911" i="7"/>
  <c r="J911" i="7"/>
  <c r="I911" i="7"/>
  <c r="H911" i="7"/>
  <c r="G911" i="7"/>
  <c r="E911" i="7"/>
  <c r="D911" i="7"/>
  <c r="C911" i="7"/>
  <c r="V910" i="7"/>
  <c r="U910" i="7"/>
  <c r="T910" i="7"/>
  <c r="S910" i="7"/>
  <c r="R910" i="7"/>
  <c r="P910" i="7"/>
  <c r="O910" i="7"/>
  <c r="N910" i="7"/>
  <c r="L910" i="7"/>
  <c r="K910" i="7"/>
  <c r="J910" i="7"/>
  <c r="I910" i="7"/>
  <c r="H910" i="7"/>
  <c r="G910" i="7"/>
  <c r="E910" i="7"/>
  <c r="D910" i="7"/>
  <c r="C910" i="7"/>
  <c r="V909" i="7"/>
  <c r="U909" i="7"/>
  <c r="T909" i="7"/>
  <c r="S909" i="7"/>
  <c r="R909" i="7"/>
  <c r="P909" i="7"/>
  <c r="O909" i="7"/>
  <c r="N909" i="7"/>
  <c r="L909" i="7"/>
  <c r="K909" i="7"/>
  <c r="J909" i="7"/>
  <c r="I909" i="7"/>
  <c r="H909" i="7"/>
  <c r="G909" i="7"/>
  <c r="E909" i="7"/>
  <c r="D909" i="7"/>
  <c r="C909" i="7"/>
  <c r="V908" i="7"/>
  <c r="U908" i="7"/>
  <c r="T908" i="7"/>
  <c r="S908" i="7"/>
  <c r="R908" i="7"/>
  <c r="P908" i="7"/>
  <c r="O908" i="7"/>
  <c r="N908" i="7"/>
  <c r="L908" i="7"/>
  <c r="K908" i="7"/>
  <c r="J908" i="7"/>
  <c r="I908" i="7"/>
  <c r="H908" i="7"/>
  <c r="G908" i="7"/>
  <c r="E908" i="7"/>
  <c r="D908" i="7"/>
  <c r="C908" i="7"/>
  <c r="V907" i="7"/>
  <c r="U907" i="7"/>
  <c r="T907" i="7"/>
  <c r="S907" i="7"/>
  <c r="R907" i="7"/>
  <c r="P907" i="7"/>
  <c r="O907" i="7"/>
  <c r="N907" i="7"/>
  <c r="L907" i="7"/>
  <c r="K907" i="7"/>
  <c r="J907" i="7"/>
  <c r="I907" i="7"/>
  <c r="H907" i="7"/>
  <c r="G907" i="7"/>
  <c r="E907" i="7"/>
  <c r="D907" i="7"/>
  <c r="C907" i="7"/>
  <c r="V906" i="7"/>
  <c r="U906" i="7"/>
  <c r="T906" i="7"/>
  <c r="S906" i="7"/>
  <c r="R906" i="7"/>
  <c r="P906" i="7"/>
  <c r="O906" i="7"/>
  <c r="N906" i="7"/>
  <c r="L906" i="7"/>
  <c r="K906" i="7"/>
  <c r="J906" i="7"/>
  <c r="I906" i="7"/>
  <c r="H906" i="7"/>
  <c r="G906" i="7"/>
  <c r="E906" i="7"/>
  <c r="D906" i="7"/>
  <c r="C906" i="7"/>
  <c r="V905" i="7"/>
  <c r="U905" i="7"/>
  <c r="T905" i="7"/>
  <c r="S905" i="7"/>
  <c r="R905" i="7"/>
  <c r="P905" i="7"/>
  <c r="O905" i="7"/>
  <c r="N905" i="7"/>
  <c r="L905" i="7"/>
  <c r="K905" i="7"/>
  <c r="J905" i="7"/>
  <c r="I905" i="7"/>
  <c r="H905" i="7"/>
  <c r="G905" i="7"/>
  <c r="E905" i="7"/>
  <c r="D905" i="7"/>
  <c r="C905" i="7"/>
  <c r="V904" i="7"/>
  <c r="U904" i="7"/>
  <c r="T904" i="7"/>
  <c r="S904" i="7"/>
  <c r="R904" i="7"/>
  <c r="P904" i="7"/>
  <c r="O904" i="7"/>
  <c r="N904" i="7"/>
  <c r="L904" i="7"/>
  <c r="K904" i="7"/>
  <c r="J904" i="7"/>
  <c r="I904" i="7"/>
  <c r="H904" i="7"/>
  <c r="G904" i="7"/>
  <c r="E904" i="7"/>
  <c r="D904" i="7"/>
  <c r="C904" i="7"/>
  <c r="V903" i="7"/>
  <c r="U903" i="7"/>
  <c r="T903" i="7"/>
  <c r="S903" i="7"/>
  <c r="R903" i="7"/>
  <c r="P903" i="7"/>
  <c r="O903" i="7"/>
  <c r="N903" i="7"/>
  <c r="L903" i="7"/>
  <c r="K903" i="7"/>
  <c r="J903" i="7"/>
  <c r="I903" i="7"/>
  <c r="H903" i="7"/>
  <c r="G903" i="7"/>
  <c r="E903" i="7"/>
  <c r="D903" i="7"/>
  <c r="C903" i="7"/>
  <c r="V902" i="7"/>
  <c r="U902" i="7"/>
  <c r="T902" i="7"/>
  <c r="S902" i="7"/>
  <c r="R902" i="7"/>
  <c r="P902" i="7"/>
  <c r="O902" i="7"/>
  <c r="N902" i="7"/>
  <c r="L902" i="7"/>
  <c r="K902" i="7"/>
  <c r="J902" i="7"/>
  <c r="I902" i="7"/>
  <c r="H902" i="7"/>
  <c r="G902" i="7"/>
  <c r="E902" i="7"/>
  <c r="D902" i="7"/>
  <c r="C902" i="7"/>
  <c r="V901" i="7"/>
  <c r="U901" i="7"/>
  <c r="T901" i="7"/>
  <c r="S901" i="7"/>
  <c r="R901" i="7"/>
  <c r="P901" i="7"/>
  <c r="O901" i="7"/>
  <c r="N901" i="7"/>
  <c r="L901" i="7"/>
  <c r="K901" i="7"/>
  <c r="J901" i="7"/>
  <c r="I901" i="7"/>
  <c r="H901" i="7"/>
  <c r="G901" i="7"/>
  <c r="E901" i="7"/>
  <c r="D901" i="7"/>
  <c r="C901" i="7"/>
  <c r="V900" i="7"/>
  <c r="U900" i="7"/>
  <c r="T900" i="7"/>
  <c r="S900" i="7"/>
  <c r="R900" i="7"/>
  <c r="P900" i="7"/>
  <c r="O900" i="7"/>
  <c r="N900" i="7"/>
  <c r="L900" i="7"/>
  <c r="K900" i="7"/>
  <c r="J900" i="7"/>
  <c r="I900" i="7"/>
  <c r="H900" i="7"/>
  <c r="G900" i="7"/>
  <c r="E900" i="7"/>
  <c r="D900" i="7"/>
  <c r="C900" i="7"/>
  <c r="V899" i="7"/>
  <c r="U899" i="7"/>
  <c r="T899" i="7"/>
  <c r="S899" i="7"/>
  <c r="R899" i="7"/>
  <c r="P899" i="7"/>
  <c r="O899" i="7"/>
  <c r="N899" i="7"/>
  <c r="L899" i="7"/>
  <c r="K899" i="7"/>
  <c r="J899" i="7"/>
  <c r="I899" i="7"/>
  <c r="H899" i="7"/>
  <c r="G899" i="7"/>
  <c r="E899" i="7"/>
  <c r="D899" i="7"/>
  <c r="C899" i="7"/>
  <c r="V898" i="7"/>
  <c r="U898" i="7"/>
  <c r="T898" i="7"/>
  <c r="S898" i="7"/>
  <c r="R898" i="7"/>
  <c r="P898" i="7"/>
  <c r="O898" i="7"/>
  <c r="N898" i="7"/>
  <c r="L898" i="7"/>
  <c r="K898" i="7"/>
  <c r="J898" i="7"/>
  <c r="I898" i="7"/>
  <c r="H898" i="7"/>
  <c r="G898" i="7"/>
  <c r="E898" i="7"/>
  <c r="D898" i="7"/>
  <c r="C898" i="7"/>
  <c r="V897" i="7"/>
  <c r="U897" i="7"/>
  <c r="T897" i="7"/>
  <c r="S897" i="7"/>
  <c r="R897" i="7"/>
  <c r="P897" i="7"/>
  <c r="O897" i="7"/>
  <c r="N897" i="7"/>
  <c r="L897" i="7"/>
  <c r="K897" i="7"/>
  <c r="J897" i="7"/>
  <c r="I897" i="7"/>
  <c r="H897" i="7"/>
  <c r="G897" i="7"/>
  <c r="E897" i="7"/>
  <c r="D897" i="7"/>
  <c r="C897" i="7"/>
  <c r="V896" i="7"/>
  <c r="U896" i="7"/>
  <c r="T896" i="7"/>
  <c r="S896" i="7"/>
  <c r="R896" i="7"/>
  <c r="P896" i="7"/>
  <c r="O896" i="7"/>
  <c r="N896" i="7"/>
  <c r="L896" i="7"/>
  <c r="K896" i="7"/>
  <c r="J896" i="7"/>
  <c r="I896" i="7"/>
  <c r="H896" i="7"/>
  <c r="G896" i="7"/>
  <c r="E896" i="7"/>
  <c r="D896" i="7"/>
  <c r="C896" i="7"/>
  <c r="V895" i="7"/>
  <c r="U895" i="7"/>
  <c r="T895" i="7"/>
  <c r="S895" i="7"/>
  <c r="R895" i="7"/>
  <c r="P895" i="7"/>
  <c r="O895" i="7"/>
  <c r="N895" i="7"/>
  <c r="L895" i="7"/>
  <c r="K895" i="7"/>
  <c r="J895" i="7"/>
  <c r="I895" i="7"/>
  <c r="H895" i="7"/>
  <c r="G895" i="7"/>
  <c r="E895" i="7"/>
  <c r="D895" i="7"/>
  <c r="C895" i="7"/>
  <c r="V894" i="7"/>
  <c r="U894" i="7"/>
  <c r="T894" i="7"/>
  <c r="S894" i="7"/>
  <c r="R894" i="7"/>
  <c r="P894" i="7"/>
  <c r="O894" i="7"/>
  <c r="N894" i="7"/>
  <c r="L894" i="7"/>
  <c r="K894" i="7"/>
  <c r="J894" i="7"/>
  <c r="I894" i="7"/>
  <c r="H894" i="7"/>
  <c r="G894" i="7"/>
  <c r="E894" i="7"/>
  <c r="D894" i="7"/>
  <c r="C894" i="7"/>
  <c r="V893" i="7"/>
  <c r="U893" i="7"/>
  <c r="T893" i="7"/>
  <c r="S893" i="7"/>
  <c r="R893" i="7"/>
  <c r="P893" i="7"/>
  <c r="O893" i="7"/>
  <c r="N893" i="7"/>
  <c r="L893" i="7"/>
  <c r="K893" i="7"/>
  <c r="J893" i="7"/>
  <c r="I893" i="7"/>
  <c r="H893" i="7"/>
  <c r="G893" i="7"/>
  <c r="E893" i="7"/>
  <c r="D893" i="7"/>
  <c r="C893" i="7"/>
  <c r="V892" i="7"/>
  <c r="U892" i="7"/>
  <c r="T892" i="7"/>
  <c r="S892" i="7"/>
  <c r="R892" i="7"/>
  <c r="P892" i="7"/>
  <c r="O892" i="7"/>
  <c r="N892" i="7"/>
  <c r="L892" i="7"/>
  <c r="K892" i="7"/>
  <c r="J892" i="7"/>
  <c r="I892" i="7"/>
  <c r="H892" i="7"/>
  <c r="G892" i="7"/>
  <c r="E892" i="7"/>
  <c r="D892" i="7"/>
  <c r="C892" i="7"/>
  <c r="V891" i="7"/>
  <c r="U891" i="7"/>
  <c r="T891" i="7"/>
  <c r="S891" i="7"/>
  <c r="R891" i="7"/>
  <c r="P891" i="7"/>
  <c r="O891" i="7"/>
  <c r="N891" i="7"/>
  <c r="L891" i="7"/>
  <c r="K891" i="7"/>
  <c r="J891" i="7"/>
  <c r="I891" i="7"/>
  <c r="H891" i="7"/>
  <c r="G891" i="7"/>
  <c r="E891" i="7"/>
  <c r="D891" i="7"/>
  <c r="C891" i="7"/>
  <c r="V890" i="7"/>
  <c r="U890" i="7"/>
  <c r="T890" i="7"/>
  <c r="S890" i="7"/>
  <c r="R890" i="7"/>
  <c r="P890" i="7"/>
  <c r="O890" i="7"/>
  <c r="N890" i="7"/>
  <c r="L890" i="7"/>
  <c r="K890" i="7"/>
  <c r="J890" i="7"/>
  <c r="I890" i="7"/>
  <c r="H890" i="7"/>
  <c r="G890" i="7"/>
  <c r="E890" i="7"/>
  <c r="D890" i="7"/>
  <c r="C890" i="7"/>
  <c r="V889" i="7"/>
  <c r="U889" i="7"/>
  <c r="T889" i="7"/>
  <c r="S889" i="7"/>
  <c r="R889" i="7"/>
  <c r="P889" i="7"/>
  <c r="O889" i="7"/>
  <c r="N889" i="7"/>
  <c r="L889" i="7"/>
  <c r="K889" i="7"/>
  <c r="J889" i="7"/>
  <c r="I889" i="7"/>
  <c r="H889" i="7"/>
  <c r="G889" i="7"/>
  <c r="E889" i="7"/>
  <c r="D889" i="7"/>
  <c r="C889" i="7"/>
  <c r="V888" i="7"/>
  <c r="U888" i="7"/>
  <c r="T888" i="7"/>
  <c r="S888" i="7"/>
  <c r="R888" i="7"/>
  <c r="P888" i="7"/>
  <c r="O888" i="7"/>
  <c r="N888" i="7"/>
  <c r="L888" i="7"/>
  <c r="K888" i="7"/>
  <c r="J888" i="7"/>
  <c r="I888" i="7"/>
  <c r="H888" i="7"/>
  <c r="G888" i="7"/>
  <c r="E888" i="7"/>
  <c r="D888" i="7"/>
  <c r="C888" i="7"/>
  <c r="V887" i="7"/>
  <c r="U887" i="7"/>
  <c r="T887" i="7"/>
  <c r="S887" i="7"/>
  <c r="R887" i="7"/>
  <c r="P887" i="7"/>
  <c r="O887" i="7"/>
  <c r="N887" i="7"/>
  <c r="L887" i="7"/>
  <c r="K887" i="7"/>
  <c r="J887" i="7"/>
  <c r="I887" i="7"/>
  <c r="H887" i="7"/>
  <c r="G887" i="7"/>
  <c r="E887" i="7"/>
  <c r="D887" i="7"/>
  <c r="C887" i="7"/>
  <c r="V886" i="7"/>
  <c r="U886" i="7"/>
  <c r="T886" i="7"/>
  <c r="S886" i="7"/>
  <c r="R886" i="7"/>
  <c r="P886" i="7"/>
  <c r="O886" i="7"/>
  <c r="N886" i="7"/>
  <c r="L886" i="7"/>
  <c r="K886" i="7"/>
  <c r="J886" i="7"/>
  <c r="I886" i="7"/>
  <c r="H886" i="7"/>
  <c r="G886" i="7"/>
  <c r="E886" i="7"/>
  <c r="D886" i="7"/>
  <c r="C886" i="7"/>
  <c r="V885" i="7"/>
  <c r="U885" i="7"/>
  <c r="T885" i="7"/>
  <c r="S885" i="7"/>
  <c r="R885" i="7"/>
  <c r="P885" i="7"/>
  <c r="O885" i="7"/>
  <c r="N885" i="7"/>
  <c r="L885" i="7"/>
  <c r="K885" i="7"/>
  <c r="J885" i="7"/>
  <c r="I885" i="7"/>
  <c r="H885" i="7"/>
  <c r="G885" i="7"/>
  <c r="E885" i="7"/>
  <c r="D885" i="7"/>
  <c r="C885" i="7"/>
  <c r="V884" i="7"/>
  <c r="U884" i="7"/>
  <c r="T884" i="7"/>
  <c r="S884" i="7"/>
  <c r="R884" i="7"/>
  <c r="P884" i="7"/>
  <c r="O884" i="7"/>
  <c r="N884" i="7"/>
  <c r="L884" i="7"/>
  <c r="K884" i="7"/>
  <c r="J884" i="7"/>
  <c r="I884" i="7"/>
  <c r="H884" i="7"/>
  <c r="G884" i="7"/>
  <c r="E884" i="7"/>
  <c r="D884" i="7"/>
  <c r="C884" i="7"/>
  <c r="V883" i="7"/>
  <c r="U883" i="7"/>
  <c r="T883" i="7"/>
  <c r="S883" i="7"/>
  <c r="R883" i="7"/>
  <c r="P883" i="7"/>
  <c r="O883" i="7"/>
  <c r="N883" i="7"/>
  <c r="L883" i="7"/>
  <c r="K883" i="7"/>
  <c r="J883" i="7"/>
  <c r="I883" i="7"/>
  <c r="H883" i="7"/>
  <c r="G883" i="7"/>
  <c r="E883" i="7"/>
  <c r="D883" i="7"/>
  <c r="C883" i="7"/>
  <c r="V882" i="7"/>
  <c r="U882" i="7"/>
  <c r="T882" i="7"/>
  <c r="S882" i="7"/>
  <c r="R882" i="7"/>
  <c r="P882" i="7"/>
  <c r="O882" i="7"/>
  <c r="N882" i="7"/>
  <c r="L882" i="7"/>
  <c r="K882" i="7"/>
  <c r="J882" i="7"/>
  <c r="I882" i="7"/>
  <c r="H882" i="7"/>
  <c r="G882" i="7"/>
  <c r="E882" i="7"/>
  <c r="D882" i="7"/>
  <c r="C882" i="7"/>
  <c r="V881" i="7"/>
  <c r="U881" i="7"/>
  <c r="T881" i="7"/>
  <c r="S881" i="7"/>
  <c r="R881" i="7"/>
  <c r="P881" i="7"/>
  <c r="O881" i="7"/>
  <c r="N881" i="7"/>
  <c r="L881" i="7"/>
  <c r="K881" i="7"/>
  <c r="J881" i="7"/>
  <c r="I881" i="7"/>
  <c r="H881" i="7"/>
  <c r="G881" i="7"/>
  <c r="E881" i="7"/>
  <c r="D881" i="7"/>
  <c r="C881" i="7"/>
  <c r="V880" i="7"/>
  <c r="U880" i="7"/>
  <c r="T880" i="7"/>
  <c r="S880" i="7"/>
  <c r="R880" i="7"/>
  <c r="P880" i="7"/>
  <c r="O880" i="7"/>
  <c r="N880" i="7"/>
  <c r="L880" i="7"/>
  <c r="K880" i="7"/>
  <c r="J880" i="7"/>
  <c r="I880" i="7"/>
  <c r="H880" i="7"/>
  <c r="G880" i="7"/>
  <c r="E880" i="7"/>
  <c r="D880" i="7"/>
  <c r="C880" i="7"/>
  <c r="V879" i="7"/>
  <c r="U879" i="7"/>
  <c r="T879" i="7"/>
  <c r="S879" i="7"/>
  <c r="R879" i="7"/>
  <c r="P879" i="7"/>
  <c r="O879" i="7"/>
  <c r="N879" i="7"/>
  <c r="L879" i="7"/>
  <c r="K879" i="7"/>
  <c r="J879" i="7"/>
  <c r="I879" i="7"/>
  <c r="H879" i="7"/>
  <c r="G879" i="7"/>
  <c r="E879" i="7"/>
  <c r="D879" i="7"/>
  <c r="C879" i="7"/>
  <c r="V878" i="7"/>
  <c r="U878" i="7"/>
  <c r="T878" i="7"/>
  <c r="S878" i="7"/>
  <c r="R878" i="7"/>
  <c r="P878" i="7"/>
  <c r="O878" i="7"/>
  <c r="N878" i="7"/>
  <c r="L878" i="7"/>
  <c r="K878" i="7"/>
  <c r="J878" i="7"/>
  <c r="I878" i="7"/>
  <c r="H878" i="7"/>
  <c r="G878" i="7"/>
  <c r="E878" i="7"/>
  <c r="D878" i="7"/>
  <c r="C878" i="7"/>
  <c r="V877" i="7"/>
  <c r="U877" i="7"/>
  <c r="T877" i="7"/>
  <c r="S877" i="7"/>
  <c r="R877" i="7"/>
  <c r="P877" i="7"/>
  <c r="O877" i="7"/>
  <c r="N877" i="7"/>
  <c r="L877" i="7"/>
  <c r="K877" i="7"/>
  <c r="J877" i="7"/>
  <c r="I877" i="7"/>
  <c r="H877" i="7"/>
  <c r="G877" i="7"/>
  <c r="E877" i="7"/>
  <c r="D877" i="7"/>
  <c r="C877" i="7"/>
  <c r="V876" i="7"/>
  <c r="U876" i="7"/>
  <c r="T876" i="7"/>
  <c r="S876" i="7"/>
  <c r="R876" i="7"/>
  <c r="P876" i="7"/>
  <c r="O876" i="7"/>
  <c r="N876" i="7"/>
  <c r="L876" i="7"/>
  <c r="K876" i="7"/>
  <c r="J876" i="7"/>
  <c r="I876" i="7"/>
  <c r="H876" i="7"/>
  <c r="G876" i="7"/>
  <c r="E876" i="7"/>
  <c r="D876" i="7"/>
  <c r="C876" i="7"/>
  <c r="V875" i="7"/>
  <c r="U875" i="7"/>
  <c r="T875" i="7"/>
  <c r="S875" i="7"/>
  <c r="R875" i="7"/>
  <c r="P875" i="7"/>
  <c r="O875" i="7"/>
  <c r="N875" i="7"/>
  <c r="L875" i="7"/>
  <c r="K875" i="7"/>
  <c r="J875" i="7"/>
  <c r="I875" i="7"/>
  <c r="H875" i="7"/>
  <c r="G875" i="7"/>
  <c r="E875" i="7"/>
  <c r="D875" i="7"/>
  <c r="C875" i="7"/>
  <c r="V874" i="7"/>
  <c r="U874" i="7"/>
  <c r="T874" i="7"/>
  <c r="S874" i="7"/>
  <c r="R874" i="7"/>
  <c r="P874" i="7"/>
  <c r="O874" i="7"/>
  <c r="N874" i="7"/>
  <c r="L874" i="7"/>
  <c r="K874" i="7"/>
  <c r="J874" i="7"/>
  <c r="I874" i="7"/>
  <c r="H874" i="7"/>
  <c r="G874" i="7"/>
  <c r="E874" i="7"/>
  <c r="D874" i="7"/>
  <c r="C874" i="7"/>
  <c r="V873" i="7"/>
  <c r="U873" i="7"/>
  <c r="T873" i="7"/>
  <c r="S873" i="7"/>
  <c r="R873" i="7"/>
  <c r="P873" i="7"/>
  <c r="O873" i="7"/>
  <c r="N873" i="7"/>
  <c r="L873" i="7"/>
  <c r="K873" i="7"/>
  <c r="J873" i="7"/>
  <c r="I873" i="7"/>
  <c r="H873" i="7"/>
  <c r="G873" i="7"/>
  <c r="E873" i="7"/>
  <c r="D873" i="7"/>
  <c r="C873" i="7"/>
  <c r="V872" i="7"/>
  <c r="U872" i="7"/>
  <c r="T872" i="7"/>
  <c r="S872" i="7"/>
  <c r="R872" i="7"/>
  <c r="P872" i="7"/>
  <c r="O872" i="7"/>
  <c r="N872" i="7"/>
  <c r="L872" i="7"/>
  <c r="K872" i="7"/>
  <c r="J872" i="7"/>
  <c r="I872" i="7"/>
  <c r="H872" i="7"/>
  <c r="G872" i="7"/>
  <c r="E872" i="7"/>
  <c r="D872" i="7"/>
  <c r="C872" i="7"/>
  <c r="V871" i="7"/>
  <c r="U871" i="7"/>
  <c r="T871" i="7"/>
  <c r="S871" i="7"/>
  <c r="R871" i="7"/>
  <c r="P871" i="7"/>
  <c r="O871" i="7"/>
  <c r="N871" i="7"/>
  <c r="L871" i="7"/>
  <c r="K871" i="7"/>
  <c r="J871" i="7"/>
  <c r="I871" i="7"/>
  <c r="H871" i="7"/>
  <c r="G871" i="7"/>
  <c r="E871" i="7"/>
  <c r="D871" i="7"/>
  <c r="C871" i="7"/>
  <c r="V870" i="7"/>
  <c r="U870" i="7"/>
  <c r="T870" i="7"/>
  <c r="S870" i="7"/>
  <c r="R870" i="7"/>
  <c r="P870" i="7"/>
  <c r="O870" i="7"/>
  <c r="N870" i="7"/>
  <c r="L870" i="7"/>
  <c r="K870" i="7"/>
  <c r="J870" i="7"/>
  <c r="I870" i="7"/>
  <c r="H870" i="7"/>
  <c r="G870" i="7"/>
  <c r="E870" i="7"/>
  <c r="D870" i="7"/>
  <c r="C870" i="7"/>
  <c r="V869" i="7"/>
  <c r="U869" i="7"/>
  <c r="T869" i="7"/>
  <c r="S869" i="7"/>
  <c r="R869" i="7"/>
  <c r="P869" i="7"/>
  <c r="O869" i="7"/>
  <c r="N869" i="7"/>
  <c r="L869" i="7"/>
  <c r="K869" i="7"/>
  <c r="J869" i="7"/>
  <c r="I869" i="7"/>
  <c r="H869" i="7"/>
  <c r="G869" i="7"/>
  <c r="E869" i="7"/>
  <c r="D869" i="7"/>
  <c r="C869" i="7"/>
  <c r="V868" i="7"/>
  <c r="U868" i="7"/>
  <c r="T868" i="7"/>
  <c r="S868" i="7"/>
  <c r="R868" i="7"/>
  <c r="P868" i="7"/>
  <c r="O868" i="7"/>
  <c r="N868" i="7"/>
  <c r="L868" i="7"/>
  <c r="K868" i="7"/>
  <c r="J868" i="7"/>
  <c r="I868" i="7"/>
  <c r="H868" i="7"/>
  <c r="G868" i="7"/>
  <c r="E868" i="7"/>
  <c r="D868" i="7"/>
  <c r="C868" i="7"/>
  <c r="V867" i="7"/>
  <c r="U867" i="7"/>
  <c r="T867" i="7"/>
  <c r="S867" i="7"/>
  <c r="R867" i="7"/>
  <c r="P867" i="7"/>
  <c r="O867" i="7"/>
  <c r="N867" i="7"/>
  <c r="L867" i="7"/>
  <c r="K867" i="7"/>
  <c r="J867" i="7"/>
  <c r="I867" i="7"/>
  <c r="H867" i="7"/>
  <c r="G867" i="7"/>
  <c r="E867" i="7"/>
  <c r="D867" i="7"/>
  <c r="C867" i="7"/>
  <c r="V866" i="7"/>
  <c r="U866" i="7"/>
  <c r="T866" i="7"/>
  <c r="S866" i="7"/>
  <c r="R866" i="7"/>
  <c r="P866" i="7"/>
  <c r="O866" i="7"/>
  <c r="N866" i="7"/>
  <c r="L866" i="7"/>
  <c r="K866" i="7"/>
  <c r="J866" i="7"/>
  <c r="I866" i="7"/>
  <c r="H866" i="7"/>
  <c r="G866" i="7"/>
  <c r="E866" i="7"/>
  <c r="D866" i="7"/>
  <c r="C866" i="7"/>
  <c r="V865" i="7"/>
  <c r="U865" i="7"/>
  <c r="T865" i="7"/>
  <c r="S865" i="7"/>
  <c r="R865" i="7"/>
  <c r="P865" i="7"/>
  <c r="O865" i="7"/>
  <c r="N865" i="7"/>
  <c r="L865" i="7"/>
  <c r="K865" i="7"/>
  <c r="J865" i="7"/>
  <c r="I865" i="7"/>
  <c r="H865" i="7"/>
  <c r="G865" i="7"/>
  <c r="E865" i="7"/>
  <c r="D865" i="7"/>
  <c r="C865" i="7"/>
  <c r="V864" i="7"/>
  <c r="U864" i="7"/>
  <c r="T864" i="7"/>
  <c r="S864" i="7"/>
  <c r="R864" i="7"/>
  <c r="P864" i="7"/>
  <c r="O864" i="7"/>
  <c r="N864" i="7"/>
  <c r="L864" i="7"/>
  <c r="K864" i="7"/>
  <c r="J864" i="7"/>
  <c r="I864" i="7"/>
  <c r="H864" i="7"/>
  <c r="G864" i="7"/>
  <c r="E864" i="7"/>
  <c r="D864" i="7"/>
  <c r="C864" i="7"/>
  <c r="V863" i="7"/>
  <c r="U863" i="7"/>
  <c r="T863" i="7"/>
  <c r="S863" i="7"/>
  <c r="R863" i="7"/>
  <c r="P863" i="7"/>
  <c r="O863" i="7"/>
  <c r="N863" i="7"/>
  <c r="L863" i="7"/>
  <c r="K863" i="7"/>
  <c r="J863" i="7"/>
  <c r="I863" i="7"/>
  <c r="H863" i="7"/>
  <c r="G863" i="7"/>
  <c r="E863" i="7"/>
  <c r="D863" i="7"/>
  <c r="C863" i="7"/>
  <c r="V862" i="7"/>
  <c r="U862" i="7"/>
  <c r="T862" i="7"/>
  <c r="S862" i="7"/>
  <c r="R862" i="7"/>
  <c r="P862" i="7"/>
  <c r="O862" i="7"/>
  <c r="N862" i="7"/>
  <c r="L862" i="7"/>
  <c r="K862" i="7"/>
  <c r="J862" i="7"/>
  <c r="I862" i="7"/>
  <c r="H862" i="7"/>
  <c r="G862" i="7"/>
  <c r="E862" i="7"/>
  <c r="D862" i="7"/>
  <c r="C862" i="7"/>
  <c r="V861" i="7"/>
  <c r="U861" i="7"/>
  <c r="T861" i="7"/>
  <c r="S861" i="7"/>
  <c r="R861" i="7"/>
  <c r="P861" i="7"/>
  <c r="O861" i="7"/>
  <c r="N861" i="7"/>
  <c r="L861" i="7"/>
  <c r="K861" i="7"/>
  <c r="J861" i="7"/>
  <c r="I861" i="7"/>
  <c r="H861" i="7"/>
  <c r="G861" i="7"/>
  <c r="E861" i="7"/>
  <c r="D861" i="7"/>
  <c r="C861" i="7"/>
  <c r="V860" i="7"/>
  <c r="U860" i="7"/>
  <c r="T860" i="7"/>
  <c r="S860" i="7"/>
  <c r="R860" i="7"/>
  <c r="P860" i="7"/>
  <c r="O860" i="7"/>
  <c r="N860" i="7"/>
  <c r="L860" i="7"/>
  <c r="K860" i="7"/>
  <c r="J860" i="7"/>
  <c r="I860" i="7"/>
  <c r="H860" i="7"/>
  <c r="G860" i="7"/>
  <c r="E860" i="7"/>
  <c r="D860" i="7"/>
  <c r="C860" i="7"/>
  <c r="V859" i="7"/>
  <c r="U859" i="7"/>
  <c r="T859" i="7"/>
  <c r="S859" i="7"/>
  <c r="R859" i="7"/>
  <c r="P859" i="7"/>
  <c r="O859" i="7"/>
  <c r="N859" i="7"/>
  <c r="L859" i="7"/>
  <c r="K859" i="7"/>
  <c r="J859" i="7"/>
  <c r="I859" i="7"/>
  <c r="H859" i="7"/>
  <c r="G859" i="7"/>
  <c r="E859" i="7"/>
  <c r="D859" i="7"/>
  <c r="C859" i="7"/>
  <c r="V858" i="7"/>
  <c r="U858" i="7"/>
  <c r="T858" i="7"/>
  <c r="S858" i="7"/>
  <c r="R858" i="7"/>
  <c r="P858" i="7"/>
  <c r="O858" i="7"/>
  <c r="N858" i="7"/>
  <c r="L858" i="7"/>
  <c r="K858" i="7"/>
  <c r="J858" i="7"/>
  <c r="I858" i="7"/>
  <c r="H858" i="7"/>
  <c r="G858" i="7"/>
  <c r="E858" i="7"/>
  <c r="D858" i="7"/>
  <c r="C858" i="7"/>
  <c r="V857" i="7"/>
  <c r="U857" i="7"/>
  <c r="T857" i="7"/>
  <c r="S857" i="7"/>
  <c r="R857" i="7"/>
  <c r="P857" i="7"/>
  <c r="O857" i="7"/>
  <c r="N857" i="7"/>
  <c r="L857" i="7"/>
  <c r="K857" i="7"/>
  <c r="J857" i="7"/>
  <c r="I857" i="7"/>
  <c r="H857" i="7"/>
  <c r="G857" i="7"/>
  <c r="E857" i="7"/>
  <c r="D857" i="7"/>
  <c r="C857" i="7"/>
  <c r="V856" i="7"/>
  <c r="U856" i="7"/>
  <c r="T856" i="7"/>
  <c r="S856" i="7"/>
  <c r="R856" i="7"/>
  <c r="P856" i="7"/>
  <c r="O856" i="7"/>
  <c r="N856" i="7"/>
  <c r="L856" i="7"/>
  <c r="K856" i="7"/>
  <c r="J856" i="7"/>
  <c r="I856" i="7"/>
  <c r="H856" i="7"/>
  <c r="G856" i="7"/>
  <c r="E856" i="7"/>
  <c r="D856" i="7"/>
  <c r="C856" i="7"/>
  <c r="V855" i="7"/>
  <c r="U855" i="7"/>
  <c r="T855" i="7"/>
  <c r="S855" i="7"/>
  <c r="R855" i="7"/>
  <c r="P855" i="7"/>
  <c r="O855" i="7"/>
  <c r="N855" i="7"/>
  <c r="L855" i="7"/>
  <c r="K855" i="7"/>
  <c r="J855" i="7"/>
  <c r="I855" i="7"/>
  <c r="H855" i="7"/>
  <c r="G855" i="7"/>
  <c r="E855" i="7"/>
  <c r="D855" i="7"/>
  <c r="C855" i="7"/>
  <c r="V854" i="7"/>
  <c r="U854" i="7"/>
  <c r="T854" i="7"/>
  <c r="S854" i="7"/>
  <c r="R854" i="7"/>
  <c r="P854" i="7"/>
  <c r="O854" i="7"/>
  <c r="N854" i="7"/>
  <c r="L854" i="7"/>
  <c r="K854" i="7"/>
  <c r="J854" i="7"/>
  <c r="I854" i="7"/>
  <c r="H854" i="7"/>
  <c r="G854" i="7"/>
  <c r="E854" i="7"/>
  <c r="D854" i="7"/>
  <c r="C854" i="7"/>
  <c r="V853" i="7"/>
  <c r="U853" i="7"/>
  <c r="T853" i="7"/>
  <c r="S853" i="7"/>
  <c r="R853" i="7"/>
  <c r="P853" i="7"/>
  <c r="O853" i="7"/>
  <c r="N853" i="7"/>
  <c r="L853" i="7"/>
  <c r="K853" i="7"/>
  <c r="J853" i="7"/>
  <c r="I853" i="7"/>
  <c r="H853" i="7"/>
  <c r="G853" i="7"/>
  <c r="E853" i="7"/>
  <c r="D853" i="7"/>
  <c r="C853" i="7"/>
  <c r="V852" i="7"/>
  <c r="U852" i="7"/>
  <c r="T852" i="7"/>
  <c r="S852" i="7"/>
  <c r="R852" i="7"/>
  <c r="P852" i="7"/>
  <c r="O852" i="7"/>
  <c r="N852" i="7"/>
  <c r="L852" i="7"/>
  <c r="K852" i="7"/>
  <c r="J852" i="7"/>
  <c r="I852" i="7"/>
  <c r="H852" i="7"/>
  <c r="G852" i="7"/>
  <c r="E852" i="7"/>
  <c r="D852" i="7"/>
  <c r="C852" i="7"/>
  <c r="V851" i="7"/>
  <c r="U851" i="7"/>
  <c r="T851" i="7"/>
  <c r="S851" i="7"/>
  <c r="R851" i="7"/>
  <c r="P851" i="7"/>
  <c r="O851" i="7"/>
  <c r="N851" i="7"/>
  <c r="L851" i="7"/>
  <c r="K851" i="7"/>
  <c r="J851" i="7"/>
  <c r="I851" i="7"/>
  <c r="H851" i="7"/>
  <c r="G851" i="7"/>
  <c r="E851" i="7"/>
  <c r="D851" i="7"/>
  <c r="C851" i="7"/>
  <c r="V850" i="7"/>
  <c r="U850" i="7"/>
  <c r="T850" i="7"/>
  <c r="S850" i="7"/>
  <c r="R850" i="7"/>
  <c r="P850" i="7"/>
  <c r="O850" i="7"/>
  <c r="N850" i="7"/>
  <c r="L850" i="7"/>
  <c r="K850" i="7"/>
  <c r="J850" i="7"/>
  <c r="I850" i="7"/>
  <c r="H850" i="7"/>
  <c r="G850" i="7"/>
  <c r="E850" i="7"/>
  <c r="D850" i="7"/>
  <c r="C850" i="7"/>
  <c r="V849" i="7"/>
  <c r="U849" i="7"/>
  <c r="T849" i="7"/>
  <c r="S849" i="7"/>
  <c r="R849" i="7"/>
  <c r="P849" i="7"/>
  <c r="O849" i="7"/>
  <c r="N849" i="7"/>
  <c r="L849" i="7"/>
  <c r="K849" i="7"/>
  <c r="J849" i="7"/>
  <c r="I849" i="7"/>
  <c r="H849" i="7"/>
  <c r="G849" i="7"/>
  <c r="E849" i="7"/>
  <c r="D849" i="7"/>
  <c r="C849" i="7"/>
  <c r="V848" i="7"/>
  <c r="U848" i="7"/>
  <c r="T848" i="7"/>
  <c r="S848" i="7"/>
  <c r="R848" i="7"/>
  <c r="P848" i="7"/>
  <c r="O848" i="7"/>
  <c r="N848" i="7"/>
  <c r="L848" i="7"/>
  <c r="K848" i="7"/>
  <c r="J848" i="7"/>
  <c r="I848" i="7"/>
  <c r="H848" i="7"/>
  <c r="G848" i="7"/>
  <c r="E848" i="7"/>
  <c r="D848" i="7"/>
  <c r="C848" i="7"/>
  <c r="V847" i="7"/>
  <c r="U847" i="7"/>
  <c r="T847" i="7"/>
  <c r="S847" i="7"/>
  <c r="R847" i="7"/>
  <c r="P847" i="7"/>
  <c r="O847" i="7"/>
  <c r="N847" i="7"/>
  <c r="L847" i="7"/>
  <c r="K847" i="7"/>
  <c r="J847" i="7"/>
  <c r="I847" i="7"/>
  <c r="H847" i="7"/>
  <c r="G847" i="7"/>
  <c r="E847" i="7"/>
  <c r="D847" i="7"/>
  <c r="C847" i="7"/>
  <c r="V846" i="7"/>
  <c r="U846" i="7"/>
  <c r="T846" i="7"/>
  <c r="S846" i="7"/>
  <c r="R846" i="7"/>
  <c r="P846" i="7"/>
  <c r="O846" i="7"/>
  <c r="N846" i="7"/>
  <c r="L846" i="7"/>
  <c r="K846" i="7"/>
  <c r="J846" i="7"/>
  <c r="I846" i="7"/>
  <c r="H846" i="7"/>
  <c r="G846" i="7"/>
  <c r="E846" i="7"/>
  <c r="D846" i="7"/>
  <c r="C846" i="7"/>
  <c r="V845" i="7"/>
  <c r="U845" i="7"/>
  <c r="T845" i="7"/>
  <c r="S845" i="7"/>
  <c r="R845" i="7"/>
  <c r="P845" i="7"/>
  <c r="O845" i="7"/>
  <c r="N845" i="7"/>
  <c r="L845" i="7"/>
  <c r="K845" i="7"/>
  <c r="J845" i="7"/>
  <c r="I845" i="7"/>
  <c r="H845" i="7"/>
  <c r="G845" i="7"/>
  <c r="E845" i="7"/>
  <c r="D845" i="7"/>
  <c r="C845" i="7"/>
  <c r="V844" i="7"/>
  <c r="U844" i="7"/>
  <c r="T844" i="7"/>
  <c r="S844" i="7"/>
  <c r="R844" i="7"/>
  <c r="P844" i="7"/>
  <c r="O844" i="7"/>
  <c r="N844" i="7"/>
  <c r="L844" i="7"/>
  <c r="K844" i="7"/>
  <c r="J844" i="7"/>
  <c r="I844" i="7"/>
  <c r="H844" i="7"/>
  <c r="G844" i="7"/>
  <c r="E844" i="7"/>
  <c r="D844" i="7"/>
  <c r="C844" i="7"/>
  <c r="V843" i="7"/>
  <c r="U843" i="7"/>
  <c r="T843" i="7"/>
  <c r="S843" i="7"/>
  <c r="R843" i="7"/>
  <c r="P843" i="7"/>
  <c r="O843" i="7"/>
  <c r="N843" i="7"/>
  <c r="L843" i="7"/>
  <c r="K843" i="7"/>
  <c r="J843" i="7"/>
  <c r="I843" i="7"/>
  <c r="H843" i="7"/>
  <c r="G843" i="7"/>
  <c r="E843" i="7"/>
  <c r="D843" i="7"/>
  <c r="C843" i="7"/>
  <c r="V842" i="7"/>
  <c r="U842" i="7"/>
  <c r="T842" i="7"/>
  <c r="S842" i="7"/>
  <c r="R842" i="7"/>
  <c r="P842" i="7"/>
  <c r="O842" i="7"/>
  <c r="N842" i="7"/>
  <c r="L842" i="7"/>
  <c r="K842" i="7"/>
  <c r="J842" i="7"/>
  <c r="I842" i="7"/>
  <c r="H842" i="7"/>
  <c r="G842" i="7"/>
  <c r="E842" i="7"/>
  <c r="D842" i="7"/>
  <c r="C842" i="7"/>
  <c r="V841" i="7"/>
  <c r="U841" i="7"/>
  <c r="T841" i="7"/>
  <c r="S841" i="7"/>
  <c r="R841" i="7"/>
  <c r="P841" i="7"/>
  <c r="O841" i="7"/>
  <c r="N841" i="7"/>
  <c r="L841" i="7"/>
  <c r="K841" i="7"/>
  <c r="J841" i="7"/>
  <c r="I841" i="7"/>
  <c r="H841" i="7"/>
  <c r="G841" i="7"/>
  <c r="E841" i="7"/>
  <c r="D841" i="7"/>
  <c r="C841" i="7"/>
  <c r="V840" i="7"/>
  <c r="U840" i="7"/>
  <c r="T840" i="7"/>
  <c r="S840" i="7"/>
  <c r="R840" i="7"/>
  <c r="P840" i="7"/>
  <c r="O840" i="7"/>
  <c r="N840" i="7"/>
  <c r="L840" i="7"/>
  <c r="K840" i="7"/>
  <c r="J840" i="7"/>
  <c r="I840" i="7"/>
  <c r="H840" i="7"/>
  <c r="G840" i="7"/>
  <c r="E840" i="7"/>
  <c r="D840" i="7"/>
  <c r="C840" i="7"/>
  <c r="V839" i="7"/>
  <c r="U839" i="7"/>
  <c r="T839" i="7"/>
  <c r="S839" i="7"/>
  <c r="R839" i="7"/>
  <c r="P839" i="7"/>
  <c r="O839" i="7"/>
  <c r="N839" i="7"/>
  <c r="L839" i="7"/>
  <c r="K839" i="7"/>
  <c r="J839" i="7"/>
  <c r="I839" i="7"/>
  <c r="H839" i="7"/>
  <c r="G839" i="7"/>
  <c r="E839" i="7"/>
  <c r="D839" i="7"/>
  <c r="C839" i="7"/>
  <c r="V838" i="7"/>
  <c r="U838" i="7"/>
  <c r="T838" i="7"/>
  <c r="S838" i="7"/>
  <c r="R838" i="7"/>
  <c r="P838" i="7"/>
  <c r="O838" i="7"/>
  <c r="N838" i="7"/>
  <c r="L838" i="7"/>
  <c r="K838" i="7"/>
  <c r="J838" i="7"/>
  <c r="I838" i="7"/>
  <c r="H838" i="7"/>
  <c r="G838" i="7"/>
  <c r="E838" i="7"/>
  <c r="D838" i="7"/>
  <c r="C838" i="7"/>
  <c r="V837" i="7"/>
  <c r="U837" i="7"/>
  <c r="T837" i="7"/>
  <c r="S837" i="7"/>
  <c r="R837" i="7"/>
  <c r="P837" i="7"/>
  <c r="O837" i="7"/>
  <c r="N837" i="7"/>
  <c r="L837" i="7"/>
  <c r="K837" i="7"/>
  <c r="J837" i="7"/>
  <c r="I837" i="7"/>
  <c r="H837" i="7"/>
  <c r="G837" i="7"/>
  <c r="E837" i="7"/>
  <c r="D837" i="7"/>
  <c r="C837" i="7"/>
  <c r="V836" i="7"/>
  <c r="U836" i="7"/>
  <c r="T836" i="7"/>
  <c r="S836" i="7"/>
  <c r="R836" i="7"/>
  <c r="P836" i="7"/>
  <c r="O836" i="7"/>
  <c r="N836" i="7"/>
  <c r="L836" i="7"/>
  <c r="K836" i="7"/>
  <c r="J836" i="7"/>
  <c r="I836" i="7"/>
  <c r="H836" i="7"/>
  <c r="G836" i="7"/>
  <c r="E836" i="7"/>
  <c r="D836" i="7"/>
  <c r="C836" i="7"/>
  <c r="V835" i="7"/>
  <c r="U835" i="7"/>
  <c r="T835" i="7"/>
  <c r="S835" i="7"/>
  <c r="R835" i="7"/>
  <c r="P835" i="7"/>
  <c r="O835" i="7"/>
  <c r="N835" i="7"/>
  <c r="L835" i="7"/>
  <c r="K835" i="7"/>
  <c r="J835" i="7"/>
  <c r="I835" i="7"/>
  <c r="H835" i="7"/>
  <c r="G835" i="7"/>
  <c r="E835" i="7"/>
  <c r="D835" i="7"/>
  <c r="C835" i="7"/>
  <c r="V834" i="7"/>
  <c r="U834" i="7"/>
  <c r="T834" i="7"/>
  <c r="S834" i="7"/>
  <c r="R834" i="7"/>
  <c r="P834" i="7"/>
  <c r="O834" i="7"/>
  <c r="N834" i="7"/>
  <c r="L834" i="7"/>
  <c r="K834" i="7"/>
  <c r="J834" i="7"/>
  <c r="I834" i="7"/>
  <c r="H834" i="7"/>
  <c r="G834" i="7"/>
  <c r="E834" i="7"/>
  <c r="D834" i="7"/>
  <c r="C834" i="7"/>
  <c r="V833" i="7"/>
  <c r="U833" i="7"/>
  <c r="T833" i="7"/>
  <c r="S833" i="7"/>
  <c r="R833" i="7"/>
  <c r="P833" i="7"/>
  <c r="O833" i="7"/>
  <c r="N833" i="7"/>
  <c r="L833" i="7"/>
  <c r="K833" i="7"/>
  <c r="J833" i="7"/>
  <c r="I833" i="7"/>
  <c r="H833" i="7"/>
  <c r="G833" i="7"/>
  <c r="E833" i="7"/>
  <c r="D833" i="7"/>
  <c r="C833" i="7"/>
  <c r="V832" i="7"/>
  <c r="U832" i="7"/>
  <c r="T832" i="7"/>
  <c r="S832" i="7"/>
  <c r="R832" i="7"/>
  <c r="P832" i="7"/>
  <c r="O832" i="7"/>
  <c r="N832" i="7"/>
  <c r="L832" i="7"/>
  <c r="K832" i="7"/>
  <c r="J832" i="7"/>
  <c r="I832" i="7"/>
  <c r="H832" i="7"/>
  <c r="G832" i="7"/>
  <c r="E832" i="7"/>
  <c r="D832" i="7"/>
  <c r="C832" i="7"/>
  <c r="V831" i="7"/>
  <c r="U831" i="7"/>
  <c r="T831" i="7"/>
  <c r="S831" i="7"/>
  <c r="R831" i="7"/>
  <c r="P831" i="7"/>
  <c r="O831" i="7"/>
  <c r="N831" i="7"/>
  <c r="L831" i="7"/>
  <c r="K831" i="7"/>
  <c r="J831" i="7"/>
  <c r="I831" i="7"/>
  <c r="H831" i="7"/>
  <c r="G831" i="7"/>
  <c r="E831" i="7"/>
  <c r="D831" i="7"/>
  <c r="C831" i="7"/>
  <c r="V830" i="7"/>
  <c r="U830" i="7"/>
  <c r="T830" i="7"/>
  <c r="S830" i="7"/>
  <c r="R830" i="7"/>
  <c r="P830" i="7"/>
  <c r="O830" i="7"/>
  <c r="N830" i="7"/>
  <c r="L830" i="7"/>
  <c r="K830" i="7"/>
  <c r="J830" i="7"/>
  <c r="I830" i="7"/>
  <c r="H830" i="7"/>
  <c r="G830" i="7"/>
  <c r="E830" i="7"/>
  <c r="D830" i="7"/>
  <c r="C830" i="7"/>
  <c r="V829" i="7"/>
  <c r="U829" i="7"/>
  <c r="T829" i="7"/>
  <c r="S829" i="7"/>
  <c r="R829" i="7"/>
  <c r="P829" i="7"/>
  <c r="O829" i="7"/>
  <c r="N829" i="7"/>
  <c r="L829" i="7"/>
  <c r="K829" i="7"/>
  <c r="J829" i="7"/>
  <c r="I829" i="7"/>
  <c r="H829" i="7"/>
  <c r="G829" i="7"/>
  <c r="E829" i="7"/>
  <c r="D829" i="7"/>
  <c r="C829" i="7"/>
  <c r="V828" i="7"/>
  <c r="U828" i="7"/>
  <c r="T828" i="7"/>
  <c r="S828" i="7"/>
  <c r="R828" i="7"/>
  <c r="P828" i="7"/>
  <c r="O828" i="7"/>
  <c r="N828" i="7"/>
  <c r="L828" i="7"/>
  <c r="K828" i="7"/>
  <c r="J828" i="7"/>
  <c r="I828" i="7"/>
  <c r="H828" i="7"/>
  <c r="G828" i="7"/>
  <c r="E828" i="7"/>
  <c r="D828" i="7"/>
  <c r="C828" i="7"/>
  <c r="V827" i="7"/>
  <c r="U827" i="7"/>
  <c r="T827" i="7"/>
  <c r="S827" i="7"/>
  <c r="R827" i="7"/>
  <c r="P827" i="7"/>
  <c r="O827" i="7"/>
  <c r="N827" i="7"/>
  <c r="L827" i="7"/>
  <c r="K827" i="7"/>
  <c r="J827" i="7"/>
  <c r="I827" i="7"/>
  <c r="H827" i="7"/>
  <c r="G827" i="7"/>
  <c r="E827" i="7"/>
  <c r="D827" i="7"/>
  <c r="C827" i="7"/>
  <c r="V826" i="7"/>
  <c r="U826" i="7"/>
  <c r="T826" i="7"/>
  <c r="S826" i="7"/>
  <c r="R826" i="7"/>
  <c r="P826" i="7"/>
  <c r="O826" i="7"/>
  <c r="N826" i="7"/>
  <c r="L826" i="7"/>
  <c r="K826" i="7"/>
  <c r="J826" i="7"/>
  <c r="I826" i="7"/>
  <c r="H826" i="7"/>
  <c r="G826" i="7"/>
  <c r="E826" i="7"/>
  <c r="D826" i="7"/>
  <c r="C826" i="7"/>
  <c r="V825" i="7"/>
  <c r="U825" i="7"/>
  <c r="T825" i="7"/>
  <c r="S825" i="7"/>
  <c r="R825" i="7"/>
  <c r="P825" i="7"/>
  <c r="O825" i="7"/>
  <c r="N825" i="7"/>
  <c r="L825" i="7"/>
  <c r="K825" i="7"/>
  <c r="J825" i="7"/>
  <c r="I825" i="7"/>
  <c r="H825" i="7"/>
  <c r="G825" i="7"/>
  <c r="E825" i="7"/>
  <c r="D825" i="7"/>
  <c r="C825" i="7"/>
  <c r="V824" i="7"/>
  <c r="U824" i="7"/>
  <c r="T824" i="7"/>
  <c r="S824" i="7"/>
  <c r="R824" i="7"/>
  <c r="P824" i="7"/>
  <c r="O824" i="7"/>
  <c r="N824" i="7"/>
  <c r="L824" i="7"/>
  <c r="K824" i="7"/>
  <c r="J824" i="7"/>
  <c r="I824" i="7"/>
  <c r="H824" i="7"/>
  <c r="G824" i="7"/>
  <c r="E824" i="7"/>
  <c r="D824" i="7"/>
  <c r="C824" i="7"/>
  <c r="V823" i="7"/>
  <c r="U823" i="7"/>
  <c r="T823" i="7"/>
  <c r="S823" i="7"/>
  <c r="R823" i="7"/>
  <c r="P823" i="7"/>
  <c r="O823" i="7"/>
  <c r="N823" i="7"/>
  <c r="L823" i="7"/>
  <c r="K823" i="7"/>
  <c r="J823" i="7"/>
  <c r="I823" i="7"/>
  <c r="H823" i="7"/>
  <c r="G823" i="7"/>
  <c r="E823" i="7"/>
  <c r="D823" i="7"/>
  <c r="C823" i="7"/>
  <c r="V822" i="7"/>
  <c r="U822" i="7"/>
  <c r="T822" i="7"/>
  <c r="S822" i="7"/>
  <c r="R822" i="7"/>
  <c r="P822" i="7"/>
  <c r="O822" i="7"/>
  <c r="N822" i="7"/>
  <c r="L822" i="7"/>
  <c r="K822" i="7"/>
  <c r="J822" i="7"/>
  <c r="I822" i="7"/>
  <c r="H822" i="7"/>
  <c r="G822" i="7"/>
  <c r="E822" i="7"/>
  <c r="D822" i="7"/>
  <c r="C822" i="7"/>
  <c r="V821" i="7"/>
  <c r="U821" i="7"/>
  <c r="T821" i="7"/>
  <c r="S821" i="7"/>
  <c r="R821" i="7"/>
  <c r="P821" i="7"/>
  <c r="O821" i="7"/>
  <c r="N821" i="7"/>
  <c r="L821" i="7"/>
  <c r="K821" i="7"/>
  <c r="J821" i="7"/>
  <c r="I821" i="7"/>
  <c r="H821" i="7"/>
  <c r="G821" i="7"/>
  <c r="E821" i="7"/>
  <c r="D821" i="7"/>
  <c r="C821" i="7"/>
  <c r="V820" i="7"/>
  <c r="U820" i="7"/>
  <c r="T820" i="7"/>
  <c r="S820" i="7"/>
  <c r="R820" i="7"/>
  <c r="P820" i="7"/>
  <c r="O820" i="7"/>
  <c r="N820" i="7"/>
  <c r="L820" i="7"/>
  <c r="K820" i="7"/>
  <c r="J820" i="7"/>
  <c r="I820" i="7"/>
  <c r="H820" i="7"/>
  <c r="G820" i="7"/>
  <c r="E820" i="7"/>
  <c r="D820" i="7"/>
  <c r="C820" i="7"/>
  <c r="V819" i="7"/>
  <c r="U819" i="7"/>
  <c r="T819" i="7"/>
  <c r="S819" i="7"/>
  <c r="R819" i="7"/>
  <c r="P819" i="7"/>
  <c r="O819" i="7"/>
  <c r="N819" i="7"/>
  <c r="L819" i="7"/>
  <c r="K819" i="7"/>
  <c r="J819" i="7"/>
  <c r="I819" i="7"/>
  <c r="H819" i="7"/>
  <c r="G819" i="7"/>
  <c r="E819" i="7"/>
  <c r="D819" i="7"/>
  <c r="C819" i="7"/>
  <c r="V818" i="7"/>
  <c r="U818" i="7"/>
  <c r="T818" i="7"/>
  <c r="S818" i="7"/>
  <c r="R818" i="7"/>
  <c r="P818" i="7"/>
  <c r="O818" i="7"/>
  <c r="N818" i="7"/>
  <c r="L818" i="7"/>
  <c r="K818" i="7"/>
  <c r="J818" i="7"/>
  <c r="I818" i="7"/>
  <c r="H818" i="7"/>
  <c r="G818" i="7"/>
  <c r="E818" i="7"/>
  <c r="D818" i="7"/>
  <c r="C818" i="7"/>
  <c r="V817" i="7"/>
  <c r="U817" i="7"/>
  <c r="T817" i="7"/>
  <c r="S817" i="7"/>
  <c r="R817" i="7"/>
  <c r="P817" i="7"/>
  <c r="O817" i="7"/>
  <c r="N817" i="7"/>
  <c r="L817" i="7"/>
  <c r="K817" i="7"/>
  <c r="J817" i="7"/>
  <c r="I817" i="7"/>
  <c r="H817" i="7"/>
  <c r="G817" i="7"/>
  <c r="E817" i="7"/>
  <c r="D817" i="7"/>
  <c r="C817" i="7"/>
  <c r="V816" i="7"/>
  <c r="U816" i="7"/>
  <c r="T816" i="7"/>
  <c r="S816" i="7"/>
  <c r="R816" i="7"/>
  <c r="P816" i="7"/>
  <c r="O816" i="7"/>
  <c r="N816" i="7"/>
  <c r="L816" i="7"/>
  <c r="K816" i="7"/>
  <c r="J816" i="7"/>
  <c r="I816" i="7"/>
  <c r="H816" i="7"/>
  <c r="G816" i="7"/>
  <c r="E816" i="7"/>
  <c r="D816" i="7"/>
  <c r="C816" i="7"/>
  <c r="V815" i="7"/>
  <c r="U815" i="7"/>
  <c r="T815" i="7"/>
  <c r="S815" i="7"/>
  <c r="R815" i="7"/>
  <c r="P815" i="7"/>
  <c r="O815" i="7"/>
  <c r="N815" i="7"/>
  <c r="L815" i="7"/>
  <c r="K815" i="7"/>
  <c r="J815" i="7"/>
  <c r="I815" i="7"/>
  <c r="H815" i="7"/>
  <c r="G815" i="7"/>
  <c r="E815" i="7"/>
  <c r="D815" i="7"/>
  <c r="C815" i="7"/>
  <c r="V814" i="7"/>
  <c r="U814" i="7"/>
  <c r="T814" i="7"/>
  <c r="S814" i="7"/>
  <c r="R814" i="7"/>
  <c r="P814" i="7"/>
  <c r="O814" i="7"/>
  <c r="N814" i="7"/>
  <c r="L814" i="7"/>
  <c r="K814" i="7"/>
  <c r="J814" i="7"/>
  <c r="I814" i="7"/>
  <c r="H814" i="7"/>
  <c r="G814" i="7"/>
  <c r="E814" i="7"/>
  <c r="D814" i="7"/>
  <c r="C814" i="7"/>
  <c r="V813" i="7"/>
  <c r="U813" i="7"/>
  <c r="T813" i="7"/>
  <c r="S813" i="7"/>
  <c r="R813" i="7"/>
  <c r="P813" i="7"/>
  <c r="O813" i="7"/>
  <c r="N813" i="7"/>
  <c r="L813" i="7"/>
  <c r="K813" i="7"/>
  <c r="J813" i="7"/>
  <c r="I813" i="7"/>
  <c r="H813" i="7"/>
  <c r="G813" i="7"/>
  <c r="E813" i="7"/>
  <c r="D813" i="7"/>
  <c r="C813" i="7"/>
  <c r="V812" i="7"/>
  <c r="U812" i="7"/>
  <c r="T812" i="7"/>
  <c r="S812" i="7"/>
  <c r="R812" i="7"/>
  <c r="P812" i="7"/>
  <c r="O812" i="7"/>
  <c r="N812" i="7"/>
  <c r="L812" i="7"/>
  <c r="K812" i="7"/>
  <c r="J812" i="7"/>
  <c r="I812" i="7"/>
  <c r="H812" i="7"/>
  <c r="G812" i="7"/>
  <c r="E812" i="7"/>
  <c r="D812" i="7"/>
  <c r="C812" i="7"/>
  <c r="V811" i="7"/>
  <c r="U811" i="7"/>
  <c r="T811" i="7"/>
  <c r="S811" i="7"/>
  <c r="R811" i="7"/>
  <c r="P811" i="7"/>
  <c r="O811" i="7"/>
  <c r="N811" i="7"/>
  <c r="L811" i="7"/>
  <c r="K811" i="7"/>
  <c r="J811" i="7"/>
  <c r="I811" i="7"/>
  <c r="H811" i="7"/>
  <c r="G811" i="7"/>
  <c r="E811" i="7"/>
  <c r="D811" i="7"/>
  <c r="C811" i="7"/>
  <c r="V810" i="7"/>
  <c r="U810" i="7"/>
  <c r="T810" i="7"/>
  <c r="S810" i="7"/>
  <c r="R810" i="7"/>
  <c r="P810" i="7"/>
  <c r="O810" i="7"/>
  <c r="N810" i="7"/>
  <c r="L810" i="7"/>
  <c r="K810" i="7"/>
  <c r="J810" i="7"/>
  <c r="I810" i="7"/>
  <c r="H810" i="7"/>
  <c r="G810" i="7"/>
  <c r="E810" i="7"/>
  <c r="D810" i="7"/>
  <c r="C810" i="7"/>
  <c r="V809" i="7"/>
  <c r="U809" i="7"/>
  <c r="T809" i="7"/>
  <c r="S809" i="7"/>
  <c r="R809" i="7"/>
  <c r="P809" i="7"/>
  <c r="O809" i="7"/>
  <c r="N809" i="7"/>
  <c r="L809" i="7"/>
  <c r="K809" i="7"/>
  <c r="J809" i="7"/>
  <c r="I809" i="7"/>
  <c r="H809" i="7"/>
  <c r="G809" i="7"/>
  <c r="E809" i="7"/>
  <c r="D809" i="7"/>
  <c r="C809" i="7"/>
  <c r="V808" i="7"/>
  <c r="U808" i="7"/>
  <c r="T808" i="7"/>
  <c r="S808" i="7"/>
  <c r="R808" i="7"/>
  <c r="P808" i="7"/>
  <c r="O808" i="7"/>
  <c r="N808" i="7"/>
  <c r="L808" i="7"/>
  <c r="K808" i="7"/>
  <c r="J808" i="7"/>
  <c r="I808" i="7"/>
  <c r="H808" i="7"/>
  <c r="G808" i="7"/>
  <c r="E808" i="7"/>
  <c r="D808" i="7"/>
  <c r="C808" i="7"/>
  <c r="V807" i="7"/>
  <c r="U807" i="7"/>
  <c r="T807" i="7"/>
  <c r="S807" i="7"/>
  <c r="R807" i="7"/>
  <c r="P807" i="7"/>
  <c r="O807" i="7"/>
  <c r="N807" i="7"/>
  <c r="L807" i="7"/>
  <c r="K807" i="7"/>
  <c r="J807" i="7"/>
  <c r="I807" i="7"/>
  <c r="H807" i="7"/>
  <c r="G807" i="7"/>
  <c r="E807" i="7"/>
  <c r="D807" i="7"/>
  <c r="C807" i="7"/>
  <c r="V806" i="7"/>
  <c r="U806" i="7"/>
  <c r="T806" i="7"/>
  <c r="S806" i="7"/>
  <c r="R806" i="7"/>
  <c r="P806" i="7"/>
  <c r="O806" i="7"/>
  <c r="N806" i="7"/>
  <c r="L806" i="7"/>
  <c r="K806" i="7"/>
  <c r="J806" i="7"/>
  <c r="I806" i="7"/>
  <c r="H806" i="7"/>
  <c r="G806" i="7"/>
  <c r="E806" i="7"/>
  <c r="D806" i="7"/>
  <c r="C806" i="7"/>
  <c r="V805" i="7"/>
  <c r="U805" i="7"/>
  <c r="T805" i="7"/>
  <c r="S805" i="7"/>
  <c r="R805" i="7"/>
  <c r="P805" i="7"/>
  <c r="O805" i="7"/>
  <c r="N805" i="7"/>
  <c r="L805" i="7"/>
  <c r="K805" i="7"/>
  <c r="J805" i="7"/>
  <c r="I805" i="7"/>
  <c r="H805" i="7"/>
  <c r="G805" i="7"/>
  <c r="E805" i="7"/>
  <c r="D805" i="7"/>
  <c r="C805" i="7"/>
  <c r="V804" i="7"/>
  <c r="U804" i="7"/>
  <c r="T804" i="7"/>
  <c r="S804" i="7"/>
  <c r="R804" i="7"/>
  <c r="P804" i="7"/>
  <c r="O804" i="7"/>
  <c r="N804" i="7"/>
  <c r="L804" i="7"/>
  <c r="K804" i="7"/>
  <c r="J804" i="7"/>
  <c r="I804" i="7"/>
  <c r="H804" i="7"/>
  <c r="G804" i="7"/>
  <c r="E804" i="7"/>
  <c r="D804" i="7"/>
  <c r="C804" i="7"/>
  <c r="V803" i="7"/>
  <c r="U803" i="7"/>
  <c r="T803" i="7"/>
  <c r="S803" i="7"/>
  <c r="R803" i="7"/>
  <c r="P803" i="7"/>
  <c r="O803" i="7"/>
  <c r="N803" i="7"/>
  <c r="L803" i="7"/>
  <c r="K803" i="7"/>
  <c r="J803" i="7"/>
  <c r="I803" i="7"/>
  <c r="H803" i="7"/>
  <c r="G803" i="7"/>
  <c r="E803" i="7"/>
  <c r="D803" i="7"/>
  <c r="C803" i="7"/>
  <c r="V802" i="7"/>
  <c r="U802" i="7"/>
  <c r="T802" i="7"/>
  <c r="S802" i="7"/>
  <c r="R802" i="7"/>
  <c r="P802" i="7"/>
  <c r="O802" i="7"/>
  <c r="N802" i="7"/>
  <c r="L802" i="7"/>
  <c r="K802" i="7"/>
  <c r="J802" i="7"/>
  <c r="I802" i="7"/>
  <c r="H802" i="7"/>
  <c r="G802" i="7"/>
  <c r="E802" i="7"/>
  <c r="D802" i="7"/>
  <c r="C802" i="7"/>
  <c r="V801" i="7"/>
  <c r="U801" i="7"/>
  <c r="T801" i="7"/>
  <c r="S801" i="7"/>
  <c r="R801" i="7"/>
  <c r="P801" i="7"/>
  <c r="O801" i="7"/>
  <c r="N801" i="7"/>
  <c r="L801" i="7"/>
  <c r="K801" i="7"/>
  <c r="J801" i="7"/>
  <c r="I801" i="7"/>
  <c r="H801" i="7"/>
  <c r="G801" i="7"/>
  <c r="E801" i="7"/>
  <c r="D801" i="7"/>
  <c r="C801" i="7"/>
  <c r="V800" i="7"/>
  <c r="U800" i="7"/>
  <c r="T800" i="7"/>
  <c r="S800" i="7"/>
  <c r="R800" i="7"/>
  <c r="P800" i="7"/>
  <c r="O800" i="7"/>
  <c r="N800" i="7"/>
  <c r="L800" i="7"/>
  <c r="K800" i="7"/>
  <c r="J800" i="7"/>
  <c r="I800" i="7"/>
  <c r="H800" i="7"/>
  <c r="G800" i="7"/>
  <c r="E800" i="7"/>
  <c r="D800" i="7"/>
  <c r="C800" i="7"/>
  <c r="V799" i="7"/>
  <c r="U799" i="7"/>
  <c r="T799" i="7"/>
  <c r="S799" i="7"/>
  <c r="R799" i="7"/>
  <c r="P799" i="7"/>
  <c r="O799" i="7"/>
  <c r="N799" i="7"/>
  <c r="L799" i="7"/>
  <c r="K799" i="7"/>
  <c r="J799" i="7"/>
  <c r="I799" i="7"/>
  <c r="H799" i="7"/>
  <c r="G799" i="7"/>
  <c r="E799" i="7"/>
  <c r="D799" i="7"/>
  <c r="C799" i="7"/>
  <c r="V798" i="7"/>
  <c r="U798" i="7"/>
  <c r="T798" i="7"/>
  <c r="S798" i="7"/>
  <c r="R798" i="7"/>
  <c r="P798" i="7"/>
  <c r="O798" i="7"/>
  <c r="N798" i="7"/>
  <c r="L798" i="7"/>
  <c r="K798" i="7"/>
  <c r="J798" i="7"/>
  <c r="I798" i="7"/>
  <c r="H798" i="7"/>
  <c r="G798" i="7"/>
  <c r="E798" i="7"/>
  <c r="D798" i="7"/>
  <c r="C798" i="7"/>
  <c r="V797" i="7"/>
  <c r="U797" i="7"/>
  <c r="T797" i="7"/>
  <c r="S797" i="7"/>
  <c r="R797" i="7"/>
  <c r="P797" i="7"/>
  <c r="O797" i="7"/>
  <c r="N797" i="7"/>
  <c r="L797" i="7"/>
  <c r="K797" i="7"/>
  <c r="J797" i="7"/>
  <c r="I797" i="7"/>
  <c r="H797" i="7"/>
  <c r="G797" i="7"/>
  <c r="E797" i="7"/>
  <c r="D797" i="7"/>
  <c r="C797" i="7"/>
  <c r="V796" i="7"/>
  <c r="U796" i="7"/>
  <c r="T796" i="7"/>
  <c r="S796" i="7"/>
  <c r="R796" i="7"/>
  <c r="P796" i="7"/>
  <c r="O796" i="7"/>
  <c r="N796" i="7"/>
  <c r="L796" i="7"/>
  <c r="K796" i="7"/>
  <c r="J796" i="7"/>
  <c r="I796" i="7"/>
  <c r="H796" i="7"/>
  <c r="G796" i="7"/>
  <c r="E796" i="7"/>
  <c r="D796" i="7"/>
  <c r="C796" i="7"/>
  <c r="V795" i="7"/>
  <c r="U795" i="7"/>
  <c r="T795" i="7"/>
  <c r="S795" i="7"/>
  <c r="R795" i="7"/>
  <c r="P795" i="7"/>
  <c r="O795" i="7"/>
  <c r="N795" i="7"/>
  <c r="L795" i="7"/>
  <c r="K795" i="7"/>
  <c r="J795" i="7"/>
  <c r="I795" i="7"/>
  <c r="H795" i="7"/>
  <c r="G795" i="7"/>
  <c r="E795" i="7"/>
  <c r="D795" i="7"/>
  <c r="C795" i="7"/>
  <c r="V794" i="7"/>
  <c r="U794" i="7"/>
  <c r="T794" i="7"/>
  <c r="S794" i="7"/>
  <c r="R794" i="7"/>
  <c r="P794" i="7"/>
  <c r="O794" i="7"/>
  <c r="N794" i="7"/>
  <c r="L794" i="7"/>
  <c r="K794" i="7"/>
  <c r="J794" i="7"/>
  <c r="I794" i="7"/>
  <c r="H794" i="7"/>
  <c r="G794" i="7"/>
  <c r="E794" i="7"/>
  <c r="D794" i="7"/>
  <c r="C794" i="7"/>
  <c r="V793" i="7"/>
  <c r="U793" i="7"/>
  <c r="T793" i="7"/>
  <c r="S793" i="7"/>
  <c r="R793" i="7"/>
  <c r="P793" i="7"/>
  <c r="O793" i="7"/>
  <c r="N793" i="7"/>
  <c r="L793" i="7"/>
  <c r="K793" i="7"/>
  <c r="J793" i="7"/>
  <c r="I793" i="7"/>
  <c r="H793" i="7"/>
  <c r="G793" i="7"/>
  <c r="E793" i="7"/>
  <c r="D793" i="7"/>
  <c r="C793" i="7"/>
  <c r="V792" i="7"/>
  <c r="U792" i="7"/>
  <c r="T792" i="7"/>
  <c r="S792" i="7"/>
  <c r="R792" i="7"/>
  <c r="P792" i="7"/>
  <c r="O792" i="7"/>
  <c r="N792" i="7"/>
  <c r="L792" i="7"/>
  <c r="K792" i="7"/>
  <c r="J792" i="7"/>
  <c r="I792" i="7"/>
  <c r="H792" i="7"/>
  <c r="G792" i="7"/>
  <c r="E792" i="7"/>
  <c r="D792" i="7"/>
  <c r="C792" i="7"/>
  <c r="V791" i="7"/>
  <c r="U791" i="7"/>
  <c r="T791" i="7"/>
  <c r="S791" i="7"/>
  <c r="R791" i="7"/>
  <c r="P791" i="7"/>
  <c r="O791" i="7"/>
  <c r="N791" i="7"/>
  <c r="L791" i="7"/>
  <c r="K791" i="7"/>
  <c r="J791" i="7"/>
  <c r="I791" i="7"/>
  <c r="H791" i="7"/>
  <c r="G791" i="7"/>
  <c r="E791" i="7"/>
  <c r="D791" i="7"/>
  <c r="C791" i="7"/>
  <c r="V790" i="7"/>
  <c r="U790" i="7"/>
  <c r="T790" i="7"/>
  <c r="S790" i="7"/>
  <c r="R790" i="7"/>
  <c r="P790" i="7"/>
  <c r="O790" i="7"/>
  <c r="N790" i="7"/>
  <c r="L790" i="7"/>
  <c r="K790" i="7"/>
  <c r="J790" i="7"/>
  <c r="I790" i="7"/>
  <c r="H790" i="7"/>
  <c r="G790" i="7"/>
  <c r="E790" i="7"/>
  <c r="D790" i="7"/>
  <c r="C790" i="7"/>
  <c r="V789" i="7"/>
  <c r="U789" i="7"/>
  <c r="T789" i="7"/>
  <c r="S789" i="7"/>
  <c r="R789" i="7"/>
  <c r="P789" i="7"/>
  <c r="O789" i="7"/>
  <c r="N789" i="7"/>
  <c r="L789" i="7"/>
  <c r="K789" i="7"/>
  <c r="J789" i="7"/>
  <c r="I789" i="7"/>
  <c r="H789" i="7"/>
  <c r="G789" i="7"/>
  <c r="E789" i="7"/>
  <c r="D789" i="7"/>
  <c r="C789" i="7"/>
  <c r="V788" i="7"/>
  <c r="U788" i="7"/>
  <c r="T788" i="7"/>
  <c r="S788" i="7"/>
  <c r="R788" i="7"/>
  <c r="P788" i="7"/>
  <c r="O788" i="7"/>
  <c r="N788" i="7"/>
  <c r="L788" i="7"/>
  <c r="K788" i="7"/>
  <c r="J788" i="7"/>
  <c r="I788" i="7"/>
  <c r="H788" i="7"/>
  <c r="G788" i="7"/>
  <c r="E788" i="7"/>
  <c r="D788" i="7"/>
  <c r="C788" i="7"/>
  <c r="V787" i="7"/>
  <c r="U787" i="7"/>
  <c r="T787" i="7"/>
  <c r="S787" i="7"/>
  <c r="R787" i="7"/>
  <c r="P787" i="7"/>
  <c r="O787" i="7"/>
  <c r="N787" i="7"/>
  <c r="L787" i="7"/>
  <c r="K787" i="7"/>
  <c r="J787" i="7"/>
  <c r="I787" i="7"/>
  <c r="H787" i="7"/>
  <c r="G787" i="7"/>
  <c r="E787" i="7"/>
  <c r="D787" i="7"/>
  <c r="C787" i="7"/>
  <c r="V786" i="7"/>
  <c r="U786" i="7"/>
  <c r="T786" i="7"/>
  <c r="S786" i="7"/>
  <c r="R786" i="7"/>
  <c r="P786" i="7"/>
  <c r="O786" i="7"/>
  <c r="N786" i="7"/>
  <c r="L786" i="7"/>
  <c r="K786" i="7"/>
  <c r="J786" i="7"/>
  <c r="I786" i="7"/>
  <c r="H786" i="7"/>
  <c r="G786" i="7"/>
  <c r="E786" i="7"/>
  <c r="D786" i="7"/>
  <c r="C786" i="7"/>
  <c r="V785" i="7"/>
  <c r="U785" i="7"/>
  <c r="T785" i="7"/>
  <c r="S785" i="7"/>
  <c r="R785" i="7"/>
  <c r="P785" i="7"/>
  <c r="O785" i="7"/>
  <c r="N785" i="7"/>
  <c r="L785" i="7"/>
  <c r="K785" i="7"/>
  <c r="J785" i="7"/>
  <c r="I785" i="7"/>
  <c r="H785" i="7"/>
  <c r="G785" i="7"/>
  <c r="E785" i="7"/>
  <c r="D785" i="7"/>
  <c r="C785" i="7"/>
  <c r="V784" i="7"/>
  <c r="U784" i="7"/>
  <c r="T784" i="7"/>
  <c r="S784" i="7"/>
  <c r="R784" i="7"/>
  <c r="P784" i="7"/>
  <c r="O784" i="7"/>
  <c r="N784" i="7"/>
  <c r="L784" i="7"/>
  <c r="K784" i="7"/>
  <c r="J784" i="7"/>
  <c r="I784" i="7"/>
  <c r="H784" i="7"/>
  <c r="G784" i="7"/>
  <c r="E784" i="7"/>
  <c r="D784" i="7"/>
  <c r="C784" i="7"/>
  <c r="V783" i="7"/>
  <c r="U783" i="7"/>
  <c r="T783" i="7"/>
  <c r="S783" i="7"/>
  <c r="R783" i="7"/>
  <c r="P783" i="7"/>
  <c r="O783" i="7"/>
  <c r="N783" i="7"/>
  <c r="L783" i="7"/>
  <c r="K783" i="7"/>
  <c r="J783" i="7"/>
  <c r="I783" i="7"/>
  <c r="H783" i="7"/>
  <c r="G783" i="7"/>
  <c r="E783" i="7"/>
  <c r="D783" i="7"/>
  <c r="C783" i="7"/>
  <c r="V782" i="7"/>
  <c r="U782" i="7"/>
  <c r="T782" i="7"/>
  <c r="S782" i="7"/>
  <c r="R782" i="7"/>
  <c r="P782" i="7"/>
  <c r="O782" i="7"/>
  <c r="N782" i="7"/>
  <c r="L782" i="7"/>
  <c r="K782" i="7"/>
  <c r="J782" i="7"/>
  <c r="I782" i="7"/>
  <c r="H782" i="7"/>
  <c r="G782" i="7"/>
  <c r="E782" i="7"/>
  <c r="D782" i="7"/>
  <c r="C782" i="7"/>
  <c r="V781" i="7"/>
  <c r="U781" i="7"/>
  <c r="T781" i="7"/>
  <c r="S781" i="7"/>
  <c r="R781" i="7"/>
  <c r="P781" i="7"/>
  <c r="O781" i="7"/>
  <c r="N781" i="7"/>
  <c r="L781" i="7"/>
  <c r="K781" i="7"/>
  <c r="J781" i="7"/>
  <c r="I781" i="7"/>
  <c r="H781" i="7"/>
  <c r="G781" i="7"/>
  <c r="E781" i="7"/>
  <c r="D781" i="7"/>
  <c r="C781" i="7"/>
  <c r="V780" i="7"/>
  <c r="U780" i="7"/>
  <c r="T780" i="7"/>
  <c r="S780" i="7"/>
  <c r="R780" i="7"/>
  <c r="P780" i="7"/>
  <c r="O780" i="7"/>
  <c r="N780" i="7"/>
  <c r="L780" i="7"/>
  <c r="K780" i="7"/>
  <c r="J780" i="7"/>
  <c r="I780" i="7"/>
  <c r="H780" i="7"/>
  <c r="G780" i="7"/>
  <c r="E780" i="7"/>
  <c r="D780" i="7"/>
  <c r="C780" i="7"/>
  <c r="V779" i="7"/>
  <c r="U779" i="7"/>
  <c r="T779" i="7"/>
  <c r="S779" i="7"/>
  <c r="R779" i="7"/>
  <c r="P779" i="7"/>
  <c r="O779" i="7"/>
  <c r="N779" i="7"/>
  <c r="L779" i="7"/>
  <c r="K779" i="7"/>
  <c r="J779" i="7"/>
  <c r="I779" i="7"/>
  <c r="H779" i="7"/>
  <c r="G779" i="7"/>
  <c r="E779" i="7"/>
  <c r="D779" i="7"/>
  <c r="C779" i="7"/>
  <c r="V778" i="7"/>
  <c r="U778" i="7"/>
  <c r="T778" i="7"/>
  <c r="S778" i="7"/>
  <c r="R778" i="7"/>
  <c r="P778" i="7"/>
  <c r="O778" i="7"/>
  <c r="N778" i="7"/>
  <c r="L778" i="7"/>
  <c r="K778" i="7"/>
  <c r="J778" i="7"/>
  <c r="I778" i="7"/>
  <c r="H778" i="7"/>
  <c r="G778" i="7"/>
  <c r="E778" i="7"/>
  <c r="D778" i="7"/>
  <c r="C778" i="7"/>
  <c r="V777" i="7"/>
  <c r="U777" i="7"/>
  <c r="T777" i="7"/>
  <c r="S777" i="7"/>
  <c r="R777" i="7"/>
  <c r="P777" i="7"/>
  <c r="O777" i="7"/>
  <c r="N777" i="7"/>
  <c r="L777" i="7"/>
  <c r="K777" i="7"/>
  <c r="J777" i="7"/>
  <c r="I777" i="7"/>
  <c r="H777" i="7"/>
  <c r="G777" i="7"/>
  <c r="E777" i="7"/>
  <c r="D777" i="7"/>
  <c r="C777" i="7"/>
  <c r="V776" i="7"/>
  <c r="U776" i="7"/>
  <c r="T776" i="7"/>
  <c r="S776" i="7"/>
  <c r="R776" i="7"/>
  <c r="P776" i="7"/>
  <c r="O776" i="7"/>
  <c r="N776" i="7"/>
  <c r="L776" i="7"/>
  <c r="K776" i="7"/>
  <c r="J776" i="7"/>
  <c r="I776" i="7"/>
  <c r="H776" i="7"/>
  <c r="G776" i="7"/>
  <c r="E776" i="7"/>
  <c r="D776" i="7"/>
  <c r="C776" i="7"/>
  <c r="V775" i="7"/>
  <c r="U775" i="7"/>
  <c r="T775" i="7"/>
  <c r="S775" i="7"/>
  <c r="R775" i="7"/>
  <c r="P775" i="7"/>
  <c r="O775" i="7"/>
  <c r="N775" i="7"/>
  <c r="L775" i="7"/>
  <c r="K775" i="7"/>
  <c r="J775" i="7"/>
  <c r="I775" i="7"/>
  <c r="H775" i="7"/>
  <c r="G775" i="7"/>
  <c r="E775" i="7"/>
  <c r="D775" i="7"/>
  <c r="C775" i="7"/>
  <c r="V774" i="7"/>
  <c r="U774" i="7"/>
  <c r="T774" i="7"/>
  <c r="S774" i="7"/>
  <c r="R774" i="7"/>
  <c r="P774" i="7"/>
  <c r="O774" i="7"/>
  <c r="N774" i="7"/>
  <c r="L774" i="7"/>
  <c r="K774" i="7"/>
  <c r="J774" i="7"/>
  <c r="I774" i="7"/>
  <c r="H774" i="7"/>
  <c r="G774" i="7"/>
  <c r="E774" i="7"/>
  <c r="D774" i="7"/>
  <c r="C774" i="7"/>
  <c r="V773" i="7"/>
  <c r="U773" i="7"/>
  <c r="T773" i="7"/>
  <c r="S773" i="7"/>
  <c r="R773" i="7"/>
  <c r="P773" i="7"/>
  <c r="O773" i="7"/>
  <c r="N773" i="7"/>
  <c r="L773" i="7"/>
  <c r="K773" i="7"/>
  <c r="J773" i="7"/>
  <c r="I773" i="7"/>
  <c r="H773" i="7"/>
  <c r="G773" i="7"/>
  <c r="E773" i="7"/>
  <c r="D773" i="7"/>
  <c r="C773" i="7"/>
  <c r="V772" i="7"/>
  <c r="U772" i="7"/>
  <c r="T772" i="7"/>
  <c r="S772" i="7"/>
  <c r="R772" i="7"/>
  <c r="P772" i="7"/>
  <c r="O772" i="7"/>
  <c r="N772" i="7"/>
  <c r="L772" i="7"/>
  <c r="K772" i="7"/>
  <c r="J772" i="7"/>
  <c r="I772" i="7"/>
  <c r="H772" i="7"/>
  <c r="G772" i="7"/>
  <c r="E772" i="7"/>
  <c r="D772" i="7"/>
  <c r="C772" i="7"/>
  <c r="V771" i="7"/>
  <c r="U771" i="7"/>
  <c r="T771" i="7"/>
  <c r="S771" i="7"/>
  <c r="R771" i="7"/>
  <c r="P771" i="7"/>
  <c r="O771" i="7"/>
  <c r="N771" i="7"/>
  <c r="L771" i="7"/>
  <c r="K771" i="7"/>
  <c r="J771" i="7"/>
  <c r="I771" i="7"/>
  <c r="H771" i="7"/>
  <c r="G771" i="7"/>
  <c r="E771" i="7"/>
  <c r="D771" i="7"/>
  <c r="C771" i="7"/>
  <c r="V770" i="7"/>
  <c r="U770" i="7"/>
  <c r="T770" i="7"/>
  <c r="S770" i="7"/>
  <c r="R770" i="7"/>
  <c r="P770" i="7"/>
  <c r="O770" i="7"/>
  <c r="N770" i="7"/>
  <c r="L770" i="7"/>
  <c r="K770" i="7"/>
  <c r="J770" i="7"/>
  <c r="I770" i="7"/>
  <c r="H770" i="7"/>
  <c r="G770" i="7"/>
  <c r="E770" i="7"/>
  <c r="D770" i="7"/>
  <c r="C770" i="7"/>
  <c r="V769" i="7"/>
  <c r="U769" i="7"/>
  <c r="T769" i="7"/>
  <c r="S769" i="7"/>
  <c r="R769" i="7"/>
  <c r="P769" i="7"/>
  <c r="O769" i="7"/>
  <c r="N769" i="7"/>
  <c r="L769" i="7"/>
  <c r="K769" i="7"/>
  <c r="J769" i="7"/>
  <c r="I769" i="7"/>
  <c r="H769" i="7"/>
  <c r="G769" i="7"/>
  <c r="E769" i="7"/>
  <c r="D769" i="7"/>
  <c r="C769" i="7"/>
  <c r="V768" i="7"/>
  <c r="U768" i="7"/>
  <c r="T768" i="7"/>
  <c r="S768" i="7"/>
  <c r="R768" i="7"/>
  <c r="P768" i="7"/>
  <c r="O768" i="7"/>
  <c r="N768" i="7"/>
  <c r="L768" i="7"/>
  <c r="K768" i="7"/>
  <c r="J768" i="7"/>
  <c r="I768" i="7"/>
  <c r="H768" i="7"/>
  <c r="G768" i="7"/>
  <c r="E768" i="7"/>
  <c r="D768" i="7"/>
  <c r="C768" i="7"/>
  <c r="V767" i="7"/>
  <c r="U767" i="7"/>
  <c r="T767" i="7"/>
  <c r="S767" i="7"/>
  <c r="R767" i="7"/>
  <c r="P767" i="7"/>
  <c r="O767" i="7"/>
  <c r="N767" i="7"/>
  <c r="L767" i="7"/>
  <c r="K767" i="7"/>
  <c r="J767" i="7"/>
  <c r="I767" i="7"/>
  <c r="H767" i="7"/>
  <c r="G767" i="7"/>
  <c r="E767" i="7"/>
  <c r="D767" i="7"/>
  <c r="C767" i="7"/>
  <c r="V766" i="7"/>
  <c r="U766" i="7"/>
  <c r="T766" i="7"/>
  <c r="S766" i="7"/>
  <c r="R766" i="7"/>
  <c r="P766" i="7"/>
  <c r="O766" i="7"/>
  <c r="N766" i="7"/>
  <c r="L766" i="7"/>
  <c r="K766" i="7"/>
  <c r="J766" i="7"/>
  <c r="I766" i="7"/>
  <c r="H766" i="7"/>
  <c r="G766" i="7"/>
  <c r="E766" i="7"/>
  <c r="D766" i="7"/>
  <c r="C766" i="7"/>
  <c r="V765" i="7"/>
  <c r="U765" i="7"/>
  <c r="T765" i="7"/>
  <c r="S765" i="7"/>
  <c r="R765" i="7"/>
  <c r="P765" i="7"/>
  <c r="O765" i="7"/>
  <c r="N765" i="7"/>
  <c r="L765" i="7"/>
  <c r="K765" i="7"/>
  <c r="J765" i="7"/>
  <c r="I765" i="7"/>
  <c r="H765" i="7"/>
  <c r="G765" i="7"/>
  <c r="E765" i="7"/>
  <c r="D765" i="7"/>
  <c r="C765" i="7"/>
  <c r="V764" i="7"/>
  <c r="U764" i="7"/>
  <c r="T764" i="7"/>
  <c r="S764" i="7"/>
  <c r="R764" i="7"/>
  <c r="P764" i="7"/>
  <c r="O764" i="7"/>
  <c r="N764" i="7"/>
  <c r="L764" i="7"/>
  <c r="K764" i="7"/>
  <c r="J764" i="7"/>
  <c r="I764" i="7"/>
  <c r="H764" i="7"/>
  <c r="G764" i="7"/>
  <c r="E764" i="7"/>
  <c r="D764" i="7"/>
  <c r="C764" i="7"/>
  <c r="V763" i="7"/>
  <c r="U763" i="7"/>
  <c r="T763" i="7"/>
  <c r="S763" i="7"/>
  <c r="R763" i="7"/>
  <c r="P763" i="7"/>
  <c r="O763" i="7"/>
  <c r="N763" i="7"/>
  <c r="L763" i="7"/>
  <c r="K763" i="7"/>
  <c r="J763" i="7"/>
  <c r="I763" i="7"/>
  <c r="H763" i="7"/>
  <c r="G763" i="7"/>
  <c r="E763" i="7"/>
  <c r="D763" i="7"/>
  <c r="C763" i="7"/>
  <c r="V762" i="7"/>
  <c r="U762" i="7"/>
  <c r="T762" i="7"/>
  <c r="S762" i="7"/>
  <c r="R762" i="7"/>
  <c r="P762" i="7"/>
  <c r="O762" i="7"/>
  <c r="N762" i="7"/>
  <c r="L762" i="7"/>
  <c r="K762" i="7"/>
  <c r="J762" i="7"/>
  <c r="I762" i="7"/>
  <c r="H762" i="7"/>
  <c r="G762" i="7"/>
  <c r="E762" i="7"/>
  <c r="D762" i="7"/>
  <c r="C762" i="7"/>
  <c r="V761" i="7"/>
  <c r="U761" i="7"/>
  <c r="T761" i="7"/>
  <c r="S761" i="7"/>
  <c r="R761" i="7"/>
  <c r="P761" i="7"/>
  <c r="O761" i="7"/>
  <c r="N761" i="7"/>
  <c r="L761" i="7"/>
  <c r="K761" i="7"/>
  <c r="J761" i="7"/>
  <c r="I761" i="7"/>
  <c r="H761" i="7"/>
  <c r="G761" i="7"/>
  <c r="E761" i="7"/>
  <c r="D761" i="7"/>
  <c r="C761" i="7"/>
  <c r="V760" i="7"/>
  <c r="U760" i="7"/>
  <c r="T760" i="7"/>
  <c r="S760" i="7"/>
  <c r="R760" i="7"/>
  <c r="P760" i="7"/>
  <c r="O760" i="7"/>
  <c r="N760" i="7"/>
  <c r="L760" i="7"/>
  <c r="K760" i="7"/>
  <c r="J760" i="7"/>
  <c r="I760" i="7"/>
  <c r="H760" i="7"/>
  <c r="G760" i="7"/>
  <c r="E760" i="7"/>
  <c r="D760" i="7"/>
  <c r="C760" i="7"/>
  <c r="V759" i="7"/>
  <c r="U759" i="7"/>
  <c r="T759" i="7"/>
  <c r="S759" i="7"/>
  <c r="R759" i="7"/>
  <c r="P759" i="7"/>
  <c r="O759" i="7"/>
  <c r="N759" i="7"/>
  <c r="L759" i="7"/>
  <c r="K759" i="7"/>
  <c r="J759" i="7"/>
  <c r="I759" i="7"/>
  <c r="H759" i="7"/>
  <c r="G759" i="7"/>
  <c r="E759" i="7"/>
  <c r="D759" i="7"/>
  <c r="C759" i="7"/>
  <c r="V758" i="7"/>
  <c r="U758" i="7"/>
  <c r="T758" i="7"/>
  <c r="S758" i="7"/>
  <c r="R758" i="7"/>
  <c r="P758" i="7"/>
  <c r="O758" i="7"/>
  <c r="N758" i="7"/>
  <c r="L758" i="7"/>
  <c r="K758" i="7"/>
  <c r="J758" i="7"/>
  <c r="I758" i="7"/>
  <c r="H758" i="7"/>
  <c r="G758" i="7"/>
  <c r="E758" i="7"/>
  <c r="D758" i="7"/>
  <c r="C758" i="7"/>
  <c r="V757" i="7"/>
  <c r="U757" i="7"/>
  <c r="T757" i="7"/>
  <c r="S757" i="7"/>
  <c r="R757" i="7"/>
  <c r="P757" i="7"/>
  <c r="O757" i="7"/>
  <c r="N757" i="7"/>
  <c r="L757" i="7"/>
  <c r="K757" i="7"/>
  <c r="J757" i="7"/>
  <c r="I757" i="7"/>
  <c r="H757" i="7"/>
  <c r="G757" i="7"/>
  <c r="E757" i="7"/>
  <c r="D757" i="7"/>
  <c r="C757" i="7"/>
  <c r="V756" i="7"/>
  <c r="U756" i="7"/>
  <c r="T756" i="7"/>
  <c r="S756" i="7"/>
  <c r="R756" i="7"/>
  <c r="P756" i="7"/>
  <c r="O756" i="7"/>
  <c r="N756" i="7"/>
  <c r="L756" i="7"/>
  <c r="K756" i="7"/>
  <c r="J756" i="7"/>
  <c r="I756" i="7"/>
  <c r="H756" i="7"/>
  <c r="G756" i="7"/>
  <c r="E756" i="7"/>
  <c r="D756" i="7"/>
  <c r="C756" i="7"/>
  <c r="V755" i="7"/>
  <c r="U755" i="7"/>
  <c r="T755" i="7"/>
  <c r="S755" i="7"/>
  <c r="R755" i="7"/>
  <c r="P755" i="7"/>
  <c r="O755" i="7"/>
  <c r="N755" i="7"/>
  <c r="L755" i="7"/>
  <c r="K755" i="7"/>
  <c r="J755" i="7"/>
  <c r="I755" i="7"/>
  <c r="H755" i="7"/>
  <c r="G755" i="7"/>
  <c r="E755" i="7"/>
  <c r="D755" i="7"/>
  <c r="C755" i="7"/>
  <c r="V754" i="7"/>
  <c r="U754" i="7"/>
  <c r="T754" i="7"/>
  <c r="S754" i="7"/>
  <c r="R754" i="7"/>
  <c r="P754" i="7"/>
  <c r="O754" i="7"/>
  <c r="N754" i="7"/>
  <c r="L754" i="7"/>
  <c r="K754" i="7"/>
  <c r="J754" i="7"/>
  <c r="I754" i="7"/>
  <c r="H754" i="7"/>
  <c r="G754" i="7"/>
  <c r="E754" i="7"/>
  <c r="D754" i="7"/>
  <c r="C754" i="7"/>
  <c r="V753" i="7"/>
  <c r="U753" i="7"/>
  <c r="T753" i="7"/>
  <c r="S753" i="7"/>
  <c r="R753" i="7"/>
  <c r="P753" i="7"/>
  <c r="O753" i="7"/>
  <c r="N753" i="7"/>
  <c r="L753" i="7"/>
  <c r="K753" i="7"/>
  <c r="J753" i="7"/>
  <c r="I753" i="7"/>
  <c r="H753" i="7"/>
  <c r="G753" i="7"/>
  <c r="E753" i="7"/>
  <c r="D753" i="7"/>
  <c r="C753" i="7"/>
  <c r="V752" i="7"/>
  <c r="U752" i="7"/>
  <c r="T752" i="7"/>
  <c r="S752" i="7"/>
  <c r="R752" i="7"/>
  <c r="P752" i="7"/>
  <c r="O752" i="7"/>
  <c r="N752" i="7"/>
  <c r="L752" i="7"/>
  <c r="K752" i="7"/>
  <c r="J752" i="7"/>
  <c r="I752" i="7"/>
  <c r="H752" i="7"/>
  <c r="G752" i="7"/>
  <c r="E752" i="7"/>
  <c r="D752" i="7"/>
  <c r="C752" i="7"/>
  <c r="V751" i="7"/>
  <c r="U751" i="7"/>
  <c r="T751" i="7"/>
  <c r="S751" i="7"/>
  <c r="R751" i="7"/>
  <c r="P751" i="7"/>
  <c r="O751" i="7"/>
  <c r="N751" i="7"/>
  <c r="L751" i="7"/>
  <c r="K751" i="7"/>
  <c r="J751" i="7"/>
  <c r="I751" i="7"/>
  <c r="H751" i="7"/>
  <c r="G751" i="7"/>
  <c r="E751" i="7"/>
  <c r="D751" i="7"/>
  <c r="C751" i="7"/>
  <c r="V750" i="7"/>
  <c r="U750" i="7"/>
  <c r="T750" i="7"/>
  <c r="S750" i="7"/>
  <c r="R750" i="7"/>
  <c r="P750" i="7"/>
  <c r="O750" i="7"/>
  <c r="N750" i="7"/>
  <c r="L750" i="7"/>
  <c r="K750" i="7"/>
  <c r="J750" i="7"/>
  <c r="I750" i="7"/>
  <c r="H750" i="7"/>
  <c r="G750" i="7"/>
  <c r="E750" i="7"/>
  <c r="D750" i="7"/>
  <c r="C750" i="7"/>
  <c r="V749" i="7"/>
  <c r="U749" i="7"/>
  <c r="T749" i="7"/>
  <c r="S749" i="7"/>
  <c r="R749" i="7"/>
  <c r="P749" i="7"/>
  <c r="O749" i="7"/>
  <c r="N749" i="7"/>
  <c r="L749" i="7"/>
  <c r="K749" i="7"/>
  <c r="J749" i="7"/>
  <c r="I749" i="7"/>
  <c r="H749" i="7"/>
  <c r="G749" i="7"/>
  <c r="E749" i="7"/>
  <c r="D749" i="7"/>
  <c r="C749" i="7"/>
  <c r="V748" i="7"/>
  <c r="U748" i="7"/>
  <c r="T748" i="7"/>
  <c r="S748" i="7"/>
  <c r="R748" i="7"/>
  <c r="P748" i="7"/>
  <c r="O748" i="7"/>
  <c r="N748" i="7"/>
  <c r="L748" i="7"/>
  <c r="K748" i="7"/>
  <c r="J748" i="7"/>
  <c r="I748" i="7"/>
  <c r="H748" i="7"/>
  <c r="G748" i="7"/>
  <c r="E748" i="7"/>
  <c r="D748" i="7"/>
  <c r="C748" i="7"/>
  <c r="V747" i="7"/>
  <c r="U747" i="7"/>
  <c r="T747" i="7"/>
  <c r="S747" i="7"/>
  <c r="R747" i="7"/>
  <c r="P747" i="7"/>
  <c r="O747" i="7"/>
  <c r="N747" i="7"/>
  <c r="L747" i="7"/>
  <c r="K747" i="7"/>
  <c r="J747" i="7"/>
  <c r="I747" i="7"/>
  <c r="H747" i="7"/>
  <c r="G747" i="7"/>
  <c r="E747" i="7"/>
  <c r="D747" i="7"/>
  <c r="C747" i="7"/>
  <c r="V746" i="7"/>
  <c r="U746" i="7"/>
  <c r="T746" i="7"/>
  <c r="S746" i="7"/>
  <c r="R746" i="7"/>
  <c r="P746" i="7"/>
  <c r="O746" i="7"/>
  <c r="N746" i="7"/>
  <c r="L746" i="7"/>
  <c r="K746" i="7"/>
  <c r="J746" i="7"/>
  <c r="I746" i="7"/>
  <c r="H746" i="7"/>
  <c r="G746" i="7"/>
  <c r="E746" i="7"/>
  <c r="D746" i="7"/>
  <c r="C746" i="7"/>
  <c r="V745" i="7"/>
  <c r="U745" i="7"/>
  <c r="T745" i="7"/>
  <c r="S745" i="7"/>
  <c r="R745" i="7"/>
  <c r="P745" i="7"/>
  <c r="O745" i="7"/>
  <c r="N745" i="7"/>
  <c r="L745" i="7"/>
  <c r="K745" i="7"/>
  <c r="J745" i="7"/>
  <c r="I745" i="7"/>
  <c r="H745" i="7"/>
  <c r="G745" i="7"/>
  <c r="E745" i="7"/>
  <c r="D745" i="7"/>
  <c r="C745" i="7"/>
  <c r="V744" i="7"/>
  <c r="U744" i="7"/>
  <c r="T744" i="7"/>
  <c r="S744" i="7"/>
  <c r="R744" i="7"/>
  <c r="P744" i="7"/>
  <c r="O744" i="7"/>
  <c r="N744" i="7"/>
  <c r="L744" i="7"/>
  <c r="K744" i="7"/>
  <c r="J744" i="7"/>
  <c r="I744" i="7"/>
  <c r="H744" i="7"/>
  <c r="G744" i="7"/>
  <c r="E744" i="7"/>
  <c r="D744" i="7"/>
  <c r="C744" i="7"/>
  <c r="V743" i="7"/>
  <c r="U743" i="7"/>
  <c r="T743" i="7"/>
  <c r="S743" i="7"/>
  <c r="R743" i="7"/>
  <c r="P743" i="7"/>
  <c r="O743" i="7"/>
  <c r="N743" i="7"/>
  <c r="L743" i="7"/>
  <c r="K743" i="7"/>
  <c r="J743" i="7"/>
  <c r="I743" i="7"/>
  <c r="H743" i="7"/>
  <c r="G743" i="7"/>
  <c r="E743" i="7"/>
  <c r="D743" i="7"/>
  <c r="C743" i="7"/>
  <c r="V742" i="7"/>
  <c r="U742" i="7"/>
  <c r="T742" i="7"/>
  <c r="S742" i="7"/>
  <c r="R742" i="7"/>
  <c r="P742" i="7"/>
  <c r="O742" i="7"/>
  <c r="N742" i="7"/>
  <c r="L742" i="7"/>
  <c r="K742" i="7"/>
  <c r="J742" i="7"/>
  <c r="I742" i="7"/>
  <c r="H742" i="7"/>
  <c r="G742" i="7"/>
  <c r="E742" i="7"/>
  <c r="D742" i="7"/>
  <c r="C742" i="7"/>
  <c r="V741" i="7"/>
  <c r="U741" i="7"/>
  <c r="T741" i="7"/>
  <c r="S741" i="7"/>
  <c r="R741" i="7"/>
  <c r="P741" i="7"/>
  <c r="O741" i="7"/>
  <c r="N741" i="7"/>
  <c r="L741" i="7"/>
  <c r="K741" i="7"/>
  <c r="J741" i="7"/>
  <c r="I741" i="7"/>
  <c r="H741" i="7"/>
  <c r="G741" i="7"/>
  <c r="E741" i="7"/>
  <c r="D741" i="7"/>
  <c r="C741" i="7"/>
  <c r="V740" i="7"/>
  <c r="U740" i="7"/>
  <c r="T740" i="7"/>
  <c r="S740" i="7"/>
  <c r="R740" i="7"/>
  <c r="P740" i="7"/>
  <c r="O740" i="7"/>
  <c r="N740" i="7"/>
  <c r="L740" i="7"/>
  <c r="K740" i="7"/>
  <c r="J740" i="7"/>
  <c r="I740" i="7"/>
  <c r="H740" i="7"/>
  <c r="G740" i="7"/>
  <c r="E740" i="7"/>
  <c r="D740" i="7"/>
  <c r="C740" i="7"/>
  <c r="V739" i="7"/>
  <c r="U739" i="7"/>
  <c r="T739" i="7"/>
  <c r="S739" i="7"/>
  <c r="R739" i="7"/>
  <c r="P739" i="7"/>
  <c r="O739" i="7"/>
  <c r="N739" i="7"/>
  <c r="L739" i="7"/>
  <c r="K739" i="7"/>
  <c r="J739" i="7"/>
  <c r="I739" i="7"/>
  <c r="H739" i="7"/>
  <c r="G739" i="7"/>
  <c r="E739" i="7"/>
  <c r="D739" i="7"/>
  <c r="C739" i="7"/>
  <c r="V738" i="7"/>
  <c r="U738" i="7"/>
  <c r="T738" i="7"/>
  <c r="S738" i="7"/>
  <c r="R738" i="7"/>
  <c r="P738" i="7"/>
  <c r="O738" i="7"/>
  <c r="N738" i="7"/>
  <c r="L738" i="7"/>
  <c r="K738" i="7"/>
  <c r="J738" i="7"/>
  <c r="I738" i="7"/>
  <c r="H738" i="7"/>
  <c r="G738" i="7"/>
  <c r="E738" i="7"/>
  <c r="D738" i="7"/>
  <c r="C738" i="7"/>
  <c r="V737" i="7"/>
  <c r="U737" i="7"/>
  <c r="T737" i="7"/>
  <c r="S737" i="7"/>
  <c r="R737" i="7"/>
  <c r="P737" i="7"/>
  <c r="O737" i="7"/>
  <c r="N737" i="7"/>
  <c r="L737" i="7"/>
  <c r="K737" i="7"/>
  <c r="J737" i="7"/>
  <c r="I737" i="7"/>
  <c r="H737" i="7"/>
  <c r="G737" i="7"/>
  <c r="E737" i="7"/>
  <c r="D737" i="7"/>
  <c r="C737" i="7"/>
  <c r="V736" i="7"/>
  <c r="U736" i="7"/>
  <c r="T736" i="7"/>
  <c r="S736" i="7"/>
  <c r="R736" i="7"/>
  <c r="P736" i="7"/>
  <c r="O736" i="7"/>
  <c r="N736" i="7"/>
  <c r="L736" i="7"/>
  <c r="K736" i="7"/>
  <c r="J736" i="7"/>
  <c r="I736" i="7"/>
  <c r="H736" i="7"/>
  <c r="G736" i="7"/>
  <c r="E736" i="7"/>
  <c r="D736" i="7"/>
  <c r="C736" i="7"/>
  <c r="V735" i="7"/>
  <c r="U735" i="7"/>
  <c r="T735" i="7"/>
  <c r="S735" i="7"/>
  <c r="R735" i="7"/>
  <c r="P735" i="7"/>
  <c r="O735" i="7"/>
  <c r="N735" i="7"/>
  <c r="L735" i="7"/>
  <c r="K735" i="7"/>
  <c r="J735" i="7"/>
  <c r="I735" i="7"/>
  <c r="H735" i="7"/>
  <c r="G735" i="7"/>
  <c r="E735" i="7"/>
  <c r="D735" i="7"/>
  <c r="C735" i="7"/>
  <c r="V734" i="7"/>
  <c r="U734" i="7"/>
  <c r="T734" i="7"/>
  <c r="S734" i="7"/>
  <c r="R734" i="7"/>
  <c r="P734" i="7"/>
  <c r="O734" i="7"/>
  <c r="N734" i="7"/>
  <c r="L734" i="7"/>
  <c r="K734" i="7"/>
  <c r="J734" i="7"/>
  <c r="I734" i="7"/>
  <c r="H734" i="7"/>
  <c r="G734" i="7"/>
  <c r="E734" i="7"/>
  <c r="D734" i="7"/>
  <c r="C734" i="7"/>
  <c r="V733" i="7"/>
  <c r="U733" i="7"/>
  <c r="T733" i="7"/>
  <c r="S733" i="7"/>
  <c r="R733" i="7"/>
  <c r="P733" i="7"/>
  <c r="O733" i="7"/>
  <c r="N733" i="7"/>
  <c r="L733" i="7"/>
  <c r="K733" i="7"/>
  <c r="J733" i="7"/>
  <c r="I733" i="7"/>
  <c r="H733" i="7"/>
  <c r="G733" i="7"/>
  <c r="E733" i="7"/>
  <c r="D733" i="7"/>
  <c r="C733" i="7"/>
  <c r="V732" i="7"/>
  <c r="U732" i="7"/>
  <c r="T732" i="7"/>
  <c r="S732" i="7"/>
  <c r="R732" i="7"/>
  <c r="P732" i="7"/>
  <c r="O732" i="7"/>
  <c r="N732" i="7"/>
  <c r="L732" i="7"/>
  <c r="K732" i="7"/>
  <c r="J732" i="7"/>
  <c r="I732" i="7"/>
  <c r="H732" i="7"/>
  <c r="G732" i="7"/>
  <c r="E732" i="7"/>
  <c r="D732" i="7"/>
  <c r="C732" i="7"/>
  <c r="V731" i="7"/>
  <c r="U731" i="7"/>
  <c r="T731" i="7"/>
  <c r="S731" i="7"/>
  <c r="R731" i="7"/>
  <c r="P731" i="7"/>
  <c r="O731" i="7"/>
  <c r="N731" i="7"/>
  <c r="L731" i="7"/>
  <c r="K731" i="7"/>
  <c r="J731" i="7"/>
  <c r="I731" i="7"/>
  <c r="H731" i="7"/>
  <c r="G731" i="7"/>
  <c r="E731" i="7"/>
  <c r="D731" i="7"/>
  <c r="C731" i="7"/>
  <c r="V730" i="7"/>
  <c r="U730" i="7"/>
  <c r="T730" i="7"/>
  <c r="S730" i="7"/>
  <c r="R730" i="7"/>
  <c r="P730" i="7"/>
  <c r="O730" i="7"/>
  <c r="N730" i="7"/>
  <c r="L730" i="7"/>
  <c r="K730" i="7"/>
  <c r="J730" i="7"/>
  <c r="I730" i="7"/>
  <c r="H730" i="7"/>
  <c r="G730" i="7"/>
  <c r="E730" i="7"/>
  <c r="D730" i="7"/>
  <c r="C730" i="7"/>
  <c r="V729" i="7"/>
  <c r="U729" i="7"/>
  <c r="T729" i="7"/>
  <c r="S729" i="7"/>
  <c r="R729" i="7"/>
  <c r="P729" i="7"/>
  <c r="O729" i="7"/>
  <c r="N729" i="7"/>
  <c r="L729" i="7"/>
  <c r="K729" i="7"/>
  <c r="J729" i="7"/>
  <c r="I729" i="7"/>
  <c r="H729" i="7"/>
  <c r="G729" i="7"/>
  <c r="E729" i="7"/>
  <c r="D729" i="7"/>
  <c r="C729" i="7"/>
  <c r="V728" i="7"/>
  <c r="U728" i="7"/>
  <c r="T728" i="7"/>
  <c r="S728" i="7"/>
  <c r="R728" i="7"/>
  <c r="P728" i="7"/>
  <c r="O728" i="7"/>
  <c r="N728" i="7"/>
  <c r="L728" i="7"/>
  <c r="K728" i="7"/>
  <c r="J728" i="7"/>
  <c r="I728" i="7"/>
  <c r="H728" i="7"/>
  <c r="G728" i="7"/>
  <c r="E728" i="7"/>
  <c r="D728" i="7"/>
  <c r="C728" i="7"/>
  <c r="V727" i="7"/>
  <c r="U727" i="7"/>
  <c r="T727" i="7"/>
  <c r="S727" i="7"/>
  <c r="R727" i="7"/>
  <c r="P727" i="7"/>
  <c r="O727" i="7"/>
  <c r="N727" i="7"/>
  <c r="L727" i="7"/>
  <c r="K727" i="7"/>
  <c r="J727" i="7"/>
  <c r="I727" i="7"/>
  <c r="H727" i="7"/>
  <c r="G727" i="7"/>
  <c r="E727" i="7"/>
  <c r="D727" i="7"/>
  <c r="C727" i="7"/>
  <c r="V726" i="7"/>
  <c r="U726" i="7"/>
  <c r="T726" i="7"/>
  <c r="S726" i="7"/>
  <c r="R726" i="7"/>
  <c r="P726" i="7"/>
  <c r="O726" i="7"/>
  <c r="N726" i="7"/>
  <c r="L726" i="7"/>
  <c r="K726" i="7"/>
  <c r="J726" i="7"/>
  <c r="I726" i="7"/>
  <c r="H726" i="7"/>
  <c r="G726" i="7"/>
  <c r="E726" i="7"/>
  <c r="D726" i="7"/>
  <c r="C726" i="7"/>
  <c r="V725" i="7"/>
  <c r="U725" i="7"/>
  <c r="T725" i="7"/>
  <c r="S725" i="7"/>
  <c r="R725" i="7"/>
  <c r="P725" i="7"/>
  <c r="O725" i="7"/>
  <c r="N725" i="7"/>
  <c r="L725" i="7"/>
  <c r="K725" i="7"/>
  <c r="J725" i="7"/>
  <c r="I725" i="7"/>
  <c r="H725" i="7"/>
  <c r="G725" i="7"/>
  <c r="E725" i="7"/>
  <c r="D725" i="7"/>
  <c r="C725" i="7"/>
  <c r="V724" i="7"/>
  <c r="U724" i="7"/>
  <c r="T724" i="7"/>
  <c r="S724" i="7"/>
  <c r="R724" i="7"/>
  <c r="P724" i="7"/>
  <c r="O724" i="7"/>
  <c r="N724" i="7"/>
  <c r="L724" i="7"/>
  <c r="K724" i="7"/>
  <c r="J724" i="7"/>
  <c r="I724" i="7"/>
  <c r="H724" i="7"/>
  <c r="G724" i="7"/>
  <c r="E724" i="7"/>
  <c r="D724" i="7"/>
  <c r="C724" i="7"/>
  <c r="V723" i="7"/>
  <c r="U723" i="7"/>
  <c r="T723" i="7"/>
  <c r="S723" i="7"/>
  <c r="R723" i="7"/>
  <c r="P723" i="7"/>
  <c r="O723" i="7"/>
  <c r="N723" i="7"/>
  <c r="L723" i="7"/>
  <c r="K723" i="7"/>
  <c r="J723" i="7"/>
  <c r="I723" i="7"/>
  <c r="H723" i="7"/>
  <c r="G723" i="7"/>
  <c r="E723" i="7"/>
  <c r="D723" i="7"/>
  <c r="C723" i="7"/>
  <c r="V722" i="7"/>
  <c r="U722" i="7"/>
  <c r="T722" i="7"/>
  <c r="S722" i="7"/>
  <c r="R722" i="7"/>
  <c r="P722" i="7"/>
  <c r="O722" i="7"/>
  <c r="N722" i="7"/>
  <c r="L722" i="7"/>
  <c r="K722" i="7"/>
  <c r="J722" i="7"/>
  <c r="I722" i="7"/>
  <c r="H722" i="7"/>
  <c r="G722" i="7"/>
  <c r="E722" i="7"/>
  <c r="D722" i="7"/>
  <c r="C722" i="7"/>
  <c r="V721" i="7"/>
  <c r="U721" i="7"/>
  <c r="T721" i="7"/>
  <c r="S721" i="7"/>
  <c r="R721" i="7"/>
  <c r="P721" i="7"/>
  <c r="O721" i="7"/>
  <c r="N721" i="7"/>
  <c r="L721" i="7"/>
  <c r="K721" i="7"/>
  <c r="J721" i="7"/>
  <c r="I721" i="7"/>
  <c r="H721" i="7"/>
  <c r="G721" i="7"/>
  <c r="E721" i="7"/>
  <c r="D721" i="7"/>
  <c r="C721" i="7"/>
  <c r="V720" i="7"/>
  <c r="U720" i="7"/>
  <c r="T720" i="7"/>
  <c r="S720" i="7"/>
  <c r="R720" i="7"/>
  <c r="P720" i="7"/>
  <c r="O720" i="7"/>
  <c r="N720" i="7"/>
  <c r="L720" i="7"/>
  <c r="K720" i="7"/>
  <c r="J720" i="7"/>
  <c r="I720" i="7"/>
  <c r="H720" i="7"/>
  <c r="G720" i="7"/>
  <c r="E720" i="7"/>
  <c r="D720" i="7"/>
  <c r="C720" i="7"/>
  <c r="V719" i="7"/>
  <c r="U719" i="7"/>
  <c r="T719" i="7"/>
  <c r="S719" i="7"/>
  <c r="R719" i="7"/>
  <c r="P719" i="7"/>
  <c r="O719" i="7"/>
  <c r="N719" i="7"/>
  <c r="L719" i="7"/>
  <c r="K719" i="7"/>
  <c r="J719" i="7"/>
  <c r="I719" i="7"/>
  <c r="H719" i="7"/>
  <c r="G719" i="7"/>
  <c r="E719" i="7"/>
  <c r="D719" i="7"/>
  <c r="C719" i="7"/>
  <c r="V718" i="7"/>
  <c r="U718" i="7"/>
  <c r="T718" i="7"/>
  <c r="S718" i="7"/>
  <c r="R718" i="7"/>
  <c r="P718" i="7"/>
  <c r="O718" i="7"/>
  <c r="N718" i="7"/>
  <c r="L718" i="7"/>
  <c r="K718" i="7"/>
  <c r="J718" i="7"/>
  <c r="I718" i="7"/>
  <c r="H718" i="7"/>
  <c r="G718" i="7"/>
  <c r="E718" i="7"/>
  <c r="D718" i="7"/>
  <c r="C718" i="7"/>
  <c r="V717" i="7"/>
  <c r="U717" i="7"/>
  <c r="T717" i="7"/>
  <c r="S717" i="7"/>
  <c r="R717" i="7"/>
  <c r="P717" i="7"/>
  <c r="O717" i="7"/>
  <c r="N717" i="7"/>
  <c r="L717" i="7"/>
  <c r="K717" i="7"/>
  <c r="J717" i="7"/>
  <c r="I717" i="7"/>
  <c r="H717" i="7"/>
  <c r="G717" i="7"/>
  <c r="E717" i="7"/>
  <c r="D717" i="7"/>
  <c r="C717" i="7"/>
  <c r="V716" i="7"/>
  <c r="U716" i="7"/>
  <c r="T716" i="7"/>
  <c r="S716" i="7"/>
  <c r="R716" i="7"/>
  <c r="P716" i="7"/>
  <c r="O716" i="7"/>
  <c r="N716" i="7"/>
  <c r="L716" i="7"/>
  <c r="K716" i="7"/>
  <c r="J716" i="7"/>
  <c r="I716" i="7"/>
  <c r="H716" i="7"/>
  <c r="G716" i="7"/>
  <c r="E716" i="7"/>
  <c r="D716" i="7"/>
  <c r="C716" i="7"/>
  <c r="V715" i="7"/>
  <c r="U715" i="7"/>
  <c r="T715" i="7"/>
  <c r="S715" i="7"/>
  <c r="R715" i="7"/>
  <c r="P715" i="7"/>
  <c r="O715" i="7"/>
  <c r="N715" i="7"/>
  <c r="L715" i="7"/>
  <c r="K715" i="7"/>
  <c r="J715" i="7"/>
  <c r="I715" i="7"/>
  <c r="H715" i="7"/>
  <c r="G715" i="7"/>
  <c r="E715" i="7"/>
  <c r="D715" i="7"/>
  <c r="C715" i="7"/>
  <c r="V714" i="7"/>
  <c r="U714" i="7"/>
  <c r="T714" i="7"/>
  <c r="S714" i="7"/>
  <c r="R714" i="7"/>
  <c r="P714" i="7"/>
  <c r="O714" i="7"/>
  <c r="N714" i="7"/>
  <c r="L714" i="7"/>
  <c r="K714" i="7"/>
  <c r="J714" i="7"/>
  <c r="I714" i="7"/>
  <c r="H714" i="7"/>
  <c r="G714" i="7"/>
  <c r="E714" i="7"/>
  <c r="D714" i="7"/>
  <c r="C714" i="7"/>
  <c r="V713" i="7"/>
  <c r="U713" i="7"/>
  <c r="T713" i="7"/>
  <c r="S713" i="7"/>
  <c r="R713" i="7"/>
  <c r="P713" i="7"/>
  <c r="O713" i="7"/>
  <c r="N713" i="7"/>
  <c r="L713" i="7"/>
  <c r="K713" i="7"/>
  <c r="J713" i="7"/>
  <c r="I713" i="7"/>
  <c r="H713" i="7"/>
  <c r="G713" i="7"/>
  <c r="E713" i="7"/>
  <c r="D713" i="7"/>
  <c r="C713" i="7"/>
  <c r="V712" i="7"/>
  <c r="U712" i="7"/>
  <c r="T712" i="7"/>
  <c r="S712" i="7"/>
  <c r="R712" i="7"/>
  <c r="P712" i="7"/>
  <c r="O712" i="7"/>
  <c r="N712" i="7"/>
  <c r="L712" i="7"/>
  <c r="K712" i="7"/>
  <c r="J712" i="7"/>
  <c r="I712" i="7"/>
  <c r="H712" i="7"/>
  <c r="G712" i="7"/>
  <c r="E712" i="7"/>
  <c r="D712" i="7"/>
  <c r="C712" i="7"/>
  <c r="V711" i="7"/>
  <c r="U711" i="7"/>
  <c r="T711" i="7"/>
  <c r="S711" i="7"/>
  <c r="R711" i="7"/>
  <c r="P711" i="7"/>
  <c r="O711" i="7"/>
  <c r="N711" i="7"/>
  <c r="L711" i="7"/>
  <c r="K711" i="7"/>
  <c r="J711" i="7"/>
  <c r="I711" i="7"/>
  <c r="H711" i="7"/>
  <c r="G711" i="7"/>
  <c r="E711" i="7"/>
  <c r="D711" i="7"/>
  <c r="C711" i="7"/>
  <c r="V710" i="7"/>
  <c r="U710" i="7"/>
  <c r="T710" i="7"/>
  <c r="S710" i="7"/>
  <c r="R710" i="7"/>
  <c r="P710" i="7"/>
  <c r="O710" i="7"/>
  <c r="N710" i="7"/>
  <c r="L710" i="7"/>
  <c r="K710" i="7"/>
  <c r="J710" i="7"/>
  <c r="I710" i="7"/>
  <c r="H710" i="7"/>
  <c r="G710" i="7"/>
  <c r="E710" i="7"/>
  <c r="D710" i="7"/>
  <c r="C710" i="7"/>
  <c r="V709" i="7"/>
  <c r="U709" i="7"/>
  <c r="T709" i="7"/>
  <c r="S709" i="7"/>
  <c r="R709" i="7"/>
  <c r="P709" i="7"/>
  <c r="O709" i="7"/>
  <c r="N709" i="7"/>
  <c r="L709" i="7"/>
  <c r="K709" i="7"/>
  <c r="J709" i="7"/>
  <c r="I709" i="7"/>
  <c r="H709" i="7"/>
  <c r="G709" i="7"/>
  <c r="E709" i="7"/>
  <c r="D709" i="7"/>
  <c r="C709" i="7"/>
  <c r="V708" i="7"/>
  <c r="U708" i="7"/>
  <c r="T708" i="7"/>
  <c r="S708" i="7"/>
  <c r="R708" i="7"/>
  <c r="P708" i="7"/>
  <c r="O708" i="7"/>
  <c r="N708" i="7"/>
  <c r="L708" i="7"/>
  <c r="K708" i="7"/>
  <c r="J708" i="7"/>
  <c r="I708" i="7"/>
  <c r="H708" i="7"/>
  <c r="G708" i="7"/>
  <c r="E708" i="7"/>
  <c r="D708" i="7"/>
  <c r="C708" i="7"/>
  <c r="V707" i="7"/>
  <c r="U707" i="7"/>
  <c r="T707" i="7"/>
  <c r="S707" i="7"/>
  <c r="R707" i="7"/>
  <c r="P707" i="7"/>
  <c r="O707" i="7"/>
  <c r="N707" i="7"/>
  <c r="L707" i="7"/>
  <c r="K707" i="7"/>
  <c r="J707" i="7"/>
  <c r="I707" i="7"/>
  <c r="H707" i="7"/>
  <c r="G707" i="7"/>
  <c r="E707" i="7"/>
  <c r="D707" i="7"/>
  <c r="C707" i="7"/>
  <c r="V706" i="7"/>
  <c r="U706" i="7"/>
  <c r="T706" i="7"/>
  <c r="S706" i="7"/>
  <c r="R706" i="7"/>
  <c r="P706" i="7"/>
  <c r="O706" i="7"/>
  <c r="N706" i="7"/>
  <c r="L706" i="7"/>
  <c r="K706" i="7"/>
  <c r="J706" i="7"/>
  <c r="I706" i="7"/>
  <c r="H706" i="7"/>
  <c r="G706" i="7"/>
  <c r="E706" i="7"/>
  <c r="D706" i="7"/>
  <c r="C706" i="7"/>
  <c r="V705" i="7"/>
  <c r="U705" i="7"/>
  <c r="T705" i="7"/>
  <c r="S705" i="7"/>
  <c r="R705" i="7"/>
  <c r="P705" i="7"/>
  <c r="O705" i="7"/>
  <c r="N705" i="7"/>
  <c r="L705" i="7"/>
  <c r="K705" i="7"/>
  <c r="J705" i="7"/>
  <c r="I705" i="7"/>
  <c r="H705" i="7"/>
  <c r="G705" i="7"/>
  <c r="E705" i="7"/>
  <c r="D705" i="7"/>
  <c r="C705" i="7"/>
  <c r="V704" i="7"/>
  <c r="U704" i="7"/>
  <c r="T704" i="7"/>
  <c r="S704" i="7"/>
  <c r="R704" i="7"/>
  <c r="P704" i="7"/>
  <c r="O704" i="7"/>
  <c r="N704" i="7"/>
  <c r="L704" i="7"/>
  <c r="K704" i="7"/>
  <c r="J704" i="7"/>
  <c r="I704" i="7"/>
  <c r="H704" i="7"/>
  <c r="G704" i="7"/>
  <c r="E704" i="7"/>
  <c r="D704" i="7"/>
  <c r="C704" i="7"/>
  <c r="V703" i="7"/>
  <c r="U703" i="7"/>
  <c r="T703" i="7"/>
  <c r="S703" i="7"/>
  <c r="R703" i="7"/>
  <c r="P703" i="7"/>
  <c r="O703" i="7"/>
  <c r="N703" i="7"/>
  <c r="L703" i="7"/>
  <c r="K703" i="7"/>
  <c r="J703" i="7"/>
  <c r="I703" i="7"/>
  <c r="H703" i="7"/>
  <c r="G703" i="7"/>
  <c r="E703" i="7"/>
  <c r="D703" i="7"/>
  <c r="C703" i="7"/>
  <c r="V702" i="7"/>
  <c r="U702" i="7"/>
  <c r="T702" i="7"/>
  <c r="S702" i="7"/>
  <c r="R702" i="7"/>
  <c r="P702" i="7"/>
  <c r="O702" i="7"/>
  <c r="N702" i="7"/>
  <c r="L702" i="7"/>
  <c r="K702" i="7"/>
  <c r="J702" i="7"/>
  <c r="I702" i="7"/>
  <c r="H702" i="7"/>
  <c r="G702" i="7"/>
  <c r="E702" i="7"/>
  <c r="D702" i="7"/>
  <c r="C702" i="7"/>
  <c r="V701" i="7"/>
  <c r="U701" i="7"/>
  <c r="T701" i="7"/>
  <c r="S701" i="7"/>
  <c r="R701" i="7"/>
  <c r="P701" i="7"/>
  <c r="O701" i="7"/>
  <c r="N701" i="7"/>
  <c r="L701" i="7"/>
  <c r="K701" i="7"/>
  <c r="J701" i="7"/>
  <c r="I701" i="7"/>
  <c r="H701" i="7"/>
  <c r="G701" i="7"/>
  <c r="E701" i="7"/>
  <c r="D701" i="7"/>
  <c r="C701" i="7"/>
  <c r="V700" i="7"/>
  <c r="U700" i="7"/>
  <c r="T700" i="7"/>
  <c r="S700" i="7"/>
  <c r="R700" i="7"/>
  <c r="P700" i="7"/>
  <c r="O700" i="7"/>
  <c r="N700" i="7"/>
  <c r="L700" i="7"/>
  <c r="K700" i="7"/>
  <c r="J700" i="7"/>
  <c r="I700" i="7"/>
  <c r="H700" i="7"/>
  <c r="G700" i="7"/>
  <c r="E700" i="7"/>
  <c r="D700" i="7"/>
  <c r="C700" i="7"/>
  <c r="V699" i="7"/>
  <c r="U699" i="7"/>
  <c r="T699" i="7"/>
  <c r="S699" i="7"/>
  <c r="R699" i="7"/>
  <c r="P699" i="7"/>
  <c r="O699" i="7"/>
  <c r="N699" i="7"/>
  <c r="L699" i="7"/>
  <c r="K699" i="7"/>
  <c r="J699" i="7"/>
  <c r="I699" i="7"/>
  <c r="H699" i="7"/>
  <c r="G699" i="7"/>
  <c r="E699" i="7"/>
  <c r="D699" i="7"/>
  <c r="C699" i="7"/>
  <c r="V698" i="7"/>
  <c r="U698" i="7"/>
  <c r="T698" i="7"/>
  <c r="S698" i="7"/>
  <c r="R698" i="7"/>
  <c r="P698" i="7"/>
  <c r="O698" i="7"/>
  <c r="N698" i="7"/>
  <c r="L698" i="7"/>
  <c r="K698" i="7"/>
  <c r="J698" i="7"/>
  <c r="I698" i="7"/>
  <c r="H698" i="7"/>
  <c r="G698" i="7"/>
  <c r="E698" i="7"/>
  <c r="D698" i="7"/>
  <c r="C698" i="7"/>
  <c r="V697" i="7"/>
  <c r="U697" i="7"/>
  <c r="T697" i="7"/>
  <c r="S697" i="7"/>
  <c r="R697" i="7"/>
  <c r="P697" i="7"/>
  <c r="O697" i="7"/>
  <c r="N697" i="7"/>
  <c r="L697" i="7"/>
  <c r="K697" i="7"/>
  <c r="J697" i="7"/>
  <c r="I697" i="7"/>
  <c r="H697" i="7"/>
  <c r="G697" i="7"/>
  <c r="E697" i="7"/>
  <c r="D697" i="7"/>
  <c r="C697" i="7"/>
  <c r="V696" i="7"/>
  <c r="U696" i="7"/>
  <c r="T696" i="7"/>
  <c r="S696" i="7"/>
  <c r="R696" i="7"/>
  <c r="P696" i="7"/>
  <c r="O696" i="7"/>
  <c r="N696" i="7"/>
  <c r="L696" i="7"/>
  <c r="K696" i="7"/>
  <c r="J696" i="7"/>
  <c r="I696" i="7"/>
  <c r="H696" i="7"/>
  <c r="G696" i="7"/>
  <c r="E696" i="7"/>
  <c r="D696" i="7"/>
  <c r="C696" i="7"/>
  <c r="V695" i="7"/>
  <c r="U695" i="7"/>
  <c r="T695" i="7"/>
  <c r="S695" i="7"/>
  <c r="R695" i="7"/>
  <c r="P695" i="7"/>
  <c r="O695" i="7"/>
  <c r="N695" i="7"/>
  <c r="L695" i="7"/>
  <c r="K695" i="7"/>
  <c r="J695" i="7"/>
  <c r="I695" i="7"/>
  <c r="H695" i="7"/>
  <c r="G695" i="7"/>
  <c r="E695" i="7"/>
  <c r="D695" i="7"/>
  <c r="C695" i="7"/>
  <c r="V694" i="7"/>
  <c r="U694" i="7"/>
  <c r="T694" i="7"/>
  <c r="S694" i="7"/>
  <c r="R694" i="7"/>
  <c r="P694" i="7"/>
  <c r="O694" i="7"/>
  <c r="N694" i="7"/>
  <c r="L694" i="7"/>
  <c r="K694" i="7"/>
  <c r="J694" i="7"/>
  <c r="I694" i="7"/>
  <c r="H694" i="7"/>
  <c r="G694" i="7"/>
  <c r="E694" i="7"/>
  <c r="D694" i="7"/>
  <c r="C694" i="7"/>
  <c r="V693" i="7"/>
  <c r="U693" i="7"/>
  <c r="T693" i="7"/>
  <c r="S693" i="7"/>
  <c r="R693" i="7"/>
  <c r="P693" i="7"/>
  <c r="O693" i="7"/>
  <c r="N693" i="7"/>
  <c r="L693" i="7"/>
  <c r="K693" i="7"/>
  <c r="J693" i="7"/>
  <c r="I693" i="7"/>
  <c r="H693" i="7"/>
  <c r="G693" i="7"/>
  <c r="E693" i="7"/>
  <c r="D693" i="7"/>
  <c r="C693" i="7"/>
  <c r="V692" i="7"/>
  <c r="U692" i="7"/>
  <c r="T692" i="7"/>
  <c r="S692" i="7"/>
  <c r="R692" i="7"/>
  <c r="P692" i="7"/>
  <c r="O692" i="7"/>
  <c r="N692" i="7"/>
  <c r="L692" i="7"/>
  <c r="K692" i="7"/>
  <c r="J692" i="7"/>
  <c r="I692" i="7"/>
  <c r="H692" i="7"/>
  <c r="G692" i="7"/>
  <c r="E692" i="7"/>
  <c r="D692" i="7"/>
  <c r="C692" i="7"/>
  <c r="V691" i="7"/>
  <c r="U691" i="7"/>
  <c r="T691" i="7"/>
  <c r="S691" i="7"/>
  <c r="R691" i="7"/>
  <c r="P691" i="7"/>
  <c r="O691" i="7"/>
  <c r="N691" i="7"/>
  <c r="L691" i="7"/>
  <c r="K691" i="7"/>
  <c r="J691" i="7"/>
  <c r="I691" i="7"/>
  <c r="H691" i="7"/>
  <c r="G691" i="7"/>
  <c r="E691" i="7"/>
  <c r="D691" i="7"/>
  <c r="C691" i="7"/>
  <c r="V690" i="7"/>
  <c r="U690" i="7"/>
  <c r="T690" i="7"/>
  <c r="S690" i="7"/>
  <c r="R690" i="7"/>
  <c r="P690" i="7"/>
  <c r="O690" i="7"/>
  <c r="N690" i="7"/>
  <c r="L690" i="7"/>
  <c r="K690" i="7"/>
  <c r="J690" i="7"/>
  <c r="I690" i="7"/>
  <c r="H690" i="7"/>
  <c r="G690" i="7"/>
  <c r="E690" i="7"/>
  <c r="D690" i="7"/>
  <c r="C690" i="7"/>
  <c r="V689" i="7"/>
  <c r="U689" i="7"/>
  <c r="T689" i="7"/>
  <c r="S689" i="7"/>
  <c r="R689" i="7"/>
  <c r="P689" i="7"/>
  <c r="O689" i="7"/>
  <c r="N689" i="7"/>
  <c r="L689" i="7"/>
  <c r="K689" i="7"/>
  <c r="J689" i="7"/>
  <c r="I689" i="7"/>
  <c r="H689" i="7"/>
  <c r="G689" i="7"/>
  <c r="E689" i="7"/>
  <c r="D689" i="7"/>
  <c r="C689" i="7"/>
  <c r="V688" i="7"/>
  <c r="U688" i="7"/>
  <c r="T688" i="7"/>
  <c r="S688" i="7"/>
  <c r="R688" i="7"/>
  <c r="P688" i="7"/>
  <c r="O688" i="7"/>
  <c r="N688" i="7"/>
  <c r="L688" i="7"/>
  <c r="K688" i="7"/>
  <c r="J688" i="7"/>
  <c r="I688" i="7"/>
  <c r="H688" i="7"/>
  <c r="G688" i="7"/>
  <c r="E688" i="7"/>
  <c r="D688" i="7"/>
  <c r="C688" i="7"/>
  <c r="V687" i="7"/>
  <c r="U687" i="7"/>
  <c r="T687" i="7"/>
  <c r="S687" i="7"/>
  <c r="R687" i="7"/>
  <c r="P687" i="7"/>
  <c r="O687" i="7"/>
  <c r="N687" i="7"/>
  <c r="L687" i="7"/>
  <c r="K687" i="7"/>
  <c r="J687" i="7"/>
  <c r="I687" i="7"/>
  <c r="H687" i="7"/>
  <c r="G687" i="7"/>
  <c r="E687" i="7"/>
  <c r="D687" i="7"/>
  <c r="C687" i="7"/>
  <c r="V686" i="7"/>
  <c r="U686" i="7"/>
  <c r="T686" i="7"/>
  <c r="S686" i="7"/>
  <c r="R686" i="7"/>
  <c r="P686" i="7"/>
  <c r="O686" i="7"/>
  <c r="N686" i="7"/>
  <c r="L686" i="7"/>
  <c r="K686" i="7"/>
  <c r="J686" i="7"/>
  <c r="I686" i="7"/>
  <c r="H686" i="7"/>
  <c r="G686" i="7"/>
  <c r="E686" i="7"/>
  <c r="D686" i="7"/>
  <c r="C686" i="7"/>
  <c r="V685" i="7"/>
  <c r="U685" i="7"/>
  <c r="T685" i="7"/>
  <c r="S685" i="7"/>
  <c r="R685" i="7"/>
  <c r="P685" i="7"/>
  <c r="O685" i="7"/>
  <c r="N685" i="7"/>
  <c r="L685" i="7"/>
  <c r="K685" i="7"/>
  <c r="J685" i="7"/>
  <c r="I685" i="7"/>
  <c r="H685" i="7"/>
  <c r="G685" i="7"/>
  <c r="E685" i="7"/>
  <c r="D685" i="7"/>
  <c r="C685" i="7"/>
  <c r="V684" i="7"/>
  <c r="U684" i="7"/>
  <c r="T684" i="7"/>
  <c r="S684" i="7"/>
  <c r="R684" i="7"/>
  <c r="P684" i="7"/>
  <c r="O684" i="7"/>
  <c r="N684" i="7"/>
  <c r="L684" i="7"/>
  <c r="K684" i="7"/>
  <c r="J684" i="7"/>
  <c r="I684" i="7"/>
  <c r="H684" i="7"/>
  <c r="G684" i="7"/>
  <c r="E684" i="7"/>
  <c r="D684" i="7"/>
  <c r="C684" i="7"/>
  <c r="V683" i="7"/>
  <c r="U683" i="7"/>
  <c r="T683" i="7"/>
  <c r="S683" i="7"/>
  <c r="R683" i="7"/>
  <c r="P683" i="7"/>
  <c r="O683" i="7"/>
  <c r="N683" i="7"/>
  <c r="L683" i="7"/>
  <c r="K683" i="7"/>
  <c r="J683" i="7"/>
  <c r="I683" i="7"/>
  <c r="H683" i="7"/>
  <c r="G683" i="7"/>
  <c r="E683" i="7"/>
  <c r="D683" i="7"/>
  <c r="C683" i="7"/>
  <c r="V682" i="7"/>
  <c r="U682" i="7"/>
  <c r="T682" i="7"/>
  <c r="S682" i="7"/>
  <c r="R682" i="7"/>
  <c r="P682" i="7"/>
  <c r="O682" i="7"/>
  <c r="N682" i="7"/>
  <c r="L682" i="7"/>
  <c r="K682" i="7"/>
  <c r="J682" i="7"/>
  <c r="I682" i="7"/>
  <c r="H682" i="7"/>
  <c r="G682" i="7"/>
  <c r="E682" i="7"/>
  <c r="D682" i="7"/>
  <c r="C682" i="7"/>
  <c r="V681" i="7"/>
  <c r="U681" i="7"/>
  <c r="T681" i="7"/>
  <c r="S681" i="7"/>
  <c r="R681" i="7"/>
  <c r="P681" i="7"/>
  <c r="O681" i="7"/>
  <c r="N681" i="7"/>
  <c r="L681" i="7"/>
  <c r="K681" i="7"/>
  <c r="J681" i="7"/>
  <c r="I681" i="7"/>
  <c r="H681" i="7"/>
  <c r="G681" i="7"/>
  <c r="E681" i="7"/>
  <c r="D681" i="7"/>
  <c r="C681" i="7"/>
  <c r="V680" i="7"/>
  <c r="U680" i="7"/>
  <c r="T680" i="7"/>
  <c r="S680" i="7"/>
  <c r="R680" i="7"/>
  <c r="P680" i="7"/>
  <c r="O680" i="7"/>
  <c r="N680" i="7"/>
  <c r="L680" i="7"/>
  <c r="K680" i="7"/>
  <c r="J680" i="7"/>
  <c r="I680" i="7"/>
  <c r="H680" i="7"/>
  <c r="G680" i="7"/>
  <c r="E680" i="7"/>
  <c r="D680" i="7"/>
  <c r="C680" i="7"/>
  <c r="V679" i="7"/>
  <c r="U679" i="7"/>
  <c r="T679" i="7"/>
  <c r="S679" i="7"/>
  <c r="R679" i="7"/>
  <c r="P679" i="7"/>
  <c r="O679" i="7"/>
  <c r="N679" i="7"/>
  <c r="L679" i="7"/>
  <c r="K679" i="7"/>
  <c r="J679" i="7"/>
  <c r="I679" i="7"/>
  <c r="H679" i="7"/>
  <c r="G679" i="7"/>
  <c r="E679" i="7"/>
  <c r="D679" i="7"/>
  <c r="C679" i="7"/>
  <c r="V678" i="7"/>
  <c r="U678" i="7"/>
  <c r="T678" i="7"/>
  <c r="S678" i="7"/>
  <c r="R678" i="7"/>
  <c r="P678" i="7"/>
  <c r="O678" i="7"/>
  <c r="N678" i="7"/>
  <c r="L678" i="7"/>
  <c r="K678" i="7"/>
  <c r="J678" i="7"/>
  <c r="I678" i="7"/>
  <c r="H678" i="7"/>
  <c r="G678" i="7"/>
  <c r="E678" i="7"/>
  <c r="D678" i="7"/>
  <c r="C678" i="7"/>
  <c r="V677" i="7"/>
  <c r="U677" i="7"/>
  <c r="T677" i="7"/>
  <c r="S677" i="7"/>
  <c r="R677" i="7"/>
  <c r="P677" i="7"/>
  <c r="O677" i="7"/>
  <c r="N677" i="7"/>
  <c r="L677" i="7"/>
  <c r="K677" i="7"/>
  <c r="J677" i="7"/>
  <c r="I677" i="7"/>
  <c r="H677" i="7"/>
  <c r="G677" i="7"/>
  <c r="E677" i="7"/>
  <c r="D677" i="7"/>
  <c r="C677" i="7"/>
  <c r="V676" i="7"/>
  <c r="U676" i="7"/>
  <c r="T676" i="7"/>
  <c r="S676" i="7"/>
  <c r="R676" i="7"/>
  <c r="P676" i="7"/>
  <c r="O676" i="7"/>
  <c r="N676" i="7"/>
  <c r="L676" i="7"/>
  <c r="K676" i="7"/>
  <c r="J676" i="7"/>
  <c r="I676" i="7"/>
  <c r="H676" i="7"/>
  <c r="G676" i="7"/>
  <c r="E676" i="7"/>
  <c r="D676" i="7"/>
  <c r="C676" i="7"/>
  <c r="V675" i="7"/>
  <c r="U675" i="7"/>
  <c r="T675" i="7"/>
  <c r="S675" i="7"/>
  <c r="R675" i="7"/>
  <c r="P675" i="7"/>
  <c r="O675" i="7"/>
  <c r="N675" i="7"/>
  <c r="L675" i="7"/>
  <c r="K675" i="7"/>
  <c r="J675" i="7"/>
  <c r="I675" i="7"/>
  <c r="H675" i="7"/>
  <c r="G675" i="7"/>
  <c r="E675" i="7"/>
  <c r="D675" i="7"/>
  <c r="C675" i="7"/>
  <c r="V674" i="7"/>
  <c r="U674" i="7"/>
  <c r="T674" i="7"/>
  <c r="S674" i="7"/>
  <c r="R674" i="7"/>
  <c r="P674" i="7"/>
  <c r="O674" i="7"/>
  <c r="N674" i="7"/>
  <c r="L674" i="7"/>
  <c r="K674" i="7"/>
  <c r="J674" i="7"/>
  <c r="I674" i="7"/>
  <c r="H674" i="7"/>
  <c r="G674" i="7"/>
  <c r="E674" i="7"/>
  <c r="D674" i="7"/>
  <c r="C674" i="7"/>
  <c r="V673" i="7"/>
  <c r="U673" i="7"/>
  <c r="T673" i="7"/>
  <c r="S673" i="7"/>
  <c r="R673" i="7"/>
  <c r="P673" i="7"/>
  <c r="O673" i="7"/>
  <c r="N673" i="7"/>
  <c r="L673" i="7"/>
  <c r="K673" i="7"/>
  <c r="J673" i="7"/>
  <c r="I673" i="7"/>
  <c r="H673" i="7"/>
  <c r="G673" i="7"/>
  <c r="E673" i="7"/>
  <c r="D673" i="7"/>
  <c r="C673" i="7"/>
  <c r="V672" i="7"/>
  <c r="U672" i="7"/>
  <c r="T672" i="7"/>
  <c r="S672" i="7"/>
  <c r="R672" i="7"/>
  <c r="P672" i="7"/>
  <c r="O672" i="7"/>
  <c r="N672" i="7"/>
  <c r="L672" i="7"/>
  <c r="K672" i="7"/>
  <c r="J672" i="7"/>
  <c r="I672" i="7"/>
  <c r="H672" i="7"/>
  <c r="G672" i="7"/>
  <c r="E672" i="7"/>
  <c r="D672" i="7"/>
  <c r="C672" i="7"/>
  <c r="V671" i="7"/>
  <c r="U671" i="7"/>
  <c r="T671" i="7"/>
  <c r="S671" i="7"/>
  <c r="R671" i="7"/>
  <c r="P671" i="7"/>
  <c r="O671" i="7"/>
  <c r="N671" i="7"/>
  <c r="L671" i="7"/>
  <c r="K671" i="7"/>
  <c r="J671" i="7"/>
  <c r="I671" i="7"/>
  <c r="H671" i="7"/>
  <c r="G671" i="7"/>
  <c r="E671" i="7"/>
  <c r="D671" i="7"/>
  <c r="C671" i="7"/>
  <c r="V670" i="7"/>
  <c r="U670" i="7"/>
  <c r="T670" i="7"/>
  <c r="S670" i="7"/>
  <c r="R670" i="7"/>
  <c r="P670" i="7"/>
  <c r="O670" i="7"/>
  <c r="N670" i="7"/>
  <c r="L670" i="7"/>
  <c r="K670" i="7"/>
  <c r="J670" i="7"/>
  <c r="I670" i="7"/>
  <c r="H670" i="7"/>
  <c r="G670" i="7"/>
  <c r="E670" i="7"/>
  <c r="D670" i="7"/>
  <c r="C670" i="7"/>
  <c r="V669" i="7"/>
  <c r="U669" i="7"/>
  <c r="T669" i="7"/>
  <c r="S669" i="7"/>
  <c r="R669" i="7"/>
  <c r="P669" i="7"/>
  <c r="O669" i="7"/>
  <c r="N669" i="7"/>
  <c r="L669" i="7"/>
  <c r="K669" i="7"/>
  <c r="J669" i="7"/>
  <c r="I669" i="7"/>
  <c r="H669" i="7"/>
  <c r="G669" i="7"/>
  <c r="E669" i="7"/>
  <c r="D669" i="7"/>
  <c r="C669" i="7"/>
  <c r="V668" i="7"/>
  <c r="U668" i="7"/>
  <c r="T668" i="7"/>
  <c r="S668" i="7"/>
  <c r="R668" i="7"/>
  <c r="P668" i="7"/>
  <c r="O668" i="7"/>
  <c r="N668" i="7"/>
  <c r="L668" i="7"/>
  <c r="K668" i="7"/>
  <c r="J668" i="7"/>
  <c r="I668" i="7"/>
  <c r="H668" i="7"/>
  <c r="G668" i="7"/>
  <c r="E668" i="7"/>
  <c r="D668" i="7"/>
  <c r="C668" i="7"/>
  <c r="V667" i="7"/>
  <c r="U667" i="7"/>
  <c r="T667" i="7"/>
  <c r="S667" i="7"/>
  <c r="R667" i="7"/>
  <c r="P667" i="7"/>
  <c r="O667" i="7"/>
  <c r="N667" i="7"/>
  <c r="L667" i="7"/>
  <c r="K667" i="7"/>
  <c r="J667" i="7"/>
  <c r="I667" i="7"/>
  <c r="H667" i="7"/>
  <c r="G667" i="7"/>
  <c r="E667" i="7"/>
  <c r="D667" i="7"/>
  <c r="C667" i="7"/>
  <c r="V666" i="7"/>
  <c r="U666" i="7"/>
  <c r="T666" i="7"/>
  <c r="S666" i="7"/>
  <c r="R666" i="7"/>
  <c r="P666" i="7"/>
  <c r="O666" i="7"/>
  <c r="N666" i="7"/>
  <c r="L666" i="7"/>
  <c r="K666" i="7"/>
  <c r="J666" i="7"/>
  <c r="I666" i="7"/>
  <c r="H666" i="7"/>
  <c r="G666" i="7"/>
  <c r="E666" i="7"/>
  <c r="D666" i="7"/>
  <c r="C666" i="7"/>
  <c r="V665" i="7"/>
  <c r="U665" i="7"/>
  <c r="T665" i="7"/>
  <c r="S665" i="7"/>
  <c r="R665" i="7"/>
  <c r="P665" i="7"/>
  <c r="O665" i="7"/>
  <c r="N665" i="7"/>
  <c r="L665" i="7"/>
  <c r="K665" i="7"/>
  <c r="J665" i="7"/>
  <c r="I665" i="7"/>
  <c r="H665" i="7"/>
  <c r="G665" i="7"/>
  <c r="E665" i="7"/>
  <c r="D665" i="7"/>
  <c r="C665" i="7"/>
  <c r="V664" i="7"/>
  <c r="U664" i="7"/>
  <c r="T664" i="7"/>
  <c r="S664" i="7"/>
  <c r="R664" i="7"/>
  <c r="P664" i="7"/>
  <c r="O664" i="7"/>
  <c r="N664" i="7"/>
  <c r="L664" i="7"/>
  <c r="K664" i="7"/>
  <c r="J664" i="7"/>
  <c r="I664" i="7"/>
  <c r="H664" i="7"/>
  <c r="G664" i="7"/>
  <c r="E664" i="7"/>
  <c r="D664" i="7"/>
  <c r="C664" i="7"/>
  <c r="V663" i="7"/>
  <c r="U663" i="7"/>
  <c r="T663" i="7"/>
  <c r="S663" i="7"/>
  <c r="R663" i="7"/>
  <c r="P663" i="7"/>
  <c r="O663" i="7"/>
  <c r="N663" i="7"/>
  <c r="L663" i="7"/>
  <c r="K663" i="7"/>
  <c r="J663" i="7"/>
  <c r="I663" i="7"/>
  <c r="H663" i="7"/>
  <c r="G663" i="7"/>
  <c r="E663" i="7"/>
  <c r="D663" i="7"/>
  <c r="C663" i="7"/>
  <c r="V662" i="7"/>
  <c r="U662" i="7"/>
  <c r="T662" i="7"/>
  <c r="S662" i="7"/>
  <c r="R662" i="7"/>
  <c r="P662" i="7"/>
  <c r="O662" i="7"/>
  <c r="N662" i="7"/>
  <c r="L662" i="7"/>
  <c r="K662" i="7"/>
  <c r="J662" i="7"/>
  <c r="I662" i="7"/>
  <c r="H662" i="7"/>
  <c r="G662" i="7"/>
  <c r="E662" i="7"/>
  <c r="D662" i="7"/>
  <c r="C662" i="7"/>
  <c r="V661" i="7"/>
  <c r="U661" i="7"/>
  <c r="T661" i="7"/>
  <c r="S661" i="7"/>
  <c r="R661" i="7"/>
  <c r="P661" i="7"/>
  <c r="O661" i="7"/>
  <c r="N661" i="7"/>
  <c r="L661" i="7"/>
  <c r="K661" i="7"/>
  <c r="J661" i="7"/>
  <c r="I661" i="7"/>
  <c r="H661" i="7"/>
  <c r="G661" i="7"/>
  <c r="E661" i="7"/>
  <c r="D661" i="7"/>
  <c r="C661" i="7"/>
  <c r="V660" i="7"/>
  <c r="U660" i="7"/>
  <c r="T660" i="7"/>
  <c r="S660" i="7"/>
  <c r="R660" i="7"/>
  <c r="P660" i="7"/>
  <c r="O660" i="7"/>
  <c r="N660" i="7"/>
  <c r="L660" i="7"/>
  <c r="K660" i="7"/>
  <c r="J660" i="7"/>
  <c r="I660" i="7"/>
  <c r="H660" i="7"/>
  <c r="G660" i="7"/>
  <c r="E660" i="7"/>
  <c r="D660" i="7"/>
  <c r="C660" i="7"/>
  <c r="V659" i="7"/>
  <c r="U659" i="7"/>
  <c r="T659" i="7"/>
  <c r="S659" i="7"/>
  <c r="R659" i="7"/>
  <c r="P659" i="7"/>
  <c r="O659" i="7"/>
  <c r="N659" i="7"/>
  <c r="L659" i="7"/>
  <c r="K659" i="7"/>
  <c r="J659" i="7"/>
  <c r="I659" i="7"/>
  <c r="H659" i="7"/>
  <c r="G659" i="7"/>
  <c r="E659" i="7"/>
  <c r="D659" i="7"/>
  <c r="C659" i="7"/>
  <c r="V658" i="7"/>
  <c r="U658" i="7"/>
  <c r="T658" i="7"/>
  <c r="S658" i="7"/>
  <c r="R658" i="7"/>
  <c r="P658" i="7"/>
  <c r="O658" i="7"/>
  <c r="N658" i="7"/>
  <c r="L658" i="7"/>
  <c r="K658" i="7"/>
  <c r="J658" i="7"/>
  <c r="I658" i="7"/>
  <c r="H658" i="7"/>
  <c r="G658" i="7"/>
  <c r="E658" i="7"/>
  <c r="D658" i="7"/>
  <c r="C658" i="7"/>
  <c r="V657" i="7"/>
  <c r="U657" i="7"/>
  <c r="T657" i="7"/>
  <c r="S657" i="7"/>
  <c r="R657" i="7"/>
  <c r="P657" i="7"/>
  <c r="O657" i="7"/>
  <c r="N657" i="7"/>
  <c r="L657" i="7"/>
  <c r="K657" i="7"/>
  <c r="J657" i="7"/>
  <c r="I657" i="7"/>
  <c r="H657" i="7"/>
  <c r="G657" i="7"/>
  <c r="E657" i="7"/>
  <c r="D657" i="7"/>
  <c r="C657" i="7"/>
  <c r="V656" i="7"/>
  <c r="U656" i="7"/>
  <c r="T656" i="7"/>
  <c r="S656" i="7"/>
  <c r="R656" i="7"/>
  <c r="P656" i="7"/>
  <c r="O656" i="7"/>
  <c r="N656" i="7"/>
  <c r="L656" i="7"/>
  <c r="K656" i="7"/>
  <c r="J656" i="7"/>
  <c r="I656" i="7"/>
  <c r="H656" i="7"/>
  <c r="G656" i="7"/>
  <c r="E656" i="7"/>
  <c r="D656" i="7"/>
  <c r="C656" i="7"/>
  <c r="V655" i="7"/>
  <c r="U655" i="7"/>
  <c r="T655" i="7"/>
  <c r="S655" i="7"/>
  <c r="R655" i="7"/>
  <c r="P655" i="7"/>
  <c r="O655" i="7"/>
  <c r="N655" i="7"/>
  <c r="L655" i="7"/>
  <c r="K655" i="7"/>
  <c r="J655" i="7"/>
  <c r="I655" i="7"/>
  <c r="H655" i="7"/>
  <c r="G655" i="7"/>
  <c r="E655" i="7"/>
  <c r="D655" i="7"/>
  <c r="C655" i="7"/>
  <c r="V654" i="7"/>
  <c r="U654" i="7"/>
  <c r="T654" i="7"/>
  <c r="S654" i="7"/>
  <c r="R654" i="7"/>
  <c r="P654" i="7"/>
  <c r="O654" i="7"/>
  <c r="N654" i="7"/>
  <c r="L654" i="7"/>
  <c r="K654" i="7"/>
  <c r="J654" i="7"/>
  <c r="I654" i="7"/>
  <c r="H654" i="7"/>
  <c r="G654" i="7"/>
  <c r="E654" i="7"/>
  <c r="D654" i="7"/>
  <c r="C654" i="7"/>
  <c r="V653" i="7"/>
  <c r="U653" i="7"/>
  <c r="T653" i="7"/>
  <c r="S653" i="7"/>
  <c r="R653" i="7"/>
  <c r="P653" i="7"/>
  <c r="O653" i="7"/>
  <c r="N653" i="7"/>
  <c r="L653" i="7"/>
  <c r="K653" i="7"/>
  <c r="J653" i="7"/>
  <c r="I653" i="7"/>
  <c r="H653" i="7"/>
  <c r="G653" i="7"/>
  <c r="E653" i="7"/>
  <c r="D653" i="7"/>
  <c r="C653" i="7"/>
  <c r="V652" i="7"/>
  <c r="U652" i="7"/>
  <c r="T652" i="7"/>
  <c r="S652" i="7"/>
  <c r="R652" i="7"/>
  <c r="P652" i="7"/>
  <c r="O652" i="7"/>
  <c r="N652" i="7"/>
  <c r="L652" i="7"/>
  <c r="K652" i="7"/>
  <c r="J652" i="7"/>
  <c r="I652" i="7"/>
  <c r="H652" i="7"/>
  <c r="G652" i="7"/>
  <c r="E652" i="7"/>
  <c r="D652" i="7"/>
  <c r="C652" i="7"/>
  <c r="V651" i="7"/>
  <c r="U651" i="7"/>
  <c r="T651" i="7"/>
  <c r="S651" i="7"/>
  <c r="R651" i="7"/>
  <c r="P651" i="7"/>
  <c r="O651" i="7"/>
  <c r="N651" i="7"/>
  <c r="L651" i="7"/>
  <c r="K651" i="7"/>
  <c r="J651" i="7"/>
  <c r="I651" i="7"/>
  <c r="H651" i="7"/>
  <c r="G651" i="7"/>
  <c r="E651" i="7"/>
  <c r="D651" i="7"/>
  <c r="C651" i="7"/>
  <c r="V650" i="7"/>
  <c r="U650" i="7"/>
  <c r="T650" i="7"/>
  <c r="S650" i="7"/>
  <c r="R650" i="7"/>
  <c r="P650" i="7"/>
  <c r="O650" i="7"/>
  <c r="N650" i="7"/>
  <c r="L650" i="7"/>
  <c r="K650" i="7"/>
  <c r="J650" i="7"/>
  <c r="I650" i="7"/>
  <c r="H650" i="7"/>
  <c r="G650" i="7"/>
  <c r="E650" i="7"/>
  <c r="D650" i="7"/>
  <c r="C650" i="7"/>
  <c r="V649" i="7"/>
  <c r="U649" i="7"/>
  <c r="T649" i="7"/>
  <c r="S649" i="7"/>
  <c r="R649" i="7"/>
  <c r="P649" i="7"/>
  <c r="O649" i="7"/>
  <c r="N649" i="7"/>
  <c r="L649" i="7"/>
  <c r="K649" i="7"/>
  <c r="J649" i="7"/>
  <c r="I649" i="7"/>
  <c r="H649" i="7"/>
  <c r="G649" i="7"/>
  <c r="E649" i="7"/>
  <c r="D649" i="7"/>
  <c r="C649" i="7"/>
  <c r="V648" i="7"/>
  <c r="U648" i="7"/>
  <c r="T648" i="7"/>
  <c r="S648" i="7"/>
  <c r="R648" i="7"/>
  <c r="P648" i="7"/>
  <c r="O648" i="7"/>
  <c r="N648" i="7"/>
  <c r="L648" i="7"/>
  <c r="K648" i="7"/>
  <c r="J648" i="7"/>
  <c r="I648" i="7"/>
  <c r="H648" i="7"/>
  <c r="G648" i="7"/>
  <c r="E648" i="7"/>
  <c r="D648" i="7"/>
  <c r="C648" i="7"/>
  <c r="V647" i="7"/>
  <c r="U647" i="7"/>
  <c r="T647" i="7"/>
  <c r="S647" i="7"/>
  <c r="R647" i="7"/>
  <c r="P647" i="7"/>
  <c r="O647" i="7"/>
  <c r="N647" i="7"/>
  <c r="L647" i="7"/>
  <c r="K647" i="7"/>
  <c r="J647" i="7"/>
  <c r="I647" i="7"/>
  <c r="H647" i="7"/>
  <c r="G647" i="7"/>
  <c r="E647" i="7"/>
  <c r="D647" i="7"/>
  <c r="C647" i="7"/>
  <c r="V646" i="7"/>
  <c r="U646" i="7"/>
  <c r="T646" i="7"/>
  <c r="S646" i="7"/>
  <c r="R646" i="7"/>
  <c r="P646" i="7"/>
  <c r="O646" i="7"/>
  <c r="N646" i="7"/>
  <c r="L646" i="7"/>
  <c r="K646" i="7"/>
  <c r="J646" i="7"/>
  <c r="I646" i="7"/>
  <c r="H646" i="7"/>
  <c r="G646" i="7"/>
  <c r="E646" i="7"/>
  <c r="D646" i="7"/>
  <c r="C646" i="7"/>
  <c r="V645" i="7"/>
  <c r="U645" i="7"/>
  <c r="T645" i="7"/>
  <c r="S645" i="7"/>
  <c r="R645" i="7"/>
  <c r="P645" i="7"/>
  <c r="O645" i="7"/>
  <c r="N645" i="7"/>
  <c r="L645" i="7"/>
  <c r="K645" i="7"/>
  <c r="J645" i="7"/>
  <c r="I645" i="7"/>
  <c r="H645" i="7"/>
  <c r="G645" i="7"/>
  <c r="E645" i="7"/>
  <c r="D645" i="7"/>
  <c r="C645" i="7"/>
  <c r="V644" i="7"/>
  <c r="U644" i="7"/>
  <c r="T644" i="7"/>
  <c r="S644" i="7"/>
  <c r="R644" i="7"/>
  <c r="P644" i="7"/>
  <c r="O644" i="7"/>
  <c r="N644" i="7"/>
  <c r="L644" i="7"/>
  <c r="K644" i="7"/>
  <c r="J644" i="7"/>
  <c r="I644" i="7"/>
  <c r="H644" i="7"/>
  <c r="G644" i="7"/>
  <c r="E644" i="7"/>
  <c r="D644" i="7"/>
  <c r="C644" i="7"/>
  <c r="V643" i="7"/>
  <c r="U643" i="7"/>
  <c r="T643" i="7"/>
  <c r="S643" i="7"/>
  <c r="R643" i="7"/>
  <c r="P643" i="7"/>
  <c r="O643" i="7"/>
  <c r="N643" i="7"/>
  <c r="L643" i="7"/>
  <c r="K643" i="7"/>
  <c r="J643" i="7"/>
  <c r="I643" i="7"/>
  <c r="H643" i="7"/>
  <c r="G643" i="7"/>
  <c r="E643" i="7"/>
  <c r="D643" i="7"/>
  <c r="C643" i="7"/>
  <c r="V642" i="7"/>
  <c r="U642" i="7"/>
  <c r="T642" i="7"/>
  <c r="S642" i="7"/>
  <c r="R642" i="7"/>
  <c r="P642" i="7"/>
  <c r="O642" i="7"/>
  <c r="N642" i="7"/>
  <c r="L642" i="7"/>
  <c r="K642" i="7"/>
  <c r="J642" i="7"/>
  <c r="I642" i="7"/>
  <c r="H642" i="7"/>
  <c r="G642" i="7"/>
  <c r="E642" i="7"/>
  <c r="D642" i="7"/>
  <c r="C642" i="7"/>
  <c r="V641" i="7"/>
  <c r="U641" i="7"/>
  <c r="T641" i="7"/>
  <c r="S641" i="7"/>
  <c r="R641" i="7"/>
  <c r="P641" i="7"/>
  <c r="O641" i="7"/>
  <c r="N641" i="7"/>
  <c r="L641" i="7"/>
  <c r="K641" i="7"/>
  <c r="J641" i="7"/>
  <c r="I641" i="7"/>
  <c r="H641" i="7"/>
  <c r="G641" i="7"/>
  <c r="E641" i="7"/>
  <c r="D641" i="7"/>
  <c r="C641" i="7"/>
  <c r="V640" i="7"/>
  <c r="U640" i="7"/>
  <c r="T640" i="7"/>
  <c r="S640" i="7"/>
  <c r="R640" i="7"/>
  <c r="P640" i="7"/>
  <c r="O640" i="7"/>
  <c r="N640" i="7"/>
  <c r="L640" i="7"/>
  <c r="K640" i="7"/>
  <c r="J640" i="7"/>
  <c r="I640" i="7"/>
  <c r="H640" i="7"/>
  <c r="G640" i="7"/>
  <c r="E640" i="7"/>
  <c r="D640" i="7"/>
  <c r="C640" i="7"/>
  <c r="V639" i="7"/>
  <c r="U639" i="7"/>
  <c r="T639" i="7"/>
  <c r="S639" i="7"/>
  <c r="R639" i="7"/>
  <c r="P639" i="7"/>
  <c r="O639" i="7"/>
  <c r="N639" i="7"/>
  <c r="L639" i="7"/>
  <c r="K639" i="7"/>
  <c r="J639" i="7"/>
  <c r="I639" i="7"/>
  <c r="H639" i="7"/>
  <c r="G639" i="7"/>
  <c r="E639" i="7"/>
  <c r="D639" i="7"/>
  <c r="C639" i="7"/>
  <c r="V638" i="7"/>
  <c r="U638" i="7"/>
  <c r="T638" i="7"/>
  <c r="S638" i="7"/>
  <c r="R638" i="7"/>
  <c r="P638" i="7"/>
  <c r="O638" i="7"/>
  <c r="N638" i="7"/>
  <c r="L638" i="7"/>
  <c r="K638" i="7"/>
  <c r="J638" i="7"/>
  <c r="I638" i="7"/>
  <c r="H638" i="7"/>
  <c r="G638" i="7"/>
  <c r="E638" i="7"/>
  <c r="D638" i="7"/>
  <c r="C638" i="7"/>
  <c r="V637" i="7"/>
  <c r="U637" i="7"/>
  <c r="T637" i="7"/>
  <c r="S637" i="7"/>
  <c r="R637" i="7"/>
  <c r="P637" i="7"/>
  <c r="O637" i="7"/>
  <c r="N637" i="7"/>
  <c r="L637" i="7"/>
  <c r="K637" i="7"/>
  <c r="J637" i="7"/>
  <c r="I637" i="7"/>
  <c r="H637" i="7"/>
  <c r="G637" i="7"/>
  <c r="E637" i="7"/>
  <c r="D637" i="7"/>
  <c r="C637" i="7"/>
  <c r="V636" i="7"/>
  <c r="U636" i="7"/>
  <c r="T636" i="7"/>
  <c r="S636" i="7"/>
  <c r="R636" i="7"/>
  <c r="P636" i="7"/>
  <c r="O636" i="7"/>
  <c r="N636" i="7"/>
  <c r="L636" i="7"/>
  <c r="K636" i="7"/>
  <c r="J636" i="7"/>
  <c r="I636" i="7"/>
  <c r="H636" i="7"/>
  <c r="G636" i="7"/>
  <c r="E636" i="7"/>
  <c r="D636" i="7"/>
  <c r="C636" i="7"/>
  <c r="V635" i="7"/>
  <c r="U635" i="7"/>
  <c r="T635" i="7"/>
  <c r="S635" i="7"/>
  <c r="R635" i="7"/>
  <c r="P635" i="7"/>
  <c r="O635" i="7"/>
  <c r="N635" i="7"/>
  <c r="L635" i="7"/>
  <c r="K635" i="7"/>
  <c r="J635" i="7"/>
  <c r="I635" i="7"/>
  <c r="H635" i="7"/>
  <c r="G635" i="7"/>
  <c r="E635" i="7"/>
  <c r="D635" i="7"/>
  <c r="C635" i="7"/>
  <c r="V634" i="7"/>
  <c r="U634" i="7"/>
  <c r="T634" i="7"/>
  <c r="S634" i="7"/>
  <c r="R634" i="7"/>
  <c r="P634" i="7"/>
  <c r="O634" i="7"/>
  <c r="N634" i="7"/>
  <c r="L634" i="7"/>
  <c r="K634" i="7"/>
  <c r="J634" i="7"/>
  <c r="I634" i="7"/>
  <c r="H634" i="7"/>
  <c r="G634" i="7"/>
  <c r="E634" i="7"/>
  <c r="D634" i="7"/>
  <c r="C634" i="7"/>
  <c r="V633" i="7"/>
  <c r="U633" i="7"/>
  <c r="T633" i="7"/>
  <c r="S633" i="7"/>
  <c r="R633" i="7"/>
  <c r="P633" i="7"/>
  <c r="O633" i="7"/>
  <c r="N633" i="7"/>
  <c r="L633" i="7"/>
  <c r="K633" i="7"/>
  <c r="J633" i="7"/>
  <c r="I633" i="7"/>
  <c r="H633" i="7"/>
  <c r="G633" i="7"/>
  <c r="E633" i="7"/>
  <c r="D633" i="7"/>
  <c r="C633" i="7"/>
  <c r="V632" i="7"/>
  <c r="U632" i="7"/>
  <c r="T632" i="7"/>
  <c r="S632" i="7"/>
  <c r="R632" i="7"/>
  <c r="P632" i="7"/>
  <c r="O632" i="7"/>
  <c r="N632" i="7"/>
  <c r="L632" i="7"/>
  <c r="K632" i="7"/>
  <c r="J632" i="7"/>
  <c r="I632" i="7"/>
  <c r="H632" i="7"/>
  <c r="G632" i="7"/>
  <c r="E632" i="7"/>
  <c r="D632" i="7"/>
  <c r="C632" i="7"/>
  <c r="V631" i="7"/>
  <c r="U631" i="7"/>
  <c r="T631" i="7"/>
  <c r="S631" i="7"/>
  <c r="R631" i="7"/>
  <c r="P631" i="7"/>
  <c r="O631" i="7"/>
  <c r="N631" i="7"/>
  <c r="L631" i="7"/>
  <c r="K631" i="7"/>
  <c r="J631" i="7"/>
  <c r="I631" i="7"/>
  <c r="H631" i="7"/>
  <c r="G631" i="7"/>
  <c r="E631" i="7"/>
  <c r="D631" i="7"/>
  <c r="C631" i="7"/>
  <c r="V630" i="7"/>
  <c r="U630" i="7"/>
  <c r="T630" i="7"/>
  <c r="S630" i="7"/>
  <c r="R630" i="7"/>
  <c r="P630" i="7"/>
  <c r="O630" i="7"/>
  <c r="N630" i="7"/>
  <c r="L630" i="7"/>
  <c r="K630" i="7"/>
  <c r="J630" i="7"/>
  <c r="I630" i="7"/>
  <c r="H630" i="7"/>
  <c r="G630" i="7"/>
  <c r="E630" i="7"/>
  <c r="D630" i="7"/>
  <c r="C630" i="7"/>
  <c r="V629" i="7"/>
  <c r="U629" i="7"/>
  <c r="T629" i="7"/>
  <c r="S629" i="7"/>
  <c r="R629" i="7"/>
  <c r="P629" i="7"/>
  <c r="O629" i="7"/>
  <c r="N629" i="7"/>
  <c r="L629" i="7"/>
  <c r="K629" i="7"/>
  <c r="J629" i="7"/>
  <c r="I629" i="7"/>
  <c r="H629" i="7"/>
  <c r="G629" i="7"/>
  <c r="E629" i="7"/>
  <c r="D629" i="7"/>
  <c r="C629" i="7"/>
  <c r="V628" i="7"/>
  <c r="U628" i="7"/>
  <c r="T628" i="7"/>
  <c r="S628" i="7"/>
  <c r="R628" i="7"/>
  <c r="P628" i="7"/>
  <c r="O628" i="7"/>
  <c r="N628" i="7"/>
  <c r="L628" i="7"/>
  <c r="K628" i="7"/>
  <c r="J628" i="7"/>
  <c r="I628" i="7"/>
  <c r="H628" i="7"/>
  <c r="G628" i="7"/>
  <c r="E628" i="7"/>
  <c r="D628" i="7"/>
  <c r="C628" i="7"/>
  <c r="V627" i="7"/>
  <c r="U627" i="7"/>
  <c r="T627" i="7"/>
  <c r="S627" i="7"/>
  <c r="R627" i="7"/>
  <c r="P627" i="7"/>
  <c r="O627" i="7"/>
  <c r="N627" i="7"/>
  <c r="L627" i="7"/>
  <c r="K627" i="7"/>
  <c r="J627" i="7"/>
  <c r="I627" i="7"/>
  <c r="H627" i="7"/>
  <c r="G627" i="7"/>
  <c r="E627" i="7"/>
  <c r="D627" i="7"/>
  <c r="C627" i="7"/>
  <c r="V626" i="7"/>
  <c r="U626" i="7"/>
  <c r="T626" i="7"/>
  <c r="S626" i="7"/>
  <c r="R626" i="7"/>
  <c r="P626" i="7"/>
  <c r="O626" i="7"/>
  <c r="N626" i="7"/>
  <c r="L626" i="7"/>
  <c r="K626" i="7"/>
  <c r="J626" i="7"/>
  <c r="I626" i="7"/>
  <c r="H626" i="7"/>
  <c r="G626" i="7"/>
  <c r="E626" i="7"/>
  <c r="D626" i="7"/>
  <c r="C626" i="7"/>
  <c r="V625" i="7"/>
  <c r="U625" i="7"/>
  <c r="T625" i="7"/>
  <c r="S625" i="7"/>
  <c r="R625" i="7"/>
  <c r="P625" i="7"/>
  <c r="O625" i="7"/>
  <c r="N625" i="7"/>
  <c r="L625" i="7"/>
  <c r="K625" i="7"/>
  <c r="J625" i="7"/>
  <c r="I625" i="7"/>
  <c r="H625" i="7"/>
  <c r="G625" i="7"/>
  <c r="E625" i="7"/>
  <c r="D625" i="7"/>
  <c r="C625" i="7"/>
  <c r="V624" i="7"/>
  <c r="U624" i="7"/>
  <c r="T624" i="7"/>
  <c r="S624" i="7"/>
  <c r="R624" i="7"/>
  <c r="P624" i="7"/>
  <c r="O624" i="7"/>
  <c r="N624" i="7"/>
  <c r="L624" i="7"/>
  <c r="K624" i="7"/>
  <c r="J624" i="7"/>
  <c r="I624" i="7"/>
  <c r="H624" i="7"/>
  <c r="G624" i="7"/>
  <c r="E624" i="7"/>
  <c r="D624" i="7"/>
  <c r="C624" i="7"/>
  <c r="V623" i="7"/>
  <c r="U623" i="7"/>
  <c r="T623" i="7"/>
  <c r="S623" i="7"/>
  <c r="R623" i="7"/>
  <c r="P623" i="7"/>
  <c r="O623" i="7"/>
  <c r="N623" i="7"/>
  <c r="L623" i="7"/>
  <c r="K623" i="7"/>
  <c r="J623" i="7"/>
  <c r="I623" i="7"/>
  <c r="H623" i="7"/>
  <c r="G623" i="7"/>
  <c r="E623" i="7"/>
  <c r="D623" i="7"/>
  <c r="C623" i="7"/>
  <c r="V622" i="7"/>
  <c r="U622" i="7"/>
  <c r="T622" i="7"/>
  <c r="S622" i="7"/>
  <c r="R622" i="7"/>
  <c r="P622" i="7"/>
  <c r="O622" i="7"/>
  <c r="N622" i="7"/>
  <c r="L622" i="7"/>
  <c r="K622" i="7"/>
  <c r="J622" i="7"/>
  <c r="I622" i="7"/>
  <c r="H622" i="7"/>
  <c r="G622" i="7"/>
  <c r="E622" i="7"/>
  <c r="D622" i="7"/>
  <c r="C622" i="7"/>
  <c r="V621" i="7"/>
  <c r="U621" i="7"/>
  <c r="T621" i="7"/>
  <c r="S621" i="7"/>
  <c r="R621" i="7"/>
  <c r="P621" i="7"/>
  <c r="O621" i="7"/>
  <c r="N621" i="7"/>
  <c r="L621" i="7"/>
  <c r="K621" i="7"/>
  <c r="J621" i="7"/>
  <c r="I621" i="7"/>
  <c r="H621" i="7"/>
  <c r="G621" i="7"/>
  <c r="E621" i="7"/>
  <c r="D621" i="7"/>
  <c r="C621" i="7"/>
  <c r="V620" i="7"/>
  <c r="U620" i="7"/>
  <c r="T620" i="7"/>
  <c r="S620" i="7"/>
  <c r="R620" i="7"/>
  <c r="P620" i="7"/>
  <c r="O620" i="7"/>
  <c r="N620" i="7"/>
  <c r="L620" i="7"/>
  <c r="K620" i="7"/>
  <c r="J620" i="7"/>
  <c r="I620" i="7"/>
  <c r="H620" i="7"/>
  <c r="G620" i="7"/>
  <c r="E620" i="7"/>
  <c r="D620" i="7"/>
  <c r="C620" i="7"/>
  <c r="V619" i="7"/>
  <c r="U619" i="7"/>
  <c r="T619" i="7"/>
  <c r="S619" i="7"/>
  <c r="R619" i="7"/>
  <c r="P619" i="7"/>
  <c r="O619" i="7"/>
  <c r="N619" i="7"/>
  <c r="L619" i="7"/>
  <c r="K619" i="7"/>
  <c r="J619" i="7"/>
  <c r="I619" i="7"/>
  <c r="H619" i="7"/>
  <c r="G619" i="7"/>
  <c r="E619" i="7"/>
  <c r="D619" i="7"/>
  <c r="C619" i="7"/>
  <c r="V618" i="7"/>
  <c r="U618" i="7"/>
  <c r="T618" i="7"/>
  <c r="S618" i="7"/>
  <c r="R618" i="7"/>
  <c r="P618" i="7"/>
  <c r="O618" i="7"/>
  <c r="N618" i="7"/>
  <c r="L618" i="7"/>
  <c r="K618" i="7"/>
  <c r="J618" i="7"/>
  <c r="I618" i="7"/>
  <c r="H618" i="7"/>
  <c r="G618" i="7"/>
  <c r="E618" i="7"/>
  <c r="D618" i="7"/>
  <c r="C618" i="7"/>
  <c r="V617" i="7"/>
  <c r="U617" i="7"/>
  <c r="T617" i="7"/>
  <c r="S617" i="7"/>
  <c r="R617" i="7"/>
  <c r="P617" i="7"/>
  <c r="O617" i="7"/>
  <c r="N617" i="7"/>
  <c r="L617" i="7"/>
  <c r="K617" i="7"/>
  <c r="J617" i="7"/>
  <c r="I617" i="7"/>
  <c r="H617" i="7"/>
  <c r="G617" i="7"/>
  <c r="E617" i="7"/>
  <c r="D617" i="7"/>
  <c r="C617" i="7"/>
  <c r="V616" i="7"/>
  <c r="U616" i="7"/>
  <c r="T616" i="7"/>
  <c r="S616" i="7"/>
  <c r="R616" i="7"/>
  <c r="P616" i="7"/>
  <c r="O616" i="7"/>
  <c r="N616" i="7"/>
  <c r="L616" i="7"/>
  <c r="K616" i="7"/>
  <c r="J616" i="7"/>
  <c r="I616" i="7"/>
  <c r="H616" i="7"/>
  <c r="G616" i="7"/>
  <c r="E616" i="7"/>
  <c r="D616" i="7"/>
  <c r="C616" i="7"/>
  <c r="V615" i="7"/>
  <c r="U615" i="7"/>
  <c r="T615" i="7"/>
  <c r="S615" i="7"/>
  <c r="R615" i="7"/>
  <c r="P615" i="7"/>
  <c r="O615" i="7"/>
  <c r="N615" i="7"/>
  <c r="L615" i="7"/>
  <c r="K615" i="7"/>
  <c r="J615" i="7"/>
  <c r="I615" i="7"/>
  <c r="H615" i="7"/>
  <c r="G615" i="7"/>
  <c r="E615" i="7"/>
  <c r="D615" i="7"/>
  <c r="C615" i="7"/>
  <c r="V614" i="7"/>
  <c r="U614" i="7"/>
  <c r="T614" i="7"/>
  <c r="S614" i="7"/>
  <c r="R614" i="7"/>
  <c r="P614" i="7"/>
  <c r="O614" i="7"/>
  <c r="N614" i="7"/>
  <c r="L614" i="7"/>
  <c r="K614" i="7"/>
  <c r="J614" i="7"/>
  <c r="I614" i="7"/>
  <c r="H614" i="7"/>
  <c r="G614" i="7"/>
  <c r="E614" i="7"/>
  <c r="D614" i="7"/>
  <c r="C614" i="7"/>
  <c r="V613" i="7"/>
  <c r="U613" i="7"/>
  <c r="T613" i="7"/>
  <c r="S613" i="7"/>
  <c r="R613" i="7"/>
  <c r="P613" i="7"/>
  <c r="O613" i="7"/>
  <c r="N613" i="7"/>
  <c r="L613" i="7"/>
  <c r="K613" i="7"/>
  <c r="J613" i="7"/>
  <c r="I613" i="7"/>
  <c r="H613" i="7"/>
  <c r="G613" i="7"/>
  <c r="E613" i="7"/>
  <c r="D613" i="7"/>
  <c r="C613" i="7"/>
  <c r="V612" i="7"/>
  <c r="U612" i="7"/>
  <c r="T612" i="7"/>
  <c r="S612" i="7"/>
  <c r="R612" i="7"/>
  <c r="P612" i="7"/>
  <c r="O612" i="7"/>
  <c r="N612" i="7"/>
  <c r="L612" i="7"/>
  <c r="K612" i="7"/>
  <c r="J612" i="7"/>
  <c r="I612" i="7"/>
  <c r="H612" i="7"/>
  <c r="G612" i="7"/>
  <c r="E612" i="7"/>
  <c r="D612" i="7"/>
  <c r="C612" i="7"/>
  <c r="V611" i="7"/>
  <c r="U611" i="7"/>
  <c r="T611" i="7"/>
  <c r="S611" i="7"/>
  <c r="R611" i="7"/>
  <c r="P611" i="7"/>
  <c r="O611" i="7"/>
  <c r="N611" i="7"/>
  <c r="L611" i="7"/>
  <c r="K611" i="7"/>
  <c r="J611" i="7"/>
  <c r="I611" i="7"/>
  <c r="H611" i="7"/>
  <c r="G611" i="7"/>
  <c r="E611" i="7"/>
  <c r="D611" i="7"/>
  <c r="C611" i="7"/>
  <c r="V610" i="7"/>
  <c r="U610" i="7"/>
  <c r="T610" i="7"/>
  <c r="S610" i="7"/>
  <c r="R610" i="7"/>
  <c r="P610" i="7"/>
  <c r="O610" i="7"/>
  <c r="N610" i="7"/>
  <c r="L610" i="7"/>
  <c r="K610" i="7"/>
  <c r="J610" i="7"/>
  <c r="I610" i="7"/>
  <c r="H610" i="7"/>
  <c r="G610" i="7"/>
  <c r="E610" i="7"/>
  <c r="D610" i="7"/>
  <c r="C610" i="7"/>
  <c r="V609" i="7"/>
  <c r="U609" i="7"/>
  <c r="T609" i="7"/>
  <c r="S609" i="7"/>
  <c r="R609" i="7"/>
  <c r="P609" i="7"/>
  <c r="O609" i="7"/>
  <c r="N609" i="7"/>
  <c r="L609" i="7"/>
  <c r="K609" i="7"/>
  <c r="J609" i="7"/>
  <c r="I609" i="7"/>
  <c r="H609" i="7"/>
  <c r="G609" i="7"/>
  <c r="E609" i="7"/>
  <c r="D609" i="7"/>
  <c r="C609" i="7"/>
  <c r="V608" i="7"/>
  <c r="U608" i="7"/>
  <c r="T608" i="7"/>
  <c r="S608" i="7"/>
  <c r="R608" i="7"/>
  <c r="P608" i="7"/>
  <c r="O608" i="7"/>
  <c r="N608" i="7"/>
  <c r="L608" i="7"/>
  <c r="K608" i="7"/>
  <c r="J608" i="7"/>
  <c r="I608" i="7"/>
  <c r="H608" i="7"/>
  <c r="G608" i="7"/>
  <c r="E608" i="7"/>
  <c r="D608" i="7"/>
  <c r="C608" i="7"/>
  <c r="V607" i="7"/>
  <c r="U607" i="7"/>
  <c r="T607" i="7"/>
  <c r="S607" i="7"/>
  <c r="R607" i="7"/>
  <c r="P607" i="7"/>
  <c r="O607" i="7"/>
  <c r="N607" i="7"/>
  <c r="L607" i="7"/>
  <c r="K607" i="7"/>
  <c r="J607" i="7"/>
  <c r="I607" i="7"/>
  <c r="H607" i="7"/>
  <c r="G607" i="7"/>
  <c r="E607" i="7"/>
  <c r="D607" i="7"/>
  <c r="C607" i="7"/>
  <c r="V606" i="7"/>
  <c r="U606" i="7"/>
  <c r="T606" i="7"/>
  <c r="S606" i="7"/>
  <c r="R606" i="7"/>
  <c r="P606" i="7"/>
  <c r="O606" i="7"/>
  <c r="N606" i="7"/>
  <c r="L606" i="7"/>
  <c r="K606" i="7"/>
  <c r="J606" i="7"/>
  <c r="I606" i="7"/>
  <c r="H606" i="7"/>
  <c r="G606" i="7"/>
  <c r="E606" i="7"/>
  <c r="D606" i="7"/>
  <c r="C606" i="7"/>
  <c r="V605" i="7"/>
  <c r="U605" i="7"/>
  <c r="T605" i="7"/>
  <c r="S605" i="7"/>
  <c r="R605" i="7"/>
  <c r="P605" i="7"/>
  <c r="O605" i="7"/>
  <c r="N605" i="7"/>
  <c r="L605" i="7"/>
  <c r="K605" i="7"/>
  <c r="J605" i="7"/>
  <c r="I605" i="7"/>
  <c r="H605" i="7"/>
  <c r="G605" i="7"/>
  <c r="E605" i="7"/>
  <c r="D605" i="7"/>
  <c r="C605" i="7"/>
  <c r="V604" i="7"/>
  <c r="U604" i="7"/>
  <c r="T604" i="7"/>
  <c r="S604" i="7"/>
  <c r="R604" i="7"/>
  <c r="P604" i="7"/>
  <c r="O604" i="7"/>
  <c r="N604" i="7"/>
  <c r="L604" i="7"/>
  <c r="K604" i="7"/>
  <c r="J604" i="7"/>
  <c r="I604" i="7"/>
  <c r="H604" i="7"/>
  <c r="G604" i="7"/>
  <c r="E604" i="7"/>
  <c r="D604" i="7"/>
  <c r="C604" i="7"/>
  <c r="V603" i="7"/>
  <c r="U603" i="7"/>
  <c r="T603" i="7"/>
  <c r="S603" i="7"/>
  <c r="R603" i="7"/>
  <c r="P603" i="7"/>
  <c r="O603" i="7"/>
  <c r="N603" i="7"/>
  <c r="L603" i="7"/>
  <c r="K603" i="7"/>
  <c r="J603" i="7"/>
  <c r="I603" i="7"/>
  <c r="H603" i="7"/>
  <c r="G603" i="7"/>
  <c r="E603" i="7"/>
  <c r="D603" i="7"/>
  <c r="C603" i="7"/>
  <c r="V602" i="7"/>
  <c r="U602" i="7"/>
  <c r="T602" i="7"/>
  <c r="S602" i="7"/>
  <c r="R602" i="7"/>
  <c r="P602" i="7"/>
  <c r="O602" i="7"/>
  <c r="N602" i="7"/>
  <c r="L602" i="7"/>
  <c r="K602" i="7"/>
  <c r="J602" i="7"/>
  <c r="I602" i="7"/>
  <c r="H602" i="7"/>
  <c r="G602" i="7"/>
  <c r="E602" i="7"/>
  <c r="D602" i="7"/>
  <c r="C602" i="7"/>
  <c r="V601" i="7"/>
  <c r="U601" i="7"/>
  <c r="T601" i="7"/>
  <c r="S601" i="7"/>
  <c r="R601" i="7"/>
  <c r="P601" i="7"/>
  <c r="O601" i="7"/>
  <c r="N601" i="7"/>
  <c r="L601" i="7"/>
  <c r="K601" i="7"/>
  <c r="J601" i="7"/>
  <c r="I601" i="7"/>
  <c r="H601" i="7"/>
  <c r="G601" i="7"/>
  <c r="E601" i="7"/>
  <c r="D601" i="7"/>
  <c r="C601" i="7"/>
  <c r="V600" i="7"/>
  <c r="U600" i="7"/>
  <c r="T600" i="7"/>
  <c r="S600" i="7"/>
  <c r="R600" i="7"/>
  <c r="P600" i="7"/>
  <c r="O600" i="7"/>
  <c r="N600" i="7"/>
  <c r="L600" i="7"/>
  <c r="K600" i="7"/>
  <c r="J600" i="7"/>
  <c r="I600" i="7"/>
  <c r="H600" i="7"/>
  <c r="G600" i="7"/>
  <c r="E600" i="7"/>
  <c r="D600" i="7"/>
  <c r="C600" i="7"/>
  <c r="V599" i="7"/>
  <c r="U599" i="7"/>
  <c r="T599" i="7"/>
  <c r="S599" i="7"/>
  <c r="R599" i="7"/>
  <c r="P599" i="7"/>
  <c r="O599" i="7"/>
  <c r="N599" i="7"/>
  <c r="L599" i="7"/>
  <c r="K599" i="7"/>
  <c r="J599" i="7"/>
  <c r="I599" i="7"/>
  <c r="H599" i="7"/>
  <c r="G599" i="7"/>
  <c r="E599" i="7"/>
  <c r="D599" i="7"/>
  <c r="C599" i="7"/>
  <c r="V598" i="7"/>
  <c r="U598" i="7"/>
  <c r="T598" i="7"/>
  <c r="S598" i="7"/>
  <c r="R598" i="7"/>
  <c r="P598" i="7"/>
  <c r="O598" i="7"/>
  <c r="N598" i="7"/>
  <c r="L598" i="7"/>
  <c r="K598" i="7"/>
  <c r="J598" i="7"/>
  <c r="I598" i="7"/>
  <c r="H598" i="7"/>
  <c r="G598" i="7"/>
  <c r="E598" i="7"/>
  <c r="D598" i="7"/>
  <c r="C598" i="7"/>
  <c r="V597" i="7"/>
  <c r="U597" i="7"/>
  <c r="T597" i="7"/>
  <c r="S597" i="7"/>
  <c r="R597" i="7"/>
  <c r="P597" i="7"/>
  <c r="O597" i="7"/>
  <c r="N597" i="7"/>
  <c r="L597" i="7"/>
  <c r="K597" i="7"/>
  <c r="J597" i="7"/>
  <c r="I597" i="7"/>
  <c r="H597" i="7"/>
  <c r="G597" i="7"/>
  <c r="E597" i="7"/>
  <c r="D597" i="7"/>
  <c r="C597" i="7"/>
  <c r="V596" i="7"/>
  <c r="U596" i="7"/>
  <c r="T596" i="7"/>
  <c r="S596" i="7"/>
  <c r="R596" i="7"/>
  <c r="P596" i="7"/>
  <c r="O596" i="7"/>
  <c r="N596" i="7"/>
  <c r="L596" i="7"/>
  <c r="K596" i="7"/>
  <c r="J596" i="7"/>
  <c r="I596" i="7"/>
  <c r="H596" i="7"/>
  <c r="G596" i="7"/>
  <c r="E596" i="7"/>
  <c r="D596" i="7"/>
  <c r="C596" i="7"/>
  <c r="V595" i="7"/>
  <c r="U595" i="7"/>
  <c r="T595" i="7"/>
  <c r="S595" i="7"/>
  <c r="R595" i="7"/>
  <c r="P595" i="7"/>
  <c r="O595" i="7"/>
  <c r="N595" i="7"/>
  <c r="L595" i="7"/>
  <c r="K595" i="7"/>
  <c r="J595" i="7"/>
  <c r="I595" i="7"/>
  <c r="H595" i="7"/>
  <c r="G595" i="7"/>
  <c r="E595" i="7"/>
  <c r="D595" i="7"/>
  <c r="C595" i="7"/>
  <c r="V594" i="7"/>
  <c r="U594" i="7"/>
  <c r="T594" i="7"/>
  <c r="S594" i="7"/>
  <c r="R594" i="7"/>
  <c r="P594" i="7"/>
  <c r="O594" i="7"/>
  <c r="N594" i="7"/>
  <c r="L594" i="7"/>
  <c r="K594" i="7"/>
  <c r="J594" i="7"/>
  <c r="I594" i="7"/>
  <c r="H594" i="7"/>
  <c r="G594" i="7"/>
  <c r="E594" i="7"/>
  <c r="D594" i="7"/>
  <c r="C594" i="7"/>
  <c r="V593" i="7"/>
  <c r="U593" i="7"/>
  <c r="T593" i="7"/>
  <c r="S593" i="7"/>
  <c r="R593" i="7"/>
  <c r="P593" i="7"/>
  <c r="O593" i="7"/>
  <c r="N593" i="7"/>
  <c r="L593" i="7"/>
  <c r="K593" i="7"/>
  <c r="J593" i="7"/>
  <c r="I593" i="7"/>
  <c r="H593" i="7"/>
  <c r="G593" i="7"/>
  <c r="E593" i="7"/>
  <c r="D593" i="7"/>
  <c r="C593" i="7"/>
  <c r="V592" i="7"/>
  <c r="U592" i="7"/>
  <c r="T592" i="7"/>
  <c r="S592" i="7"/>
  <c r="R592" i="7"/>
  <c r="P592" i="7"/>
  <c r="O592" i="7"/>
  <c r="N592" i="7"/>
  <c r="L592" i="7"/>
  <c r="K592" i="7"/>
  <c r="J592" i="7"/>
  <c r="I592" i="7"/>
  <c r="H592" i="7"/>
  <c r="G592" i="7"/>
  <c r="E592" i="7"/>
  <c r="D592" i="7"/>
  <c r="C592" i="7"/>
  <c r="V591" i="7"/>
  <c r="U591" i="7"/>
  <c r="T591" i="7"/>
  <c r="S591" i="7"/>
  <c r="R591" i="7"/>
  <c r="P591" i="7"/>
  <c r="O591" i="7"/>
  <c r="N591" i="7"/>
  <c r="L591" i="7"/>
  <c r="K591" i="7"/>
  <c r="J591" i="7"/>
  <c r="I591" i="7"/>
  <c r="H591" i="7"/>
  <c r="G591" i="7"/>
  <c r="E591" i="7"/>
  <c r="D591" i="7"/>
  <c r="C591" i="7"/>
  <c r="V590" i="7"/>
  <c r="U590" i="7"/>
  <c r="T590" i="7"/>
  <c r="S590" i="7"/>
  <c r="R590" i="7"/>
  <c r="P590" i="7"/>
  <c r="O590" i="7"/>
  <c r="N590" i="7"/>
  <c r="L590" i="7"/>
  <c r="K590" i="7"/>
  <c r="J590" i="7"/>
  <c r="I590" i="7"/>
  <c r="H590" i="7"/>
  <c r="G590" i="7"/>
  <c r="E590" i="7"/>
  <c r="D590" i="7"/>
  <c r="C590" i="7"/>
  <c r="V589" i="7"/>
  <c r="U589" i="7"/>
  <c r="T589" i="7"/>
  <c r="S589" i="7"/>
  <c r="R589" i="7"/>
  <c r="P589" i="7"/>
  <c r="O589" i="7"/>
  <c r="N589" i="7"/>
  <c r="L589" i="7"/>
  <c r="K589" i="7"/>
  <c r="J589" i="7"/>
  <c r="I589" i="7"/>
  <c r="H589" i="7"/>
  <c r="G589" i="7"/>
  <c r="E589" i="7"/>
  <c r="D589" i="7"/>
  <c r="C589" i="7"/>
  <c r="V588" i="7"/>
  <c r="U588" i="7"/>
  <c r="T588" i="7"/>
  <c r="S588" i="7"/>
  <c r="R588" i="7"/>
  <c r="P588" i="7"/>
  <c r="O588" i="7"/>
  <c r="N588" i="7"/>
  <c r="L588" i="7"/>
  <c r="K588" i="7"/>
  <c r="J588" i="7"/>
  <c r="I588" i="7"/>
  <c r="H588" i="7"/>
  <c r="G588" i="7"/>
  <c r="E588" i="7"/>
  <c r="D588" i="7"/>
  <c r="C588" i="7"/>
  <c r="V587" i="7"/>
  <c r="U587" i="7"/>
  <c r="T587" i="7"/>
  <c r="S587" i="7"/>
  <c r="R587" i="7"/>
  <c r="P587" i="7"/>
  <c r="O587" i="7"/>
  <c r="N587" i="7"/>
  <c r="L587" i="7"/>
  <c r="K587" i="7"/>
  <c r="J587" i="7"/>
  <c r="I587" i="7"/>
  <c r="H587" i="7"/>
  <c r="G587" i="7"/>
  <c r="E587" i="7"/>
  <c r="D587" i="7"/>
  <c r="C587" i="7"/>
  <c r="V586" i="7"/>
  <c r="U586" i="7"/>
  <c r="T586" i="7"/>
  <c r="S586" i="7"/>
  <c r="R586" i="7"/>
  <c r="P586" i="7"/>
  <c r="O586" i="7"/>
  <c r="N586" i="7"/>
  <c r="L586" i="7"/>
  <c r="K586" i="7"/>
  <c r="J586" i="7"/>
  <c r="I586" i="7"/>
  <c r="H586" i="7"/>
  <c r="G586" i="7"/>
  <c r="E586" i="7"/>
  <c r="D586" i="7"/>
  <c r="C586" i="7"/>
  <c r="V585" i="7"/>
  <c r="U585" i="7"/>
  <c r="T585" i="7"/>
  <c r="S585" i="7"/>
  <c r="R585" i="7"/>
  <c r="P585" i="7"/>
  <c r="O585" i="7"/>
  <c r="N585" i="7"/>
  <c r="L585" i="7"/>
  <c r="K585" i="7"/>
  <c r="J585" i="7"/>
  <c r="I585" i="7"/>
  <c r="H585" i="7"/>
  <c r="G585" i="7"/>
  <c r="E585" i="7"/>
  <c r="D585" i="7"/>
  <c r="C585" i="7"/>
  <c r="V584" i="7"/>
  <c r="U584" i="7"/>
  <c r="T584" i="7"/>
  <c r="S584" i="7"/>
  <c r="R584" i="7"/>
  <c r="P584" i="7"/>
  <c r="O584" i="7"/>
  <c r="N584" i="7"/>
  <c r="L584" i="7"/>
  <c r="K584" i="7"/>
  <c r="J584" i="7"/>
  <c r="I584" i="7"/>
  <c r="H584" i="7"/>
  <c r="G584" i="7"/>
  <c r="E584" i="7"/>
  <c r="D584" i="7"/>
  <c r="C584" i="7"/>
  <c r="V583" i="7"/>
  <c r="U583" i="7"/>
  <c r="T583" i="7"/>
  <c r="S583" i="7"/>
  <c r="R583" i="7"/>
  <c r="P583" i="7"/>
  <c r="O583" i="7"/>
  <c r="N583" i="7"/>
  <c r="L583" i="7"/>
  <c r="K583" i="7"/>
  <c r="J583" i="7"/>
  <c r="I583" i="7"/>
  <c r="H583" i="7"/>
  <c r="G583" i="7"/>
  <c r="E583" i="7"/>
  <c r="D583" i="7"/>
  <c r="C583" i="7"/>
  <c r="V582" i="7"/>
  <c r="U582" i="7"/>
  <c r="T582" i="7"/>
  <c r="S582" i="7"/>
  <c r="R582" i="7"/>
  <c r="P582" i="7"/>
  <c r="O582" i="7"/>
  <c r="N582" i="7"/>
  <c r="L582" i="7"/>
  <c r="K582" i="7"/>
  <c r="J582" i="7"/>
  <c r="I582" i="7"/>
  <c r="H582" i="7"/>
  <c r="G582" i="7"/>
  <c r="E582" i="7"/>
  <c r="D582" i="7"/>
  <c r="C582" i="7"/>
  <c r="V581" i="7"/>
  <c r="U581" i="7"/>
  <c r="T581" i="7"/>
  <c r="S581" i="7"/>
  <c r="R581" i="7"/>
  <c r="P581" i="7"/>
  <c r="O581" i="7"/>
  <c r="N581" i="7"/>
  <c r="L581" i="7"/>
  <c r="K581" i="7"/>
  <c r="J581" i="7"/>
  <c r="I581" i="7"/>
  <c r="H581" i="7"/>
  <c r="G581" i="7"/>
  <c r="E581" i="7"/>
  <c r="D581" i="7"/>
  <c r="C581" i="7"/>
  <c r="V580" i="7"/>
  <c r="U580" i="7"/>
  <c r="T580" i="7"/>
  <c r="S580" i="7"/>
  <c r="R580" i="7"/>
  <c r="P580" i="7"/>
  <c r="O580" i="7"/>
  <c r="N580" i="7"/>
  <c r="L580" i="7"/>
  <c r="K580" i="7"/>
  <c r="J580" i="7"/>
  <c r="I580" i="7"/>
  <c r="H580" i="7"/>
  <c r="G580" i="7"/>
  <c r="E580" i="7"/>
  <c r="D580" i="7"/>
  <c r="C580" i="7"/>
  <c r="V579" i="7"/>
  <c r="U579" i="7"/>
  <c r="T579" i="7"/>
  <c r="S579" i="7"/>
  <c r="R579" i="7"/>
  <c r="P579" i="7"/>
  <c r="O579" i="7"/>
  <c r="N579" i="7"/>
  <c r="L579" i="7"/>
  <c r="K579" i="7"/>
  <c r="J579" i="7"/>
  <c r="I579" i="7"/>
  <c r="H579" i="7"/>
  <c r="G579" i="7"/>
  <c r="E579" i="7"/>
  <c r="D579" i="7"/>
  <c r="C579" i="7"/>
  <c r="V578" i="7"/>
  <c r="U578" i="7"/>
  <c r="T578" i="7"/>
  <c r="S578" i="7"/>
  <c r="R578" i="7"/>
  <c r="P578" i="7"/>
  <c r="O578" i="7"/>
  <c r="N578" i="7"/>
  <c r="L578" i="7"/>
  <c r="K578" i="7"/>
  <c r="J578" i="7"/>
  <c r="I578" i="7"/>
  <c r="H578" i="7"/>
  <c r="G578" i="7"/>
  <c r="E578" i="7"/>
  <c r="D578" i="7"/>
  <c r="C578" i="7"/>
  <c r="V577" i="7"/>
  <c r="U577" i="7"/>
  <c r="T577" i="7"/>
  <c r="S577" i="7"/>
  <c r="R577" i="7"/>
  <c r="P577" i="7"/>
  <c r="O577" i="7"/>
  <c r="N577" i="7"/>
  <c r="L577" i="7"/>
  <c r="K577" i="7"/>
  <c r="J577" i="7"/>
  <c r="I577" i="7"/>
  <c r="H577" i="7"/>
  <c r="G577" i="7"/>
  <c r="E577" i="7"/>
  <c r="D577" i="7"/>
  <c r="C577" i="7"/>
  <c r="V576" i="7"/>
  <c r="U576" i="7"/>
  <c r="T576" i="7"/>
  <c r="S576" i="7"/>
  <c r="R576" i="7"/>
  <c r="P576" i="7"/>
  <c r="O576" i="7"/>
  <c r="N576" i="7"/>
  <c r="L576" i="7"/>
  <c r="K576" i="7"/>
  <c r="J576" i="7"/>
  <c r="I576" i="7"/>
  <c r="H576" i="7"/>
  <c r="G576" i="7"/>
  <c r="E576" i="7"/>
  <c r="D576" i="7"/>
  <c r="C576" i="7"/>
  <c r="V575" i="7"/>
  <c r="U575" i="7"/>
  <c r="T575" i="7"/>
  <c r="S575" i="7"/>
  <c r="R575" i="7"/>
  <c r="P575" i="7"/>
  <c r="O575" i="7"/>
  <c r="N575" i="7"/>
  <c r="L575" i="7"/>
  <c r="K575" i="7"/>
  <c r="J575" i="7"/>
  <c r="I575" i="7"/>
  <c r="H575" i="7"/>
  <c r="G575" i="7"/>
  <c r="E575" i="7"/>
  <c r="D575" i="7"/>
  <c r="C575" i="7"/>
  <c r="V574" i="7"/>
  <c r="U574" i="7"/>
  <c r="T574" i="7"/>
  <c r="S574" i="7"/>
  <c r="R574" i="7"/>
  <c r="P574" i="7"/>
  <c r="O574" i="7"/>
  <c r="N574" i="7"/>
  <c r="L574" i="7"/>
  <c r="K574" i="7"/>
  <c r="J574" i="7"/>
  <c r="I574" i="7"/>
  <c r="H574" i="7"/>
  <c r="G574" i="7"/>
  <c r="E574" i="7"/>
  <c r="D574" i="7"/>
  <c r="C574" i="7"/>
  <c r="V573" i="7"/>
  <c r="U573" i="7"/>
  <c r="T573" i="7"/>
  <c r="S573" i="7"/>
  <c r="R573" i="7"/>
  <c r="P573" i="7"/>
  <c r="O573" i="7"/>
  <c r="N573" i="7"/>
  <c r="L573" i="7"/>
  <c r="K573" i="7"/>
  <c r="J573" i="7"/>
  <c r="I573" i="7"/>
  <c r="H573" i="7"/>
  <c r="G573" i="7"/>
  <c r="E573" i="7"/>
  <c r="D573" i="7"/>
  <c r="C573" i="7"/>
  <c r="V572" i="7"/>
  <c r="U572" i="7"/>
  <c r="T572" i="7"/>
  <c r="S572" i="7"/>
  <c r="R572" i="7"/>
  <c r="P572" i="7"/>
  <c r="O572" i="7"/>
  <c r="N572" i="7"/>
  <c r="L572" i="7"/>
  <c r="K572" i="7"/>
  <c r="J572" i="7"/>
  <c r="I572" i="7"/>
  <c r="H572" i="7"/>
  <c r="G572" i="7"/>
  <c r="E572" i="7"/>
  <c r="D572" i="7"/>
  <c r="C572" i="7"/>
  <c r="V571" i="7"/>
  <c r="U571" i="7"/>
  <c r="T571" i="7"/>
  <c r="S571" i="7"/>
  <c r="R571" i="7"/>
  <c r="P571" i="7"/>
  <c r="O571" i="7"/>
  <c r="N571" i="7"/>
  <c r="L571" i="7"/>
  <c r="K571" i="7"/>
  <c r="J571" i="7"/>
  <c r="I571" i="7"/>
  <c r="H571" i="7"/>
  <c r="G571" i="7"/>
  <c r="E571" i="7"/>
  <c r="D571" i="7"/>
  <c r="C571" i="7"/>
  <c r="V570" i="7"/>
  <c r="U570" i="7"/>
  <c r="T570" i="7"/>
  <c r="S570" i="7"/>
  <c r="R570" i="7"/>
  <c r="P570" i="7"/>
  <c r="O570" i="7"/>
  <c r="N570" i="7"/>
  <c r="L570" i="7"/>
  <c r="K570" i="7"/>
  <c r="J570" i="7"/>
  <c r="I570" i="7"/>
  <c r="H570" i="7"/>
  <c r="G570" i="7"/>
  <c r="E570" i="7"/>
  <c r="D570" i="7"/>
  <c r="C570" i="7"/>
  <c r="V569" i="7"/>
  <c r="U569" i="7"/>
  <c r="T569" i="7"/>
  <c r="S569" i="7"/>
  <c r="R569" i="7"/>
  <c r="P569" i="7"/>
  <c r="O569" i="7"/>
  <c r="N569" i="7"/>
  <c r="L569" i="7"/>
  <c r="K569" i="7"/>
  <c r="J569" i="7"/>
  <c r="I569" i="7"/>
  <c r="H569" i="7"/>
  <c r="G569" i="7"/>
  <c r="E569" i="7"/>
  <c r="D569" i="7"/>
  <c r="C569" i="7"/>
  <c r="V568" i="7"/>
  <c r="U568" i="7"/>
  <c r="T568" i="7"/>
  <c r="S568" i="7"/>
  <c r="R568" i="7"/>
  <c r="P568" i="7"/>
  <c r="O568" i="7"/>
  <c r="N568" i="7"/>
  <c r="L568" i="7"/>
  <c r="K568" i="7"/>
  <c r="J568" i="7"/>
  <c r="I568" i="7"/>
  <c r="H568" i="7"/>
  <c r="G568" i="7"/>
  <c r="E568" i="7"/>
  <c r="D568" i="7"/>
  <c r="C568" i="7"/>
  <c r="V567" i="7"/>
  <c r="U567" i="7"/>
  <c r="T567" i="7"/>
  <c r="S567" i="7"/>
  <c r="R567" i="7"/>
  <c r="P567" i="7"/>
  <c r="O567" i="7"/>
  <c r="N567" i="7"/>
  <c r="L567" i="7"/>
  <c r="K567" i="7"/>
  <c r="J567" i="7"/>
  <c r="I567" i="7"/>
  <c r="H567" i="7"/>
  <c r="G567" i="7"/>
  <c r="E567" i="7"/>
  <c r="D567" i="7"/>
  <c r="C567" i="7"/>
  <c r="V566" i="7"/>
  <c r="U566" i="7"/>
  <c r="T566" i="7"/>
  <c r="S566" i="7"/>
  <c r="R566" i="7"/>
  <c r="P566" i="7"/>
  <c r="O566" i="7"/>
  <c r="N566" i="7"/>
  <c r="L566" i="7"/>
  <c r="K566" i="7"/>
  <c r="J566" i="7"/>
  <c r="I566" i="7"/>
  <c r="H566" i="7"/>
  <c r="G566" i="7"/>
  <c r="E566" i="7"/>
  <c r="D566" i="7"/>
  <c r="C566" i="7"/>
  <c r="V565" i="7"/>
  <c r="U565" i="7"/>
  <c r="T565" i="7"/>
  <c r="S565" i="7"/>
  <c r="R565" i="7"/>
  <c r="P565" i="7"/>
  <c r="O565" i="7"/>
  <c r="N565" i="7"/>
  <c r="L565" i="7"/>
  <c r="K565" i="7"/>
  <c r="J565" i="7"/>
  <c r="I565" i="7"/>
  <c r="H565" i="7"/>
  <c r="G565" i="7"/>
  <c r="E565" i="7"/>
  <c r="D565" i="7"/>
  <c r="C565" i="7"/>
  <c r="V564" i="7"/>
  <c r="U564" i="7"/>
  <c r="T564" i="7"/>
  <c r="S564" i="7"/>
  <c r="R564" i="7"/>
  <c r="P564" i="7"/>
  <c r="O564" i="7"/>
  <c r="N564" i="7"/>
  <c r="L564" i="7"/>
  <c r="K564" i="7"/>
  <c r="J564" i="7"/>
  <c r="I564" i="7"/>
  <c r="H564" i="7"/>
  <c r="G564" i="7"/>
  <c r="E564" i="7"/>
  <c r="D564" i="7"/>
  <c r="C564" i="7"/>
  <c r="V563" i="7"/>
  <c r="U563" i="7"/>
  <c r="T563" i="7"/>
  <c r="S563" i="7"/>
  <c r="R563" i="7"/>
  <c r="P563" i="7"/>
  <c r="O563" i="7"/>
  <c r="N563" i="7"/>
  <c r="L563" i="7"/>
  <c r="K563" i="7"/>
  <c r="J563" i="7"/>
  <c r="I563" i="7"/>
  <c r="H563" i="7"/>
  <c r="G563" i="7"/>
  <c r="E563" i="7"/>
  <c r="D563" i="7"/>
  <c r="C563" i="7"/>
  <c r="V562" i="7"/>
  <c r="U562" i="7"/>
  <c r="T562" i="7"/>
  <c r="S562" i="7"/>
  <c r="R562" i="7"/>
  <c r="P562" i="7"/>
  <c r="O562" i="7"/>
  <c r="N562" i="7"/>
  <c r="L562" i="7"/>
  <c r="K562" i="7"/>
  <c r="J562" i="7"/>
  <c r="I562" i="7"/>
  <c r="H562" i="7"/>
  <c r="G562" i="7"/>
  <c r="E562" i="7"/>
  <c r="D562" i="7"/>
  <c r="C562" i="7"/>
  <c r="V561" i="7"/>
  <c r="U561" i="7"/>
  <c r="T561" i="7"/>
  <c r="S561" i="7"/>
  <c r="R561" i="7"/>
  <c r="P561" i="7"/>
  <c r="O561" i="7"/>
  <c r="N561" i="7"/>
  <c r="L561" i="7"/>
  <c r="K561" i="7"/>
  <c r="J561" i="7"/>
  <c r="I561" i="7"/>
  <c r="H561" i="7"/>
  <c r="G561" i="7"/>
  <c r="E561" i="7"/>
  <c r="D561" i="7"/>
  <c r="C561" i="7"/>
  <c r="V560" i="7"/>
  <c r="U560" i="7"/>
  <c r="T560" i="7"/>
  <c r="S560" i="7"/>
  <c r="R560" i="7"/>
  <c r="P560" i="7"/>
  <c r="O560" i="7"/>
  <c r="N560" i="7"/>
  <c r="L560" i="7"/>
  <c r="K560" i="7"/>
  <c r="J560" i="7"/>
  <c r="I560" i="7"/>
  <c r="H560" i="7"/>
  <c r="G560" i="7"/>
  <c r="E560" i="7"/>
  <c r="D560" i="7"/>
  <c r="C560" i="7"/>
  <c r="V559" i="7"/>
  <c r="U559" i="7"/>
  <c r="T559" i="7"/>
  <c r="S559" i="7"/>
  <c r="R559" i="7"/>
  <c r="P559" i="7"/>
  <c r="O559" i="7"/>
  <c r="N559" i="7"/>
  <c r="L559" i="7"/>
  <c r="K559" i="7"/>
  <c r="J559" i="7"/>
  <c r="I559" i="7"/>
  <c r="H559" i="7"/>
  <c r="G559" i="7"/>
  <c r="E559" i="7"/>
  <c r="D559" i="7"/>
  <c r="C559" i="7"/>
  <c r="V558" i="7"/>
  <c r="U558" i="7"/>
  <c r="T558" i="7"/>
  <c r="S558" i="7"/>
  <c r="R558" i="7"/>
  <c r="P558" i="7"/>
  <c r="O558" i="7"/>
  <c r="N558" i="7"/>
  <c r="L558" i="7"/>
  <c r="K558" i="7"/>
  <c r="J558" i="7"/>
  <c r="I558" i="7"/>
  <c r="H558" i="7"/>
  <c r="G558" i="7"/>
  <c r="E558" i="7"/>
  <c r="D558" i="7"/>
  <c r="C558" i="7"/>
  <c r="V557" i="7"/>
  <c r="U557" i="7"/>
  <c r="T557" i="7"/>
  <c r="S557" i="7"/>
  <c r="R557" i="7"/>
  <c r="P557" i="7"/>
  <c r="O557" i="7"/>
  <c r="N557" i="7"/>
  <c r="L557" i="7"/>
  <c r="K557" i="7"/>
  <c r="J557" i="7"/>
  <c r="I557" i="7"/>
  <c r="H557" i="7"/>
  <c r="G557" i="7"/>
  <c r="E557" i="7"/>
  <c r="D557" i="7"/>
  <c r="C557" i="7"/>
  <c r="V556" i="7"/>
  <c r="U556" i="7"/>
  <c r="T556" i="7"/>
  <c r="S556" i="7"/>
  <c r="R556" i="7"/>
  <c r="P556" i="7"/>
  <c r="O556" i="7"/>
  <c r="N556" i="7"/>
  <c r="L556" i="7"/>
  <c r="K556" i="7"/>
  <c r="J556" i="7"/>
  <c r="I556" i="7"/>
  <c r="H556" i="7"/>
  <c r="G556" i="7"/>
  <c r="E556" i="7"/>
  <c r="D556" i="7"/>
  <c r="C556" i="7"/>
  <c r="V555" i="7"/>
  <c r="U555" i="7"/>
  <c r="T555" i="7"/>
  <c r="S555" i="7"/>
  <c r="R555" i="7"/>
  <c r="P555" i="7"/>
  <c r="O555" i="7"/>
  <c r="N555" i="7"/>
  <c r="L555" i="7"/>
  <c r="K555" i="7"/>
  <c r="J555" i="7"/>
  <c r="I555" i="7"/>
  <c r="H555" i="7"/>
  <c r="G555" i="7"/>
  <c r="E555" i="7"/>
  <c r="D555" i="7"/>
  <c r="C555" i="7"/>
  <c r="V554" i="7"/>
  <c r="U554" i="7"/>
  <c r="T554" i="7"/>
  <c r="S554" i="7"/>
  <c r="R554" i="7"/>
  <c r="P554" i="7"/>
  <c r="O554" i="7"/>
  <c r="N554" i="7"/>
  <c r="L554" i="7"/>
  <c r="K554" i="7"/>
  <c r="J554" i="7"/>
  <c r="I554" i="7"/>
  <c r="H554" i="7"/>
  <c r="G554" i="7"/>
  <c r="E554" i="7"/>
  <c r="D554" i="7"/>
  <c r="C554" i="7"/>
  <c r="V553" i="7"/>
  <c r="U553" i="7"/>
  <c r="T553" i="7"/>
  <c r="S553" i="7"/>
  <c r="R553" i="7"/>
  <c r="P553" i="7"/>
  <c r="O553" i="7"/>
  <c r="N553" i="7"/>
  <c r="L553" i="7"/>
  <c r="K553" i="7"/>
  <c r="J553" i="7"/>
  <c r="I553" i="7"/>
  <c r="H553" i="7"/>
  <c r="G553" i="7"/>
  <c r="E553" i="7"/>
  <c r="D553" i="7"/>
  <c r="C553" i="7"/>
  <c r="V552" i="7"/>
  <c r="U552" i="7"/>
  <c r="T552" i="7"/>
  <c r="S552" i="7"/>
  <c r="R552" i="7"/>
  <c r="P552" i="7"/>
  <c r="O552" i="7"/>
  <c r="N552" i="7"/>
  <c r="L552" i="7"/>
  <c r="K552" i="7"/>
  <c r="J552" i="7"/>
  <c r="I552" i="7"/>
  <c r="H552" i="7"/>
  <c r="G552" i="7"/>
  <c r="E552" i="7"/>
  <c r="D552" i="7"/>
  <c r="C552" i="7"/>
  <c r="V551" i="7"/>
  <c r="U551" i="7"/>
  <c r="T551" i="7"/>
  <c r="S551" i="7"/>
  <c r="R551" i="7"/>
  <c r="P551" i="7"/>
  <c r="O551" i="7"/>
  <c r="N551" i="7"/>
  <c r="L551" i="7"/>
  <c r="K551" i="7"/>
  <c r="J551" i="7"/>
  <c r="I551" i="7"/>
  <c r="H551" i="7"/>
  <c r="G551" i="7"/>
  <c r="E551" i="7"/>
  <c r="D551" i="7"/>
  <c r="C551" i="7"/>
  <c r="V550" i="7"/>
  <c r="U550" i="7"/>
  <c r="T550" i="7"/>
  <c r="S550" i="7"/>
  <c r="R550" i="7"/>
  <c r="P550" i="7"/>
  <c r="O550" i="7"/>
  <c r="N550" i="7"/>
  <c r="L550" i="7"/>
  <c r="K550" i="7"/>
  <c r="J550" i="7"/>
  <c r="I550" i="7"/>
  <c r="H550" i="7"/>
  <c r="G550" i="7"/>
  <c r="E550" i="7"/>
  <c r="D550" i="7"/>
  <c r="C550" i="7"/>
  <c r="V549" i="7"/>
  <c r="U549" i="7"/>
  <c r="T549" i="7"/>
  <c r="S549" i="7"/>
  <c r="R549" i="7"/>
  <c r="P549" i="7"/>
  <c r="O549" i="7"/>
  <c r="N549" i="7"/>
  <c r="L549" i="7"/>
  <c r="K549" i="7"/>
  <c r="J549" i="7"/>
  <c r="I549" i="7"/>
  <c r="H549" i="7"/>
  <c r="G549" i="7"/>
  <c r="E549" i="7"/>
  <c r="D549" i="7"/>
  <c r="C549" i="7"/>
  <c r="V548" i="7"/>
  <c r="U548" i="7"/>
  <c r="T548" i="7"/>
  <c r="S548" i="7"/>
  <c r="R548" i="7"/>
  <c r="P548" i="7"/>
  <c r="O548" i="7"/>
  <c r="N548" i="7"/>
  <c r="L548" i="7"/>
  <c r="K548" i="7"/>
  <c r="J548" i="7"/>
  <c r="I548" i="7"/>
  <c r="H548" i="7"/>
  <c r="G548" i="7"/>
  <c r="E548" i="7"/>
  <c r="D548" i="7"/>
  <c r="C548" i="7"/>
  <c r="V547" i="7"/>
  <c r="U547" i="7"/>
  <c r="T547" i="7"/>
  <c r="S547" i="7"/>
  <c r="R547" i="7"/>
  <c r="P547" i="7"/>
  <c r="O547" i="7"/>
  <c r="N547" i="7"/>
  <c r="L547" i="7"/>
  <c r="K547" i="7"/>
  <c r="J547" i="7"/>
  <c r="I547" i="7"/>
  <c r="H547" i="7"/>
  <c r="G547" i="7"/>
  <c r="E547" i="7"/>
  <c r="D547" i="7"/>
  <c r="C547" i="7"/>
  <c r="V546" i="7"/>
  <c r="U546" i="7"/>
  <c r="T546" i="7"/>
  <c r="S546" i="7"/>
  <c r="R546" i="7"/>
  <c r="P546" i="7"/>
  <c r="O546" i="7"/>
  <c r="N546" i="7"/>
  <c r="L546" i="7"/>
  <c r="K546" i="7"/>
  <c r="J546" i="7"/>
  <c r="I546" i="7"/>
  <c r="H546" i="7"/>
  <c r="G546" i="7"/>
  <c r="E546" i="7"/>
  <c r="D546" i="7"/>
  <c r="C546" i="7"/>
  <c r="V545" i="7"/>
  <c r="U545" i="7"/>
  <c r="T545" i="7"/>
  <c r="S545" i="7"/>
  <c r="R545" i="7"/>
  <c r="P545" i="7"/>
  <c r="O545" i="7"/>
  <c r="N545" i="7"/>
  <c r="L545" i="7"/>
  <c r="K545" i="7"/>
  <c r="J545" i="7"/>
  <c r="I545" i="7"/>
  <c r="H545" i="7"/>
  <c r="G545" i="7"/>
  <c r="E545" i="7"/>
  <c r="D545" i="7"/>
  <c r="C545" i="7"/>
  <c r="V544" i="7"/>
  <c r="U544" i="7"/>
  <c r="T544" i="7"/>
  <c r="S544" i="7"/>
  <c r="R544" i="7"/>
  <c r="P544" i="7"/>
  <c r="O544" i="7"/>
  <c r="N544" i="7"/>
  <c r="L544" i="7"/>
  <c r="K544" i="7"/>
  <c r="J544" i="7"/>
  <c r="I544" i="7"/>
  <c r="H544" i="7"/>
  <c r="G544" i="7"/>
  <c r="E544" i="7"/>
  <c r="D544" i="7"/>
  <c r="C544" i="7"/>
  <c r="V543" i="7"/>
  <c r="U543" i="7"/>
  <c r="T543" i="7"/>
  <c r="S543" i="7"/>
  <c r="R543" i="7"/>
  <c r="P543" i="7"/>
  <c r="O543" i="7"/>
  <c r="N543" i="7"/>
  <c r="L543" i="7"/>
  <c r="K543" i="7"/>
  <c r="J543" i="7"/>
  <c r="I543" i="7"/>
  <c r="H543" i="7"/>
  <c r="G543" i="7"/>
  <c r="E543" i="7"/>
  <c r="D543" i="7"/>
  <c r="C543" i="7"/>
  <c r="V542" i="7"/>
  <c r="U542" i="7"/>
  <c r="T542" i="7"/>
  <c r="S542" i="7"/>
  <c r="R542" i="7"/>
  <c r="P542" i="7"/>
  <c r="O542" i="7"/>
  <c r="N542" i="7"/>
  <c r="L542" i="7"/>
  <c r="K542" i="7"/>
  <c r="J542" i="7"/>
  <c r="I542" i="7"/>
  <c r="H542" i="7"/>
  <c r="G542" i="7"/>
  <c r="E542" i="7"/>
  <c r="D542" i="7"/>
  <c r="C542" i="7"/>
  <c r="V541" i="7"/>
  <c r="U541" i="7"/>
  <c r="T541" i="7"/>
  <c r="S541" i="7"/>
  <c r="R541" i="7"/>
  <c r="P541" i="7"/>
  <c r="O541" i="7"/>
  <c r="N541" i="7"/>
  <c r="L541" i="7"/>
  <c r="K541" i="7"/>
  <c r="J541" i="7"/>
  <c r="I541" i="7"/>
  <c r="H541" i="7"/>
  <c r="G541" i="7"/>
  <c r="E541" i="7"/>
  <c r="D541" i="7"/>
  <c r="C541" i="7"/>
  <c r="V540" i="7"/>
  <c r="U540" i="7"/>
  <c r="T540" i="7"/>
  <c r="S540" i="7"/>
  <c r="R540" i="7"/>
  <c r="P540" i="7"/>
  <c r="O540" i="7"/>
  <c r="N540" i="7"/>
  <c r="L540" i="7"/>
  <c r="K540" i="7"/>
  <c r="J540" i="7"/>
  <c r="I540" i="7"/>
  <c r="H540" i="7"/>
  <c r="G540" i="7"/>
  <c r="E540" i="7"/>
  <c r="D540" i="7"/>
  <c r="C540" i="7"/>
  <c r="V539" i="7"/>
  <c r="U539" i="7"/>
  <c r="T539" i="7"/>
  <c r="S539" i="7"/>
  <c r="R539" i="7"/>
  <c r="P539" i="7"/>
  <c r="O539" i="7"/>
  <c r="N539" i="7"/>
  <c r="L539" i="7"/>
  <c r="K539" i="7"/>
  <c r="J539" i="7"/>
  <c r="I539" i="7"/>
  <c r="H539" i="7"/>
  <c r="G539" i="7"/>
  <c r="E539" i="7"/>
  <c r="D539" i="7"/>
  <c r="C539" i="7"/>
  <c r="V538" i="7"/>
  <c r="U538" i="7"/>
  <c r="T538" i="7"/>
  <c r="S538" i="7"/>
  <c r="R538" i="7"/>
  <c r="P538" i="7"/>
  <c r="O538" i="7"/>
  <c r="N538" i="7"/>
  <c r="L538" i="7"/>
  <c r="K538" i="7"/>
  <c r="J538" i="7"/>
  <c r="I538" i="7"/>
  <c r="H538" i="7"/>
  <c r="G538" i="7"/>
  <c r="E538" i="7"/>
  <c r="D538" i="7"/>
  <c r="C538" i="7"/>
  <c r="V537" i="7"/>
  <c r="U537" i="7"/>
  <c r="T537" i="7"/>
  <c r="S537" i="7"/>
  <c r="R537" i="7"/>
  <c r="P537" i="7"/>
  <c r="O537" i="7"/>
  <c r="N537" i="7"/>
  <c r="L537" i="7"/>
  <c r="K537" i="7"/>
  <c r="J537" i="7"/>
  <c r="I537" i="7"/>
  <c r="H537" i="7"/>
  <c r="G537" i="7"/>
  <c r="E537" i="7"/>
  <c r="D537" i="7"/>
  <c r="C537" i="7"/>
  <c r="V536" i="7"/>
  <c r="U536" i="7"/>
  <c r="T536" i="7"/>
  <c r="S536" i="7"/>
  <c r="R536" i="7"/>
  <c r="P536" i="7"/>
  <c r="O536" i="7"/>
  <c r="N536" i="7"/>
  <c r="L536" i="7"/>
  <c r="K536" i="7"/>
  <c r="J536" i="7"/>
  <c r="I536" i="7"/>
  <c r="H536" i="7"/>
  <c r="G536" i="7"/>
  <c r="E536" i="7"/>
  <c r="D536" i="7"/>
  <c r="C536" i="7"/>
  <c r="V535" i="7"/>
  <c r="U535" i="7"/>
  <c r="T535" i="7"/>
  <c r="S535" i="7"/>
  <c r="R535" i="7"/>
  <c r="P535" i="7"/>
  <c r="O535" i="7"/>
  <c r="N535" i="7"/>
  <c r="L535" i="7"/>
  <c r="K535" i="7"/>
  <c r="J535" i="7"/>
  <c r="I535" i="7"/>
  <c r="H535" i="7"/>
  <c r="G535" i="7"/>
  <c r="E535" i="7"/>
  <c r="D535" i="7"/>
  <c r="C535" i="7"/>
  <c r="V534" i="7"/>
  <c r="U534" i="7"/>
  <c r="T534" i="7"/>
  <c r="S534" i="7"/>
  <c r="R534" i="7"/>
  <c r="P534" i="7"/>
  <c r="O534" i="7"/>
  <c r="N534" i="7"/>
  <c r="L534" i="7"/>
  <c r="K534" i="7"/>
  <c r="J534" i="7"/>
  <c r="I534" i="7"/>
  <c r="H534" i="7"/>
  <c r="G534" i="7"/>
  <c r="E534" i="7"/>
  <c r="D534" i="7"/>
  <c r="C534" i="7"/>
  <c r="V533" i="7"/>
  <c r="U533" i="7"/>
  <c r="T533" i="7"/>
  <c r="S533" i="7"/>
  <c r="R533" i="7"/>
  <c r="P533" i="7"/>
  <c r="O533" i="7"/>
  <c r="N533" i="7"/>
  <c r="L533" i="7"/>
  <c r="K533" i="7"/>
  <c r="J533" i="7"/>
  <c r="I533" i="7"/>
  <c r="H533" i="7"/>
  <c r="G533" i="7"/>
  <c r="E533" i="7"/>
  <c r="D533" i="7"/>
  <c r="C533" i="7"/>
  <c r="V532" i="7"/>
  <c r="U532" i="7"/>
  <c r="T532" i="7"/>
  <c r="S532" i="7"/>
  <c r="R532" i="7"/>
  <c r="P532" i="7"/>
  <c r="O532" i="7"/>
  <c r="N532" i="7"/>
  <c r="L532" i="7"/>
  <c r="K532" i="7"/>
  <c r="J532" i="7"/>
  <c r="I532" i="7"/>
  <c r="H532" i="7"/>
  <c r="G532" i="7"/>
  <c r="E532" i="7"/>
  <c r="D532" i="7"/>
  <c r="C532" i="7"/>
  <c r="V531" i="7"/>
  <c r="U531" i="7"/>
  <c r="T531" i="7"/>
  <c r="S531" i="7"/>
  <c r="R531" i="7"/>
  <c r="P531" i="7"/>
  <c r="O531" i="7"/>
  <c r="N531" i="7"/>
  <c r="L531" i="7"/>
  <c r="K531" i="7"/>
  <c r="J531" i="7"/>
  <c r="I531" i="7"/>
  <c r="H531" i="7"/>
  <c r="G531" i="7"/>
  <c r="E531" i="7"/>
  <c r="D531" i="7"/>
  <c r="C531" i="7"/>
  <c r="V530" i="7"/>
  <c r="U530" i="7"/>
  <c r="T530" i="7"/>
  <c r="S530" i="7"/>
  <c r="R530" i="7"/>
  <c r="P530" i="7"/>
  <c r="O530" i="7"/>
  <c r="N530" i="7"/>
  <c r="L530" i="7"/>
  <c r="K530" i="7"/>
  <c r="J530" i="7"/>
  <c r="I530" i="7"/>
  <c r="H530" i="7"/>
  <c r="G530" i="7"/>
  <c r="E530" i="7"/>
  <c r="D530" i="7"/>
  <c r="C530" i="7"/>
  <c r="V529" i="7"/>
  <c r="U529" i="7"/>
  <c r="T529" i="7"/>
  <c r="S529" i="7"/>
  <c r="R529" i="7"/>
  <c r="P529" i="7"/>
  <c r="O529" i="7"/>
  <c r="N529" i="7"/>
  <c r="L529" i="7"/>
  <c r="K529" i="7"/>
  <c r="J529" i="7"/>
  <c r="I529" i="7"/>
  <c r="H529" i="7"/>
  <c r="G529" i="7"/>
  <c r="E529" i="7"/>
  <c r="D529" i="7"/>
  <c r="C529" i="7"/>
  <c r="V528" i="7"/>
  <c r="U528" i="7"/>
  <c r="T528" i="7"/>
  <c r="S528" i="7"/>
  <c r="R528" i="7"/>
  <c r="P528" i="7"/>
  <c r="O528" i="7"/>
  <c r="N528" i="7"/>
  <c r="L528" i="7"/>
  <c r="K528" i="7"/>
  <c r="J528" i="7"/>
  <c r="I528" i="7"/>
  <c r="H528" i="7"/>
  <c r="G528" i="7"/>
  <c r="E528" i="7"/>
  <c r="D528" i="7"/>
  <c r="C528" i="7"/>
  <c r="V527" i="7"/>
  <c r="U527" i="7"/>
  <c r="T527" i="7"/>
  <c r="S527" i="7"/>
  <c r="R527" i="7"/>
  <c r="P527" i="7"/>
  <c r="O527" i="7"/>
  <c r="N527" i="7"/>
  <c r="L527" i="7"/>
  <c r="K527" i="7"/>
  <c r="J527" i="7"/>
  <c r="I527" i="7"/>
  <c r="H527" i="7"/>
  <c r="G527" i="7"/>
  <c r="E527" i="7"/>
  <c r="D527" i="7"/>
  <c r="C527" i="7"/>
  <c r="V526" i="7"/>
  <c r="U526" i="7"/>
  <c r="T526" i="7"/>
  <c r="S526" i="7"/>
  <c r="R526" i="7"/>
  <c r="P526" i="7"/>
  <c r="O526" i="7"/>
  <c r="N526" i="7"/>
  <c r="L526" i="7"/>
  <c r="K526" i="7"/>
  <c r="J526" i="7"/>
  <c r="I526" i="7"/>
  <c r="H526" i="7"/>
  <c r="G526" i="7"/>
  <c r="E526" i="7"/>
  <c r="D526" i="7"/>
  <c r="C526" i="7"/>
  <c r="V525" i="7"/>
  <c r="U525" i="7"/>
  <c r="T525" i="7"/>
  <c r="S525" i="7"/>
  <c r="R525" i="7"/>
  <c r="P525" i="7"/>
  <c r="O525" i="7"/>
  <c r="N525" i="7"/>
  <c r="L525" i="7"/>
  <c r="K525" i="7"/>
  <c r="J525" i="7"/>
  <c r="I525" i="7"/>
  <c r="H525" i="7"/>
  <c r="G525" i="7"/>
  <c r="E525" i="7"/>
  <c r="D525" i="7"/>
  <c r="C525" i="7"/>
  <c r="V524" i="7"/>
  <c r="U524" i="7"/>
  <c r="T524" i="7"/>
  <c r="S524" i="7"/>
  <c r="R524" i="7"/>
  <c r="P524" i="7"/>
  <c r="O524" i="7"/>
  <c r="N524" i="7"/>
  <c r="L524" i="7"/>
  <c r="K524" i="7"/>
  <c r="J524" i="7"/>
  <c r="I524" i="7"/>
  <c r="H524" i="7"/>
  <c r="G524" i="7"/>
  <c r="E524" i="7"/>
  <c r="D524" i="7"/>
  <c r="C524" i="7"/>
  <c r="V523" i="7"/>
  <c r="U523" i="7"/>
  <c r="T523" i="7"/>
  <c r="S523" i="7"/>
  <c r="R523" i="7"/>
  <c r="P523" i="7"/>
  <c r="O523" i="7"/>
  <c r="N523" i="7"/>
  <c r="L523" i="7"/>
  <c r="K523" i="7"/>
  <c r="J523" i="7"/>
  <c r="I523" i="7"/>
  <c r="H523" i="7"/>
  <c r="G523" i="7"/>
  <c r="E523" i="7"/>
  <c r="D523" i="7"/>
  <c r="C523" i="7"/>
  <c r="V522" i="7"/>
  <c r="U522" i="7"/>
  <c r="T522" i="7"/>
  <c r="S522" i="7"/>
  <c r="R522" i="7"/>
  <c r="P522" i="7"/>
  <c r="O522" i="7"/>
  <c r="N522" i="7"/>
  <c r="L522" i="7"/>
  <c r="K522" i="7"/>
  <c r="J522" i="7"/>
  <c r="I522" i="7"/>
  <c r="H522" i="7"/>
  <c r="G522" i="7"/>
  <c r="E522" i="7"/>
  <c r="D522" i="7"/>
  <c r="C522" i="7"/>
  <c r="V521" i="7"/>
  <c r="U521" i="7"/>
  <c r="T521" i="7"/>
  <c r="S521" i="7"/>
  <c r="R521" i="7"/>
  <c r="P521" i="7"/>
  <c r="O521" i="7"/>
  <c r="N521" i="7"/>
  <c r="L521" i="7"/>
  <c r="K521" i="7"/>
  <c r="J521" i="7"/>
  <c r="I521" i="7"/>
  <c r="H521" i="7"/>
  <c r="G521" i="7"/>
  <c r="E521" i="7"/>
  <c r="D521" i="7"/>
  <c r="C521" i="7"/>
  <c r="V520" i="7"/>
  <c r="U520" i="7"/>
  <c r="T520" i="7"/>
  <c r="S520" i="7"/>
  <c r="R520" i="7"/>
  <c r="P520" i="7"/>
  <c r="O520" i="7"/>
  <c r="N520" i="7"/>
  <c r="L520" i="7"/>
  <c r="K520" i="7"/>
  <c r="J520" i="7"/>
  <c r="I520" i="7"/>
  <c r="H520" i="7"/>
  <c r="G520" i="7"/>
  <c r="E520" i="7"/>
  <c r="D520" i="7"/>
  <c r="C520" i="7"/>
  <c r="V519" i="7"/>
  <c r="U519" i="7"/>
  <c r="T519" i="7"/>
  <c r="S519" i="7"/>
  <c r="R519" i="7"/>
  <c r="P519" i="7"/>
  <c r="O519" i="7"/>
  <c r="N519" i="7"/>
  <c r="L519" i="7"/>
  <c r="K519" i="7"/>
  <c r="J519" i="7"/>
  <c r="I519" i="7"/>
  <c r="H519" i="7"/>
  <c r="G519" i="7"/>
  <c r="E519" i="7"/>
  <c r="D519" i="7"/>
  <c r="C519" i="7"/>
  <c r="V518" i="7"/>
  <c r="U518" i="7"/>
  <c r="T518" i="7"/>
  <c r="S518" i="7"/>
  <c r="R518" i="7"/>
  <c r="P518" i="7"/>
  <c r="O518" i="7"/>
  <c r="N518" i="7"/>
  <c r="L518" i="7"/>
  <c r="K518" i="7"/>
  <c r="J518" i="7"/>
  <c r="I518" i="7"/>
  <c r="H518" i="7"/>
  <c r="G518" i="7"/>
  <c r="E518" i="7"/>
  <c r="D518" i="7"/>
  <c r="C518" i="7"/>
  <c r="V517" i="7"/>
  <c r="U517" i="7"/>
  <c r="T517" i="7"/>
  <c r="S517" i="7"/>
  <c r="R517" i="7"/>
  <c r="P517" i="7"/>
  <c r="O517" i="7"/>
  <c r="N517" i="7"/>
  <c r="L517" i="7"/>
  <c r="K517" i="7"/>
  <c r="J517" i="7"/>
  <c r="I517" i="7"/>
  <c r="H517" i="7"/>
  <c r="G517" i="7"/>
  <c r="E517" i="7"/>
  <c r="D517" i="7"/>
  <c r="C517" i="7"/>
  <c r="V516" i="7"/>
  <c r="U516" i="7"/>
  <c r="T516" i="7"/>
  <c r="S516" i="7"/>
  <c r="R516" i="7"/>
  <c r="P516" i="7"/>
  <c r="O516" i="7"/>
  <c r="N516" i="7"/>
  <c r="L516" i="7"/>
  <c r="K516" i="7"/>
  <c r="J516" i="7"/>
  <c r="I516" i="7"/>
  <c r="H516" i="7"/>
  <c r="G516" i="7"/>
  <c r="E516" i="7"/>
  <c r="D516" i="7"/>
  <c r="C516" i="7"/>
  <c r="V515" i="7"/>
  <c r="U515" i="7"/>
  <c r="T515" i="7"/>
  <c r="S515" i="7"/>
  <c r="R515" i="7"/>
  <c r="P515" i="7"/>
  <c r="O515" i="7"/>
  <c r="N515" i="7"/>
  <c r="L515" i="7"/>
  <c r="K515" i="7"/>
  <c r="J515" i="7"/>
  <c r="I515" i="7"/>
  <c r="H515" i="7"/>
  <c r="G515" i="7"/>
  <c r="E515" i="7"/>
  <c r="D515" i="7"/>
  <c r="C515" i="7"/>
  <c r="V514" i="7"/>
  <c r="U514" i="7"/>
  <c r="T514" i="7"/>
  <c r="S514" i="7"/>
  <c r="R514" i="7"/>
  <c r="P514" i="7"/>
  <c r="O514" i="7"/>
  <c r="N514" i="7"/>
  <c r="L514" i="7"/>
  <c r="K514" i="7"/>
  <c r="J514" i="7"/>
  <c r="I514" i="7"/>
  <c r="H514" i="7"/>
  <c r="G514" i="7"/>
  <c r="E514" i="7"/>
  <c r="D514" i="7"/>
  <c r="C514" i="7"/>
  <c r="V513" i="7"/>
  <c r="U513" i="7"/>
  <c r="T513" i="7"/>
  <c r="S513" i="7"/>
  <c r="R513" i="7"/>
  <c r="P513" i="7"/>
  <c r="O513" i="7"/>
  <c r="N513" i="7"/>
  <c r="L513" i="7"/>
  <c r="K513" i="7"/>
  <c r="J513" i="7"/>
  <c r="I513" i="7"/>
  <c r="H513" i="7"/>
  <c r="G513" i="7"/>
  <c r="E513" i="7"/>
  <c r="D513" i="7"/>
  <c r="C513" i="7"/>
  <c r="V512" i="7"/>
  <c r="U512" i="7"/>
  <c r="T512" i="7"/>
  <c r="S512" i="7"/>
  <c r="R512" i="7"/>
  <c r="P512" i="7"/>
  <c r="O512" i="7"/>
  <c r="N512" i="7"/>
  <c r="L512" i="7"/>
  <c r="K512" i="7"/>
  <c r="J512" i="7"/>
  <c r="I512" i="7"/>
  <c r="H512" i="7"/>
  <c r="G512" i="7"/>
  <c r="E512" i="7"/>
  <c r="D512" i="7"/>
  <c r="C512" i="7"/>
  <c r="V511" i="7"/>
  <c r="U511" i="7"/>
  <c r="T511" i="7"/>
  <c r="S511" i="7"/>
  <c r="R511" i="7"/>
  <c r="P511" i="7"/>
  <c r="O511" i="7"/>
  <c r="N511" i="7"/>
  <c r="L511" i="7"/>
  <c r="K511" i="7"/>
  <c r="J511" i="7"/>
  <c r="I511" i="7"/>
  <c r="H511" i="7"/>
  <c r="G511" i="7"/>
  <c r="E511" i="7"/>
  <c r="D511" i="7"/>
  <c r="C511" i="7"/>
  <c r="V510" i="7"/>
  <c r="U510" i="7"/>
  <c r="T510" i="7"/>
  <c r="S510" i="7"/>
  <c r="R510" i="7"/>
  <c r="P510" i="7"/>
  <c r="O510" i="7"/>
  <c r="N510" i="7"/>
  <c r="L510" i="7"/>
  <c r="K510" i="7"/>
  <c r="J510" i="7"/>
  <c r="I510" i="7"/>
  <c r="H510" i="7"/>
  <c r="G510" i="7"/>
  <c r="E510" i="7"/>
  <c r="D510" i="7"/>
  <c r="C510" i="7"/>
  <c r="V509" i="7"/>
  <c r="U509" i="7"/>
  <c r="T509" i="7"/>
  <c r="S509" i="7"/>
  <c r="R509" i="7"/>
  <c r="P509" i="7"/>
  <c r="O509" i="7"/>
  <c r="N509" i="7"/>
  <c r="L509" i="7"/>
  <c r="K509" i="7"/>
  <c r="J509" i="7"/>
  <c r="I509" i="7"/>
  <c r="H509" i="7"/>
  <c r="G509" i="7"/>
  <c r="E509" i="7"/>
  <c r="D509" i="7"/>
  <c r="C509" i="7"/>
  <c r="V508" i="7"/>
  <c r="U508" i="7"/>
  <c r="T508" i="7"/>
  <c r="S508" i="7"/>
  <c r="R508" i="7"/>
  <c r="P508" i="7"/>
  <c r="O508" i="7"/>
  <c r="N508" i="7"/>
  <c r="L508" i="7"/>
  <c r="K508" i="7"/>
  <c r="J508" i="7"/>
  <c r="I508" i="7"/>
  <c r="H508" i="7"/>
  <c r="G508" i="7"/>
  <c r="E508" i="7"/>
  <c r="D508" i="7"/>
  <c r="C508" i="7"/>
  <c r="V507" i="7"/>
  <c r="U507" i="7"/>
  <c r="T507" i="7"/>
  <c r="S507" i="7"/>
  <c r="R507" i="7"/>
  <c r="P507" i="7"/>
  <c r="O507" i="7"/>
  <c r="N507" i="7"/>
  <c r="L507" i="7"/>
  <c r="K507" i="7"/>
  <c r="J507" i="7"/>
  <c r="I507" i="7"/>
  <c r="H507" i="7"/>
  <c r="G507" i="7"/>
  <c r="E507" i="7"/>
  <c r="D507" i="7"/>
  <c r="C507" i="7"/>
  <c r="V506" i="7"/>
  <c r="U506" i="7"/>
  <c r="T506" i="7"/>
  <c r="S506" i="7"/>
  <c r="R506" i="7"/>
  <c r="P506" i="7"/>
  <c r="O506" i="7"/>
  <c r="N506" i="7"/>
  <c r="L506" i="7"/>
  <c r="K506" i="7"/>
  <c r="J506" i="7"/>
  <c r="I506" i="7"/>
  <c r="H506" i="7"/>
  <c r="G506" i="7"/>
  <c r="E506" i="7"/>
  <c r="D506" i="7"/>
  <c r="C506" i="7"/>
  <c r="V505" i="7"/>
  <c r="U505" i="7"/>
  <c r="T505" i="7"/>
  <c r="S505" i="7"/>
  <c r="R505" i="7"/>
  <c r="P505" i="7"/>
  <c r="O505" i="7"/>
  <c r="N505" i="7"/>
  <c r="L505" i="7"/>
  <c r="K505" i="7"/>
  <c r="J505" i="7"/>
  <c r="I505" i="7"/>
  <c r="H505" i="7"/>
  <c r="G505" i="7"/>
  <c r="E505" i="7"/>
  <c r="D505" i="7"/>
  <c r="C505" i="7"/>
  <c r="V504" i="7"/>
  <c r="U504" i="7"/>
  <c r="T504" i="7"/>
  <c r="S504" i="7"/>
  <c r="R504" i="7"/>
  <c r="P504" i="7"/>
  <c r="O504" i="7"/>
  <c r="N504" i="7"/>
  <c r="L504" i="7"/>
  <c r="K504" i="7"/>
  <c r="J504" i="7"/>
  <c r="I504" i="7"/>
  <c r="H504" i="7"/>
  <c r="G504" i="7"/>
  <c r="E504" i="7"/>
  <c r="D504" i="7"/>
  <c r="C504" i="7"/>
  <c r="V503" i="7"/>
  <c r="U503" i="7"/>
  <c r="T503" i="7"/>
  <c r="S503" i="7"/>
  <c r="R503" i="7"/>
  <c r="P503" i="7"/>
  <c r="O503" i="7"/>
  <c r="N503" i="7"/>
  <c r="L503" i="7"/>
  <c r="K503" i="7"/>
  <c r="J503" i="7"/>
  <c r="I503" i="7"/>
  <c r="H503" i="7"/>
  <c r="G503" i="7"/>
  <c r="E503" i="7"/>
  <c r="D503" i="7"/>
  <c r="C503" i="7"/>
  <c r="V502" i="7"/>
  <c r="U502" i="7"/>
  <c r="T502" i="7"/>
  <c r="S502" i="7"/>
  <c r="R502" i="7"/>
  <c r="P502" i="7"/>
  <c r="O502" i="7"/>
  <c r="N502" i="7"/>
  <c r="L502" i="7"/>
  <c r="K502" i="7"/>
  <c r="J502" i="7"/>
  <c r="I502" i="7"/>
  <c r="H502" i="7"/>
  <c r="G502" i="7"/>
  <c r="E502" i="7"/>
  <c r="D502" i="7"/>
  <c r="C502" i="7"/>
  <c r="V501" i="7"/>
  <c r="U501" i="7"/>
  <c r="T501" i="7"/>
  <c r="S501" i="7"/>
  <c r="R501" i="7"/>
  <c r="P501" i="7"/>
  <c r="O501" i="7"/>
  <c r="N501" i="7"/>
  <c r="L501" i="7"/>
  <c r="K501" i="7"/>
  <c r="J501" i="7"/>
  <c r="I501" i="7"/>
  <c r="H501" i="7"/>
  <c r="G501" i="7"/>
  <c r="E501" i="7"/>
  <c r="D501" i="7"/>
  <c r="C501" i="7"/>
  <c r="V500" i="7"/>
  <c r="U500" i="7"/>
  <c r="T500" i="7"/>
  <c r="S500" i="7"/>
  <c r="R500" i="7"/>
  <c r="P500" i="7"/>
  <c r="O500" i="7"/>
  <c r="N500" i="7"/>
  <c r="L500" i="7"/>
  <c r="K500" i="7"/>
  <c r="J500" i="7"/>
  <c r="I500" i="7"/>
  <c r="H500" i="7"/>
  <c r="G500" i="7"/>
  <c r="E500" i="7"/>
  <c r="D500" i="7"/>
  <c r="C500" i="7"/>
  <c r="V499" i="7"/>
  <c r="U499" i="7"/>
  <c r="T499" i="7"/>
  <c r="S499" i="7"/>
  <c r="R499" i="7"/>
  <c r="P499" i="7"/>
  <c r="O499" i="7"/>
  <c r="N499" i="7"/>
  <c r="L499" i="7"/>
  <c r="K499" i="7"/>
  <c r="J499" i="7"/>
  <c r="I499" i="7"/>
  <c r="H499" i="7"/>
  <c r="G499" i="7"/>
  <c r="E499" i="7"/>
  <c r="D499" i="7"/>
  <c r="C499" i="7"/>
  <c r="V498" i="7"/>
  <c r="U498" i="7"/>
  <c r="T498" i="7"/>
  <c r="S498" i="7"/>
  <c r="R498" i="7"/>
  <c r="P498" i="7"/>
  <c r="O498" i="7"/>
  <c r="N498" i="7"/>
  <c r="L498" i="7"/>
  <c r="K498" i="7"/>
  <c r="J498" i="7"/>
  <c r="I498" i="7"/>
  <c r="H498" i="7"/>
  <c r="G498" i="7"/>
  <c r="E498" i="7"/>
  <c r="D498" i="7"/>
  <c r="C498" i="7"/>
  <c r="V497" i="7"/>
  <c r="U497" i="7"/>
  <c r="T497" i="7"/>
  <c r="S497" i="7"/>
  <c r="R497" i="7"/>
  <c r="P497" i="7"/>
  <c r="O497" i="7"/>
  <c r="N497" i="7"/>
  <c r="L497" i="7"/>
  <c r="K497" i="7"/>
  <c r="J497" i="7"/>
  <c r="I497" i="7"/>
  <c r="H497" i="7"/>
  <c r="G497" i="7"/>
  <c r="E497" i="7"/>
  <c r="D497" i="7"/>
  <c r="C497" i="7"/>
  <c r="V496" i="7"/>
  <c r="U496" i="7"/>
  <c r="T496" i="7"/>
  <c r="S496" i="7"/>
  <c r="R496" i="7"/>
  <c r="P496" i="7"/>
  <c r="O496" i="7"/>
  <c r="N496" i="7"/>
  <c r="L496" i="7"/>
  <c r="K496" i="7"/>
  <c r="J496" i="7"/>
  <c r="I496" i="7"/>
  <c r="H496" i="7"/>
  <c r="G496" i="7"/>
  <c r="E496" i="7"/>
  <c r="D496" i="7"/>
  <c r="C496" i="7"/>
  <c r="V495" i="7"/>
  <c r="U495" i="7"/>
  <c r="T495" i="7"/>
  <c r="S495" i="7"/>
  <c r="R495" i="7"/>
  <c r="P495" i="7"/>
  <c r="O495" i="7"/>
  <c r="N495" i="7"/>
  <c r="L495" i="7"/>
  <c r="K495" i="7"/>
  <c r="J495" i="7"/>
  <c r="I495" i="7"/>
  <c r="H495" i="7"/>
  <c r="G495" i="7"/>
  <c r="E495" i="7"/>
  <c r="D495" i="7"/>
  <c r="C495" i="7"/>
  <c r="V494" i="7"/>
  <c r="U494" i="7"/>
  <c r="T494" i="7"/>
  <c r="S494" i="7"/>
  <c r="R494" i="7"/>
  <c r="P494" i="7"/>
  <c r="O494" i="7"/>
  <c r="N494" i="7"/>
  <c r="L494" i="7"/>
  <c r="K494" i="7"/>
  <c r="J494" i="7"/>
  <c r="I494" i="7"/>
  <c r="H494" i="7"/>
  <c r="G494" i="7"/>
  <c r="E494" i="7"/>
  <c r="D494" i="7"/>
  <c r="C494" i="7"/>
  <c r="V493" i="7"/>
  <c r="U493" i="7"/>
  <c r="T493" i="7"/>
  <c r="S493" i="7"/>
  <c r="R493" i="7"/>
  <c r="P493" i="7"/>
  <c r="O493" i="7"/>
  <c r="N493" i="7"/>
  <c r="L493" i="7"/>
  <c r="K493" i="7"/>
  <c r="J493" i="7"/>
  <c r="I493" i="7"/>
  <c r="H493" i="7"/>
  <c r="G493" i="7"/>
  <c r="E493" i="7"/>
  <c r="D493" i="7"/>
  <c r="C493" i="7"/>
  <c r="V492" i="7"/>
  <c r="U492" i="7"/>
  <c r="T492" i="7"/>
  <c r="S492" i="7"/>
  <c r="R492" i="7"/>
  <c r="P492" i="7"/>
  <c r="O492" i="7"/>
  <c r="N492" i="7"/>
  <c r="L492" i="7"/>
  <c r="K492" i="7"/>
  <c r="J492" i="7"/>
  <c r="I492" i="7"/>
  <c r="H492" i="7"/>
  <c r="G492" i="7"/>
  <c r="E492" i="7"/>
  <c r="D492" i="7"/>
  <c r="C492" i="7"/>
  <c r="V491" i="7"/>
  <c r="U491" i="7"/>
  <c r="T491" i="7"/>
  <c r="S491" i="7"/>
  <c r="R491" i="7"/>
  <c r="P491" i="7"/>
  <c r="O491" i="7"/>
  <c r="N491" i="7"/>
  <c r="L491" i="7"/>
  <c r="K491" i="7"/>
  <c r="J491" i="7"/>
  <c r="I491" i="7"/>
  <c r="H491" i="7"/>
  <c r="G491" i="7"/>
  <c r="E491" i="7"/>
  <c r="D491" i="7"/>
  <c r="C491" i="7"/>
  <c r="V490" i="7"/>
  <c r="U490" i="7"/>
  <c r="T490" i="7"/>
  <c r="S490" i="7"/>
  <c r="R490" i="7"/>
  <c r="P490" i="7"/>
  <c r="O490" i="7"/>
  <c r="N490" i="7"/>
  <c r="L490" i="7"/>
  <c r="K490" i="7"/>
  <c r="J490" i="7"/>
  <c r="I490" i="7"/>
  <c r="H490" i="7"/>
  <c r="G490" i="7"/>
  <c r="E490" i="7"/>
  <c r="D490" i="7"/>
  <c r="C490" i="7"/>
  <c r="V489" i="7"/>
  <c r="U489" i="7"/>
  <c r="T489" i="7"/>
  <c r="S489" i="7"/>
  <c r="R489" i="7"/>
  <c r="P489" i="7"/>
  <c r="O489" i="7"/>
  <c r="N489" i="7"/>
  <c r="L489" i="7"/>
  <c r="K489" i="7"/>
  <c r="J489" i="7"/>
  <c r="I489" i="7"/>
  <c r="H489" i="7"/>
  <c r="G489" i="7"/>
  <c r="E489" i="7"/>
  <c r="D489" i="7"/>
  <c r="C489" i="7"/>
  <c r="V488" i="7"/>
  <c r="U488" i="7"/>
  <c r="T488" i="7"/>
  <c r="S488" i="7"/>
  <c r="R488" i="7"/>
  <c r="P488" i="7"/>
  <c r="O488" i="7"/>
  <c r="N488" i="7"/>
  <c r="L488" i="7"/>
  <c r="K488" i="7"/>
  <c r="J488" i="7"/>
  <c r="I488" i="7"/>
  <c r="H488" i="7"/>
  <c r="G488" i="7"/>
  <c r="E488" i="7"/>
  <c r="D488" i="7"/>
  <c r="C488" i="7"/>
  <c r="V487" i="7"/>
  <c r="U487" i="7"/>
  <c r="T487" i="7"/>
  <c r="S487" i="7"/>
  <c r="R487" i="7"/>
  <c r="P487" i="7"/>
  <c r="O487" i="7"/>
  <c r="N487" i="7"/>
  <c r="L487" i="7"/>
  <c r="K487" i="7"/>
  <c r="J487" i="7"/>
  <c r="I487" i="7"/>
  <c r="H487" i="7"/>
  <c r="G487" i="7"/>
  <c r="E487" i="7"/>
  <c r="D487" i="7"/>
  <c r="C487" i="7"/>
  <c r="V486" i="7"/>
  <c r="U486" i="7"/>
  <c r="T486" i="7"/>
  <c r="S486" i="7"/>
  <c r="R486" i="7"/>
  <c r="P486" i="7"/>
  <c r="O486" i="7"/>
  <c r="N486" i="7"/>
  <c r="L486" i="7"/>
  <c r="K486" i="7"/>
  <c r="J486" i="7"/>
  <c r="I486" i="7"/>
  <c r="H486" i="7"/>
  <c r="G486" i="7"/>
  <c r="E486" i="7"/>
  <c r="D486" i="7"/>
  <c r="C486" i="7"/>
  <c r="V485" i="7"/>
  <c r="U485" i="7"/>
  <c r="T485" i="7"/>
  <c r="S485" i="7"/>
  <c r="R485" i="7"/>
  <c r="P485" i="7"/>
  <c r="O485" i="7"/>
  <c r="N485" i="7"/>
  <c r="L485" i="7"/>
  <c r="K485" i="7"/>
  <c r="J485" i="7"/>
  <c r="I485" i="7"/>
  <c r="H485" i="7"/>
  <c r="G485" i="7"/>
  <c r="E485" i="7"/>
  <c r="D485" i="7"/>
  <c r="C485" i="7"/>
  <c r="V484" i="7"/>
  <c r="U484" i="7"/>
  <c r="T484" i="7"/>
  <c r="S484" i="7"/>
  <c r="R484" i="7"/>
  <c r="P484" i="7"/>
  <c r="O484" i="7"/>
  <c r="N484" i="7"/>
  <c r="L484" i="7"/>
  <c r="K484" i="7"/>
  <c r="J484" i="7"/>
  <c r="I484" i="7"/>
  <c r="H484" i="7"/>
  <c r="G484" i="7"/>
  <c r="E484" i="7"/>
  <c r="D484" i="7"/>
  <c r="C484" i="7"/>
  <c r="V483" i="7"/>
  <c r="U483" i="7"/>
  <c r="T483" i="7"/>
  <c r="S483" i="7"/>
  <c r="R483" i="7"/>
  <c r="P483" i="7"/>
  <c r="O483" i="7"/>
  <c r="N483" i="7"/>
  <c r="L483" i="7"/>
  <c r="K483" i="7"/>
  <c r="J483" i="7"/>
  <c r="I483" i="7"/>
  <c r="H483" i="7"/>
  <c r="G483" i="7"/>
  <c r="E483" i="7"/>
  <c r="D483" i="7"/>
  <c r="C483" i="7"/>
  <c r="V482" i="7"/>
  <c r="U482" i="7"/>
  <c r="T482" i="7"/>
  <c r="S482" i="7"/>
  <c r="R482" i="7"/>
  <c r="P482" i="7"/>
  <c r="O482" i="7"/>
  <c r="N482" i="7"/>
  <c r="L482" i="7"/>
  <c r="K482" i="7"/>
  <c r="J482" i="7"/>
  <c r="I482" i="7"/>
  <c r="H482" i="7"/>
  <c r="G482" i="7"/>
  <c r="E482" i="7"/>
  <c r="D482" i="7"/>
  <c r="C482" i="7"/>
  <c r="V481" i="7"/>
  <c r="U481" i="7"/>
  <c r="T481" i="7"/>
  <c r="S481" i="7"/>
  <c r="R481" i="7"/>
  <c r="P481" i="7"/>
  <c r="O481" i="7"/>
  <c r="N481" i="7"/>
  <c r="L481" i="7"/>
  <c r="K481" i="7"/>
  <c r="J481" i="7"/>
  <c r="I481" i="7"/>
  <c r="H481" i="7"/>
  <c r="G481" i="7"/>
  <c r="E481" i="7"/>
  <c r="D481" i="7"/>
  <c r="C481" i="7"/>
  <c r="V480" i="7"/>
  <c r="U480" i="7"/>
  <c r="T480" i="7"/>
  <c r="S480" i="7"/>
  <c r="R480" i="7"/>
  <c r="P480" i="7"/>
  <c r="O480" i="7"/>
  <c r="N480" i="7"/>
  <c r="L480" i="7"/>
  <c r="K480" i="7"/>
  <c r="J480" i="7"/>
  <c r="I480" i="7"/>
  <c r="H480" i="7"/>
  <c r="G480" i="7"/>
  <c r="E480" i="7"/>
  <c r="D480" i="7"/>
  <c r="C480" i="7"/>
  <c r="V479" i="7"/>
  <c r="U479" i="7"/>
  <c r="T479" i="7"/>
  <c r="S479" i="7"/>
  <c r="R479" i="7"/>
  <c r="P479" i="7"/>
  <c r="O479" i="7"/>
  <c r="N479" i="7"/>
  <c r="L479" i="7"/>
  <c r="K479" i="7"/>
  <c r="J479" i="7"/>
  <c r="I479" i="7"/>
  <c r="H479" i="7"/>
  <c r="G479" i="7"/>
  <c r="E479" i="7"/>
  <c r="D479" i="7"/>
  <c r="C479" i="7"/>
  <c r="V478" i="7"/>
  <c r="U478" i="7"/>
  <c r="T478" i="7"/>
  <c r="S478" i="7"/>
  <c r="R478" i="7"/>
  <c r="P478" i="7"/>
  <c r="O478" i="7"/>
  <c r="N478" i="7"/>
  <c r="L478" i="7"/>
  <c r="K478" i="7"/>
  <c r="J478" i="7"/>
  <c r="I478" i="7"/>
  <c r="H478" i="7"/>
  <c r="G478" i="7"/>
  <c r="E478" i="7"/>
  <c r="D478" i="7"/>
  <c r="C478" i="7"/>
  <c r="V477" i="7"/>
  <c r="U477" i="7"/>
  <c r="T477" i="7"/>
  <c r="S477" i="7"/>
  <c r="R477" i="7"/>
  <c r="P477" i="7"/>
  <c r="O477" i="7"/>
  <c r="N477" i="7"/>
  <c r="L477" i="7"/>
  <c r="K477" i="7"/>
  <c r="J477" i="7"/>
  <c r="I477" i="7"/>
  <c r="H477" i="7"/>
  <c r="G477" i="7"/>
  <c r="E477" i="7"/>
  <c r="D477" i="7"/>
  <c r="C477" i="7"/>
  <c r="V476" i="7"/>
  <c r="U476" i="7"/>
  <c r="T476" i="7"/>
  <c r="S476" i="7"/>
  <c r="R476" i="7"/>
  <c r="P476" i="7"/>
  <c r="O476" i="7"/>
  <c r="N476" i="7"/>
  <c r="L476" i="7"/>
  <c r="K476" i="7"/>
  <c r="J476" i="7"/>
  <c r="I476" i="7"/>
  <c r="H476" i="7"/>
  <c r="G476" i="7"/>
  <c r="E476" i="7"/>
  <c r="D476" i="7"/>
  <c r="C476" i="7"/>
  <c r="V475" i="7"/>
  <c r="U475" i="7"/>
  <c r="T475" i="7"/>
  <c r="S475" i="7"/>
  <c r="R475" i="7"/>
  <c r="P475" i="7"/>
  <c r="O475" i="7"/>
  <c r="N475" i="7"/>
  <c r="L475" i="7"/>
  <c r="K475" i="7"/>
  <c r="J475" i="7"/>
  <c r="I475" i="7"/>
  <c r="H475" i="7"/>
  <c r="G475" i="7"/>
  <c r="E475" i="7"/>
  <c r="D475" i="7"/>
  <c r="C475" i="7"/>
  <c r="V474" i="7"/>
  <c r="U474" i="7"/>
  <c r="T474" i="7"/>
  <c r="S474" i="7"/>
  <c r="R474" i="7"/>
  <c r="P474" i="7"/>
  <c r="O474" i="7"/>
  <c r="N474" i="7"/>
  <c r="L474" i="7"/>
  <c r="K474" i="7"/>
  <c r="J474" i="7"/>
  <c r="I474" i="7"/>
  <c r="H474" i="7"/>
  <c r="G474" i="7"/>
  <c r="E474" i="7"/>
  <c r="D474" i="7"/>
  <c r="C474" i="7"/>
  <c r="V473" i="7"/>
  <c r="U473" i="7"/>
  <c r="T473" i="7"/>
  <c r="S473" i="7"/>
  <c r="R473" i="7"/>
  <c r="P473" i="7"/>
  <c r="O473" i="7"/>
  <c r="N473" i="7"/>
  <c r="L473" i="7"/>
  <c r="K473" i="7"/>
  <c r="J473" i="7"/>
  <c r="I473" i="7"/>
  <c r="H473" i="7"/>
  <c r="G473" i="7"/>
  <c r="E473" i="7"/>
  <c r="D473" i="7"/>
  <c r="C473" i="7"/>
  <c r="V472" i="7"/>
  <c r="U472" i="7"/>
  <c r="T472" i="7"/>
  <c r="S472" i="7"/>
  <c r="R472" i="7"/>
  <c r="P472" i="7"/>
  <c r="O472" i="7"/>
  <c r="N472" i="7"/>
  <c r="L472" i="7"/>
  <c r="K472" i="7"/>
  <c r="J472" i="7"/>
  <c r="I472" i="7"/>
  <c r="H472" i="7"/>
  <c r="G472" i="7"/>
  <c r="E472" i="7"/>
  <c r="D472" i="7"/>
  <c r="C472" i="7"/>
  <c r="V471" i="7"/>
  <c r="U471" i="7"/>
  <c r="T471" i="7"/>
  <c r="S471" i="7"/>
  <c r="R471" i="7"/>
  <c r="P471" i="7"/>
  <c r="O471" i="7"/>
  <c r="N471" i="7"/>
  <c r="L471" i="7"/>
  <c r="K471" i="7"/>
  <c r="J471" i="7"/>
  <c r="I471" i="7"/>
  <c r="H471" i="7"/>
  <c r="G471" i="7"/>
  <c r="E471" i="7"/>
  <c r="D471" i="7"/>
  <c r="C471" i="7"/>
  <c r="V470" i="7"/>
  <c r="U470" i="7"/>
  <c r="T470" i="7"/>
  <c r="S470" i="7"/>
  <c r="R470" i="7"/>
  <c r="P470" i="7"/>
  <c r="O470" i="7"/>
  <c r="N470" i="7"/>
  <c r="L470" i="7"/>
  <c r="K470" i="7"/>
  <c r="J470" i="7"/>
  <c r="I470" i="7"/>
  <c r="H470" i="7"/>
  <c r="G470" i="7"/>
  <c r="E470" i="7"/>
  <c r="D470" i="7"/>
  <c r="C470" i="7"/>
  <c r="V469" i="7"/>
  <c r="U469" i="7"/>
  <c r="T469" i="7"/>
  <c r="S469" i="7"/>
  <c r="R469" i="7"/>
  <c r="P469" i="7"/>
  <c r="O469" i="7"/>
  <c r="N469" i="7"/>
  <c r="L469" i="7"/>
  <c r="K469" i="7"/>
  <c r="J469" i="7"/>
  <c r="I469" i="7"/>
  <c r="H469" i="7"/>
  <c r="G469" i="7"/>
  <c r="E469" i="7"/>
  <c r="D469" i="7"/>
  <c r="C469" i="7"/>
  <c r="V468" i="7"/>
  <c r="U468" i="7"/>
  <c r="T468" i="7"/>
  <c r="S468" i="7"/>
  <c r="R468" i="7"/>
  <c r="P468" i="7"/>
  <c r="O468" i="7"/>
  <c r="N468" i="7"/>
  <c r="L468" i="7"/>
  <c r="K468" i="7"/>
  <c r="J468" i="7"/>
  <c r="I468" i="7"/>
  <c r="H468" i="7"/>
  <c r="G468" i="7"/>
  <c r="E468" i="7"/>
  <c r="D468" i="7"/>
  <c r="C468" i="7"/>
  <c r="V467" i="7"/>
  <c r="U467" i="7"/>
  <c r="T467" i="7"/>
  <c r="S467" i="7"/>
  <c r="R467" i="7"/>
  <c r="P467" i="7"/>
  <c r="O467" i="7"/>
  <c r="N467" i="7"/>
  <c r="L467" i="7"/>
  <c r="K467" i="7"/>
  <c r="J467" i="7"/>
  <c r="I467" i="7"/>
  <c r="H467" i="7"/>
  <c r="G467" i="7"/>
  <c r="E467" i="7"/>
  <c r="D467" i="7"/>
  <c r="C467" i="7"/>
  <c r="V466" i="7"/>
  <c r="U466" i="7"/>
  <c r="T466" i="7"/>
  <c r="S466" i="7"/>
  <c r="R466" i="7"/>
  <c r="P466" i="7"/>
  <c r="O466" i="7"/>
  <c r="N466" i="7"/>
  <c r="L466" i="7"/>
  <c r="K466" i="7"/>
  <c r="J466" i="7"/>
  <c r="I466" i="7"/>
  <c r="H466" i="7"/>
  <c r="G466" i="7"/>
  <c r="E466" i="7"/>
  <c r="D466" i="7"/>
  <c r="C466" i="7"/>
  <c r="V465" i="7"/>
  <c r="U465" i="7"/>
  <c r="T465" i="7"/>
  <c r="S465" i="7"/>
  <c r="R465" i="7"/>
  <c r="P465" i="7"/>
  <c r="O465" i="7"/>
  <c r="N465" i="7"/>
  <c r="L465" i="7"/>
  <c r="K465" i="7"/>
  <c r="J465" i="7"/>
  <c r="I465" i="7"/>
  <c r="H465" i="7"/>
  <c r="G465" i="7"/>
  <c r="E465" i="7"/>
  <c r="D465" i="7"/>
  <c r="C465" i="7"/>
  <c r="V464" i="7"/>
  <c r="U464" i="7"/>
  <c r="T464" i="7"/>
  <c r="S464" i="7"/>
  <c r="R464" i="7"/>
  <c r="P464" i="7"/>
  <c r="O464" i="7"/>
  <c r="N464" i="7"/>
  <c r="L464" i="7"/>
  <c r="K464" i="7"/>
  <c r="J464" i="7"/>
  <c r="I464" i="7"/>
  <c r="H464" i="7"/>
  <c r="G464" i="7"/>
  <c r="E464" i="7"/>
  <c r="D464" i="7"/>
  <c r="C464" i="7"/>
  <c r="V463" i="7"/>
  <c r="U463" i="7"/>
  <c r="T463" i="7"/>
  <c r="S463" i="7"/>
  <c r="R463" i="7"/>
  <c r="P463" i="7"/>
  <c r="O463" i="7"/>
  <c r="N463" i="7"/>
  <c r="L463" i="7"/>
  <c r="K463" i="7"/>
  <c r="J463" i="7"/>
  <c r="I463" i="7"/>
  <c r="H463" i="7"/>
  <c r="G463" i="7"/>
  <c r="E463" i="7"/>
  <c r="D463" i="7"/>
  <c r="C463" i="7"/>
  <c r="V462" i="7"/>
  <c r="U462" i="7"/>
  <c r="T462" i="7"/>
  <c r="S462" i="7"/>
  <c r="R462" i="7"/>
  <c r="P462" i="7"/>
  <c r="O462" i="7"/>
  <c r="N462" i="7"/>
  <c r="L462" i="7"/>
  <c r="K462" i="7"/>
  <c r="J462" i="7"/>
  <c r="I462" i="7"/>
  <c r="H462" i="7"/>
  <c r="G462" i="7"/>
  <c r="E462" i="7"/>
  <c r="D462" i="7"/>
  <c r="C462" i="7"/>
  <c r="V461" i="7"/>
  <c r="U461" i="7"/>
  <c r="T461" i="7"/>
  <c r="S461" i="7"/>
  <c r="R461" i="7"/>
  <c r="P461" i="7"/>
  <c r="O461" i="7"/>
  <c r="N461" i="7"/>
  <c r="L461" i="7"/>
  <c r="K461" i="7"/>
  <c r="J461" i="7"/>
  <c r="I461" i="7"/>
  <c r="H461" i="7"/>
  <c r="G461" i="7"/>
  <c r="E461" i="7"/>
  <c r="D461" i="7"/>
  <c r="C461" i="7"/>
  <c r="V460" i="7"/>
  <c r="U460" i="7"/>
  <c r="T460" i="7"/>
  <c r="S460" i="7"/>
  <c r="R460" i="7"/>
  <c r="P460" i="7"/>
  <c r="O460" i="7"/>
  <c r="N460" i="7"/>
  <c r="L460" i="7"/>
  <c r="K460" i="7"/>
  <c r="J460" i="7"/>
  <c r="I460" i="7"/>
  <c r="H460" i="7"/>
  <c r="G460" i="7"/>
  <c r="E460" i="7"/>
  <c r="D460" i="7"/>
  <c r="C460" i="7"/>
  <c r="V459" i="7"/>
  <c r="U459" i="7"/>
  <c r="T459" i="7"/>
  <c r="S459" i="7"/>
  <c r="R459" i="7"/>
  <c r="P459" i="7"/>
  <c r="O459" i="7"/>
  <c r="N459" i="7"/>
  <c r="L459" i="7"/>
  <c r="K459" i="7"/>
  <c r="J459" i="7"/>
  <c r="I459" i="7"/>
  <c r="H459" i="7"/>
  <c r="G459" i="7"/>
  <c r="E459" i="7"/>
  <c r="D459" i="7"/>
  <c r="C459" i="7"/>
  <c r="V458" i="7"/>
  <c r="U458" i="7"/>
  <c r="T458" i="7"/>
  <c r="S458" i="7"/>
  <c r="R458" i="7"/>
  <c r="P458" i="7"/>
  <c r="O458" i="7"/>
  <c r="N458" i="7"/>
  <c r="L458" i="7"/>
  <c r="K458" i="7"/>
  <c r="J458" i="7"/>
  <c r="I458" i="7"/>
  <c r="H458" i="7"/>
  <c r="G458" i="7"/>
  <c r="E458" i="7"/>
  <c r="D458" i="7"/>
  <c r="C458" i="7"/>
  <c r="V457" i="7"/>
  <c r="U457" i="7"/>
  <c r="T457" i="7"/>
  <c r="S457" i="7"/>
  <c r="R457" i="7"/>
  <c r="P457" i="7"/>
  <c r="O457" i="7"/>
  <c r="N457" i="7"/>
  <c r="L457" i="7"/>
  <c r="K457" i="7"/>
  <c r="J457" i="7"/>
  <c r="I457" i="7"/>
  <c r="H457" i="7"/>
  <c r="G457" i="7"/>
  <c r="E457" i="7"/>
  <c r="D457" i="7"/>
  <c r="C457" i="7"/>
  <c r="V456" i="7"/>
  <c r="U456" i="7"/>
  <c r="T456" i="7"/>
  <c r="S456" i="7"/>
  <c r="R456" i="7"/>
  <c r="P456" i="7"/>
  <c r="O456" i="7"/>
  <c r="N456" i="7"/>
  <c r="L456" i="7"/>
  <c r="K456" i="7"/>
  <c r="J456" i="7"/>
  <c r="I456" i="7"/>
  <c r="H456" i="7"/>
  <c r="G456" i="7"/>
  <c r="E456" i="7"/>
  <c r="D456" i="7"/>
  <c r="C456" i="7"/>
  <c r="V455" i="7"/>
  <c r="U455" i="7"/>
  <c r="T455" i="7"/>
  <c r="S455" i="7"/>
  <c r="R455" i="7"/>
  <c r="P455" i="7"/>
  <c r="O455" i="7"/>
  <c r="N455" i="7"/>
  <c r="L455" i="7"/>
  <c r="K455" i="7"/>
  <c r="J455" i="7"/>
  <c r="I455" i="7"/>
  <c r="H455" i="7"/>
  <c r="G455" i="7"/>
  <c r="E455" i="7"/>
  <c r="D455" i="7"/>
  <c r="C455" i="7"/>
  <c r="V454" i="7"/>
  <c r="U454" i="7"/>
  <c r="T454" i="7"/>
  <c r="S454" i="7"/>
  <c r="R454" i="7"/>
  <c r="P454" i="7"/>
  <c r="O454" i="7"/>
  <c r="N454" i="7"/>
  <c r="L454" i="7"/>
  <c r="K454" i="7"/>
  <c r="J454" i="7"/>
  <c r="I454" i="7"/>
  <c r="H454" i="7"/>
  <c r="G454" i="7"/>
  <c r="E454" i="7"/>
  <c r="D454" i="7"/>
  <c r="C454" i="7"/>
  <c r="V453" i="7"/>
  <c r="U453" i="7"/>
  <c r="T453" i="7"/>
  <c r="S453" i="7"/>
  <c r="R453" i="7"/>
  <c r="P453" i="7"/>
  <c r="O453" i="7"/>
  <c r="N453" i="7"/>
  <c r="L453" i="7"/>
  <c r="K453" i="7"/>
  <c r="J453" i="7"/>
  <c r="I453" i="7"/>
  <c r="H453" i="7"/>
  <c r="G453" i="7"/>
  <c r="E453" i="7"/>
  <c r="D453" i="7"/>
  <c r="C453" i="7"/>
  <c r="V452" i="7"/>
  <c r="U452" i="7"/>
  <c r="T452" i="7"/>
  <c r="S452" i="7"/>
  <c r="R452" i="7"/>
  <c r="P452" i="7"/>
  <c r="O452" i="7"/>
  <c r="N452" i="7"/>
  <c r="L452" i="7"/>
  <c r="K452" i="7"/>
  <c r="J452" i="7"/>
  <c r="I452" i="7"/>
  <c r="H452" i="7"/>
  <c r="G452" i="7"/>
  <c r="E452" i="7"/>
  <c r="D452" i="7"/>
  <c r="C452" i="7"/>
  <c r="V451" i="7"/>
  <c r="U451" i="7"/>
  <c r="T451" i="7"/>
  <c r="S451" i="7"/>
  <c r="R451" i="7"/>
  <c r="P451" i="7"/>
  <c r="O451" i="7"/>
  <c r="N451" i="7"/>
  <c r="L451" i="7"/>
  <c r="K451" i="7"/>
  <c r="J451" i="7"/>
  <c r="I451" i="7"/>
  <c r="H451" i="7"/>
  <c r="G451" i="7"/>
  <c r="E451" i="7"/>
  <c r="D451" i="7"/>
  <c r="C451" i="7"/>
  <c r="V450" i="7"/>
  <c r="U450" i="7"/>
  <c r="T450" i="7"/>
  <c r="S450" i="7"/>
  <c r="R450" i="7"/>
  <c r="P450" i="7"/>
  <c r="O450" i="7"/>
  <c r="N450" i="7"/>
  <c r="L450" i="7"/>
  <c r="K450" i="7"/>
  <c r="J450" i="7"/>
  <c r="I450" i="7"/>
  <c r="H450" i="7"/>
  <c r="G450" i="7"/>
  <c r="E450" i="7"/>
  <c r="D450" i="7"/>
  <c r="C450" i="7"/>
  <c r="V449" i="7"/>
  <c r="U449" i="7"/>
  <c r="T449" i="7"/>
  <c r="S449" i="7"/>
  <c r="R449" i="7"/>
  <c r="P449" i="7"/>
  <c r="O449" i="7"/>
  <c r="N449" i="7"/>
  <c r="L449" i="7"/>
  <c r="K449" i="7"/>
  <c r="J449" i="7"/>
  <c r="I449" i="7"/>
  <c r="H449" i="7"/>
  <c r="G449" i="7"/>
  <c r="E449" i="7"/>
  <c r="D449" i="7"/>
  <c r="C449" i="7"/>
  <c r="V448" i="7"/>
  <c r="U448" i="7"/>
  <c r="T448" i="7"/>
  <c r="S448" i="7"/>
  <c r="R448" i="7"/>
  <c r="P448" i="7"/>
  <c r="O448" i="7"/>
  <c r="N448" i="7"/>
  <c r="L448" i="7"/>
  <c r="K448" i="7"/>
  <c r="J448" i="7"/>
  <c r="I448" i="7"/>
  <c r="H448" i="7"/>
  <c r="G448" i="7"/>
  <c r="E448" i="7"/>
  <c r="D448" i="7"/>
  <c r="C448" i="7"/>
  <c r="V447" i="7"/>
  <c r="U447" i="7"/>
  <c r="T447" i="7"/>
  <c r="S447" i="7"/>
  <c r="R447" i="7"/>
  <c r="P447" i="7"/>
  <c r="O447" i="7"/>
  <c r="N447" i="7"/>
  <c r="L447" i="7"/>
  <c r="K447" i="7"/>
  <c r="J447" i="7"/>
  <c r="I447" i="7"/>
  <c r="H447" i="7"/>
  <c r="G447" i="7"/>
  <c r="E447" i="7"/>
  <c r="D447" i="7"/>
  <c r="C447" i="7"/>
  <c r="V446" i="7"/>
  <c r="U446" i="7"/>
  <c r="T446" i="7"/>
  <c r="S446" i="7"/>
  <c r="R446" i="7"/>
  <c r="P446" i="7"/>
  <c r="O446" i="7"/>
  <c r="N446" i="7"/>
  <c r="L446" i="7"/>
  <c r="K446" i="7"/>
  <c r="J446" i="7"/>
  <c r="I446" i="7"/>
  <c r="H446" i="7"/>
  <c r="G446" i="7"/>
  <c r="E446" i="7"/>
  <c r="D446" i="7"/>
  <c r="C446" i="7"/>
  <c r="V445" i="7"/>
  <c r="U445" i="7"/>
  <c r="T445" i="7"/>
  <c r="S445" i="7"/>
  <c r="R445" i="7"/>
  <c r="P445" i="7"/>
  <c r="O445" i="7"/>
  <c r="N445" i="7"/>
  <c r="L445" i="7"/>
  <c r="K445" i="7"/>
  <c r="J445" i="7"/>
  <c r="I445" i="7"/>
  <c r="H445" i="7"/>
  <c r="G445" i="7"/>
  <c r="E445" i="7"/>
  <c r="D445" i="7"/>
  <c r="C445" i="7"/>
  <c r="V444" i="7"/>
  <c r="U444" i="7"/>
  <c r="T444" i="7"/>
  <c r="S444" i="7"/>
  <c r="R444" i="7"/>
  <c r="P444" i="7"/>
  <c r="O444" i="7"/>
  <c r="N444" i="7"/>
  <c r="L444" i="7"/>
  <c r="K444" i="7"/>
  <c r="J444" i="7"/>
  <c r="I444" i="7"/>
  <c r="H444" i="7"/>
  <c r="G444" i="7"/>
  <c r="E444" i="7"/>
  <c r="D444" i="7"/>
  <c r="C444" i="7"/>
  <c r="V443" i="7"/>
  <c r="U443" i="7"/>
  <c r="T443" i="7"/>
  <c r="S443" i="7"/>
  <c r="R443" i="7"/>
  <c r="P443" i="7"/>
  <c r="O443" i="7"/>
  <c r="N443" i="7"/>
  <c r="L443" i="7"/>
  <c r="K443" i="7"/>
  <c r="J443" i="7"/>
  <c r="I443" i="7"/>
  <c r="H443" i="7"/>
  <c r="G443" i="7"/>
  <c r="E443" i="7"/>
  <c r="D443" i="7"/>
  <c r="C443" i="7"/>
  <c r="V442" i="7"/>
  <c r="U442" i="7"/>
  <c r="T442" i="7"/>
  <c r="S442" i="7"/>
  <c r="R442" i="7"/>
  <c r="P442" i="7"/>
  <c r="O442" i="7"/>
  <c r="N442" i="7"/>
  <c r="L442" i="7"/>
  <c r="K442" i="7"/>
  <c r="J442" i="7"/>
  <c r="I442" i="7"/>
  <c r="H442" i="7"/>
  <c r="G442" i="7"/>
  <c r="E442" i="7"/>
  <c r="D442" i="7"/>
  <c r="C442" i="7"/>
  <c r="V441" i="7"/>
  <c r="U441" i="7"/>
  <c r="T441" i="7"/>
  <c r="S441" i="7"/>
  <c r="R441" i="7"/>
  <c r="P441" i="7"/>
  <c r="O441" i="7"/>
  <c r="N441" i="7"/>
  <c r="L441" i="7"/>
  <c r="K441" i="7"/>
  <c r="J441" i="7"/>
  <c r="I441" i="7"/>
  <c r="H441" i="7"/>
  <c r="G441" i="7"/>
  <c r="E441" i="7"/>
  <c r="D441" i="7"/>
  <c r="C441" i="7"/>
  <c r="V440" i="7"/>
  <c r="U440" i="7"/>
  <c r="T440" i="7"/>
  <c r="S440" i="7"/>
  <c r="R440" i="7"/>
  <c r="P440" i="7"/>
  <c r="O440" i="7"/>
  <c r="N440" i="7"/>
  <c r="L440" i="7"/>
  <c r="K440" i="7"/>
  <c r="J440" i="7"/>
  <c r="I440" i="7"/>
  <c r="H440" i="7"/>
  <c r="G440" i="7"/>
  <c r="E440" i="7"/>
  <c r="D440" i="7"/>
  <c r="C440" i="7"/>
  <c r="V439" i="7"/>
  <c r="U439" i="7"/>
  <c r="T439" i="7"/>
  <c r="S439" i="7"/>
  <c r="R439" i="7"/>
  <c r="P439" i="7"/>
  <c r="O439" i="7"/>
  <c r="N439" i="7"/>
  <c r="L439" i="7"/>
  <c r="K439" i="7"/>
  <c r="J439" i="7"/>
  <c r="I439" i="7"/>
  <c r="H439" i="7"/>
  <c r="G439" i="7"/>
  <c r="E439" i="7"/>
  <c r="D439" i="7"/>
  <c r="C439" i="7"/>
  <c r="V438" i="7"/>
  <c r="U438" i="7"/>
  <c r="T438" i="7"/>
  <c r="S438" i="7"/>
  <c r="R438" i="7"/>
  <c r="P438" i="7"/>
  <c r="O438" i="7"/>
  <c r="N438" i="7"/>
  <c r="L438" i="7"/>
  <c r="K438" i="7"/>
  <c r="J438" i="7"/>
  <c r="I438" i="7"/>
  <c r="H438" i="7"/>
  <c r="G438" i="7"/>
  <c r="E438" i="7"/>
  <c r="D438" i="7"/>
  <c r="C438" i="7"/>
  <c r="V437" i="7"/>
  <c r="U437" i="7"/>
  <c r="T437" i="7"/>
  <c r="S437" i="7"/>
  <c r="R437" i="7"/>
  <c r="P437" i="7"/>
  <c r="O437" i="7"/>
  <c r="N437" i="7"/>
  <c r="L437" i="7"/>
  <c r="K437" i="7"/>
  <c r="J437" i="7"/>
  <c r="I437" i="7"/>
  <c r="H437" i="7"/>
  <c r="G437" i="7"/>
  <c r="E437" i="7"/>
  <c r="D437" i="7"/>
  <c r="C437" i="7"/>
  <c r="V436" i="7"/>
  <c r="U436" i="7"/>
  <c r="T436" i="7"/>
  <c r="S436" i="7"/>
  <c r="R436" i="7"/>
  <c r="P436" i="7"/>
  <c r="O436" i="7"/>
  <c r="N436" i="7"/>
  <c r="L436" i="7"/>
  <c r="K436" i="7"/>
  <c r="J436" i="7"/>
  <c r="I436" i="7"/>
  <c r="H436" i="7"/>
  <c r="G436" i="7"/>
  <c r="E436" i="7"/>
  <c r="D436" i="7"/>
  <c r="C436" i="7"/>
  <c r="V435" i="7"/>
  <c r="U435" i="7"/>
  <c r="T435" i="7"/>
  <c r="S435" i="7"/>
  <c r="R435" i="7"/>
  <c r="P435" i="7"/>
  <c r="O435" i="7"/>
  <c r="N435" i="7"/>
  <c r="L435" i="7"/>
  <c r="K435" i="7"/>
  <c r="J435" i="7"/>
  <c r="I435" i="7"/>
  <c r="H435" i="7"/>
  <c r="G435" i="7"/>
  <c r="E435" i="7"/>
  <c r="D435" i="7"/>
  <c r="C435" i="7"/>
  <c r="V434" i="7"/>
  <c r="U434" i="7"/>
  <c r="T434" i="7"/>
  <c r="S434" i="7"/>
  <c r="R434" i="7"/>
  <c r="P434" i="7"/>
  <c r="O434" i="7"/>
  <c r="N434" i="7"/>
  <c r="L434" i="7"/>
  <c r="K434" i="7"/>
  <c r="J434" i="7"/>
  <c r="I434" i="7"/>
  <c r="H434" i="7"/>
  <c r="G434" i="7"/>
  <c r="E434" i="7"/>
  <c r="D434" i="7"/>
  <c r="C434" i="7"/>
  <c r="V433" i="7"/>
  <c r="U433" i="7"/>
  <c r="T433" i="7"/>
  <c r="S433" i="7"/>
  <c r="R433" i="7"/>
  <c r="P433" i="7"/>
  <c r="O433" i="7"/>
  <c r="N433" i="7"/>
  <c r="L433" i="7"/>
  <c r="K433" i="7"/>
  <c r="J433" i="7"/>
  <c r="I433" i="7"/>
  <c r="H433" i="7"/>
  <c r="G433" i="7"/>
  <c r="E433" i="7"/>
  <c r="D433" i="7"/>
  <c r="C433" i="7"/>
  <c r="V432" i="7"/>
  <c r="U432" i="7"/>
  <c r="T432" i="7"/>
  <c r="S432" i="7"/>
  <c r="R432" i="7"/>
  <c r="P432" i="7"/>
  <c r="O432" i="7"/>
  <c r="N432" i="7"/>
  <c r="L432" i="7"/>
  <c r="K432" i="7"/>
  <c r="J432" i="7"/>
  <c r="I432" i="7"/>
  <c r="H432" i="7"/>
  <c r="G432" i="7"/>
  <c r="E432" i="7"/>
  <c r="D432" i="7"/>
  <c r="C432" i="7"/>
  <c r="V431" i="7"/>
  <c r="U431" i="7"/>
  <c r="T431" i="7"/>
  <c r="S431" i="7"/>
  <c r="R431" i="7"/>
  <c r="P431" i="7"/>
  <c r="O431" i="7"/>
  <c r="N431" i="7"/>
  <c r="L431" i="7"/>
  <c r="K431" i="7"/>
  <c r="J431" i="7"/>
  <c r="I431" i="7"/>
  <c r="H431" i="7"/>
  <c r="G431" i="7"/>
  <c r="E431" i="7"/>
  <c r="D431" i="7"/>
  <c r="C431" i="7"/>
  <c r="V430" i="7"/>
  <c r="U430" i="7"/>
  <c r="T430" i="7"/>
  <c r="S430" i="7"/>
  <c r="R430" i="7"/>
  <c r="P430" i="7"/>
  <c r="O430" i="7"/>
  <c r="N430" i="7"/>
  <c r="L430" i="7"/>
  <c r="K430" i="7"/>
  <c r="J430" i="7"/>
  <c r="I430" i="7"/>
  <c r="H430" i="7"/>
  <c r="G430" i="7"/>
  <c r="E430" i="7"/>
  <c r="D430" i="7"/>
  <c r="C430" i="7"/>
  <c r="V429" i="7"/>
  <c r="U429" i="7"/>
  <c r="T429" i="7"/>
  <c r="S429" i="7"/>
  <c r="R429" i="7"/>
  <c r="P429" i="7"/>
  <c r="O429" i="7"/>
  <c r="N429" i="7"/>
  <c r="L429" i="7"/>
  <c r="K429" i="7"/>
  <c r="J429" i="7"/>
  <c r="I429" i="7"/>
  <c r="H429" i="7"/>
  <c r="G429" i="7"/>
  <c r="E429" i="7"/>
  <c r="D429" i="7"/>
  <c r="C429" i="7"/>
  <c r="V428" i="7"/>
  <c r="U428" i="7"/>
  <c r="T428" i="7"/>
  <c r="S428" i="7"/>
  <c r="R428" i="7"/>
  <c r="P428" i="7"/>
  <c r="O428" i="7"/>
  <c r="N428" i="7"/>
  <c r="L428" i="7"/>
  <c r="K428" i="7"/>
  <c r="J428" i="7"/>
  <c r="I428" i="7"/>
  <c r="H428" i="7"/>
  <c r="G428" i="7"/>
  <c r="E428" i="7"/>
  <c r="D428" i="7"/>
  <c r="C428" i="7"/>
  <c r="V427" i="7"/>
  <c r="U427" i="7"/>
  <c r="T427" i="7"/>
  <c r="S427" i="7"/>
  <c r="R427" i="7"/>
  <c r="P427" i="7"/>
  <c r="O427" i="7"/>
  <c r="N427" i="7"/>
  <c r="L427" i="7"/>
  <c r="K427" i="7"/>
  <c r="J427" i="7"/>
  <c r="I427" i="7"/>
  <c r="H427" i="7"/>
  <c r="G427" i="7"/>
  <c r="E427" i="7"/>
  <c r="D427" i="7"/>
  <c r="C427" i="7"/>
  <c r="V426" i="7"/>
  <c r="U426" i="7"/>
  <c r="T426" i="7"/>
  <c r="S426" i="7"/>
  <c r="R426" i="7"/>
  <c r="P426" i="7"/>
  <c r="O426" i="7"/>
  <c r="N426" i="7"/>
  <c r="L426" i="7"/>
  <c r="K426" i="7"/>
  <c r="J426" i="7"/>
  <c r="I426" i="7"/>
  <c r="H426" i="7"/>
  <c r="G426" i="7"/>
  <c r="E426" i="7"/>
  <c r="D426" i="7"/>
  <c r="C426" i="7"/>
  <c r="V425" i="7"/>
  <c r="U425" i="7"/>
  <c r="T425" i="7"/>
  <c r="S425" i="7"/>
  <c r="R425" i="7"/>
  <c r="P425" i="7"/>
  <c r="O425" i="7"/>
  <c r="N425" i="7"/>
  <c r="L425" i="7"/>
  <c r="K425" i="7"/>
  <c r="J425" i="7"/>
  <c r="I425" i="7"/>
  <c r="H425" i="7"/>
  <c r="G425" i="7"/>
  <c r="E425" i="7"/>
  <c r="D425" i="7"/>
  <c r="C425" i="7"/>
  <c r="V424" i="7"/>
  <c r="U424" i="7"/>
  <c r="T424" i="7"/>
  <c r="S424" i="7"/>
  <c r="R424" i="7"/>
  <c r="P424" i="7"/>
  <c r="O424" i="7"/>
  <c r="N424" i="7"/>
  <c r="L424" i="7"/>
  <c r="K424" i="7"/>
  <c r="J424" i="7"/>
  <c r="I424" i="7"/>
  <c r="H424" i="7"/>
  <c r="G424" i="7"/>
  <c r="E424" i="7"/>
  <c r="D424" i="7"/>
  <c r="C424" i="7"/>
  <c r="V423" i="7"/>
  <c r="U423" i="7"/>
  <c r="T423" i="7"/>
  <c r="S423" i="7"/>
  <c r="R423" i="7"/>
  <c r="P423" i="7"/>
  <c r="O423" i="7"/>
  <c r="N423" i="7"/>
  <c r="L423" i="7"/>
  <c r="K423" i="7"/>
  <c r="J423" i="7"/>
  <c r="I423" i="7"/>
  <c r="H423" i="7"/>
  <c r="G423" i="7"/>
  <c r="E423" i="7"/>
  <c r="D423" i="7"/>
  <c r="C423" i="7"/>
  <c r="V422" i="7"/>
  <c r="U422" i="7"/>
  <c r="T422" i="7"/>
  <c r="S422" i="7"/>
  <c r="R422" i="7"/>
  <c r="P422" i="7"/>
  <c r="O422" i="7"/>
  <c r="N422" i="7"/>
  <c r="L422" i="7"/>
  <c r="K422" i="7"/>
  <c r="J422" i="7"/>
  <c r="I422" i="7"/>
  <c r="H422" i="7"/>
  <c r="G422" i="7"/>
  <c r="E422" i="7"/>
  <c r="D422" i="7"/>
  <c r="C422" i="7"/>
  <c r="V421" i="7"/>
  <c r="U421" i="7"/>
  <c r="T421" i="7"/>
  <c r="S421" i="7"/>
  <c r="R421" i="7"/>
  <c r="P421" i="7"/>
  <c r="O421" i="7"/>
  <c r="N421" i="7"/>
  <c r="L421" i="7"/>
  <c r="K421" i="7"/>
  <c r="J421" i="7"/>
  <c r="I421" i="7"/>
  <c r="H421" i="7"/>
  <c r="G421" i="7"/>
  <c r="E421" i="7"/>
  <c r="D421" i="7"/>
  <c r="C421" i="7"/>
  <c r="V420" i="7"/>
  <c r="U420" i="7"/>
  <c r="T420" i="7"/>
  <c r="S420" i="7"/>
  <c r="R420" i="7"/>
  <c r="P420" i="7"/>
  <c r="O420" i="7"/>
  <c r="N420" i="7"/>
  <c r="L420" i="7"/>
  <c r="K420" i="7"/>
  <c r="J420" i="7"/>
  <c r="I420" i="7"/>
  <c r="H420" i="7"/>
  <c r="G420" i="7"/>
  <c r="E420" i="7"/>
  <c r="D420" i="7"/>
  <c r="C420" i="7"/>
  <c r="V419" i="7"/>
  <c r="U419" i="7"/>
  <c r="T419" i="7"/>
  <c r="S419" i="7"/>
  <c r="R419" i="7"/>
  <c r="P419" i="7"/>
  <c r="O419" i="7"/>
  <c r="N419" i="7"/>
  <c r="L419" i="7"/>
  <c r="K419" i="7"/>
  <c r="J419" i="7"/>
  <c r="I419" i="7"/>
  <c r="H419" i="7"/>
  <c r="G419" i="7"/>
  <c r="E419" i="7"/>
  <c r="D419" i="7"/>
  <c r="C419" i="7"/>
  <c r="V418" i="7"/>
  <c r="U418" i="7"/>
  <c r="T418" i="7"/>
  <c r="S418" i="7"/>
  <c r="R418" i="7"/>
  <c r="P418" i="7"/>
  <c r="O418" i="7"/>
  <c r="N418" i="7"/>
  <c r="L418" i="7"/>
  <c r="K418" i="7"/>
  <c r="J418" i="7"/>
  <c r="I418" i="7"/>
  <c r="H418" i="7"/>
  <c r="G418" i="7"/>
  <c r="E418" i="7"/>
  <c r="D418" i="7"/>
  <c r="C418" i="7"/>
  <c r="V417" i="7"/>
  <c r="U417" i="7"/>
  <c r="T417" i="7"/>
  <c r="S417" i="7"/>
  <c r="R417" i="7"/>
  <c r="P417" i="7"/>
  <c r="O417" i="7"/>
  <c r="N417" i="7"/>
  <c r="L417" i="7"/>
  <c r="K417" i="7"/>
  <c r="J417" i="7"/>
  <c r="I417" i="7"/>
  <c r="H417" i="7"/>
  <c r="G417" i="7"/>
  <c r="E417" i="7"/>
  <c r="D417" i="7"/>
  <c r="C417" i="7"/>
  <c r="V416" i="7"/>
  <c r="U416" i="7"/>
  <c r="T416" i="7"/>
  <c r="S416" i="7"/>
  <c r="R416" i="7"/>
  <c r="P416" i="7"/>
  <c r="O416" i="7"/>
  <c r="N416" i="7"/>
  <c r="L416" i="7"/>
  <c r="K416" i="7"/>
  <c r="J416" i="7"/>
  <c r="I416" i="7"/>
  <c r="H416" i="7"/>
  <c r="G416" i="7"/>
  <c r="E416" i="7"/>
  <c r="D416" i="7"/>
  <c r="C416" i="7"/>
  <c r="V415" i="7"/>
  <c r="U415" i="7"/>
  <c r="T415" i="7"/>
  <c r="S415" i="7"/>
  <c r="R415" i="7"/>
  <c r="P415" i="7"/>
  <c r="O415" i="7"/>
  <c r="N415" i="7"/>
  <c r="L415" i="7"/>
  <c r="K415" i="7"/>
  <c r="J415" i="7"/>
  <c r="I415" i="7"/>
  <c r="H415" i="7"/>
  <c r="G415" i="7"/>
  <c r="E415" i="7"/>
  <c r="D415" i="7"/>
  <c r="C415" i="7"/>
  <c r="V414" i="7"/>
  <c r="U414" i="7"/>
  <c r="T414" i="7"/>
  <c r="S414" i="7"/>
  <c r="R414" i="7"/>
  <c r="P414" i="7"/>
  <c r="O414" i="7"/>
  <c r="N414" i="7"/>
  <c r="L414" i="7"/>
  <c r="K414" i="7"/>
  <c r="J414" i="7"/>
  <c r="I414" i="7"/>
  <c r="H414" i="7"/>
  <c r="G414" i="7"/>
  <c r="E414" i="7"/>
  <c r="D414" i="7"/>
  <c r="C414" i="7"/>
  <c r="V413" i="7"/>
  <c r="U413" i="7"/>
  <c r="T413" i="7"/>
  <c r="S413" i="7"/>
  <c r="R413" i="7"/>
  <c r="P413" i="7"/>
  <c r="O413" i="7"/>
  <c r="N413" i="7"/>
  <c r="L413" i="7"/>
  <c r="K413" i="7"/>
  <c r="J413" i="7"/>
  <c r="I413" i="7"/>
  <c r="H413" i="7"/>
  <c r="G413" i="7"/>
  <c r="E413" i="7"/>
  <c r="D413" i="7"/>
  <c r="C413" i="7"/>
  <c r="V412" i="7"/>
  <c r="U412" i="7"/>
  <c r="T412" i="7"/>
  <c r="S412" i="7"/>
  <c r="R412" i="7"/>
  <c r="P412" i="7"/>
  <c r="O412" i="7"/>
  <c r="N412" i="7"/>
  <c r="L412" i="7"/>
  <c r="K412" i="7"/>
  <c r="J412" i="7"/>
  <c r="I412" i="7"/>
  <c r="H412" i="7"/>
  <c r="G412" i="7"/>
  <c r="E412" i="7"/>
  <c r="D412" i="7"/>
  <c r="C412" i="7"/>
  <c r="V411" i="7"/>
  <c r="U411" i="7"/>
  <c r="T411" i="7"/>
  <c r="S411" i="7"/>
  <c r="R411" i="7"/>
  <c r="P411" i="7"/>
  <c r="O411" i="7"/>
  <c r="N411" i="7"/>
  <c r="L411" i="7"/>
  <c r="K411" i="7"/>
  <c r="J411" i="7"/>
  <c r="I411" i="7"/>
  <c r="H411" i="7"/>
  <c r="G411" i="7"/>
  <c r="E411" i="7"/>
  <c r="D411" i="7"/>
  <c r="C411" i="7"/>
  <c r="V410" i="7"/>
  <c r="U410" i="7"/>
  <c r="T410" i="7"/>
  <c r="S410" i="7"/>
  <c r="R410" i="7"/>
  <c r="P410" i="7"/>
  <c r="O410" i="7"/>
  <c r="N410" i="7"/>
  <c r="L410" i="7"/>
  <c r="K410" i="7"/>
  <c r="J410" i="7"/>
  <c r="I410" i="7"/>
  <c r="H410" i="7"/>
  <c r="G410" i="7"/>
  <c r="E410" i="7"/>
  <c r="D410" i="7"/>
  <c r="C410" i="7"/>
  <c r="V409" i="7"/>
  <c r="U409" i="7"/>
  <c r="T409" i="7"/>
  <c r="S409" i="7"/>
  <c r="R409" i="7"/>
  <c r="P409" i="7"/>
  <c r="O409" i="7"/>
  <c r="N409" i="7"/>
  <c r="L409" i="7"/>
  <c r="K409" i="7"/>
  <c r="J409" i="7"/>
  <c r="I409" i="7"/>
  <c r="H409" i="7"/>
  <c r="G409" i="7"/>
  <c r="E409" i="7"/>
  <c r="D409" i="7"/>
  <c r="C409" i="7"/>
  <c r="V408" i="7"/>
  <c r="U408" i="7"/>
  <c r="T408" i="7"/>
  <c r="S408" i="7"/>
  <c r="R408" i="7"/>
  <c r="P408" i="7"/>
  <c r="O408" i="7"/>
  <c r="N408" i="7"/>
  <c r="L408" i="7"/>
  <c r="K408" i="7"/>
  <c r="J408" i="7"/>
  <c r="I408" i="7"/>
  <c r="H408" i="7"/>
  <c r="G408" i="7"/>
  <c r="E408" i="7"/>
  <c r="D408" i="7"/>
  <c r="C408" i="7"/>
  <c r="V407" i="7"/>
  <c r="U407" i="7"/>
  <c r="T407" i="7"/>
  <c r="S407" i="7"/>
  <c r="R407" i="7"/>
  <c r="P407" i="7"/>
  <c r="O407" i="7"/>
  <c r="N407" i="7"/>
  <c r="L407" i="7"/>
  <c r="K407" i="7"/>
  <c r="J407" i="7"/>
  <c r="I407" i="7"/>
  <c r="H407" i="7"/>
  <c r="G407" i="7"/>
  <c r="E407" i="7"/>
  <c r="D407" i="7"/>
  <c r="C407" i="7"/>
  <c r="V406" i="7"/>
  <c r="U406" i="7"/>
  <c r="T406" i="7"/>
  <c r="S406" i="7"/>
  <c r="R406" i="7"/>
  <c r="P406" i="7"/>
  <c r="O406" i="7"/>
  <c r="N406" i="7"/>
  <c r="L406" i="7"/>
  <c r="K406" i="7"/>
  <c r="J406" i="7"/>
  <c r="I406" i="7"/>
  <c r="H406" i="7"/>
  <c r="G406" i="7"/>
  <c r="E406" i="7"/>
  <c r="D406" i="7"/>
  <c r="C406" i="7"/>
  <c r="V405" i="7"/>
  <c r="U405" i="7"/>
  <c r="T405" i="7"/>
  <c r="S405" i="7"/>
  <c r="R405" i="7"/>
  <c r="P405" i="7"/>
  <c r="O405" i="7"/>
  <c r="N405" i="7"/>
  <c r="L405" i="7"/>
  <c r="K405" i="7"/>
  <c r="J405" i="7"/>
  <c r="I405" i="7"/>
  <c r="H405" i="7"/>
  <c r="G405" i="7"/>
  <c r="E405" i="7"/>
  <c r="D405" i="7"/>
  <c r="C405" i="7"/>
  <c r="V404" i="7"/>
  <c r="U404" i="7"/>
  <c r="T404" i="7"/>
  <c r="S404" i="7"/>
  <c r="R404" i="7"/>
  <c r="P404" i="7"/>
  <c r="O404" i="7"/>
  <c r="N404" i="7"/>
  <c r="L404" i="7"/>
  <c r="K404" i="7"/>
  <c r="J404" i="7"/>
  <c r="I404" i="7"/>
  <c r="H404" i="7"/>
  <c r="G404" i="7"/>
  <c r="E404" i="7"/>
  <c r="D404" i="7"/>
  <c r="C404" i="7"/>
  <c r="V403" i="7"/>
  <c r="U403" i="7"/>
  <c r="T403" i="7"/>
  <c r="S403" i="7"/>
  <c r="R403" i="7"/>
  <c r="P403" i="7"/>
  <c r="O403" i="7"/>
  <c r="N403" i="7"/>
  <c r="L403" i="7"/>
  <c r="K403" i="7"/>
  <c r="J403" i="7"/>
  <c r="I403" i="7"/>
  <c r="H403" i="7"/>
  <c r="G403" i="7"/>
  <c r="E403" i="7"/>
  <c r="D403" i="7"/>
  <c r="C403" i="7"/>
  <c r="V402" i="7"/>
  <c r="U402" i="7"/>
  <c r="T402" i="7"/>
  <c r="S402" i="7"/>
  <c r="R402" i="7"/>
  <c r="P402" i="7"/>
  <c r="O402" i="7"/>
  <c r="N402" i="7"/>
  <c r="L402" i="7"/>
  <c r="K402" i="7"/>
  <c r="J402" i="7"/>
  <c r="I402" i="7"/>
  <c r="H402" i="7"/>
  <c r="G402" i="7"/>
  <c r="E402" i="7"/>
  <c r="D402" i="7"/>
  <c r="C402" i="7"/>
  <c r="V401" i="7"/>
  <c r="U401" i="7"/>
  <c r="T401" i="7"/>
  <c r="S401" i="7"/>
  <c r="R401" i="7"/>
  <c r="P401" i="7"/>
  <c r="O401" i="7"/>
  <c r="N401" i="7"/>
  <c r="L401" i="7"/>
  <c r="K401" i="7"/>
  <c r="J401" i="7"/>
  <c r="I401" i="7"/>
  <c r="H401" i="7"/>
  <c r="G401" i="7"/>
  <c r="E401" i="7"/>
  <c r="D401" i="7"/>
  <c r="C401" i="7"/>
  <c r="V400" i="7"/>
  <c r="U400" i="7"/>
  <c r="T400" i="7"/>
  <c r="S400" i="7"/>
  <c r="R400" i="7"/>
  <c r="P400" i="7"/>
  <c r="O400" i="7"/>
  <c r="N400" i="7"/>
  <c r="L400" i="7"/>
  <c r="K400" i="7"/>
  <c r="J400" i="7"/>
  <c r="I400" i="7"/>
  <c r="H400" i="7"/>
  <c r="G400" i="7"/>
  <c r="E400" i="7"/>
  <c r="D400" i="7"/>
  <c r="C400" i="7"/>
  <c r="V399" i="7"/>
  <c r="U399" i="7"/>
  <c r="T399" i="7"/>
  <c r="S399" i="7"/>
  <c r="R399" i="7"/>
  <c r="P399" i="7"/>
  <c r="O399" i="7"/>
  <c r="N399" i="7"/>
  <c r="L399" i="7"/>
  <c r="K399" i="7"/>
  <c r="J399" i="7"/>
  <c r="I399" i="7"/>
  <c r="H399" i="7"/>
  <c r="G399" i="7"/>
  <c r="E399" i="7"/>
  <c r="D399" i="7"/>
  <c r="C399" i="7"/>
  <c r="V398" i="7"/>
  <c r="U398" i="7"/>
  <c r="T398" i="7"/>
  <c r="S398" i="7"/>
  <c r="R398" i="7"/>
  <c r="P398" i="7"/>
  <c r="O398" i="7"/>
  <c r="N398" i="7"/>
  <c r="L398" i="7"/>
  <c r="K398" i="7"/>
  <c r="J398" i="7"/>
  <c r="I398" i="7"/>
  <c r="H398" i="7"/>
  <c r="G398" i="7"/>
  <c r="E398" i="7"/>
  <c r="D398" i="7"/>
  <c r="C398" i="7"/>
  <c r="V397" i="7"/>
  <c r="U397" i="7"/>
  <c r="T397" i="7"/>
  <c r="S397" i="7"/>
  <c r="R397" i="7"/>
  <c r="P397" i="7"/>
  <c r="O397" i="7"/>
  <c r="N397" i="7"/>
  <c r="L397" i="7"/>
  <c r="K397" i="7"/>
  <c r="J397" i="7"/>
  <c r="I397" i="7"/>
  <c r="H397" i="7"/>
  <c r="G397" i="7"/>
  <c r="E397" i="7"/>
  <c r="D397" i="7"/>
  <c r="C397" i="7"/>
  <c r="V396" i="7"/>
  <c r="U396" i="7"/>
  <c r="T396" i="7"/>
  <c r="S396" i="7"/>
  <c r="R396" i="7"/>
  <c r="P396" i="7"/>
  <c r="O396" i="7"/>
  <c r="N396" i="7"/>
  <c r="L396" i="7"/>
  <c r="K396" i="7"/>
  <c r="J396" i="7"/>
  <c r="I396" i="7"/>
  <c r="H396" i="7"/>
  <c r="G396" i="7"/>
  <c r="E396" i="7"/>
  <c r="D396" i="7"/>
  <c r="C396" i="7"/>
  <c r="V395" i="7"/>
  <c r="U395" i="7"/>
  <c r="T395" i="7"/>
  <c r="S395" i="7"/>
  <c r="R395" i="7"/>
  <c r="P395" i="7"/>
  <c r="O395" i="7"/>
  <c r="N395" i="7"/>
  <c r="L395" i="7"/>
  <c r="K395" i="7"/>
  <c r="J395" i="7"/>
  <c r="I395" i="7"/>
  <c r="H395" i="7"/>
  <c r="G395" i="7"/>
  <c r="E395" i="7"/>
  <c r="D395" i="7"/>
  <c r="C395" i="7"/>
  <c r="V394" i="7"/>
  <c r="U394" i="7"/>
  <c r="T394" i="7"/>
  <c r="S394" i="7"/>
  <c r="R394" i="7"/>
  <c r="P394" i="7"/>
  <c r="O394" i="7"/>
  <c r="N394" i="7"/>
  <c r="L394" i="7"/>
  <c r="K394" i="7"/>
  <c r="J394" i="7"/>
  <c r="I394" i="7"/>
  <c r="H394" i="7"/>
  <c r="G394" i="7"/>
  <c r="E394" i="7"/>
  <c r="D394" i="7"/>
  <c r="C394" i="7"/>
  <c r="V393" i="7"/>
  <c r="U393" i="7"/>
  <c r="T393" i="7"/>
  <c r="S393" i="7"/>
  <c r="R393" i="7"/>
  <c r="P393" i="7"/>
  <c r="O393" i="7"/>
  <c r="N393" i="7"/>
  <c r="L393" i="7"/>
  <c r="K393" i="7"/>
  <c r="J393" i="7"/>
  <c r="I393" i="7"/>
  <c r="H393" i="7"/>
  <c r="G393" i="7"/>
  <c r="E393" i="7"/>
  <c r="D393" i="7"/>
  <c r="C393" i="7"/>
  <c r="V392" i="7"/>
  <c r="U392" i="7"/>
  <c r="T392" i="7"/>
  <c r="S392" i="7"/>
  <c r="R392" i="7"/>
  <c r="P392" i="7"/>
  <c r="O392" i="7"/>
  <c r="N392" i="7"/>
  <c r="L392" i="7"/>
  <c r="K392" i="7"/>
  <c r="J392" i="7"/>
  <c r="I392" i="7"/>
  <c r="H392" i="7"/>
  <c r="G392" i="7"/>
  <c r="E392" i="7"/>
  <c r="D392" i="7"/>
  <c r="C392" i="7"/>
  <c r="V391" i="7"/>
  <c r="U391" i="7"/>
  <c r="T391" i="7"/>
  <c r="S391" i="7"/>
  <c r="R391" i="7"/>
  <c r="P391" i="7"/>
  <c r="O391" i="7"/>
  <c r="N391" i="7"/>
  <c r="L391" i="7"/>
  <c r="K391" i="7"/>
  <c r="J391" i="7"/>
  <c r="I391" i="7"/>
  <c r="H391" i="7"/>
  <c r="G391" i="7"/>
  <c r="E391" i="7"/>
  <c r="D391" i="7"/>
  <c r="C391" i="7"/>
  <c r="V390" i="7"/>
  <c r="U390" i="7"/>
  <c r="T390" i="7"/>
  <c r="S390" i="7"/>
  <c r="R390" i="7"/>
  <c r="P390" i="7"/>
  <c r="O390" i="7"/>
  <c r="N390" i="7"/>
  <c r="L390" i="7"/>
  <c r="K390" i="7"/>
  <c r="J390" i="7"/>
  <c r="I390" i="7"/>
  <c r="H390" i="7"/>
  <c r="G390" i="7"/>
  <c r="E390" i="7"/>
  <c r="D390" i="7"/>
  <c r="C390" i="7"/>
  <c r="V389" i="7"/>
  <c r="U389" i="7"/>
  <c r="T389" i="7"/>
  <c r="S389" i="7"/>
  <c r="R389" i="7"/>
  <c r="P389" i="7"/>
  <c r="O389" i="7"/>
  <c r="N389" i="7"/>
  <c r="L389" i="7"/>
  <c r="K389" i="7"/>
  <c r="J389" i="7"/>
  <c r="I389" i="7"/>
  <c r="H389" i="7"/>
  <c r="G389" i="7"/>
  <c r="E389" i="7"/>
  <c r="D389" i="7"/>
  <c r="C389" i="7"/>
  <c r="V388" i="7"/>
  <c r="U388" i="7"/>
  <c r="T388" i="7"/>
  <c r="S388" i="7"/>
  <c r="R388" i="7"/>
  <c r="P388" i="7"/>
  <c r="O388" i="7"/>
  <c r="N388" i="7"/>
  <c r="L388" i="7"/>
  <c r="K388" i="7"/>
  <c r="J388" i="7"/>
  <c r="I388" i="7"/>
  <c r="H388" i="7"/>
  <c r="G388" i="7"/>
  <c r="E388" i="7"/>
  <c r="D388" i="7"/>
  <c r="C388" i="7"/>
  <c r="V387" i="7"/>
  <c r="U387" i="7"/>
  <c r="T387" i="7"/>
  <c r="S387" i="7"/>
  <c r="R387" i="7"/>
  <c r="P387" i="7"/>
  <c r="O387" i="7"/>
  <c r="N387" i="7"/>
  <c r="L387" i="7"/>
  <c r="K387" i="7"/>
  <c r="J387" i="7"/>
  <c r="I387" i="7"/>
  <c r="H387" i="7"/>
  <c r="G387" i="7"/>
  <c r="E387" i="7"/>
  <c r="D387" i="7"/>
  <c r="C387" i="7"/>
  <c r="V386" i="7"/>
  <c r="U386" i="7"/>
  <c r="T386" i="7"/>
  <c r="S386" i="7"/>
  <c r="R386" i="7"/>
  <c r="P386" i="7"/>
  <c r="O386" i="7"/>
  <c r="N386" i="7"/>
  <c r="L386" i="7"/>
  <c r="K386" i="7"/>
  <c r="J386" i="7"/>
  <c r="I386" i="7"/>
  <c r="H386" i="7"/>
  <c r="G386" i="7"/>
  <c r="E386" i="7"/>
  <c r="D386" i="7"/>
  <c r="C386" i="7"/>
  <c r="V385" i="7"/>
  <c r="U385" i="7"/>
  <c r="T385" i="7"/>
  <c r="S385" i="7"/>
  <c r="R385" i="7"/>
  <c r="P385" i="7"/>
  <c r="O385" i="7"/>
  <c r="N385" i="7"/>
  <c r="L385" i="7"/>
  <c r="K385" i="7"/>
  <c r="J385" i="7"/>
  <c r="I385" i="7"/>
  <c r="H385" i="7"/>
  <c r="G385" i="7"/>
  <c r="E385" i="7"/>
  <c r="D385" i="7"/>
  <c r="C385" i="7"/>
  <c r="V384" i="7"/>
  <c r="U384" i="7"/>
  <c r="T384" i="7"/>
  <c r="S384" i="7"/>
  <c r="R384" i="7"/>
  <c r="P384" i="7"/>
  <c r="O384" i="7"/>
  <c r="N384" i="7"/>
  <c r="L384" i="7"/>
  <c r="K384" i="7"/>
  <c r="J384" i="7"/>
  <c r="I384" i="7"/>
  <c r="H384" i="7"/>
  <c r="G384" i="7"/>
  <c r="E384" i="7"/>
  <c r="D384" i="7"/>
  <c r="C384" i="7"/>
  <c r="V383" i="7"/>
  <c r="U383" i="7"/>
  <c r="T383" i="7"/>
  <c r="S383" i="7"/>
  <c r="R383" i="7"/>
  <c r="P383" i="7"/>
  <c r="O383" i="7"/>
  <c r="N383" i="7"/>
  <c r="L383" i="7"/>
  <c r="K383" i="7"/>
  <c r="J383" i="7"/>
  <c r="I383" i="7"/>
  <c r="H383" i="7"/>
  <c r="G383" i="7"/>
  <c r="E383" i="7"/>
  <c r="D383" i="7"/>
  <c r="C383" i="7"/>
  <c r="V382" i="7"/>
  <c r="U382" i="7"/>
  <c r="T382" i="7"/>
  <c r="S382" i="7"/>
  <c r="R382" i="7"/>
  <c r="P382" i="7"/>
  <c r="O382" i="7"/>
  <c r="N382" i="7"/>
  <c r="L382" i="7"/>
  <c r="K382" i="7"/>
  <c r="J382" i="7"/>
  <c r="I382" i="7"/>
  <c r="H382" i="7"/>
  <c r="G382" i="7"/>
  <c r="E382" i="7"/>
  <c r="D382" i="7"/>
  <c r="C382" i="7"/>
  <c r="V381" i="7"/>
  <c r="U381" i="7"/>
  <c r="T381" i="7"/>
  <c r="S381" i="7"/>
  <c r="R381" i="7"/>
  <c r="P381" i="7"/>
  <c r="O381" i="7"/>
  <c r="N381" i="7"/>
  <c r="L381" i="7"/>
  <c r="K381" i="7"/>
  <c r="J381" i="7"/>
  <c r="I381" i="7"/>
  <c r="H381" i="7"/>
  <c r="G381" i="7"/>
  <c r="E381" i="7"/>
  <c r="D381" i="7"/>
  <c r="C381" i="7"/>
  <c r="V380" i="7"/>
  <c r="U380" i="7"/>
  <c r="T380" i="7"/>
  <c r="S380" i="7"/>
  <c r="R380" i="7"/>
  <c r="P380" i="7"/>
  <c r="O380" i="7"/>
  <c r="N380" i="7"/>
  <c r="L380" i="7"/>
  <c r="K380" i="7"/>
  <c r="J380" i="7"/>
  <c r="I380" i="7"/>
  <c r="H380" i="7"/>
  <c r="G380" i="7"/>
  <c r="E380" i="7"/>
  <c r="D380" i="7"/>
  <c r="C380" i="7"/>
  <c r="V379" i="7"/>
  <c r="U379" i="7"/>
  <c r="T379" i="7"/>
  <c r="S379" i="7"/>
  <c r="R379" i="7"/>
  <c r="P379" i="7"/>
  <c r="O379" i="7"/>
  <c r="N379" i="7"/>
  <c r="L379" i="7"/>
  <c r="K379" i="7"/>
  <c r="J379" i="7"/>
  <c r="I379" i="7"/>
  <c r="H379" i="7"/>
  <c r="G379" i="7"/>
  <c r="E379" i="7"/>
  <c r="D379" i="7"/>
  <c r="C379" i="7"/>
  <c r="V378" i="7"/>
  <c r="U378" i="7"/>
  <c r="T378" i="7"/>
  <c r="S378" i="7"/>
  <c r="R378" i="7"/>
  <c r="P378" i="7"/>
  <c r="O378" i="7"/>
  <c r="N378" i="7"/>
  <c r="L378" i="7"/>
  <c r="K378" i="7"/>
  <c r="J378" i="7"/>
  <c r="I378" i="7"/>
  <c r="H378" i="7"/>
  <c r="G378" i="7"/>
  <c r="E378" i="7"/>
  <c r="D378" i="7"/>
  <c r="C378" i="7"/>
  <c r="V377" i="7"/>
  <c r="U377" i="7"/>
  <c r="T377" i="7"/>
  <c r="S377" i="7"/>
  <c r="R377" i="7"/>
  <c r="P377" i="7"/>
  <c r="O377" i="7"/>
  <c r="N377" i="7"/>
  <c r="L377" i="7"/>
  <c r="K377" i="7"/>
  <c r="J377" i="7"/>
  <c r="I377" i="7"/>
  <c r="H377" i="7"/>
  <c r="G377" i="7"/>
  <c r="E377" i="7"/>
  <c r="D377" i="7"/>
  <c r="C377" i="7"/>
  <c r="V376" i="7"/>
  <c r="U376" i="7"/>
  <c r="T376" i="7"/>
  <c r="S376" i="7"/>
  <c r="R376" i="7"/>
  <c r="P376" i="7"/>
  <c r="O376" i="7"/>
  <c r="N376" i="7"/>
  <c r="L376" i="7"/>
  <c r="K376" i="7"/>
  <c r="J376" i="7"/>
  <c r="I376" i="7"/>
  <c r="H376" i="7"/>
  <c r="G376" i="7"/>
  <c r="E376" i="7"/>
  <c r="D376" i="7"/>
  <c r="C376" i="7"/>
  <c r="V375" i="7"/>
  <c r="U375" i="7"/>
  <c r="T375" i="7"/>
  <c r="S375" i="7"/>
  <c r="R375" i="7"/>
  <c r="P375" i="7"/>
  <c r="O375" i="7"/>
  <c r="N375" i="7"/>
  <c r="L375" i="7"/>
  <c r="K375" i="7"/>
  <c r="J375" i="7"/>
  <c r="I375" i="7"/>
  <c r="H375" i="7"/>
  <c r="G375" i="7"/>
  <c r="E375" i="7"/>
  <c r="D375" i="7"/>
  <c r="C375" i="7"/>
  <c r="V374" i="7"/>
  <c r="U374" i="7"/>
  <c r="T374" i="7"/>
  <c r="S374" i="7"/>
  <c r="R374" i="7"/>
  <c r="P374" i="7"/>
  <c r="O374" i="7"/>
  <c r="N374" i="7"/>
  <c r="L374" i="7"/>
  <c r="K374" i="7"/>
  <c r="J374" i="7"/>
  <c r="I374" i="7"/>
  <c r="H374" i="7"/>
  <c r="G374" i="7"/>
  <c r="E374" i="7"/>
  <c r="D374" i="7"/>
  <c r="C374" i="7"/>
  <c r="V373" i="7"/>
  <c r="U373" i="7"/>
  <c r="T373" i="7"/>
  <c r="S373" i="7"/>
  <c r="R373" i="7"/>
  <c r="P373" i="7"/>
  <c r="O373" i="7"/>
  <c r="N373" i="7"/>
  <c r="L373" i="7"/>
  <c r="K373" i="7"/>
  <c r="J373" i="7"/>
  <c r="I373" i="7"/>
  <c r="H373" i="7"/>
  <c r="G373" i="7"/>
  <c r="E373" i="7"/>
  <c r="D373" i="7"/>
  <c r="C373" i="7"/>
  <c r="V372" i="7"/>
  <c r="U372" i="7"/>
  <c r="T372" i="7"/>
  <c r="S372" i="7"/>
  <c r="R372" i="7"/>
  <c r="P372" i="7"/>
  <c r="O372" i="7"/>
  <c r="N372" i="7"/>
  <c r="L372" i="7"/>
  <c r="K372" i="7"/>
  <c r="J372" i="7"/>
  <c r="I372" i="7"/>
  <c r="H372" i="7"/>
  <c r="G372" i="7"/>
  <c r="E372" i="7"/>
  <c r="D372" i="7"/>
  <c r="C372" i="7"/>
  <c r="V371" i="7"/>
  <c r="U371" i="7"/>
  <c r="T371" i="7"/>
  <c r="S371" i="7"/>
  <c r="R371" i="7"/>
  <c r="P371" i="7"/>
  <c r="O371" i="7"/>
  <c r="N371" i="7"/>
  <c r="L371" i="7"/>
  <c r="K371" i="7"/>
  <c r="J371" i="7"/>
  <c r="I371" i="7"/>
  <c r="H371" i="7"/>
  <c r="G371" i="7"/>
  <c r="E371" i="7"/>
  <c r="D371" i="7"/>
  <c r="C371" i="7"/>
  <c r="V370" i="7"/>
  <c r="U370" i="7"/>
  <c r="T370" i="7"/>
  <c r="S370" i="7"/>
  <c r="R370" i="7"/>
  <c r="P370" i="7"/>
  <c r="O370" i="7"/>
  <c r="N370" i="7"/>
  <c r="L370" i="7"/>
  <c r="K370" i="7"/>
  <c r="J370" i="7"/>
  <c r="I370" i="7"/>
  <c r="H370" i="7"/>
  <c r="G370" i="7"/>
  <c r="E370" i="7"/>
  <c r="D370" i="7"/>
  <c r="C370" i="7"/>
  <c r="V369" i="7"/>
  <c r="U369" i="7"/>
  <c r="T369" i="7"/>
  <c r="S369" i="7"/>
  <c r="R369" i="7"/>
  <c r="P369" i="7"/>
  <c r="O369" i="7"/>
  <c r="N369" i="7"/>
  <c r="L369" i="7"/>
  <c r="K369" i="7"/>
  <c r="J369" i="7"/>
  <c r="I369" i="7"/>
  <c r="H369" i="7"/>
  <c r="G369" i="7"/>
  <c r="E369" i="7"/>
  <c r="D369" i="7"/>
  <c r="C369" i="7"/>
  <c r="V368" i="7"/>
  <c r="U368" i="7"/>
  <c r="T368" i="7"/>
  <c r="S368" i="7"/>
  <c r="R368" i="7"/>
  <c r="P368" i="7"/>
  <c r="O368" i="7"/>
  <c r="N368" i="7"/>
  <c r="L368" i="7"/>
  <c r="K368" i="7"/>
  <c r="J368" i="7"/>
  <c r="I368" i="7"/>
  <c r="H368" i="7"/>
  <c r="G368" i="7"/>
  <c r="E368" i="7"/>
  <c r="D368" i="7"/>
  <c r="C368" i="7"/>
  <c r="V367" i="7"/>
  <c r="U367" i="7"/>
  <c r="T367" i="7"/>
  <c r="S367" i="7"/>
  <c r="R367" i="7"/>
  <c r="P367" i="7"/>
  <c r="O367" i="7"/>
  <c r="N367" i="7"/>
  <c r="L367" i="7"/>
  <c r="K367" i="7"/>
  <c r="J367" i="7"/>
  <c r="I367" i="7"/>
  <c r="H367" i="7"/>
  <c r="G367" i="7"/>
  <c r="E367" i="7"/>
  <c r="D367" i="7"/>
  <c r="C367" i="7"/>
  <c r="V366" i="7"/>
  <c r="U366" i="7"/>
  <c r="T366" i="7"/>
  <c r="S366" i="7"/>
  <c r="R366" i="7"/>
  <c r="P366" i="7"/>
  <c r="O366" i="7"/>
  <c r="N366" i="7"/>
  <c r="L366" i="7"/>
  <c r="K366" i="7"/>
  <c r="J366" i="7"/>
  <c r="I366" i="7"/>
  <c r="H366" i="7"/>
  <c r="G366" i="7"/>
  <c r="E366" i="7"/>
  <c r="D366" i="7"/>
  <c r="C366" i="7"/>
  <c r="V365" i="7"/>
  <c r="U365" i="7"/>
  <c r="T365" i="7"/>
  <c r="S365" i="7"/>
  <c r="R365" i="7"/>
  <c r="P365" i="7"/>
  <c r="O365" i="7"/>
  <c r="N365" i="7"/>
  <c r="L365" i="7"/>
  <c r="K365" i="7"/>
  <c r="J365" i="7"/>
  <c r="I365" i="7"/>
  <c r="H365" i="7"/>
  <c r="G365" i="7"/>
  <c r="E365" i="7"/>
  <c r="D365" i="7"/>
  <c r="C365" i="7"/>
  <c r="V364" i="7"/>
  <c r="U364" i="7"/>
  <c r="T364" i="7"/>
  <c r="S364" i="7"/>
  <c r="R364" i="7"/>
  <c r="P364" i="7"/>
  <c r="O364" i="7"/>
  <c r="N364" i="7"/>
  <c r="L364" i="7"/>
  <c r="K364" i="7"/>
  <c r="J364" i="7"/>
  <c r="I364" i="7"/>
  <c r="H364" i="7"/>
  <c r="G364" i="7"/>
  <c r="E364" i="7"/>
  <c r="D364" i="7"/>
  <c r="C364" i="7"/>
  <c r="V363" i="7"/>
  <c r="U363" i="7"/>
  <c r="T363" i="7"/>
  <c r="S363" i="7"/>
  <c r="R363" i="7"/>
  <c r="P363" i="7"/>
  <c r="O363" i="7"/>
  <c r="N363" i="7"/>
  <c r="L363" i="7"/>
  <c r="K363" i="7"/>
  <c r="J363" i="7"/>
  <c r="I363" i="7"/>
  <c r="H363" i="7"/>
  <c r="G363" i="7"/>
  <c r="E363" i="7"/>
  <c r="D363" i="7"/>
  <c r="C363" i="7"/>
  <c r="V362" i="7"/>
  <c r="U362" i="7"/>
  <c r="T362" i="7"/>
  <c r="S362" i="7"/>
  <c r="R362" i="7"/>
  <c r="P362" i="7"/>
  <c r="O362" i="7"/>
  <c r="N362" i="7"/>
  <c r="L362" i="7"/>
  <c r="K362" i="7"/>
  <c r="J362" i="7"/>
  <c r="I362" i="7"/>
  <c r="H362" i="7"/>
  <c r="G362" i="7"/>
  <c r="E362" i="7"/>
  <c r="D362" i="7"/>
  <c r="C362" i="7"/>
  <c r="V361" i="7"/>
  <c r="U361" i="7"/>
  <c r="T361" i="7"/>
  <c r="S361" i="7"/>
  <c r="R361" i="7"/>
  <c r="P361" i="7"/>
  <c r="O361" i="7"/>
  <c r="N361" i="7"/>
  <c r="L361" i="7"/>
  <c r="K361" i="7"/>
  <c r="J361" i="7"/>
  <c r="I361" i="7"/>
  <c r="H361" i="7"/>
  <c r="G361" i="7"/>
  <c r="E361" i="7"/>
  <c r="D361" i="7"/>
  <c r="C361" i="7"/>
  <c r="V360" i="7"/>
  <c r="U360" i="7"/>
  <c r="T360" i="7"/>
  <c r="S360" i="7"/>
  <c r="R360" i="7"/>
  <c r="P360" i="7"/>
  <c r="O360" i="7"/>
  <c r="N360" i="7"/>
  <c r="L360" i="7"/>
  <c r="K360" i="7"/>
  <c r="J360" i="7"/>
  <c r="I360" i="7"/>
  <c r="H360" i="7"/>
  <c r="G360" i="7"/>
  <c r="E360" i="7"/>
  <c r="D360" i="7"/>
  <c r="C360" i="7"/>
  <c r="V359" i="7"/>
  <c r="U359" i="7"/>
  <c r="T359" i="7"/>
  <c r="S359" i="7"/>
  <c r="R359" i="7"/>
  <c r="P359" i="7"/>
  <c r="O359" i="7"/>
  <c r="N359" i="7"/>
  <c r="L359" i="7"/>
  <c r="K359" i="7"/>
  <c r="J359" i="7"/>
  <c r="I359" i="7"/>
  <c r="H359" i="7"/>
  <c r="G359" i="7"/>
  <c r="E359" i="7"/>
  <c r="D359" i="7"/>
  <c r="C359" i="7"/>
  <c r="V358" i="7"/>
  <c r="U358" i="7"/>
  <c r="T358" i="7"/>
  <c r="S358" i="7"/>
  <c r="R358" i="7"/>
  <c r="P358" i="7"/>
  <c r="O358" i="7"/>
  <c r="N358" i="7"/>
  <c r="L358" i="7"/>
  <c r="K358" i="7"/>
  <c r="J358" i="7"/>
  <c r="I358" i="7"/>
  <c r="H358" i="7"/>
  <c r="G358" i="7"/>
  <c r="E358" i="7"/>
  <c r="D358" i="7"/>
  <c r="C358" i="7"/>
  <c r="V357" i="7"/>
  <c r="U357" i="7"/>
  <c r="T357" i="7"/>
  <c r="S357" i="7"/>
  <c r="R357" i="7"/>
  <c r="P357" i="7"/>
  <c r="O357" i="7"/>
  <c r="N357" i="7"/>
  <c r="L357" i="7"/>
  <c r="K357" i="7"/>
  <c r="J357" i="7"/>
  <c r="I357" i="7"/>
  <c r="H357" i="7"/>
  <c r="G357" i="7"/>
  <c r="E357" i="7"/>
  <c r="D357" i="7"/>
  <c r="C357" i="7"/>
  <c r="V356" i="7"/>
  <c r="U356" i="7"/>
  <c r="T356" i="7"/>
  <c r="S356" i="7"/>
  <c r="R356" i="7"/>
  <c r="P356" i="7"/>
  <c r="O356" i="7"/>
  <c r="N356" i="7"/>
  <c r="L356" i="7"/>
  <c r="K356" i="7"/>
  <c r="J356" i="7"/>
  <c r="I356" i="7"/>
  <c r="H356" i="7"/>
  <c r="G356" i="7"/>
  <c r="E356" i="7"/>
  <c r="D356" i="7"/>
  <c r="C356" i="7"/>
  <c r="V355" i="7"/>
  <c r="U355" i="7"/>
  <c r="T355" i="7"/>
  <c r="S355" i="7"/>
  <c r="R355" i="7"/>
  <c r="P355" i="7"/>
  <c r="O355" i="7"/>
  <c r="N355" i="7"/>
  <c r="L355" i="7"/>
  <c r="K355" i="7"/>
  <c r="J355" i="7"/>
  <c r="I355" i="7"/>
  <c r="H355" i="7"/>
  <c r="G355" i="7"/>
  <c r="E355" i="7"/>
  <c r="D355" i="7"/>
  <c r="C355" i="7"/>
  <c r="V354" i="7"/>
  <c r="U354" i="7"/>
  <c r="T354" i="7"/>
  <c r="S354" i="7"/>
  <c r="R354" i="7"/>
  <c r="P354" i="7"/>
  <c r="O354" i="7"/>
  <c r="N354" i="7"/>
  <c r="L354" i="7"/>
  <c r="K354" i="7"/>
  <c r="J354" i="7"/>
  <c r="I354" i="7"/>
  <c r="H354" i="7"/>
  <c r="G354" i="7"/>
  <c r="E354" i="7"/>
  <c r="D354" i="7"/>
  <c r="C354" i="7"/>
  <c r="V353" i="7"/>
  <c r="U353" i="7"/>
  <c r="T353" i="7"/>
  <c r="S353" i="7"/>
  <c r="R353" i="7"/>
  <c r="P353" i="7"/>
  <c r="O353" i="7"/>
  <c r="N353" i="7"/>
  <c r="L353" i="7"/>
  <c r="K353" i="7"/>
  <c r="J353" i="7"/>
  <c r="I353" i="7"/>
  <c r="H353" i="7"/>
  <c r="G353" i="7"/>
  <c r="E353" i="7"/>
  <c r="D353" i="7"/>
  <c r="C353" i="7"/>
  <c r="V352" i="7"/>
  <c r="U352" i="7"/>
  <c r="T352" i="7"/>
  <c r="S352" i="7"/>
  <c r="R352" i="7"/>
  <c r="P352" i="7"/>
  <c r="O352" i="7"/>
  <c r="N352" i="7"/>
  <c r="L352" i="7"/>
  <c r="K352" i="7"/>
  <c r="J352" i="7"/>
  <c r="I352" i="7"/>
  <c r="H352" i="7"/>
  <c r="G352" i="7"/>
  <c r="E352" i="7"/>
  <c r="D352" i="7"/>
  <c r="C352" i="7"/>
  <c r="V351" i="7"/>
  <c r="U351" i="7"/>
  <c r="T351" i="7"/>
  <c r="S351" i="7"/>
  <c r="R351" i="7"/>
  <c r="P351" i="7"/>
  <c r="O351" i="7"/>
  <c r="N351" i="7"/>
  <c r="L351" i="7"/>
  <c r="K351" i="7"/>
  <c r="J351" i="7"/>
  <c r="I351" i="7"/>
  <c r="H351" i="7"/>
  <c r="G351" i="7"/>
  <c r="E351" i="7"/>
  <c r="D351" i="7"/>
  <c r="C351" i="7"/>
  <c r="V350" i="7"/>
  <c r="U350" i="7"/>
  <c r="T350" i="7"/>
  <c r="S350" i="7"/>
  <c r="R350" i="7"/>
  <c r="P350" i="7"/>
  <c r="O350" i="7"/>
  <c r="N350" i="7"/>
  <c r="L350" i="7"/>
  <c r="K350" i="7"/>
  <c r="J350" i="7"/>
  <c r="I350" i="7"/>
  <c r="H350" i="7"/>
  <c r="G350" i="7"/>
  <c r="E350" i="7"/>
  <c r="D350" i="7"/>
  <c r="C350" i="7"/>
  <c r="V349" i="7"/>
  <c r="U349" i="7"/>
  <c r="T349" i="7"/>
  <c r="S349" i="7"/>
  <c r="R349" i="7"/>
  <c r="P349" i="7"/>
  <c r="O349" i="7"/>
  <c r="N349" i="7"/>
  <c r="L349" i="7"/>
  <c r="K349" i="7"/>
  <c r="J349" i="7"/>
  <c r="I349" i="7"/>
  <c r="H349" i="7"/>
  <c r="G349" i="7"/>
  <c r="E349" i="7"/>
  <c r="D349" i="7"/>
  <c r="C349" i="7"/>
  <c r="V348" i="7"/>
  <c r="U348" i="7"/>
  <c r="T348" i="7"/>
  <c r="S348" i="7"/>
  <c r="R348" i="7"/>
  <c r="P348" i="7"/>
  <c r="O348" i="7"/>
  <c r="N348" i="7"/>
  <c r="L348" i="7"/>
  <c r="K348" i="7"/>
  <c r="J348" i="7"/>
  <c r="I348" i="7"/>
  <c r="H348" i="7"/>
  <c r="G348" i="7"/>
  <c r="E348" i="7"/>
  <c r="D348" i="7"/>
  <c r="C348" i="7"/>
  <c r="V347" i="7"/>
  <c r="U347" i="7"/>
  <c r="T347" i="7"/>
  <c r="S347" i="7"/>
  <c r="R347" i="7"/>
  <c r="P347" i="7"/>
  <c r="O347" i="7"/>
  <c r="N347" i="7"/>
  <c r="L347" i="7"/>
  <c r="K347" i="7"/>
  <c r="J347" i="7"/>
  <c r="I347" i="7"/>
  <c r="H347" i="7"/>
  <c r="G347" i="7"/>
  <c r="E347" i="7"/>
  <c r="D347" i="7"/>
  <c r="C347" i="7"/>
  <c r="V346" i="7"/>
  <c r="U346" i="7"/>
  <c r="T346" i="7"/>
  <c r="S346" i="7"/>
  <c r="R346" i="7"/>
  <c r="P346" i="7"/>
  <c r="O346" i="7"/>
  <c r="N346" i="7"/>
  <c r="L346" i="7"/>
  <c r="K346" i="7"/>
  <c r="J346" i="7"/>
  <c r="I346" i="7"/>
  <c r="H346" i="7"/>
  <c r="G346" i="7"/>
  <c r="E346" i="7"/>
  <c r="D346" i="7"/>
  <c r="C346" i="7"/>
  <c r="V345" i="7"/>
  <c r="U345" i="7"/>
  <c r="T345" i="7"/>
  <c r="S345" i="7"/>
  <c r="R345" i="7"/>
  <c r="P345" i="7"/>
  <c r="O345" i="7"/>
  <c r="N345" i="7"/>
  <c r="L345" i="7"/>
  <c r="K345" i="7"/>
  <c r="J345" i="7"/>
  <c r="I345" i="7"/>
  <c r="H345" i="7"/>
  <c r="G345" i="7"/>
  <c r="E345" i="7"/>
  <c r="D345" i="7"/>
  <c r="C345" i="7"/>
  <c r="V344" i="7"/>
  <c r="U344" i="7"/>
  <c r="T344" i="7"/>
  <c r="S344" i="7"/>
  <c r="R344" i="7"/>
  <c r="P344" i="7"/>
  <c r="O344" i="7"/>
  <c r="N344" i="7"/>
  <c r="L344" i="7"/>
  <c r="K344" i="7"/>
  <c r="J344" i="7"/>
  <c r="I344" i="7"/>
  <c r="H344" i="7"/>
  <c r="G344" i="7"/>
  <c r="E344" i="7"/>
  <c r="D344" i="7"/>
  <c r="C344" i="7"/>
  <c r="V343" i="7"/>
  <c r="U343" i="7"/>
  <c r="T343" i="7"/>
  <c r="S343" i="7"/>
  <c r="R343" i="7"/>
  <c r="P343" i="7"/>
  <c r="O343" i="7"/>
  <c r="N343" i="7"/>
  <c r="L343" i="7"/>
  <c r="K343" i="7"/>
  <c r="J343" i="7"/>
  <c r="I343" i="7"/>
  <c r="H343" i="7"/>
  <c r="G343" i="7"/>
  <c r="E343" i="7"/>
  <c r="D343" i="7"/>
  <c r="C343" i="7"/>
  <c r="V342" i="7"/>
  <c r="U342" i="7"/>
  <c r="T342" i="7"/>
  <c r="S342" i="7"/>
  <c r="R342" i="7"/>
  <c r="P342" i="7"/>
  <c r="O342" i="7"/>
  <c r="N342" i="7"/>
  <c r="L342" i="7"/>
  <c r="K342" i="7"/>
  <c r="J342" i="7"/>
  <c r="I342" i="7"/>
  <c r="H342" i="7"/>
  <c r="G342" i="7"/>
  <c r="E342" i="7"/>
  <c r="D342" i="7"/>
  <c r="C342" i="7"/>
  <c r="V341" i="7"/>
  <c r="U341" i="7"/>
  <c r="T341" i="7"/>
  <c r="S341" i="7"/>
  <c r="R341" i="7"/>
  <c r="P341" i="7"/>
  <c r="O341" i="7"/>
  <c r="N341" i="7"/>
  <c r="L341" i="7"/>
  <c r="K341" i="7"/>
  <c r="J341" i="7"/>
  <c r="I341" i="7"/>
  <c r="H341" i="7"/>
  <c r="G341" i="7"/>
  <c r="E341" i="7"/>
  <c r="D341" i="7"/>
  <c r="C341" i="7"/>
  <c r="V340" i="7"/>
  <c r="U340" i="7"/>
  <c r="T340" i="7"/>
  <c r="S340" i="7"/>
  <c r="R340" i="7"/>
  <c r="P340" i="7"/>
  <c r="O340" i="7"/>
  <c r="N340" i="7"/>
  <c r="L340" i="7"/>
  <c r="K340" i="7"/>
  <c r="J340" i="7"/>
  <c r="I340" i="7"/>
  <c r="H340" i="7"/>
  <c r="G340" i="7"/>
  <c r="E340" i="7"/>
  <c r="D340" i="7"/>
  <c r="C340" i="7"/>
  <c r="V339" i="7"/>
  <c r="U339" i="7"/>
  <c r="T339" i="7"/>
  <c r="S339" i="7"/>
  <c r="R339" i="7"/>
  <c r="P339" i="7"/>
  <c r="O339" i="7"/>
  <c r="N339" i="7"/>
  <c r="L339" i="7"/>
  <c r="K339" i="7"/>
  <c r="J339" i="7"/>
  <c r="I339" i="7"/>
  <c r="H339" i="7"/>
  <c r="G339" i="7"/>
  <c r="E339" i="7"/>
  <c r="D339" i="7"/>
  <c r="C339" i="7"/>
  <c r="V338" i="7"/>
  <c r="U338" i="7"/>
  <c r="T338" i="7"/>
  <c r="S338" i="7"/>
  <c r="R338" i="7"/>
  <c r="P338" i="7"/>
  <c r="O338" i="7"/>
  <c r="N338" i="7"/>
  <c r="L338" i="7"/>
  <c r="K338" i="7"/>
  <c r="J338" i="7"/>
  <c r="I338" i="7"/>
  <c r="H338" i="7"/>
  <c r="G338" i="7"/>
  <c r="E338" i="7"/>
  <c r="D338" i="7"/>
  <c r="C338" i="7"/>
  <c r="V337" i="7"/>
  <c r="U337" i="7"/>
  <c r="T337" i="7"/>
  <c r="S337" i="7"/>
  <c r="R337" i="7"/>
  <c r="P337" i="7"/>
  <c r="O337" i="7"/>
  <c r="N337" i="7"/>
  <c r="L337" i="7"/>
  <c r="K337" i="7"/>
  <c r="J337" i="7"/>
  <c r="I337" i="7"/>
  <c r="H337" i="7"/>
  <c r="G337" i="7"/>
  <c r="E337" i="7"/>
  <c r="D337" i="7"/>
  <c r="C337" i="7"/>
  <c r="V336" i="7"/>
  <c r="U336" i="7"/>
  <c r="T336" i="7"/>
  <c r="S336" i="7"/>
  <c r="R336" i="7"/>
  <c r="P336" i="7"/>
  <c r="O336" i="7"/>
  <c r="N336" i="7"/>
  <c r="L336" i="7"/>
  <c r="K336" i="7"/>
  <c r="J336" i="7"/>
  <c r="I336" i="7"/>
  <c r="H336" i="7"/>
  <c r="G336" i="7"/>
  <c r="E336" i="7"/>
  <c r="D336" i="7"/>
  <c r="C336" i="7"/>
  <c r="V335" i="7"/>
  <c r="U335" i="7"/>
  <c r="T335" i="7"/>
  <c r="S335" i="7"/>
  <c r="R335" i="7"/>
  <c r="P335" i="7"/>
  <c r="O335" i="7"/>
  <c r="N335" i="7"/>
  <c r="L335" i="7"/>
  <c r="K335" i="7"/>
  <c r="J335" i="7"/>
  <c r="I335" i="7"/>
  <c r="H335" i="7"/>
  <c r="G335" i="7"/>
  <c r="E335" i="7"/>
  <c r="D335" i="7"/>
  <c r="C335" i="7"/>
  <c r="V334" i="7"/>
  <c r="U334" i="7"/>
  <c r="T334" i="7"/>
  <c r="S334" i="7"/>
  <c r="R334" i="7"/>
  <c r="P334" i="7"/>
  <c r="O334" i="7"/>
  <c r="N334" i="7"/>
  <c r="L334" i="7"/>
  <c r="K334" i="7"/>
  <c r="J334" i="7"/>
  <c r="I334" i="7"/>
  <c r="H334" i="7"/>
  <c r="G334" i="7"/>
  <c r="E334" i="7"/>
  <c r="D334" i="7"/>
  <c r="C334" i="7"/>
  <c r="V333" i="7"/>
  <c r="U333" i="7"/>
  <c r="T333" i="7"/>
  <c r="S333" i="7"/>
  <c r="R333" i="7"/>
  <c r="P333" i="7"/>
  <c r="O333" i="7"/>
  <c r="N333" i="7"/>
  <c r="L333" i="7"/>
  <c r="K333" i="7"/>
  <c r="J333" i="7"/>
  <c r="I333" i="7"/>
  <c r="H333" i="7"/>
  <c r="G333" i="7"/>
  <c r="E333" i="7"/>
  <c r="D333" i="7"/>
  <c r="C333" i="7"/>
  <c r="V332" i="7"/>
  <c r="U332" i="7"/>
  <c r="T332" i="7"/>
  <c r="S332" i="7"/>
  <c r="R332" i="7"/>
  <c r="P332" i="7"/>
  <c r="O332" i="7"/>
  <c r="N332" i="7"/>
  <c r="L332" i="7"/>
  <c r="K332" i="7"/>
  <c r="J332" i="7"/>
  <c r="I332" i="7"/>
  <c r="H332" i="7"/>
  <c r="G332" i="7"/>
  <c r="E332" i="7"/>
  <c r="D332" i="7"/>
  <c r="C332" i="7"/>
  <c r="V331" i="7"/>
  <c r="U331" i="7"/>
  <c r="T331" i="7"/>
  <c r="S331" i="7"/>
  <c r="R331" i="7"/>
  <c r="P331" i="7"/>
  <c r="O331" i="7"/>
  <c r="N331" i="7"/>
  <c r="L331" i="7"/>
  <c r="K331" i="7"/>
  <c r="J331" i="7"/>
  <c r="I331" i="7"/>
  <c r="H331" i="7"/>
  <c r="G331" i="7"/>
  <c r="E331" i="7"/>
  <c r="D331" i="7"/>
  <c r="C331" i="7"/>
  <c r="V330" i="7"/>
  <c r="U330" i="7"/>
  <c r="T330" i="7"/>
  <c r="S330" i="7"/>
  <c r="R330" i="7"/>
  <c r="P330" i="7"/>
  <c r="O330" i="7"/>
  <c r="N330" i="7"/>
  <c r="L330" i="7"/>
  <c r="K330" i="7"/>
  <c r="J330" i="7"/>
  <c r="I330" i="7"/>
  <c r="H330" i="7"/>
  <c r="G330" i="7"/>
  <c r="E330" i="7"/>
  <c r="D330" i="7"/>
  <c r="C330" i="7"/>
  <c r="V329" i="7"/>
  <c r="U329" i="7"/>
  <c r="T329" i="7"/>
  <c r="S329" i="7"/>
  <c r="R329" i="7"/>
  <c r="P329" i="7"/>
  <c r="O329" i="7"/>
  <c r="N329" i="7"/>
  <c r="L329" i="7"/>
  <c r="K329" i="7"/>
  <c r="J329" i="7"/>
  <c r="I329" i="7"/>
  <c r="H329" i="7"/>
  <c r="G329" i="7"/>
  <c r="E329" i="7"/>
  <c r="D329" i="7"/>
  <c r="C329" i="7"/>
  <c r="V328" i="7"/>
  <c r="U328" i="7"/>
  <c r="T328" i="7"/>
  <c r="S328" i="7"/>
  <c r="R328" i="7"/>
  <c r="P328" i="7"/>
  <c r="O328" i="7"/>
  <c r="N328" i="7"/>
  <c r="L328" i="7"/>
  <c r="K328" i="7"/>
  <c r="J328" i="7"/>
  <c r="I328" i="7"/>
  <c r="H328" i="7"/>
  <c r="G328" i="7"/>
  <c r="E328" i="7"/>
  <c r="D328" i="7"/>
  <c r="C328" i="7"/>
  <c r="V327" i="7"/>
  <c r="U327" i="7"/>
  <c r="T327" i="7"/>
  <c r="S327" i="7"/>
  <c r="R327" i="7"/>
  <c r="P327" i="7"/>
  <c r="O327" i="7"/>
  <c r="N327" i="7"/>
  <c r="L327" i="7"/>
  <c r="K327" i="7"/>
  <c r="J327" i="7"/>
  <c r="I327" i="7"/>
  <c r="H327" i="7"/>
  <c r="G327" i="7"/>
  <c r="E327" i="7"/>
  <c r="D327" i="7"/>
  <c r="C327" i="7"/>
  <c r="V326" i="7"/>
  <c r="U326" i="7"/>
  <c r="T326" i="7"/>
  <c r="S326" i="7"/>
  <c r="R326" i="7"/>
  <c r="P326" i="7"/>
  <c r="O326" i="7"/>
  <c r="N326" i="7"/>
  <c r="L326" i="7"/>
  <c r="K326" i="7"/>
  <c r="J326" i="7"/>
  <c r="I326" i="7"/>
  <c r="H326" i="7"/>
  <c r="G326" i="7"/>
  <c r="E326" i="7"/>
  <c r="D326" i="7"/>
  <c r="C326" i="7"/>
  <c r="V325" i="7"/>
  <c r="U325" i="7"/>
  <c r="T325" i="7"/>
  <c r="S325" i="7"/>
  <c r="R325" i="7"/>
  <c r="P325" i="7"/>
  <c r="O325" i="7"/>
  <c r="N325" i="7"/>
  <c r="L325" i="7"/>
  <c r="K325" i="7"/>
  <c r="J325" i="7"/>
  <c r="I325" i="7"/>
  <c r="H325" i="7"/>
  <c r="G325" i="7"/>
  <c r="E325" i="7"/>
  <c r="D325" i="7"/>
  <c r="C325" i="7"/>
  <c r="V324" i="7"/>
  <c r="U324" i="7"/>
  <c r="T324" i="7"/>
  <c r="S324" i="7"/>
  <c r="R324" i="7"/>
  <c r="P324" i="7"/>
  <c r="O324" i="7"/>
  <c r="N324" i="7"/>
  <c r="L324" i="7"/>
  <c r="K324" i="7"/>
  <c r="J324" i="7"/>
  <c r="I324" i="7"/>
  <c r="H324" i="7"/>
  <c r="G324" i="7"/>
  <c r="E324" i="7"/>
  <c r="D324" i="7"/>
  <c r="C324" i="7"/>
  <c r="V323" i="7"/>
  <c r="U323" i="7"/>
  <c r="T323" i="7"/>
  <c r="S323" i="7"/>
  <c r="R323" i="7"/>
  <c r="P323" i="7"/>
  <c r="O323" i="7"/>
  <c r="N323" i="7"/>
  <c r="L323" i="7"/>
  <c r="K323" i="7"/>
  <c r="J323" i="7"/>
  <c r="I323" i="7"/>
  <c r="H323" i="7"/>
  <c r="G323" i="7"/>
  <c r="E323" i="7"/>
  <c r="D323" i="7"/>
  <c r="C323" i="7"/>
  <c r="V322" i="7"/>
  <c r="U322" i="7"/>
  <c r="T322" i="7"/>
  <c r="S322" i="7"/>
  <c r="R322" i="7"/>
  <c r="P322" i="7"/>
  <c r="O322" i="7"/>
  <c r="N322" i="7"/>
  <c r="L322" i="7"/>
  <c r="K322" i="7"/>
  <c r="J322" i="7"/>
  <c r="I322" i="7"/>
  <c r="H322" i="7"/>
  <c r="G322" i="7"/>
  <c r="E322" i="7"/>
  <c r="D322" i="7"/>
  <c r="C322" i="7"/>
  <c r="V321" i="7"/>
  <c r="U321" i="7"/>
  <c r="T321" i="7"/>
  <c r="S321" i="7"/>
  <c r="R321" i="7"/>
  <c r="P321" i="7"/>
  <c r="O321" i="7"/>
  <c r="N321" i="7"/>
  <c r="L321" i="7"/>
  <c r="K321" i="7"/>
  <c r="J321" i="7"/>
  <c r="I321" i="7"/>
  <c r="H321" i="7"/>
  <c r="G321" i="7"/>
  <c r="E321" i="7"/>
  <c r="D321" i="7"/>
  <c r="C321" i="7"/>
  <c r="V320" i="7"/>
  <c r="U320" i="7"/>
  <c r="T320" i="7"/>
  <c r="S320" i="7"/>
  <c r="R320" i="7"/>
  <c r="P320" i="7"/>
  <c r="O320" i="7"/>
  <c r="N320" i="7"/>
  <c r="L320" i="7"/>
  <c r="K320" i="7"/>
  <c r="J320" i="7"/>
  <c r="I320" i="7"/>
  <c r="H320" i="7"/>
  <c r="G320" i="7"/>
  <c r="E320" i="7"/>
  <c r="D320" i="7"/>
  <c r="C320" i="7"/>
  <c r="V319" i="7"/>
  <c r="U319" i="7"/>
  <c r="T319" i="7"/>
  <c r="S319" i="7"/>
  <c r="R319" i="7"/>
  <c r="P319" i="7"/>
  <c r="O319" i="7"/>
  <c r="N319" i="7"/>
  <c r="L319" i="7"/>
  <c r="K319" i="7"/>
  <c r="J319" i="7"/>
  <c r="I319" i="7"/>
  <c r="H319" i="7"/>
  <c r="G319" i="7"/>
  <c r="E319" i="7"/>
  <c r="D319" i="7"/>
  <c r="C319" i="7"/>
  <c r="V318" i="7"/>
  <c r="U318" i="7"/>
  <c r="T318" i="7"/>
  <c r="S318" i="7"/>
  <c r="R318" i="7"/>
  <c r="P318" i="7"/>
  <c r="O318" i="7"/>
  <c r="N318" i="7"/>
  <c r="L318" i="7"/>
  <c r="K318" i="7"/>
  <c r="J318" i="7"/>
  <c r="I318" i="7"/>
  <c r="H318" i="7"/>
  <c r="G318" i="7"/>
  <c r="E318" i="7"/>
  <c r="D318" i="7"/>
  <c r="C318" i="7"/>
  <c r="V317" i="7"/>
  <c r="U317" i="7"/>
  <c r="T317" i="7"/>
  <c r="S317" i="7"/>
  <c r="R317" i="7"/>
  <c r="P317" i="7"/>
  <c r="O317" i="7"/>
  <c r="N317" i="7"/>
  <c r="L317" i="7"/>
  <c r="K317" i="7"/>
  <c r="J317" i="7"/>
  <c r="I317" i="7"/>
  <c r="H317" i="7"/>
  <c r="G317" i="7"/>
  <c r="E317" i="7"/>
  <c r="D317" i="7"/>
  <c r="C317" i="7"/>
  <c r="V316" i="7"/>
  <c r="U316" i="7"/>
  <c r="T316" i="7"/>
  <c r="S316" i="7"/>
  <c r="R316" i="7"/>
  <c r="P316" i="7"/>
  <c r="O316" i="7"/>
  <c r="N316" i="7"/>
  <c r="L316" i="7"/>
  <c r="K316" i="7"/>
  <c r="J316" i="7"/>
  <c r="I316" i="7"/>
  <c r="H316" i="7"/>
  <c r="G316" i="7"/>
  <c r="E316" i="7"/>
  <c r="D316" i="7"/>
  <c r="C316" i="7"/>
  <c r="V315" i="7"/>
  <c r="U315" i="7"/>
  <c r="T315" i="7"/>
  <c r="S315" i="7"/>
  <c r="R315" i="7"/>
  <c r="P315" i="7"/>
  <c r="O315" i="7"/>
  <c r="N315" i="7"/>
  <c r="L315" i="7"/>
  <c r="K315" i="7"/>
  <c r="J315" i="7"/>
  <c r="I315" i="7"/>
  <c r="H315" i="7"/>
  <c r="G315" i="7"/>
  <c r="E315" i="7"/>
  <c r="D315" i="7"/>
  <c r="C315" i="7"/>
  <c r="V314" i="7"/>
  <c r="U314" i="7"/>
  <c r="T314" i="7"/>
  <c r="S314" i="7"/>
  <c r="R314" i="7"/>
  <c r="P314" i="7"/>
  <c r="O314" i="7"/>
  <c r="N314" i="7"/>
  <c r="L314" i="7"/>
  <c r="K314" i="7"/>
  <c r="J314" i="7"/>
  <c r="I314" i="7"/>
  <c r="H314" i="7"/>
  <c r="G314" i="7"/>
  <c r="E314" i="7"/>
  <c r="D314" i="7"/>
  <c r="C314" i="7"/>
  <c r="V313" i="7"/>
  <c r="U313" i="7"/>
  <c r="T313" i="7"/>
  <c r="S313" i="7"/>
  <c r="R313" i="7"/>
  <c r="P313" i="7"/>
  <c r="O313" i="7"/>
  <c r="N313" i="7"/>
  <c r="L313" i="7"/>
  <c r="K313" i="7"/>
  <c r="J313" i="7"/>
  <c r="I313" i="7"/>
  <c r="H313" i="7"/>
  <c r="G313" i="7"/>
  <c r="E313" i="7"/>
  <c r="D313" i="7"/>
  <c r="C313" i="7"/>
  <c r="V312" i="7"/>
  <c r="U312" i="7"/>
  <c r="T312" i="7"/>
  <c r="S312" i="7"/>
  <c r="R312" i="7"/>
  <c r="P312" i="7"/>
  <c r="O312" i="7"/>
  <c r="N312" i="7"/>
  <c r="L312" i="7"/>
  <c r="K312" i="7"/>
  <c r="J312" i="7"/>
  <c r="I312" i="7"/>
  <c r="H312" i="7"/>
  <c r="G312" i="7"/>
  <c r="E312" i="7"/>
  <c r="D312" i="7"/>
  <c r="C312" i="7"/>
  <c r="V311" i="7"/>
  <c r="U311" i="7"/>
  <c r="T311" i="7"/>
  <c r="S311" i="7"/>
  <c r="R311" i="7"/>
  <c r="P311" i="7"/>
  <c r="O311" i="7"/>
  <c r="N311" i="7"/>
  <c r="L311" i="7"/>
  <c r="K311" i="7"/>
  <c r="J311" i="7"/>
  <c r="I311" i="7"/>
  <c r="H311" i="7"/>
  <c r="G311" i="7"/>
  <c r="E311" i="7"/>
  <c r="D311" i="7"/>
  <c r="C311" i="7"/>
  <c r="V310" i="7"/>
  <c r="U310" i="7"/>
  <c r="T310" i="7"/>
  <c r="S310" i="7"/>
  <c r="R310" i="7"/>
  <c r="P310" i="7"/>
  <c r="O310" i="7"/>
  <c r="N310" i="7"/>
  <c r="L310" i="7"/>
  <c r="K310" i="7"/>
  <c r="J310" i="7"/>
  <c r="I310" i="7"/>
  <c r="H310" i="7"/>
  <c r="G310" i="7"/>
  <c r="E310" i="7"/>
  <c r="D310" i="7"/>
  <c r="C310" i="7"/>
  <c r="V309" i="7"/>
  <c r="U309" i="7"/>
  <c r="T309" i="7"/>
  <c r="S309" i="7"/>
  <c r="R309" i="7"/>
  <c r="P309" i="7"/>
  <c r="O309" i="7"/>
  <c r="N309" i="7"/>
  <c r="L309" i="7"/>
  <c r="K309" i="7"/>
  <c r="J309" i="7"/>
  <c r="I309" i="7"/>
  <c r="H309" i="7"/>
  <c r="G309" i="7"/>
  <c r="E309" i="7"/>
  <c r="D309" i="7"/>
  <c r="C309" i="7"/>
  <c r="V308" i="7"/>
  <c r="U308" i="7"/>
  <c r="T308" i="7"/>
  <c r="S308" i="7"/>
  <c r="R308" i="7"/>
  <c r="P308" i="7"/>
  <c r="O308" i="7"/>
  <c r="N308" i="7"/>
  <c r="L308" i="7"/>
  <c r="K308" i="7"/>
  <c r="J308" i="7"/>
  <c r="I308" i="7"/>
  <c r="H308" i="7"/>
  <c r="G308" i="7"/>
  <c r="E308" i="7"/>
  <c r="D308" i="7"/>
  <c r="C308" i="7"/>
  <c r="V307" i="7"/>
  <c r="U307" i="7"/>
  <c r="T307" i="7"/>
  <c r="S307" i="7"/>
  <c r="R307" i="7"/>
  <c r="P307" i="7"/>
  <c r="O307" i="7"/>
  <c r="N307" i="7"/>
  <c r="L307" i="7"/>
  <c r="K307" i="7"/>
  <c r="J307" i="7"/>
  <c r="I307" i="7"/>
  <c r="H307" i="7"/>
  <c r="G307" i="7"/>
  <c r="E307" i="7"/>
  <c r="D307" i="7"/>
  <c r="C307" i="7"/>
  <c r="V306" i="7"/>
  <c r="U306" i="7"/>
  <c r="T306" i="7"/>
  <c r="S306" i="7"/>
  <c r="R306" i="7"/>
  <c r="P306" i="7"/>
  <c r="O306" i="7"/>
  <c r="N306" i="7"/>
  <c r="L306" i="7"/>
  <c r="K306" i="7"/>
  <c r="J306" i="7"/>
  <c r="I306" i="7"/>
  <c r="H306" i="7"/>
  <c r="G306" i="7"/>
  <c r="E306" i="7"/>
  <c r="D306" i="7"/>
  <c r="C306" i="7"/>
  <c r="V305" i="7"/>
  <c r="U305" i="7"/>
  <c r="T305" i="7"/>
  <c r="S305" i="7"/>
  <c r="R305" i="7"/>
  <c r="P305" i="7"/>
  <c r="O305" i="7"/>
  <c r="N305" i="7"/>
  <c r="L305" i="7"/>
  <c r="K305" i="7"/>
  <c r="J305" i="7"/>
  <c r="I305" i="7"/>
  <c r="H305" i="7"/>
  <c r="G305" i="7"/>
  <c r="E305" i="7"/>
  <c r="D305" i="7"/>
  <c r="C305" i="7"/>
  <c r="V304" i="7"/>
  <c r="U304" i="7"/>
  <c r="T304" i="7"/>
  <c r="S304" i="7"/>
  <c r="R304" i="7"/>
  <c r="P304" i="7"/>
  <c r="O304" i="7"/>
  <c r="N304" i="7"/>
  <c r="L304" i="7"/>
  <c r="K304" i="7"/>
  <c r="J304" i="7"/>
  <c r="I304" i="7"/>
  <c r="H304" i="7"/>
  <c r="G304" i="7"/>
  <c r="E304" i="7"/>
  <c r="D304" i="7"/>
  <c r="C304" i="7"/>
  <c r="V303" i="7"/>
  <c r="U303" i="7"/>
  <c r="T303" i="7"/>
  <c r="S303" i="7"/>
  <c r="R303" i="7"/>
  <c r="P303" i="7"/>
  <c r="O303" i="7"/>
  <c r="N303" i="7"/>
  <c r="L303" i="7"/>
  <c r="K303" i="7"/>
  <c r="J303" i="7"/>
  <c r="I303" i="7"/>
  <c r="H303" i="7"/>
  <c r="G303" i="7"/>
  <c r="E303" i="7"/>
  <c r="D303" i="7"/>
  <c r="C303" i="7"/>
  <c r="V302" i="7"/>
  <c r="U302" i="7"/>
  <c r="T302" i="7"/>
  <c r="S302" i="7"/>
  <c r="R302" i="7"/>
  <c r="P302" i="7"/>
  <c r="O302" i="7"/>
  <c r="N302" i="7"/>
  <c r="L302" i="7"/>
  <c r="K302" i="7"/>
  <c r="J302" i="7"/>
  <c r="I302" i="7"/>
  <c r="H302" i="7"/>
  <c r="G302" i="7"/>
  <c r="E302" i="7"/>
  <c r="D302" i="7"/>
  <c r="C302" i="7"/>
  <c r="V301" i="7"/>
  <c r="U301" i="7"/>
  <c r="T301" i="7"/>
  <c r="S301" i="7"/>
  <c r="R301" i="7"/>
  <c r="P301" i="7"/>
  <c r="O301" i="7"/>
  <c r="N301" i="7"/>
  <c r="L301" i="7"/>
  <c r="K301" i="7"/>
  <c r="J301" i="7"/>
  <c r="I301" i="7"/>
  <c r="H301" i="7"/>
  <c r="G301" i="7"/>
  <c r="E301" i="7"/>
  <c r="D301" i="7"/>
  <c r="C301" i="7"/>
  <c r="V300" i="7"/>
  <c r="U300" i="7"/>
  <c r="T300" i="7"/>
  <c r="S300" i="7"/>
  <c r="R300" i="7"/>
  <c r="P300" i="7"/>
  <c r="O300" i="7"/>
  <c r="N300" i="7"/>
  <c r="L300" i="7"/>
  <c r="K300" i="7"/>
  <c r="J300" i="7"/>
  <c r="I300" i="7"/>
  <c r="H300" i="7"/>
  <c r="G300" i="7"/>
  <c r="E300" i="7"/>
  <c r="D300" i="7"/>
  <c r="C300" i="7"/>
  <c r="V299" i="7"/>
  <c r="U299" i="7"/>
  <c r="T299" i="7"/>
  <c r="S299" i="7"/>
  <c r="R299" i="7"/>
  <c r="P299" i="7"/>
  <c r="O299" i="7"/>
  <c r="N299" i="7"/>
  <c r="L299" i="7"/>
  <c r="K299" i="7"/>
  <c r="J299" i="7"/>
  <c r="I299" i="7"/>
  <c r="H299" i="7"/>
  <c r="G299" i="7"/>
  <c r="E299" i="7"/>
  <c r="D299" i="7"/>
  <c r="C299" i="7"/>
  <c r="V298" i="7"/>
  <c r="U298" i="7"/>
  <c r="T298" i="7"/>
  <c r="S298" i="7"/>
  <c r="R298" i="7"/>
  <c r="P298" i="7"/>
  <c r="O298" i="7"/>
  <c r="N298" i="7"/>
  <c r="L298" i="7"/>
  <c r="K298" i="7"/>
  <c r="J298" i="7"/>
  <c r="I298" i="7"/>
  <c r="H298" i="7"/>
  <c r="G298" i="7"/>
  <c r="E298" i="7"/>
  <c r="D298" i="7"/>
  <c r="C298" i="7"/>
  <c r="V297" i="7"/>
  <c r="U297" i="7"/>
  <c r="T297" i="7"/>
  <c r="S297" i="7"/>
  <c r="R297" i="7"/>
  <c r="P297" i="7"/>
  <c r="O297" i="7"/>
  <c r="N297" i="7"/>
  <c r="L297" i="7"/>
  <c r="K297" i="7"/>
  <c r="J297" i="7"/>
  <c r="I297" i="7"/>
  <c r="H297" i="7"/>
  <c r="G297" i="7"/>
  <c r="E297" i="7"/>
  <c r="D297" i="7"/>
  <c r="C297" i="7"/>
  <c r="V296" i="7"/>
  <c r="U296" i="7"/>
  <c r="T296" i="7"/>
  <c r="S296" i="7"/>
  <c r="R296" i="7"/>
  <c r="P296" i="7"/>
  <c r="O296" i="7"/>
  <c r="N296" i="7"/>
  <c r="L296" i="7"/>
  <c r="K296" i="7"/>
  <c r="J296" i="7"/>
  <c r="I296" i="7"/>
  <c r="H296" i="7"/>
  <c r="G296" i="7"/>
  <c r="E296" i="7"/>
  <c r="D296" i="7"/>
  <c r="C296" i="7"/>
  <c r="V295" i="7"/>
  <c r="U295" i="7"/>
  <c r="T295" i="7"/>
  <c r="S295" i="7"/>
  <c r="R295" i="7"/>
  <c r="P295" i="7"/>
  <c r="O295" i="7"/>
  <c r="N295" i="7"/>
  <c r="L295" i="7"/>
  <c r="K295" i="7"/>
  <c r="J295" i="7"/>
  <c r="I295" i="7"/>
  <c r="H295" i="7"/>
  <c r="G295" i="7"/>
  <c r="E295" i="7"/>
  <c r="D295" i="7"/>
  <c r="C295" i="7"/>
  <c r="V294" i="7"/>
  <c r="U294" i="7"/>
  <c r="T294" i="7"/>
  <c r="S294" i="7"/>
  <c r="R294" i="7"/>
  <c r="P294" i="7"/>
  <c r="O294" i="7"/>
  <c r="N294" i="7"/>
  <c r="L294" i="7"/>
  <c r="K294" i="7"/>
  <c r="J294" i="7"/>
  <c r="I294" i="7"/>
  <c r="H294" i="7"/>
  <c r="G294" i="7"/>
  <c r="E294" i="7"/>
  <c r="D294" i="7"/>
  <c r="C294" i="7"/>
  <c r="V293" i="7"/>
  <c r="U293" i="7"/>
  <c r="T293" i="7"/>
  <c r="S293" i="7"/>
  <c r="R293" i="7"/>
  <c r="P293" i="7"/>
  <c r="O293" i="7"/>
  <c r="N293" i="7"/>
  <c r="L293" i="7"/>
  <c r="K293" i="7"/>
  <c r="J293" i="7"/>
  <c r="I293" i="7"/>
  <c r="H293" i="7"/>
  <c r="G293" i="7"/>
  <c r="E293" i="7"/>
  <c r="D293" i="7"/>
  <c r="C293" i="7"/>
  <c r="V292" i="7"/>
  <c r="U292" i="7"/>
  <c r="T292" i="7"/>
  <c r="S292" i="7"/>
  <c r="R292" i="7"/>
  <c r="P292" i="7"/>
  <c r="O292" i="7"/>
  <c r="N292" i="7"/>
  <c r="L292" i="7"/>
  <c r="K292" i="7"/>
  <c r="J292" i="7"/>
  <c r="I292" i="7"/>
  <c r="H292" i="7"/>
  <c r="G292" i="7"/>
  <c r="E292" i="7"/>
  <c r="D292" i="7"/>
  <c r="C292" i="7"/>
  <c r="V291" i="7"/>
  <c r="U291" i="7"/>
  <c r="T291" i="7"/>
  <c r="S291" i="7"/>
  <c r="R291" i="7"/>
  <c r="P291" i="7"/>
  <c r="O291" i="7"/>
  <c r="N291" i="7"/>
  <c r="L291" i="7"/>
  <c r="K291" i="7"/>
  <c r="J291" i="7"/>
  <c r="I291" i="7"/>
  <c r="H291" i="7"/>
  <c r="G291" i="7"/>
  <c r="E291" i="7"/>
  <c r="D291" i="7"/>
  <c r="C291" i="7"/>
  <c r="V290" i="7"/>
  <c r="U290" i="7"/>
  <c r="T290" i="7"/>
  <c r="S290" i="7"/>
  <c r="R290" i="7"/>
  <c r="P290" i="7"/>
  <c r="O290" i="7"/>
  <c r="N290" i="7"/>
  <c r="L290" i="7"/>
  <c r="K290" i="7"/>
  <c r="J290" i="7"/>
  <c r="I290" i="7"/>
  <c r="H290" i="7"/>
  <c r="G290" i="7"/>
  <c r="E290" i="7"/>
  <c r="D290" i="7"/>
  <c r="C290" i="7"/>
  <c r="V289" i="7"/>
  <c r="U289" i="7"/>
  <c r="T289" i="7"/>
  <c r="S289" i="7"/>
  <c r="R289" i="7"/>
  <c r="P289" i="7"/>
  <c r="O289" i="7"/>
  <c r="N289" i="7"/>
  <c r="L289" i="7"/>
  <c r="K289" i="7"/>
  <c r="J289" i="7"/>
  <c r="I289" i="7"/>
  <c r="H289" i="7"/>
  <c r="G289" i="7"/>
  <c r="E289" i="7"/>
  <c r="D289" i="7"/>
  <c r="C289" i="7"/>
  <c r="V288" i="7"/>
  <c r="U288" i="7"/>
  <c r="T288" i="7"/>
  <c r="S288" i="7"/>
  <c r="R288" i="7"/>
  <c r="P288" i="7"/>
  <c r="O288" i="7"/>
  <c r="N288" i="7"/>
  <c r="L288" i="7"/>
  <c r="K288" i="7"/>
  <c r="J288" i="7"/>
  <c r="I288" i="7"/>
  <c r="H288" i="7"/>
  <c r="G288" i="7"/>
  <c r="E288" i="7"/>
  <c r="D288" i="7"/>
  <c r="C288" i="7"/>
  <c r="V287" i="7"/>
  <c r="U287" i="7"/>
  <c r="T287" i="7"/>
  <c r="S287" i="7"/>
  <c r="R287" i="7"/>
  <c r="P287" i="7"/>
  <c r="O287" i="7"/>
  <c r="N287" i="7"/>
  <c r="L287" i="7"/>
  <c r="K287" i="7"/>
  <c r="J287" i="7"/>
  <c r="I287" i="7"/>
  <c r="H287" i="7"/>
  <c r="G287" i="7"/>
  <c r="E287" i="7"/>
  <c r="D287" i="7"/>
  <c r="C287" i="7"/>
  <c r="V286" i="7"/>
  <c r="U286" i="7"/>
  <c r="T286" i="7"/>
  <c r="S286" i="7"/>
  <c r="R286" i="7"/>
  <c r="P286" i="7"/>
  <c r="O286" i="7"/>
  <c r="N286" i="7"/>
  <c r="L286" i="7"/>
  <c r="K286" i="7"/>
  <c r="J286" i="7"/>
  <c r="I286" i="7"/>
  <c r="H286" i="7"/>
  <c r="G286" i="7"/>
  <c r="E286" i="7"/>
  <c r="D286" i="7"/>
  <c r="C286" i="7"/>
  <c r="V285" i="7"/>
  <c r="U285" i="7"/>
  <c r="T285" i="7"/>
  <c r="S285" i="7"/>
  <c r="R285" i="7"/>
  <c r="P285" i="7"/>
  <c r="O285" i="7"/>
  <c r="N285" i="7"/>
  <c r="L285" i="7"/>
  <c r="K285" i="7"/>
  <c r="J285" i="7"/>
  <c r="I285" i="7"/>
  <c r="H285" i="7"/>
  <c r="G285" i="7"/>
  <c r="E285" i="7"/>
  <c r="D285" i="7"/>
  <c r="C285" i="7"/>
  <c r="V284" i="7"/>
  <c r="U284" i="7"/>
  <c r="T284" i="7"/>
  <c r="S284" i="7"/>
  <c r="R284" i="7"/>
  <c r="P284" i="7"/>
  <c r="O284" i="7"/>
  <c r="N284" i="7"/>
  <c r="L284" i="7"/>
  <c r="K284" i="7"/>
  <c r="J284" i="7"/>
  <c r="I284" i="7"/>
  <c r="H284" i="7"/>
  <c r="G284" i="7"/>
  <c r="E284" i="7"/>
  <c r="D284" i="7"/>
  <c r="C284" i="7"/>
  <c r="V283" i="7"/>
  <c r="U283" i="7"/>
  <c r="T283" i="7"/>
  <c r="S283" i="7"/>
  <c r="R283" i="7"/>
  <c r="P283" i="7"/>
  <c r="O283" i="7"/>
  <c r="N283" i="7"/>
  <c r="L283" i="7"/>
  <c r="K283" i="7"/>
  <c r="J283" i="7"/>
  <c r="I283" i="7"/>
  <c r="H283" i="7"/>
  <c r="G283" i="7"/>
  <c r="E283" i="7"/>
  <c r="D283" i="7"/>
  <c r="C283" i="7"/>
  <c r="V282" i="7"/>
  <c r="U282" i="7"/>
  <c r="T282" i="7"/>
  <c r="S282" i="7"/>
  <c r="R282" i="7"/>
  <c r="P282" i="7"/>
  <c r="O282" i="7"/>
  <c r="N282" i="7"/>
  <c r="L282" i="7"/>
  <c r="K282" i="7"/>
  <c r="J282" i="7"/>
  <c r="I282" i="7"/>
  <c r="H282" i="7"/>
  <c r="G282" i="7"/>
  <c r="E282" i="7"/>
  <c r="D282" i="7"/>
  <c r="C282" i="7"/>
  <c r="V281" i="7"/>
  <c r="U281" i="7"/>
  <c r="T281" i="7"/>
  <c r="S281" i="7"/>
  <c r="R281" i="7"/>
  <c r="P281" i="7"/>
  <c r="O281" i="7"/>
  <c r="N281" i="7"/>
  <c r="L281" i="7"/>
  <c r="K281" i="7"/>
  <c r="J281" i="7"/>
  <c r="I281" i="7"/>
  <c r="H281" i="7"/>
  <c r="G281" i="7"/>
  <c r="E281" i="7"/>
  <c r="D281" i="7"/>
  <c r="C281" i="7"/>
  <c r="V280" i="7"/>
  <c r="U280" i="7"/>
  <c r="T280" i="7"/>
  <c r="S280" i="7"/>
  <c r="R280" i="7"/>
  <c r="P280" i="7"/>
  <c r="O280" i="7"/>
  <c r="N280" i="7"/>
  <c r="L280" i="7"/>
  <c r="K280" i="7"/>
  <c r="J280" i="7"/>
  <c r="I280" i="7"/>
  <c r="H280" i="7"/>
  <c r="G280" i="7"/>
  <c r="E280" i="7"/>
  <c r="D280" i="7"/>
  <c r="C280" i="7"/>
  <c r="V279" i="7"/>
  <c r="U279" i="7"/>
  <c r="T279" i="7"/>
  <c r="S279" i="7"/>
  <c r="R279" i="7"/>
  <c r="P279" i="7"/>
  <c r="O279" i="7"/>
  <c r="N279" i="7"/>
  <c r="L279" i="7"/>
  <c r="K279" i="7"/>
  <c r="J279" i="7"/>
  <c r="I279" i="7"/>
  <c r="H279" i="7"/>
  <c r="G279" i="7"/>
  <c r="E279" i="7"/>
  <c r="D279" i="7"/>
  <c r="C279" i="7"/>
  <c r="V278" i="7"/>
  <c r="U278" i="7"/>
  <c r="T278" i="7"/>
  <c r="S278" i="7"/>
  <c r="R278" i="7"/>
  <c r="P278" i="7"/>
  <c r="O278" i="7"/>
  <c r="N278" i="7"/>
  <c r="L278" i="7"/>
  <c r="K278" i="7"/>
  <c r="J278" i="7"/>
  <c r="I278" i="7"/>
  <c r="H278" i="7"/>
  <c r="G278" i="7"/>
  <c r="E278" i="7"/>
  <c r="D278" i="7"/>
  <c r="C278" i="7"/>
  <c r="V277" i="7"/>
  <c r="U277" i="7"/>
  <c r="T277" i="7"/>
  <c r="S277" i="7"/>
  <c r="R277" i="7"/>
  <c r="P277" i="7"/>
  <c r="O277" i="7"/>
  <c r="N277" i="7"/>
  <c r="L277" i="7"/>
  <c r="K277" i="7"/>
  <c r="J277" i="7"/>
  <c r="I277" i="7"/>
  <c r="H277" i="7"/>
  <c r="G277" i="7"/>
  <c r="E277" i="7"/>
  <c r="D277" i="7"/>
  <c r="C277" i="7"/>
  <c r="V276" i="7"/>
  <c r="U276" i="7"/>
  <c r="T276" i="7"/>
  <c r="S276" i="7"/>
  <c r="R276" i="7"/>
  <c r="P276" i="7"/>
  <c r="O276" i="7"/>
  <c r="N276" i="7"/>
  <c r="L276" i="7"/>
  <c r="K276" i="7"/>
  <c r="J276" i="7"/>
  <c r="I276" i="7"/>
  <c r="H276" i="7"/>
  <c r="G276" i="7"/>
  <c r="E276" i="7"/>
  <c r="D276" i="7"/>
  <c r="C276" i="7"/>
  <c r="V275" i="7"/>
  <c r="U275" i="7"/>
  <c r="T275" i="7"/>
  <c r="S275" i="7"/>
  <c r="R275" i="7"/>
  <c r="P275" i="7"/>
  <c r="O275" i="7"/>
  <c r="N275" i="7"/>
  <c r="L275" i="7"/>
  <c r="K275" i="7"/>
  <c r="J275" i="7"/>
  <c r="I275" i="7"/>
  <c r="H275" i="7"/>
  <c r="G275" i="7"/>
  <c r="E275" i="7"/>
  <c r="D275" i="7"/>
  <c r="C275" i="7"/>
  <c r="V274" i="7"/>
  <c r="U274" i="7"/>
  <c r="T274" i="7"/>
  <c r="S274" i="7"/>
  <c r="R274" i="7"/>
  <c r="P274" i="7"/>
  <c r="O274" i="7"/>
  <c r="N274" i="7"/>
  <c r="L274" i="7"/>
  <c r="K274" i="7"/>
  <c r="J274" i="7"/>
  <c r="I274" i="7"/>
  <c r="H274" i="7"/>
  <c r="G274" i="7"/>
  <c r="E274" i="7"/>
  <c r="D274" i="7"/>
  <c r="C274" i="7"/>
  <c r="V273" i="7"/>
  <c r="U273" i="7"/>
  <c r="T273" i="7"/>
  <c r="S273" i="7"/>
  <c r="R273" i="7"/>
  <c r="P273" i="7"/>
  <c r="O273" i="7"/>
  <c r="N273" i="7"/>
  <c r="L273" i="7"/>
  <c r="K273" i="7"/>
  <c r="J273" i="7"/>
  <c r="I273" i="7"/>
  <c r="H273" i="7"/>
  <c r="G273" i="7"/>
  <c r="E273" i="7"/>
  <c r="D273" i="7"/>
  <c r="C273" i="7"/>
  <c r="V272" i="7"/>
  <c r="U272" i="7"/>
  <c r="T272" i="7"/>
  <c r="S272" i="7"/>
  <c r="R272" i="7"/>
  <c r="P272" i="7"/>
  <c r="O272" i="7"/>
  <c r="N272" i="7"/>
  <c r="L272" i="7"/>
  <c r="K272" i="7"/>
  <c r="J272" i="7"/>
  <c r="I272" i="7"/>
  <c r="H272" i="7"/>
  <c r="G272" i="7"/>
  <c r="E272" i="7"/>
  <c r="D272" i="7"/>
  <c r="C272" i="7"/>
  <c r="V271" i="7"/>
  <c r="U271" i="7"/>
  <c r="T271" i="7"/>
  <c r="S271" i="7"/>
  <c r="R271" i="7"/>
  <c r="P271" i="7"/>
  <c r="O271" i="7"/>
  <c r="N271" i="7"/>
  <c r="L271" i="7"/>
  <c r="K271" i="7"/>
  <c r="J271" i="7"/>
  <c r="I271" i="7"/>
  <c r="H271" i="7"/>
  <c r="G271" i="7"/>
  <c r="E271" i="7"/>
  <c r="D271" i="7"/>
  <c r="C271" i="7"/>
  <c r="V270" i="7"/>
  <c r="U270" i="7"/>
  <c r="T270" i="7"/>
  <c r="S270" i="7"/>
  <c r="R270" i="7"/>
  <c r="P270" i="7"/>
  <c r="O270" i="7"/>
  <c r="N270" i="7"/>
  <c r="L270" i="7"/>
  <c r="K270" i="7"/>
  <c r="J270" i="7"/>
  <c r="I270" i="7"/>
  <c r="H270" i="7"/>
  <c r="G270" i="7"/>
  <c r="E270" i="7"/>
  <c r="D270" i="7"/>
  <c r="C270" i="7"/>
  <c r="V269" i="7"/>
  <c r="U269" i="7"/>
  <c r="T269" i="7"/>
  <c r="S269" i="7"/>
  <c r="R269" i="7"/>
  <c r="P269" i="7"/>
  <c r="O269" i="7"/>
  <c r="N269" i="7"/>
  <c r="L269" i="7"/>
  <c r="K269" i="7"/>
  <c r="J269" i="7"/>
  <c r="I269" i="7"/>
  <c r="H269" i="7"/>
  <c r="G269" i="7"/>
  <c r="E269" i="7"/>
  <c r="D269" i="7"/>
  <c r="C269" i="7"/>
  <c r="V268" i="7"/>
  <c r="U268" i="7"/>
  <c r="T268" i="7"/>
  <c r="S268" i="7"/>
  <c r="R268" i="7"/>
  <c r="P268" i="7"/>
  <c r="O268" i="7"/>
  <c r="N268" i="7"/>
  <c r="L268" i="7"/>
  <c r="K268" i="7"/>
  <c r="J268" i="7"/>
  <c r="I268" i="7"/>
  <c r="H268" i="7"/>
  <c r="G268" i="7"/>
  <c r="E268" i="7"/>
  <c r="D268" i="7"/>
  <c r="C268" i="7"/>
  <c r="V267" i="7"/>
  <c r="U267" i="7"/>
  <c r="T267" i="7"/>
  <c r="S267" i="7"/>
  <c r="R267" i="7"/>
  <c r="P267" i="7"/>
  <c r="O267" i="7"/>
  <c r="N267" i="7"/>
  <c r="L267" i="7"/>
  <c r="K267" i="7"/>
  <c r="J267" i="7"/>
  <c r="I267" i="7"/>
  <c r="H267" i="7"/>
  <c r="G267" i="7"/>
  <c r="E267" i="7"/>
  <c r="D267" i="7"/>
  <c r="C267" i="7"/>
  <c r="V266" i="7"/>
  <c r="U266" i="7"/>
  <c r="T266" i="7"/>
  <c r="S266" i="7"/>
  <c r="R266" i="7"/>
  <c r="P266" i="7"/>
  <c r="O266" i="7"/>
  <c r="N266" i="7"/>
  <c r="L266" i="7"/>
  <c r="K266" i="7"/>
  <c r="J266" i="7"/>
  <c r="I266" i="7"/>
  <c r="H266" i="7"/>
  <c r="G266" i="7"/>
  <c r="E266" i="7"/>
  <c r="D266" i="7"/>
  <c r="C266" i="7"/>
  <c r="V265" i="7"/>
  <c r="U265" i="7"/>
  <c r="T265" i="7"/>
  <c r="S265" i="7"/>
  <c r="R265" i="7"/>
  <c r="P265" i="7"/>
  <c r="O265" i="7"/>
  <c r="N265" i="7"/>
  <c r="L265" i="7"/>
  <c r="K265" i="7"/>
  <c r="J265" i="7"/>
  <c r="I265" i="7"/>
  <c r="H265" i="7"/>
  <c r="G265" i="7"/>
  <c r="E265" i="7"/>
  <c r="D265" i="7"/>
  <c r="C265" i="7"/>
  <c r="V264" i="7"/>
  <c r="U264" i="7"/>
  <c r="T264" i="7"/>
  <c r="S264" i="7"/>
  <c r="R264" i="7"/>
  <c r="P264" i="7"/>
  <c r="O264" i="7"/>
  <c r="N264" i="7"/>
  <c r="L264" i="7"/>
  <c r="K264" i="7"/>
  <c r="J264" i="7"/>
  <c r="I264" i="7"/>
  <c r="H264" i="7"/>
  <c r="G264" i="7"/>
  <c r="E264" i="7"/>
  <c r="D264" i="7"/>
  <c r="C264" i="7"/>
  <c r="V263" i="7"/>
  <c r="U263" i="7"/>
  <c r="T263" i="7"/>
  <c r="S263" i="7"/>
  <c r="R263" i="7"/>
  <c r="P263" i="7"/>
  <c r="O263" i="7"/>
  <c r="N263" i="7"/>
  <c r="L263" i="7"/>
  <c r="K263" i="7"/>
  <c r="J263" i="7"/>
  <c r="I263" i="7"/>
  <c r="H263" i="7"/>
  <c r="G263" i="7"/>
  <c r="E263" i="7"/>
  <c r="D263" i="7"/>
  <c r="C263" i="7"/>
  <c r="V262" i="7"/>
  <c r="U262" i="7"/>
  <c r="T262" i="7"/>
  <c r="S262" i="7"/>
  <c r="R262" i="7"/>
  <c r="P262" i="7"/>
  <c r="O262" i="7"/>
  <c r="N262" i="7"/>
  <c r="L262" i="7"/>
  <c r="K262" i="7"/>
  <c r="J262" i="7"/>
  <c r="I262" i="7"/>
  <c r="H262" i="7"/>
  <c r="G262" i="7"/>
  <c r="E262" i="7"/>
  <c r="D262" i="7"/>
  <c r="C262" i="7"/>
  <c r="V261" i="7"/>
  <c r="U261" i="7"/>
  <c r="T261" i="7"/>
  <c r="S261" i="7"/>
  <c r="R261" i="7"/>
  <c r="P261" i="7"/>
  <c r="O261" i="7"/>
  <c r="N261" i="7"/>
  <c r="L261" i="7"/>
  <c r="K261" i="7"/>
  <c r="J261" i="7"/>
  <c r="I261" i="7"/>
  <c r="H261" i="7"/>
  <c r="G261" i="7"/>
  <c r="E261" i="7"/>
  <c r="D261" i="7"/>
  <c r="C261" i="7"/>
  <c r="V260" i="7"/>
  <c r="U260" i="7"/>
  <c r="T260" i="7"/>
  <c r="S260" i="7"/>
  <c r="R260" i="7"/>
  <c r="P260" i="7"/>
  <c r="O260" i="7"/>
  <c r="N260" i="7"/>
  <c r="L260" i="7"/>
  <c r="K260" i="7"/>
  <c r="J260" i="7"/>
  <c r="I260" i="7"/>
  <c r="H260" i="7"/>
  <c r="G260" i="7"/>
  <c r="E260" i="7"/>
  <c r="D260" i="7"/>
  <c r="C260" i="7"/>
  <c r="V259" i="7"/>
  <c r="U259" i="7"/>
  <c r="T259" i="7"/>
  <c r="S259" i="7"/>
  <c r="R259" i="7"/>
  <c r="P259" i="7"/>
  <c r="O259" i="7"/>
  <c r="N259" i="7"/>
  <c r="L259" i="7"/>
  <c r="K259" i="7"/>
  <c r="J259" i="7"/>
  <c r="I259" i="7"/>
  <c r="H259" i="7"/>
  <c r="G259" i="7"/>
  <c r="E259" i="7"/>
  <c r="D259" i="7"/>
  <c r="C259" i="7"/>
  <c r="V258" i="7"/>
  <c r="U258" i="7"/>
  <c r="T258" i="7"/>
  <c r="S258" i="7"/>
  <c r="R258" i="7"/>
  <c r="P258" i="7"/>
  <c r="O258" i="7"/>
  <c r="N258" i="7"/>
  <c r="L258" i="7"/>
  <c r="K258" i="7"/>
  <c r="J258" i="7"/>
  <c r="I258" i="7"/>
  <c r="H258" i="7"/>
  <c r="G258" i="7"/>
  <c r="E258" i="7"/>
  <c r="D258" i="7"/>
  <c r="C258" i="7"/>
  <c r="V257" i="7"/>
  <c r="U257" i="7"/>
  <c r="T257" i="7"/>
  <c r="S257" i="7"/>
  <c r="R257" i="7"/>
  <c r="P257" i="7"/>
  <c r="O257" i="7"/>
  <c r="N257" i="7"/>
  <c r="L257" i="7"/>
  <c r="K257" i="7"/>
  <c r="J257" i="7"/>
  <c r="I257" i="7"/>
  <c r="H257" i="7"/>
  <c r="G257" i="7"/>
  <c r="E257" i="7"/>
  <c r="D257" i="7"/>
  <c r="C257" i="7"/>
  <c r="V256" i="7"/>
  <c r="U256" i="7"/>
  <c r="T256" i="7"/>
  <c r="S256" i="7"/>
  <c r="R256" i="7"/>
  <c r="P256" i="7"/>
  <c r="O256" i="7"/>
  <c r="N256" i="7"/>
  <c r="L256" i="7"/>
  <c r="K256" i="7"/>
  <c r="J256" i="7"/>
  <c r="I256" i="7"/>
  <c r="H256" i="7"/>
  <c r="G256" i="7"/>
  <c r="E256" i="7"/>
  <c r="D256" i="7"/>
  <c r="C256" i="7"/>
  <c r="V255" i="7"/>
  <c r="U255" i="7"/>
  <c r="T255" i="7"/>
  <c r="S255" i="7"/>
  <c r="R255" i="7"/>
  <c r="P255" i="7"/>
  <c r="O255" i="7"/>
  <c r="N255" i="7"/>
  <c r="L255" i="7"/>
  <c r="K255" i="7"/>
  <c r="J255" i="7"/>
  <c r="I255" i="7"/>
  <c r="H255" i="7"/>
  <c r="G255" i="7"/>
  <c r="E255" i="7"/>
  <c r="D255" i="7"/>
  <c r="C255" i="7"/>
  <c r="V254" i="7"/>
  <c r="U254" i="7"/>
  <c r="T254" i="7"/>
  <c r="S254" i="7"/>
  <c r="R254" i="7"/>
  <c r="P254" i="7"/>
  <c r="O254" i="7"/>
  <c r="N254" i="7"/>
  <c r="L254" i="7"/>
  <c r="K254" i="7"/>
  <c r="J254" i="7"/>
  <c r="I254" i="7"/>
  <c r="H254" i="7"/>
  <c r="G254" i="7"/>
  <c r="E254" i="7"/>
  <c r="D254" i="7"/>
  <c r="C254" i="7"/>
  <c r="V253" i="7"/>
  <c r="U253" i="7"/>
  <c r="T253" i="7"/>
  <c r="S253" i="7"/>
  <c r="R253" i="7"/>
  <c r="P253" i="7"/>
  <c r="O253" i="7"/>
  <c r="N253" i="7"/>
  <c r="L253" i="7"/>
  <c r="K253" i="7"/>
  <c r="J253" i="7"/>
  <c r="I253" i="7"/>
  <c r="H253" i="7"/>
  <c r="G253" i="7"/>
  <c r="E253" i="7"/>
  <c r="D253" i="7"/>
  <c r="C253" i="7"/>
  <c r="V252" i="7"/>
  <c r="U252" i="7"/>
  <c r="T252" i="7"/>
  <c r="S252" i="7"/>
  <c r="R252" i="7"/>
  <c r="P252" i="7"/>
  <c r="O252" i="7"/>
  <c r="N252" i="7"/>
  <c r="L252" i="7"/>
  <c r="K252" i="7"/>
  <c r="J252" i="7"/>
  <c r="I252" i="7"/>
  <c r="H252" i="7"/>
  <c r="G252" i="7"/>
  <c r="E252" i="7"/>
  <c r="D252" i="7"/>
  <c r="C252" i="7"/>
  <c r="V251" i="7"/>
  <c r="U251" i="7"/>
  <c r="T251" i="7"/>
  <c r="S251" i="7"/>
  <c r="R251" i="7"/>
  <c r="P251" i="7"/>
  <c r="O251" i="7"/>
  <c r="N251" i="7"/>
  <c r="L251" i="7"/>
  <c r="K251" i="7"/>
  <c r="J251" i="7"/>
  <c r="I251" i="7"/>
  <c r="H251" i="7"/>
  <c r="G251" i="7"/>
  <c r="E251" i="7"/>
  <c r="D251" i="7"/>
  <c r="C251" i="7"/>
  <c r="V250" i="7"/>
  <c r="U250" i="7"/>
  <c r="T250" i="7"/>
  <c r="S250" i="7"/>
  <c r="R250" i="7"/>
  <c r="P250" i="7"/>
  <c r="O250" i="7"/>
  <c r="N250" i="7"/>
  <c r="L250" i="7"/>
  <c r="K250" i="7"/>
  <c r="J250" i="7"/>
  <c r="I250" i="7"/>
  <c r="H250" i="7"/>
  <c r="G250" i="7"/>
  <c r="E250" i="7"/>
  <c r="D250" i="7"/>
  <c r="C250" i="7"/>
  <c r="V249" i="7"/>
  <c r="U249" i="7"/>
  <c r="T249" i="7"/>
  <c r="S249" i="7"/>
  <c r="R249" i="7"/>
  <c r="P249" i="7"/>
  <c r="O249" i="7"/>
  <c r="N249" i="7"/>
  <c r="L249" i="7"/>
  <c r="K249" i="7"/>
  <c r="J249" i="7"/>
  <c r="I249" i="7"/>
  <c r="H249" i="7"/>
  <c r="G249" i="7"/>
  <c r="E249" i="7"/>
  <c r="D249" i="7"/>
  <c r="C249" i="7"/>
  <c r="V248" i="7"/>
  <c r="U248" i="7"/>
  <c r="T248" i="7"/>
  <c r="S248" i="7"/>
  <c r="R248" i="7"/>
  <c r="P248" i="7"/>
  <c r="O248" i="7"/>
  <c r="N248" i="7"/>
  <c r="L248" i="7"/>
  <c r="K248" i="7"/>
  <c r="J248" i="7"/>
  <c r="I248" i="7"/>
  <c r="H248" i="7"/>
  <c r="G248" i="7"/>
  <c r="E248" i="7"/>
  <c r="D248" i="7"/>
  <c r="C248" i="7"/>
  <c r="V247" i="7"/>
  <c r="U247" i="7"/>
  <c r="T247" i="7"/>
  <c r="S247" i="7"/>
  <c r="R247" i="7"/>
  <c r="P247" i="7"/>
  <c r="O247" i="7"/>
  <c r="N247" i="7"/>
  <c r="L247" i="7"/>
  <c r="K247" i="7"/>
  <c r="J247" i="7"/>
  <c r="I247" i="7"/>
  <c r="H247" i="7"/>
  <c r="G247" i="7"/>
  <c r="E247" i="7"/>
  <c r="D247" i="7"/>
  <c r="C247" i="7"/>
  <c r="V246" i="7"/>
  <c r="U246" i="7"/>
  <c r="T246" i="7"/>
  <c r="S246" i="7"/>
  <c r="R246" i="7"/>
  <c r="P246" i="7"/>
  <c r="O246" i="7"/>
  <c r="N246" i="7"/>
  <c r="L246" i="7"/>
  <c r="K246" i="7"/>
  <c r="J246" i="7"/>
  <c r="I246" i="7"/>
  <c r="H246" i="7"/>
  <c r="G246" i="7"/>
  <c r="E246" i="7"/>
  <c r="D246" i="7"/>
  <c r="C246" i="7"/>
  <c r="V245" i="7"/>
  <c r="U245" i="7"/>
  <c r="T245" i="7"/>
  <c r="S245" i="7"/>
  <c r="R245" i="7"/>
  <c r="P245" i="7"/>
  <c r="O245" i="7"/>
  <c r="N245" i="7"/>
  <c r="L245" i="7"/>
  <c r="K245" i="7"/>
  <c r="J245" i="7"/>
  <c r="I245" i="7"/>
  <c r="H245" i="7"/>
  <c r="G245" i="7"/>
  <c r="E245" i="7"/>
  <c r="D245" i="7"/>
  <c r="C245" i="7"/>
  <c r="V244" i="7"/>
  <c r="U244" i="7"/>
  <c r="T244" i="7"/>
  <c r="S244" i="7"/>
  <c r="R244" i="7"/>
  <c r="P244" i="7"/>
  <c r="O244" i="7"/>
  <c r="N244" i="7"/>
  <c r="L244" i="7"/>
  <c r="K244" i="7"/>
  <c r="J244" i="7"/>
  <c r="I244" i="7"/>
  <c r="H244" i="7"/>
  <c r="G244" i="7"/>
  <c r="E244" i="7"/>
  <c r="D244" i="7"/>
  <c r="C244" i="7"/>
  <c r="V243" i="7"/>
  <c r="U243" i="7"/>
  <c r="T243" i="7"/>
  <c r="S243" i="7"/>
  <c r="R243" i="7"/>
  <c r="P243" i="7"/>
  <c r="O243" i="7"/>
  <c r="N243" i="7"/>
  <c r="L243" i="7"/>
  <c r="K243" i="7"/>
  <c r="J243" i="7"/>
  <c r="I243" i="7"/>
  <c r="H243" i="7"/>
  <c r="G243" i="7"/>
  <c r="E243" i="7"/>
  <c r="D243" i="7"/>
  <c r="C243" i="7"/>
  <c r="V242" i="7"/>
  <c r="U242" i="7"/>
  <c r="T242" i="7"/>
  <c r="S242" i="7"/>
  <c r="R242" i="7"/>
  <c r="P242" i="7"/>
  <c r="O242" i="7"/>
  <c r="N242" i="7"/>
  <c r="L242" i="7"/>
  <c r="K242" i="7"/>
  <c r="J242" i="7"/>
  <c r="I242" i="7"/>
  <c r="H242" i="7"/>
  <c r="G242" i="7"/>
  <c r="E242" i="7"/>
  <c r="D242" i="7"/>
  <c r="C242" i="7"/>
  <c r="V241" i="7"/>
  <c r="U241" i="7"/>
  <c r="T241" i="7"/>
  <c r="S241" i="7"/>
  <c r="R241" i="7"/>
  <c r="P241" i="7"/>
  <c r="O241" i="7"/>
  <c r="N241" i="7"/>
  <c r="L241" i="7"/>
  <c r="K241" i="7"/>
  <c r="J241" i="7"/>
  <c r="I241" i="7"/>
  <c r="H241" i="7"/>
  <c r="G241" i="7"/>
  <c r="E241" i="7"/>
  <c r="D241" i="7"/>
  <c r="C241" i="7"/>
  <c r="V240" i="7"/>
  <c r="U240" i="7"/>
  <c r="T240" i="7"/>
  <c r="S240" i="7"/>
  <c r="R240" i="7"/>
  <c r="P240" i="7"/>
  <c r="O240" i="7"/>
  <c r="N240" i="7"/>
  <c r="L240" i="7"/>
  <c r="K240" i="7"/>
  <c r="J240" i="7"/>
  <c r="I240" i="7"/>
  <c r="H240" i="7"/>
  <c r="G240" i="7"/>
  <c r="E240" i="7"/>
  <c r="D240" i="7"/>
  <c r="C240" i="7"/>
  <c r="V239" i="7"/>
  <c r="U239" i="7"/>
  <c r="T239" i="7"/>
  <c r="S239" i="7"/>
  <c r="R239" i="7"/>
  <c r="P239" i="7"/>
  <c r="O239" i="7"/>
  <c r="N239" i="7"/>
  <c r="L239" i="7"/>
  <c r="K239" i="7"/>
  <c r="J239" i="7"/>
  <c r="I239" i="7"/>
  <c r="H239" i="7"/>
  <c r="G239" i="7"/>
  <c r="E239" i="7"/>
  <c r="D239" i="7"/>
  <c r="C239" i="7"/>
  <c r="V238" i="7"/>
  <c r="U238" i="7"/>
  <c r="T238" i="7"/>
  <c r="S238" i="7"/>
  <c r="R238" i="7"/>
  <c r="P238" i="7"/>
  <c r="O238" i="7"/>
  <c r="N238" i="7"/>
  <c r="L238" i="7"/>
  <c r="K238" i="7"/>
  <c r="J238" i="7"/>
  <c r="I238" i="7"/>
  <c r="H238" i="7"/>
  <c r="G238" i="7"/>
  <c r="E238" i="7"/>
  <c r="D238" i="7"/>
  <c r="C238" i="7"/>
  <c r="V237" i="7"/>
  <c r="U237" i="7"/>
  <c r="T237" i="7"/>
  <c r="S237" i="7"/>
  <c r="R237" i="7"/>
  <c r="P237" i="7"/>
  <c r="O237" i="7"/>
  <c r="N237" i="7"/>
  <c r="L237" i="7"/>
  <c r="K237" i="7"/>
  <c r="J237" i="7"/>
  <c r="I237" i="7"/>
  <c r="H237" i="7"/>
  <c r="G237" i="7"/>
  <c r="E237" i="7"/>
  <c r="D237" i="7"/>
  <c r="C237" i="7"/>
  <c r="V236" i="7"/>
  <c r="U236" i="7"/>
  <c r="T236" i="7"/>
  <c r="S236" i="7"/>
  <c r="R236" i="7"/>
  <c r="P236" i="7"/>
  <c r="O236" i="7"/>
  <c r="N236" i="7"/>
  <c r="L236" i="7"/>
  <c r="K236" i="7"/>
  <c r="J236" i="7"/>
  <c r="I236" i="7"/>
  <c r="H236" i="7"/>
  <c r="G236" i="7"/>
  <c r="E236" i="7"/>
  <c r="D236" i="7"/>
  <c r="C236" i="7"/>
  <c r="V235" i="7"/>
  <c r="U235" i="7"/>
  <c r="T235" i="7"/>
  <c r="S235" i="7"/>
  <c r="R235" i="7"/>
  <c r="P235" i="7"/>
  <c r="O235" i="7"/>
  <c r="N235" i="7"/>
  <c r="L235" i="7"/>
  <c r="K235" i="7"/>
  <c r="J235" i="7"/>
  <c r="I235" i="7"/>
  <c r="H235" i="7"/>
  <c r="G235" i="7"/>
  <c r="E235" i="7"/>
  <c r="D235" i="7"/>
  <c r="C235" i="7"/>
  <c r="V234" i="7"/>
  <c r="U234" i="7"/>
  <c r="T234" i="7"/>
  <c r="S234" i="7"/>
  <c r="R234" i="7"/>
  <c r="P234" i="7"/>
  <c r="O234" i="7"/>
  <c r="N234" i="7"/>
  <c r="L234" i="7"/>
  <c r="K234" i="7"/>
  <c r="J234" i="7"/>
  <c r="I234" i="7"/>
  <c r="H234" i="7"/>
  <c r="G234" i="7"/>
  <c r="E234" i="7"/>
  <c r="D234" i="7"/>
  <c r="C234" i="7"/>
  <c r="V233" i="7"/>
  <c r="U233" i="7"/>
  <c r="T233" i="7"/>
  <c r="S233" i="7"/>
  <c r="R233" i="7"/>
  <c r="P233" i="7"/>
  <c r="O233" i="7"/>
  <c r="N233" i="7"/>
  <c r="L233" i="7"/>
  <c r="K233" i="7"/>
  <c r="J233" i="7"/>
  <c r="I233" i="7"/>
  <c r="H233" i="7"/>
  <c r="G233" i="7"/>
  <c r="E233" i="7"/>
  <c r="D233" i="7"/>
  <c r="C233" i="7"/>
  <c r="V232" i="7"/>
  <c r="U232" i="7"/>
  <c r="T232" i="7"/>
  <c r="S232" i="7"/>
  <c r="R232" i="7"/>
  <c r="P232" i="7"/>
  <c r="O232" i="7"/>
  <c r="N232" i="7"/>
  <c r="L232" i="7"/>
  <c r="K232" i="7"/>
  <c r="J232" i="7"/>
  <c r="I232" i="7"/>
  <c r="H232" i="7"/>
  <c r="G232" i="7"/>
  <c r="E232" i="7"/>
  <c r="D232" i="7"/>
  <c r="C232" i="7"/>
  <c r="V231" i="7"/>
  <c r="U231" i="7"/>
  <c r="T231" i="7"/>
  <c r="S231" i="7"/>
  <c r="R231" i="7"/>
  <c r="P231" i="7"/>
  <c r="O231" i="7"/>
  <c r="N231" i="7"/>
  <c r="L231" i="7"/>
  <c r="K231" i="7"/>
  <c r="J231" i="7"/>
  <c r="I231" i="7"/>
  <c r="H231" i="7"/>
  <c r="G231" i="7"/>
  <c r="E231" i="7"/>
  <c r="D231" i="7"/>
  <c r="C231" i="7"/>
  <c r="V230" i="7"/>
  <c r="U230" i="7"/>
  <c r="T230" i="7"/>
  <c r="S230" i="7"/>
  <c r="R230" i="7"/>
  <c r="P230" i="7"/>
  <c r="O230" i="7"/>
  <c r="N230" i="7"/>
  <c r="L230" i="7"/>
  <c r="K230" i="7"/>
  <c r="J230" i="7"/>
  <c r="I230" i="7"/>
  <c r="H230" i="7"/>
  <c r="G230" i="7"/>
  <c r="E230" i="7"/>
  <c r="D230" i="7"/>
  <c r="C230" i="7"/>
  <c r="V229" i="7"/>
  <c r="U229" i="7"/>
  <c r="T229" i="7"/>
  <c r="S229" i="7"/>
  <c r="R229" i="7"/>
  <c r="P229" i="7"/>
  <c r="O229" i="7"/>
  <c r="N229" i="7"/>
  <c r="L229" i="7"/>
  <c r="K229" i="7"/>
  <c r="J229" i="7"/>
  <c r="I229" i="7"/>
  <c r="H229" i="7"/>
  <c r="G229" i="7"/>
  <c r="E229" i="7"/>
  <c r="D229" i="7"/>
  <c r="C229" i="7"/>
  <c r="V228" i="7"/>
  <c r="U228" i="7"/>
  <c r="T228" i="7"/>
  <c r="S228" i="7"/>
  <c r="R228" i="7"/>
  <c r="P228" i="7"/>
  <c r="O228" i="7"/>
  <c r="N228" i="7"/>
  <c r="L228" i="7"/>
  <c r="K228" i="7"/>
  <c r="J228" i="7"/>
  <c r="I228" i="7"/>
  <c r="H228" i="7"/>
  <c r="G228" i="7"/>
  <c r="E228" i="7"/>
  <c r="D228" i="7"/>
  <c r="C228" i="7"/>
  <c r="V227" i="7"/>
  <c r="U227" i="7"/>
  <c r="T227" i="7"/>
  <c r="S227" i="7"/>
  <c r="R227" i="7"/>
  <c r="P227" i="7"/>
  <c r="O227" i="7"/>
  <c r="N227" i="7"/>
  <c r="L227" i="7"/>
  <c r="K227" i="7"/>
  <c r="J227" i="7"/>
  <c r="I227" i="7"/>
  <c r="H227" i="7"/>
  <c r="G227" i="7"/>
  <c r="E227" i="7"/>
  <c r="D227" i="7"/>
  <c r="C227" i="7"/>
  <c r="V226" i="7"/>
  <c r="U226" i="7"/>
  <c r="T226" i="7"/>
  <c r="S226" i="7"/>
  <c r="R226" i="7"/>
  <c r="P226" i="7"/>
  <c r="O226" i="7"/>
  <c r="N226" i="7"/>
  <c r="L226" i="7"/>
  <c r="K226" i="7"/>
  <c r="J226" i="7"/>
  <c r="I226" i="7"/>
  <c r="H226" i="7"/>
  <c r="G226" i="7"/>
  <c r="E226" i="7"/>
  <c r="D226" i="7"/>
  <c r="C226" i="7"/>
  <c r="V225" i="7"/>
  <c r="U225" i="7"/>
  <c r="T225" i="7"/>
  <c r="S225" i="7"/>
  <c r="R225" i="7"/>
  <c r="P225" i="7"/>
  <c r="O225" i="7"/>
  <c r="N225" i="7"/>
  <c r="L225" i="7"/>
  <c r="K225" i="7"/>
  <c r="J225" i="7"/>
  <c r="I225" i="7"/>
  <c r="H225" i="7"/>
  <c r="G225" i="7"/>
  <c r="E225" i="7"/>
  <c r="D225" i="7"/>
  <c r="C225" i="7"/>
  <c r="V224" i="7"/>
  <c r="U224" i="7"/>
  <c r="T224" i="7"/>
  <c r="S224" i="7"/>
  <c r="R224" i="7"/>
  <c r="P224" i="7"/>
  <c r="O224" i="7"/>
  <c r="N224" i="7"/>
  <c r="L224" i="7"/>
  <c r="K224" i="7"/>
  <c r="J224" i="7"/>
  <c r="I224" i="7"/>
  <c r="H224" i="7"/>
  <c r="G224" i="7"/>
  <c r="E224" i="7"/>
  <c r="D224" i="7"/>
  <c r="C224" i="7"/>
  <c r="V223" i="7"/>
  <c r="U223" i="7"/>
  <c r="T223" i="7"/>
  <c r="S223" i="7"/>
  <c r="R223" i="7"/>
  <c r="P223" i="7"/>
  <c r="O223" i="7"/>
  <c r="N223" i="7"/>
  <c r="L223" i="7"/>
  <c r="K223" i="7"/>
  <c r="J223" i="7"/>
  <c r="I223" i="7"/>
  <c r="H223" i="7"/>
  <c r="G223" i="7"/>
  <c r="E223" i="7"/>
  <c r="D223" i="7"/>
  <c r="C223" i="7"/>
  <c r="V222" i="7"/>
  <c r="U222" i="7"/>
  <c r="T222" i="7"/>
  <c r="S222" i="7"/>
  <c r="R222" i="7"/>
  <c r="P222" i="7"/>
  <c r="O222" i="7"/>
  <c r="N222" i="7"/>
  <c r="L222" i="7"/>
  <c r="K222" i="7"/>
  <c r="J222" i="7"/>
  <c r="I222" i="7"/>
  <c r="H222" i="7"/>
  <c r="G222" i="7"/>
  <c r="E222" i="7"/>
  <c r="D222" i="7"/>
  <c r="C222" i="7"/>
  <c r="V221" i="7"/>
  <c r="U221" i="7"/>
  <c r="T221" i="7"/>
  <c r="S221" i="7"/>
  <c r="R221" i="7"/>
  <c r="P221" i="7"/>
  <c r="O221" i="7"/>
  <c r="N221" i="7"/>
  <c r="L221" i="7"/>
  <c r="K221" i="7"/>
  <c r="J221" i="7"/>
  <c r="I221" i="7"/>
  <c r="H221" i="7"/>
  <c r="G221" i="7"/>
  <c r="E221" i="7"/>
  <c r="D221" i="7"/>
  <c r="C221" i="7"/>
  <c r="V220" i="7"/>
  <c r="U220" i="7"/>
  <c r="T220" i="7"/>
  <c r="S220" i="7"/>
  <c r="R220" i="7"/>
  <c r="P220" i="7"/>
  <c r="O220" i="7"/>
  <c r="N220" i="7"/>
  <c r="L220" i="7"/>
  <c r="K220" i="7"/>
  <c r="J220" i="7"/>
  <c r="I220" i="7"/>
  <c r="H220" i="7"/>
  <c r="G220" i="7"/>
  <c r="E220" i="7"/>
  <c r="D220" i="7"/>
  <c r="C220" i="7"/>
  <c r="V219" i="7"/>
  <c r="U219" i="7"/>
  <c r="T219" i="7"/>
  <c r="S219" i="7"/>
  <c r="R219" i="7"/>
  <c r="P219" i="7"/>
  <c r="O219" i="7"/>
  <c r="N219" i="7"/>
  <c r="L219" i="7"/>
  <c r="K219" i="7"/>
  <c r="J219" i="7"/>
  <c r="I219" i="7"/>
  <c r="H219" i="7"/>
  <c r="G219" i="7"/>
  <c r="E219" i="7"/>
  <c r="D219" i="7"/>
  <c r="C219" i="7"/>
  <c r="V218" i="7"/>
  <c r="U218" i="7"/>
  <c r="T218" i="7"/>
  <c r="S218" i="7"/>
  <c r="R218" i="7"/>
  <c r="P218" i="7"/>
  <c r="O218" i="7"/>
  <c r="N218" i="7"/>
  <c r="L218" i="7"/>
  <c r="K218" i="7"/>
  <c r="J218" i="7"/>
  <c r="I218" i="7"/>
  <c r="H218" i="7"/>
  <c r="G218" i="7"/>
  <c r="E218" i="7"/>
  <c r="D218" i="7"/>
  <c r="C218" i="7"/>
  <c r="V217" i="7"/>
  <c r="U217" i="7"/>
  <c r="T217" i="7"/>
  <c r="S217" i="7"/>
  <c r="R217" i="7"/>
  <c r="P217" i="7"/>
  <c r="O217" i="7"/>
  <c r="N217" i="7"/>
  <c r="L217" i="7"/>
  <c r="K217" i="7"/>
  <c r="J217" i="7"/>
  <c r="I217" i="7"/>
  <c r="H217" i="7"/>
  <c r="G217" i="7"/>
  <c r="E217" i="7"/>
  <c r="D217" i="7"/>
  <c r="C217" i="7"/>
  <c r="V216" i="7"/>
  <c r="U216" i="7"/>
  <c r="T216" i="7"/>
  <c r="S216" i="7"/>
  <c r="R216" i="7"/>
  <c r="P216" i="7"/>
  <c r="O216" i="7"/>
  <c r="N216" i="7"/>
  <c r="L216" i="7"/>
  <c r="K216" i="7"/>
  <c r="J216" i="7"/>
  <c r="I216" i="7"/>
  <c r="H216" i="7"/>
  <c r="G216" i="7"/>
  <c r="E216" i="7"/>
  <c r="D216" i="7"/>
  <c r="C216" i="7"/>
  <c r="V215" i="7"/>
  <c r="U215" i="7"/>
  <c r="T215" i="7"/>
  <c r="S215" i="7"/>
  <c r="R215" i="7"/>
  <c r="P215" i="7"/>
  <c r="O215" i="7"/>
  <c r="N215" i="7"/>
  <c r="L215" i="7"/>
  <c r="K215" i="7"/>
  <c r="J215" i="7"/>
  <c r="I215" i="7"/>
  <c r="H215" i="7"/>
  <c r="G215" i="7"/>
  <c r="E215" i="7"/>
  <c r="D215" i="7"/>
  <c r="C215" i="7"/>
  <c r="V214" i="7"/>
  <c r="U214" i="7"/>
  <c r="T214" i="7"/>
  <c r="S214" i="7"/>
  <c r="R214" i="7"/>
  <c r="P214" i="7"/>
  <c r="O214" i="7"/>
  <c r="N214" i="7"/>
  <c r="L214" i="7"/>
  <c r="K214" i="7"/>
  <c r="J214" i="7"/>
  <c r="I214" i="7"/>
  <c r="H214" i="7"/>
  <c r="G214" i="7"/>
  <c r="E214" i="7"/>
  <c r="D214" i="7"/>
  <c r="C214" i="7"/>
  <c r="V213" i="7"/>
  <c r="U213" i="7"/>
  <c r="T213" i="7"/>
  <c r="S213" i="7"/>
  <c r="R213" i="7"/>
  <c r="P213" i="7"/>
  <c r="O213" i="7"/>
  <c r="N213" i="7"/>
  <c r="L213" i="7"/>
  <c r="K213" i="7"/>
  <c r="J213" i="7"/>
  <c r="I213" i="7"/>
  <c r="H213" i="7"/>
  <c r="G213" i="7"/>
  <c r="E213" i="7"/>
  <c r="D213" i="7"/>
  <c r="C213" i="7"/>
  <c r="V212" i="7"/>
  <c r="U212" i="7"/>
  <c r="T212" i="7"/>
  <c r="S212" i="7"/>
  <c r="R212" i="7"/>
  <c r="P212" i="7"/>
  <c r="O212" i="7"/>
  <c r="N212" i="7"/>
  <c r="L212" i="7"/>
  <c r="K212" i="7"/>
  <c r="J212" i="7"/>
  <c r="I212" i="7"/>
  <c r="H212" i="7"/>
  <c r="G212" i="7"/>
  <c r="E212" i="7"/>
  <c r="D212" i="7"/>
  <c r="C212" i="7"/>
  <c r="V211" i="7"/>
  <c r="U211" i="7"/>
  <c r="T211" i="7"/>
  <c r="S211" i="7"/>
  <c r="R211" i="7"/>
  <c r="P211" i="7"/>
  <c r="O211" i="7"/>
  <c r="N211" i="7"/>
  <c r="L211" i="7"/>
  <c r="K211" i="7"/>
  <c r="J211" i="7"/>
  <c r="I211" i="7"/>
  <c r="H211" i="7"/>
  <c r="G211" i="7"/>
  <c r="E211" i="7"/>
  <c r="D211" i="7"/>
  <c r="C211" i="7"/>
  <c r="V210" i="7"/>
  <c r="U210" i="7"/>
  <c r="T210" i="7"/>
  <c r="S210" i="7"/>
  <c r="R210" i="7"/>
  <c r="P210" i="7"/>
  <c r="O210" i="7"/>
  <c r="N210" i="7"/>
  <c r="L210" i="7"/>
  <c r="K210" i="7"/>
  <c r="J210" i="7"/>
  <c r="I210" i="7"/>
  <c r="H210" i="7"/>
  <c r="G210" i="7"/>
  <c r="E210" i="7"/>
  <c r="D210" i="7"/>
  <c r="C210" i="7"/>
  <c r="V209" i="7"/>
  <c r="U209" i="7"/>
  <c r="T209" i="7"/>
  <c r="S209" i="7"/>
  <c r="R209" i="7"/>
  <c r="P209" i="7"/>
  <c r="O209" i="7"/>
  <c r="N209" i="7"/>
  <c r="L209" i="7"/>
  <c r="K209" i="7"/>
  <c r="J209" i="7"/>
  <c r="I209" i="7"/>
  <c r="H209" i="7"/>
  <c r="G209" i="7"/>
  <c r="E209" i="7"/>
  <c r="D209" i="7"/>
  <c r="C209" i="7"/>
  <c r="V208" i="7"/>
  <c r="U208" i="7"/>
  <c r="T208" i="7"/>
  <c r="S208" i="7"/>
  <c r="R208" i="7"/>
  <c r="P208" i="7"/>
  <c r="O208" i="7"/>
  <c r="N208" i="7"/>
  <c r="L208" i="7"/>
  <c r="K208" i="7"/>
  <c r="J208" i="7"/>
  <c r="I208" i="7"/>
  <c r="H208" i="7"/>
  <c r="G208" i="7"/>
  <c r="E208" i="7"/>
  <c r="D208" i="7"/>
  <c r="C208" i="7"/>
  <c r="V207" i="7"/>
  <c r="U207" i="7"/>
  <c r="T207" i="7"/>
  <c r="S207" i="7"/>
  <c r="R207" i="7"/>
  <c r="P207" i="7"/>
  <c r="O207" i="7"/>
  <c r="N207" i="7"/>
  <c r="L207" i="7"/>
  <c r="K207" i="7"/>
  <c r="J207" i="7"/>
  <c r="I207" i="7"/>
  <c r="H207" i="7"/>
  <c r="G207" i="7"/>
  <c r="E207" i="7"/>
  <c r="D207" i="7"/>
  <c r="C207" i="7"/>
  <c r="V206" i="7"/>
  <c r="U206" i="7"/>
  <c r="T206" i="7"/>
  <c r="S206" i="7"/>
  <c r="R206" i="7"/>
  <c r="P206" i="7"/>
  <c r="O206" i="7"/>
  <c r="N206" i="7"/>
  <c r="L206" i="7"/>
  <c r="K206" i="7"/>
  <c r="J206" i="7"/>
  <c r="I206" i="7"/>
  <c r="H206" i="7"/>
  <c r="G206" i="7"/>
  <c r="E206" i="7"/>
  <c r="D206" i="7"/>
  <c r="C206" i="7"/>
  <c r="V205" i="7"/>
  <c r="U205" i="7"/>
  <c r="T205" i="7"/>
  <c r="S205" i="7"/>
  <c r="R205" i="7"/>
  <c r="P205" i="7"/>
  <c r="O205" i="7"/>
  <c r="N205" i="7"/>
  <c r="L205" i="7"/>
  <c r="K205" i="7"/>
  <c r="J205" i="7"/>
  <c r="I205" i="7"/>
  <c r="H205" i="7"/>
  <c r="G205" i="7"/>
  <c r="E205" i="7"/>
  <c r="D205" i="7"/>
  <c r="C205" i="7"/>
  <c r="V204" i="7"/>
  <c r="U204" i="7"/>
  <c r="T204" i="7"/>
  <c r="S204" i="7"/>
  <c r="R204" i="7"/>
  <c r="P204" i="7"/>
  <c r="O204" i="7"/>
  <c r="N204" i="7"/>
  <c r="L204" i="7"/>
  <c r="K204" i="7"/>
  <c r="J204" i="7"/>
  <c r="I204" i="7"/>
  <c r="H204" i="7"/>
  <c r="G204" i="7"/>
  <c r="E204" i="7"/>
  <c r="D204" i="7"/>
  <c r="C204" i="7"/>
  <c r="V203" i="7"/>
  <c r="U203" i="7"/>
  <c r="T203" i="7"/>
  <c r="S203" i="7"/>
  <c r="R203" i="7"/>
  <c r="P203" i="7"/>
  <c r="O203" i="7"/>
  <c r="N203" i="7"/>
  <c r="L203" i="7"/>
  <c r="K203" i="7"/>
  <c r="J203" i="7"/>
  <c r="I203" i="7"/>
  <c r="H203" i="7"/>
  <c r="G203" i="7"/>
  <c r="E203" i="7"/>
  <c r="D203" i="7"/>
  <c r="C203" i="7"/>
  <c r="V202" i="7"/>
  <c r="U202" i="7"/>
  <c r="T202" i="7"/>
  <c r="S202" i="7"/>
  <c r="R202" i="7"/>
  <c r="P202" i="7"/>
  <c r="O202" i="7"/>
  <c r="N202" i="7"/>
  <c r="L202" i="7"/>
  <c r="K202" i="7"/>
  <c r="J202" i="7"/>
  <c r="I202" i="7"/>
  <c r="H202" i="7"/>
  <c r="G202" i="7"/>
  <c r="E202" i="7"/>
  <c r="D202" i="7"/>
  <c r="C202" i="7"/>
  <c r="V201" i="7"/>
  <c r="U201" i="7"/>
  <c r="T201" i="7"/>
  <c r="S201" i="7"/>
  <c r="R201" i="7"/>
  <c r="P201" i="7"/>
  <c r="O201" i="7"/>
  <c r="N201" i="7"/>
  <c r="L201" i="7"/>
  <c r="K201" i="7"/>
  <c r="J201" i="7"/>
  <c r="I201" i="7"/>
  <c r="H201" i="7"/>
  <c r="G201" i="7"/>
  <c r="E201" i="7"/>
  <c r="D201" i="7"/>
  <c r="C201" i="7"/>
  <c r="V200" i="7"/>
  <c r="U200" i="7"/>
  <c r="T200" i="7"/>
  <c r="S200" i="7"/>
  <c r="R200" i="7"/>
  <c r="P200" i="7"/>
  <c r="O200" i="7"/>
  <c r="N200" i="7"/>
  <c r="L200" i="7"/>
  <c r="K200" i="7"/>
  <c r="J200" i="7"/>
  <c r="I200" i="7"/>
  <c r="H200" i="7"/>
  <c r="G200" i="7"/>
  <c r="E200" i="7"/>
  <c r="D200" i="7"/>
  <c r="C200" i="7"/>
  <c r="V199" i="7"/>
  <c r="U199" i="7"/>
  <c r="T199" i="7"/>
  <c r="S199" i="7"/>
  <c r="R199" i="7"/>
  <c r="P199" i="7"/>
  <c r="O199" i="7"/>
  <c r="N199" i="7"/>
  <c r="L199" i="7"/>
  <c r="K199" i="7"/>
  <c r="J199" i="7"/>
  <c r="I199" i="7"/>
  <c r="H199" i="7"/>
  <c r="G199" i="7"/>
  <c r="E199" i="7"/>
  <c r="D199" i="7"/>
  <c r="C199" i="7"/>
  <c r="V198" i="7"/>
  <c r="U198" i="7"/>
  <c r="T198" i="7"/>
  <c r="S198" i="7"/>
  <c r="R198" i="7"/>
  <c r="P198" i="7"/>
  <c r="O198" i="7"/>
  <c r="N198" i="7"/>
  <c r="L198" i="7"/>
  <c r="K198" i="7"/>
  <c r="J198" i="7"/>
  <c r="I198" i="7"/>
  <c r="H198" i="7"/>
  <c r="G198" i="7"/>
  <c r="E198" i="7"/>
  <c r="D198" i="7"/>
  <c r="C198" i="7"/>
  <c r="V197" i="7"/>
  <c r="U197" i="7"/>
  <c r="T197" i="7"/>
  <c r="S197" i="7"/>
  <c r="R197" i="7"/>
  <c r="P197" i="7"/>
  <c r="O197" i="7"/>
  <c r="N197" i="7"/>
  <c r="L197" i="7"/>
  <c r="K197" i="7"/>
  <c r="J197" i="7"/>
  <c r="I197" i="7"/>
  <c r="H197" i="7"/>
  <c r="G197" i="7"/>
  <c r="E197" i="7"/>
  <c r="D197" i="7"/>
  <c r="C197" i="7"/>
  <c r="V196" i="7"/>
  <c r="U196" i="7"/>
  <c r="T196" i="7"/>
  <c r="S196" i="7"/>
  <c r="R196" i="7"/>
  <c r="P196" i="7"/>
  <c r="O196" i="7"/>
  <c r="N196" i="7"/>
  <c r="L196" i="7"/>
  <c r="K196" i="7"/>
  <c r="J196" i="7"/>
  <c r="I196" i="7"/>
  <c r="H196" i="7"/>
  <c r="G196" i="7"/>
  <c r="E196" i="7"/>
  <c r="D196" i="7"/>
  <c r="C196" i="7"/>
  <c r="V195" i="7"/>
  <c r="U195" i="7"/>
  <c r="T195" i="7"/>
  <c r="S195" i="7"/>
  <c r="R195" i="7"/>
  <c r="P195" i="7"/>
  <c r="O195" i="7"/>
  <c r="N195" i="7"/>
  <c r="L195" i="7"/>
  <c r="K195" i="7"/>
  <c r="J195" i="7"/>
  <c r="I195" i="7"/>
  <c r="H195" i="7"/>
  <c r="G195" i="7"/>
  <c r="E195" i="7"/>
  <c r="D195" i="7"/>
  <c r="C195" i="7"/>
  <c r="V194" i="7"/>
  <c r="U194" i="7"/>
  <c r="T194" i="7"/>
  <c r="S194" i="7"/>
  <c r="R194" i="7"/>
  <c r="P194" i="7"/>
  <c r="O194" i="7"/>
  <c r="N194" i="7"/>
  <c r="L194" i="7"/>
  <c r="K194" i="7"/>
  <c r="J194" i="7"/>
  <c r="I194" i="7"/>
  <c r="H194" i="7"/>
  <c r="G194" i="7"/>
  <c r="E194" i="7"/>
  <c r="D194" i="7"/>
  <c r="C194" i="7"/>
  <c r="V193" i="7"/>
  <c r="U193" i="7"/>
  <c r="T193" i="7"/>
  <c r="S193" i="7"/>
  <c r="R193" i="7"/>
  <c r="P193" i="7"/>
  <c r="O193" i="7"/>
  <c r="N193" i="7"/>
  <c r="L193" i="7"/>
  <c r="K193" i="7"/>
  <c r="J193" i="7"/>
  <c r="I193" i="7"/>
  <c r="H193" i="7"/>
  <c r="G193" i="7"/>
  <c r="E193" i="7"/>
  <c r="D193" i="7"/>
  <c r="C193" i="7"/>
  <c r="V192" i="7"/>
  <c r="U192" i="7"/>
  <c r="T192" i="7"/>
  <c r="S192" i="7"/>
  <c r="R192" i="7"/>
  <c r="P192" i="7"/>
  <c r="O192" i="7"/>
  <c r="N192" i="7"/>
  <c r="L192" i="7"/>
  <c r="K192" i="7"/>
  <c r="J192" i="7"/>
  <c r="I192" i="7"/>
  <c r="H192" i="7"/>
  <c r="G192" i="7"/>
  <c r="E192" i="7"/>
  <c r="D192" i="7"/>
  <c r="C192" i="7"/>
  <c r="V191" i="7"/>
  <c r="U191" i="7"/>
  <c r="T191" i="7"/>
  <c r="S191" i="7"/>
  <c r="R191" i="7"/>
  <c r="P191" i="7"/>
  <c r="O191" i="7"/>
  <c r="N191" i="7"/>
  <c r="L191" i="7"/>
  <c r="K191" i="7"/>
  <c r="J191" i="7"/>
  <c r="I191" i="7"/>
  <c r="H191" i="7"/>
  <c r="G191" i="7"/>
  <c r="E191" i="7"/>
  <c r="D191" i="7"/>
  <c r="C191" i="7"/>
  <c r="V190" i="7"/>
  <c r="U190" i="7"/>
  <c r="T190" i="7"/>
  <c r="S190" i="7"/>
  <c r="R190" i="7"/>
  <c r="P190" i="7"/>
  <c r="O190" i="7"/>
  <c r="N190" i="7"/>
  <c r="L190" i="7"/>
  <c r="K190" i="7"/>
  <c r="J190" i="7"/>
  <c r="I190" i="7"/>
  <c r="H190" i="7"/>
  <c r="G190" i="7"/>
  <c r="E190" i="7"/>
  <c r="D190" i="7"/>
  <c r="C190" i="7"/>
  <c r="V189" i="7"/>
  <c r="U189" i="7"/>
  <c r="T189" i="7"/>
  <c r="S189" i="7"/>
  <c r="R189" i="7"/>
  <c r="P189" i="7"/>
  <c r="O189" i="7"/>
  <c r="N189" i="7"/>
  <c r="L189" i="7"/>
  <c r="K189" i="7"/>
  <c r="J189" i="7"/>
  <c r="I189" i="7"/>
  <c r="H189" i="7"/>
  <c r="G189" i="7"/>
  <c r="E189" i="7"/>
  <c r="D189" i="7"/>
  <c r="C189" i="7"/>
  <c r="V188" i="7"/>
  <c r="U188" i="7"/>
  <c r="T188" i="7"/>
  <c r="S188" i="7"/>
  <c r="R188" i="7"/>
  <c r="P188" i="7"/>
  <c r="O188" i="7"/>
  <c r="N188" i="7"/>
  <c r="L188" i="7"/>
  <c r="K188" i="7"/>
  <c r="J188" i="7"/>
  <c r="I188" i="7"/>
  <c r="H188" i="7"/>
  <c r="G188" i="7"/>
  <c r="E188" i="7"/>
  <c r="D188" i="7"/>
  <c r="C188" i="7"/>
  <c r="V187" i="7"/>
  <c r="U187" i="7"/>
  <c r="T187" i="7"/>
  <c r="S187" i="7"/>
  <c r="R187" i="7"/>
  <c r="P187" i="7"/>
  <c r="O187" i="7"/>
  <c r="N187" i="7"/>
  <c r="L187" i="7"/>
  <c r="K187" i="7"/>
  <c r="J187" i="7"/>
  <c r="I187" i="7"/>
  <c r="H187" i="7"/>
  <c r="G187" i="7"/>
  <c r="E187" i="7"/>
  <c r="D187" i="7"/>
  <c r="C187" i="7"/>
  <c r="V186" i="7"/>
  <c r="U186" i="7"/>
  <c r="T186" i="7"/>
  <c r="S186" i="7"/>
  <c r="R186" i="7"/>
  <c r="P186" i="7"/>
  <c r="O186" i="7"/>
  <c r="N186" i="7"/>
  <c r="L186" i="7"/>
  <c r="K186" i="7"/>
  <c r="J186" i="7"/>
  <c r="I186" i="7"/>
  <c r="H186" i="7"/>
  <c r="G186" i="7"/>
  <c r="E186" i="7"/>
  <c r="D186" i="7"/>
  <c r="C186" i="7"/>
  <c r="V185" i="7"/>
  <c r="U185" i="7"/>
  <c r="T185" i="7"/>
  <c r="S185" i="7"/>
  <c r="R185" i="7"/>
  <c r="P185" i="7"/>
  <c r="O185" i="7"/>
  <c r="N185" i="7"/>
  <c r="L185" i="7"/>
  <c r="K185" i="7"/>
  <c r="J185" i="7"/>
  <c r="I185" i="7"/>
  <c r="H185" i="7"/>
  <c r="G185" i="7"/>
  <c r="E185" i="7"/>
  <c r="D185" i="7"/>
  <c r="C185" i="7"/>
  <c r="V184" i="7"/>
  <c r="U184" i="7"/>
  <c r="T184" i="7"/>
  <c r="S184" i="7"/>
  <c r="R184" i="7"/>
  <c r="P184" i="7"/>
  <c r="O184" i="7"/>
  <c r="N184" i="7"/>
  <c r="L184" i="7"/>
  <c r="K184" i="7"/>
  <c r="J184" i="7"/>
  <c r="I184" i="7"/>
  <c r="H184" i="7"/>
  <c r="G184" i="7"/>
  <c r="E184" i="7"/>
  <c r="D184" i="7"/>
  <c r="C184" i="7"/>
  <c r="V183" i="7"/>
  <c r="U183" i="7"/>
  <c r="T183" i="7"/>
  <c r="S183" i="7"/>
  <c r="R183" i="7"/>
  <c r="P183" i="7"/>
  <c r="O183" i="7"/>
  <c r="N183" i="7"/>
  <c r="L183" i="7"/>
  <c r="K183" i="7"/>
  <c r="J183" i="7"/>
  <c r="I183" i="7"/>
  <c r="H183" i="7"/>
  <c r="G183" i="7"/>
  <c r="E183" i="7"/>
  <c r="D183" i="7"/>
  <c r="C183" i="7"/>
  <c r="V182" i="7"/>
  <c r="U182" i="7"/>
  <c r="T182" i="7"/>
  <c r="S182" i="7"/>
  <c r="R182" i="7"/>
  <c r="P182" i="7"/>
  <c r="O182" i="7"/>
  <c r="N182" i="7"/>
  <c r="L182" i="7"/>
  <c r="K182" i="7"/>
  <c r="J182" i="7"/>
  <c r="I182" i="7"/>
  <c r="H182" i="7"/>
  <c r="G182" i="7"/>
  <c r="E182" i="7"/>
  <c r="D182" i="7"/>
  <c r="C182" i="7"/>
  <c r="V181" i="7"/>
  <c r="U181" i="7"/>
  <c r="T181" i="7"/>
  <c r="S181" i="7"/>
  <c r="R181" i="7"/>
  <c r="P181" i="7"/>
  <c r="O181" i="7"/>
  <c r="N181" i="7"/>
  <c r="L181" i="7"/>
  <c r="K181" i="7"/>
  <c r="J181" i="7"/>
  <c r="I181" i="7"/>
  <c r="H181" i="7"/>
  <c r="G181" i="7"/>
  <c r="E181" i="7"/>
  <c r="D181" i="7"/>
  <c r="C181" i="7"/>
  <c r="V180" i="7"/>
  <c r="U180" i="7"/>
  <c r="T180" i="7"/>
  <c r="S180" i="7"/>
  <c r="R180" i="7"/>
  <c r="P180" i="7"/>
  <c r="O180" i="7"/>
  <c r="N180" i="7"/>
  <c r="L180" i="7"/>
  <c r="K180" i="7"/>
  <c r="J180" i="7"/>
  <c r="I180" i="7"/>
  <c r="H180" i="7"/>
  <c r="G180" i="7"/>
  <c r="E180" i="7"/>
  <c r="D180" i="7"/>
  <c r="C180" i="7"/>
  <c r="V179" i="7"/>
  <c r="U179" i="7"/>
  <c r="T179" i="7"/>
  <c r="S179" i="7"/>
  <c r="R179" i="7"/>
  <c r="P179" i="7"/>
  <c r="O179" i="7"/>
  <c r="N179" i="7"/>
  <c r="L179" i="7"/>
  <c r="K179" i="7"/>
  <c r="J179" i="7"/>
  <c r="I179" i="7"/>
  <c r="H179" i="7"/>
  <c r="G179" i="7"/>
  <c r="E179" i="7"/>
  <c r="D179" i="7"/>
  <c r="C179" i="7"/>
  <c r="V178" i="7"/>
  <c r="U178" i="7"/>
  <c r="T178" i="7"/>
  <c r="S178" i="7"/>
  <c r="R178" i="7"/>
  <c r="P178" i="7"/>
  <c r="O178" i="7"/>
  <c r="N178" i="7"/>
  <c r="L178" i="7"/>
  <c r="K178" i="7"/>
  <c r="J178" i="7"/>
  <c r="I178" i="7"/>
  <c r="H178" i="7"/>
  <c r="G178" i="7"/>
  <c r="E178" i="7"/>
  <c r="D178" i="7"/>
  <c r="C178" i="7"/>
  <c r="V177" i="7"/>
  <c r="U177" i="7"/>
  <c r="T177" i="7"/>
  <c r="S177" i="7"/>
  <c r="R177" i="7"/>
  <c r="P177" i="7"/>
  <c r="O177" i="7"/>
  <c r="N177" i="7"/>
  <c r="L177" i="7"/>
  <c r="K177" i="7"/>
  <c r="J177" i="7"/>
  <c r="I177" i="7"/>
  <c r="H177" i="7"/>
  <c r="G177" i="7"/>
  <c r="E177" i="7"/>
  <c r="D177" i="7"/>
  <c r="C177" i="7"/>
  <c r="V176" i="7"/>
  <c r="U176" i="7"/>
  <c r="T176" i="7"/>
  <c r="S176" i="7"/>
  <c r="R176" i="7"/>
  <c r="P176" i="7"/>
  <c r="O176" i="7"/>
  <c r="N176" i="7"/>
  <c r="L176" i="7"/>
  <c r="K176" i="7"/>
  <c r="J176" i="7"/>
  <c r="I176" i="7"/>
  <c r="H176" i="7"/>
  <c r="G176" i="7"/>
  <c r="E176" i="7"/>
  <c r="D176" i="7"/>
  <c r="C176" i="7"/>
  <c r="V175" i="7"/>
  <c r="U175" i="7"/>
  <c r="T175" i="7"/>
  <c r="S175" i="7"/>
  <c r="R175" i="7"/>
  <c r="P175" i="7"/>
  <c r="O175" i="7"/>
  <c r="N175" i="7"/>
  <c r="L175" i="7"/>
  <c r="K175" i="7"/>
  <c r="J175" i="7"/>
  <c r="I175" i="7"/>
  <c r="H175" i="7"/>
  <c r="G175" i="7"/>
  <c r="E175" i="7"/>
  <c r="D175" i="7"/>
  <c r="C175" i="7"/>
  <c r="V174" i="7"/>
  <c r="U174" i="7"/>
  <c r="T174" i="7"/>
  <c r="S174" i="7"/>
  <c r="R174" i="7"/>
  <c r="P174" i="7"/>
  <c r="O174" i="7"/>
  <c r="N174" i="7"/>
  <c r="L174" i="7"/>
  <c r="K174" i="7"/>
  <c r="J174" i="7"/>
  <c r="I174" i="7"/>
  <c r="H174" i="7"/>
  <c r="G174" i="7"/>
  <c r="E174" i="7"/>
  <c r="D174" i="7"/>
  <c r="C174" i="7"/>
  <c r="V173" i="7"/>
  <c r="U173" i="7"/>
  <c r="T173" i="7"/>
  <c r="S173" i="7"/>
  <c r="R173" i="7"/>
  <c r="P173" i="7"/>
  <c r="O173" i="7"/>
  <c r="N173" i="7"/>
  <c r="L173" i="7"/>
  <c r="K173" i="7"/>
  <c r="J173" i="7"/>
  <c r="I173" i="7"/>
  <c r="H173" i="7"/>
  <c r="G173" i="7"/>
  <c r="E173" i="7"/>
  <c r="D173" i="7"/>
  <c r="C173" i="7"/>
  <c r="V172" i="7"/>
  <c r="U172" i="7"/>
  <c r="T172" i="7"/>
  <c r="S172" i="7"/>
  <c r="R172" i="7"/>
  <c r="P172" i="7"/>
  <c r="O172" i="7"/>
  <c r="N172" i="7"/>
  <c r="L172" i="7"/>
  <c r="K172" i="7"/>
  <c r="J172" i="7"/>
  <c r="I172" i="7"/>
  <c r="H172" i="7"/>
  <c r="G172" i="7"/>
  <c r="E172" i="7"/>
  <c r="D172" i="7"/>
  <c r="C172" i="7"/>
  <c r="V171" i="7"/>
  <c r="U171" i="7"/>
  <c r="T171" i="7"/>
  <c r="S171" i="7"/>
  <c r="R171" i="7"/>
  <c r="P171" i="7"/>
  <c r="O171" i="7"/>
  <c r="N171" i="7"/>
  <c r="L171" i="7"/>
  <c r="K171" i="7"/>
  <c r="J171" i="7"/>
  <c r="I171" i="7"/>
  <c r="H171" i="7"/>
  <c r="G171" i="7"/>
  <c r="E171" i="7"/>
  <c r="D171" i="7"/>
  <c r="C171" i="7"/>
  <c r="V170" i="7"/>
  <c r="U170" i="7"/>
  <c r="T170" i="7"/>
  <c r="S170" i="7"/>
  <c r="R170" i="7"/>
  <c r="P170" i="7"/>
  <c r="O170" i="7"/>
  <c r="N170" i="7"/>
  <c r="L170" i="7"/>
  <c r="K170" i="7"/>
  <c r="J170" i="7"/>
  <c r="I170" i="7"/>
  <c r="H170" i="7"/>
  <c r="G170" i="7"/>
  <c r="E170" i="7"/>
  <c r="D170" i="7"/>
  <c r="C170" i="7"/>
  <c r="V169" i="7"/>
  <c r="U169" i="7"/>
  <c r="T169" i="7"/>
  <c r="S169" i="7"/>
  <c r="R169" i="7"/>
  <c r="P169" i="7"/>
  <c r="O169" i="7"/>
  <c r="N169" i="7"/>
  <c r="L169" i="7"/>
  <c r="K169" i="7"/>
  <c r="J169" i="7"/>
  <c r="I169" i="7"/>
  <c r="H169" i="7"/>
  <c r="G169" i="7"/>
  <c r="E169" i="7"/>
  <c r="D169" i="7"/>
  <c r="C169" i="7"/>
  <c r="V168" i="7"/>
  <c r="U168" i="7"/>
  <c r="T168" i="7"/>
  <c r="S168" i="7"/>
  <c r="R168" i="7"/>
  <c r="P168" i="7"/>
  <c r="O168" i="7"/>
  <c r="N168" i="7"/>
  <c r="L168" i="7"/>
  <c r="K168" i="7"/>
  <c r="J168" i="7"/>
  <c r="I168" i="7"/>
  <c r="H168" i="7"/>
  <c r="G168" i="7"/>
  <c r="E168" i="7"/>
  <c r="D168" i="7"/>
  <c r="C168" i="7"/>
  <c r="V167" i="7"/>
  <c r="U167" i="7"/>
  <c r="T167" i="7"/>
  <c r="S167" i="7"/>
  <c r="R167" i="7"/>
  <c r="P167" i="7"/>
  <c r="O167" i="7"/>
  <c r="N167" i="7"/>
  <c r="L167" i="7"/>
  <c r="K167" i="7"/>
  <c r="J167" i="7"/>
  <c r="I167" i="7"/>
  <c r="H167" i="7"/>
  <c r="G167" i="7"/>
  <c r="E167" i="7"/>
  <c r="D167" i="7"/>
  <c r="C167" i="7"/>
  <c r="V166" i="7"/>
  <c r="U166" i="7"/>
  <c r="T166" i="7"/>
  <c r="S166" i="7"/>
  <c r="R166" i="7"/>
  <c r="P166" i="7"/>
  <c r="O166" i="7"/>
  <c r="N166" i="7"/>
  <c r="L166" i="7"/>
  <c r="K166" i="7"/>
  <c r="J166" i="7"/>
  <c r="I166" i="7"/>
  <c r="H166" i="7"/>
  <c r="G166" i="7"/>
  <c r="E166" i="7"/>
  <c r="D166" i="7"/>
  <c r="C166" i="7"/>
  <c r="V165" i="7"/>
  <c r="U165" i="7"/>
  <c r="T165" i="7"/>
  <c r="S165" i="7"/>
  <c r="R165" i="7"/>
  <c r="P165" i="7"/>
  <c r="O165" i="7"/>
  <c r="N165" i="7"/>
  <c r="L165" i="7"/>
  <c r="K165" i="7"/>
  <c r="J165" i="7"/>
  <c r="I165" i="7"/>
  <c r="H165" i="7"/>
  <c r="G165" i="7"/>
  <c r="E165" i="7"/>
  <c r="D165" i="7"/>
  <c r="C165" i="7"/>
  <c r="V164" i="7"/>
  <c r="U164" i="7"/>
  <c r="T164" i="7"/>
  <c r="S164" i="7"/>
  <c r="R164" i="7"/>
  <c r="P164" i="7"/>
  <c r="O164" i="7"/>
  <c r="N164" i="7"/>
  <c r="L164" i="7"/>
  <c r="K164" i="7"/>
  <c r="J164" i="7"/>
  <c r="I164" i="7"/>
  <c r="H164" i="7"/>
  <c r="G164" i="7"/>
  <c r="E164" i="7"/>
  <c r="D164" i="7"/>
  <c r="C164" i="7"/>
  <c r="V163" i="7"/>
  <c r="U163" i="7"/>
  <c r="T163" i="7"/>
  <c r="S163" i="7"/>
  <c r="R163" i="7"/>
  <c r="P163" i="7"/>
  <c r="O163" i="7"/>
  <c r="N163" i="7"/>
  <c r="L163" i="7"/>
  <c r="K163" i="7"/>
  <c r="J163" i="7"/>
  <c r="I163" i="7"/>
  <c r="H163" i="7"/>
  <c r="G163" i="7"/>
  <c r="E163" i="7"/>
  <c r="D163" i="7"/>
  <c r="C163" i="7"/>
  <c r="V162" i="7"/>
  <c r="U162" i="7"/>
  <c r="T162" i="7"/>
  <c r="S162" i="7"/>
  <c r="R162" i="7"/>
  <c r="P162" i="7"/>
  <c r="O162" i="7"/>
  <c r="N162" i="7"/>
  <c r="L162" i="7"/>
  <c r="K162" i="7"/>
  <c r="J162" i="7"/>
  <c r="I162" i="7"/>
  <c r="H162" i="7"/>
  <c r="G162" i="7"/>
  <c r="E162" i="7"/>
  <c r="D162" i="7"/>
  <c r="C162" i="7"/>
  <c r="V161" i="7"/>
  <c r="U161" i="7"/>
  <c r="T161" i="7"/>
  <c r="S161" i="7"/>
  <c r="R161" i="7"/>
  <c r="P161" i="7"/>
  <c r="O161" i="7"/>
  <c r="N161" i="7"/>
  <c r="L161" i="7"/>
  <c r="K161" i="7"/>
  <c r="J161" i="7"/>
  <c r="I161" i="7"/>
  <c r="H161" i="7"/>
  <c r="G161" i="7"/>
  <c r="E161" i="7"/>
  <c r="D161" i="7"/>
  <c r="C161" i="7"/>
  <c r="V160" i="7"/>
  <c r="U160" i="7"/>
  <c r="T160" i="7"/>
  <c r="S160" i="7"/>
  <c r="R160" i="7"/>
  <c r="P160" i="7"/>
  <c r="O160" i="7"/>
  <c r="N160" i="7"/>
  <c r="L160" i="7"/>
  <c r="K160" i="7"/>
  <c r="J160" i="7"/>
  <c r="I160" i="7"/>
  <c r="H160" i="7"/>
  <c r="G160" i="7"/>
  <c r="E160" i="7"/>
  <c r="D160" i="7"/>
  <c r="C160" i="7"/>
  <c r="V159" i="7"/>
  <c r="U159" i="7"/>
  <c r="T159" i="7"/>
  <c r="S159" i="7"/>
  <c r="R159" i="7"/>
  <c r="P159" i="7"/>
  <c r="O159" i="7"/>
  <c r="N159" i="7"/>
  <c r="L159" i="7"/>
  <c r="K159" i="7"/>
  <c r="J159" i="7"/>
  <c r="I159" i="7"/>
  <c r="H159" i="7"/>
  <c r="G159" i="7"/>
  <c r="E159" i="7"/>
  <c r="D159" i="7"/>
  <c r="C159" i="7"/>
  <c r="V158" i="7"/>
  <c r="U158" i="7"/>
  <c r="T158" i="7"/>
  <c r="S158" i="7"/>
  <c r="R158" i="7"/>
  <c r="P158" i="7"/>
  <c r="O158" i="7"/>
  <c r="N158" i="7"/>
  <c r="L158" i="7"/>
  <c r="K158" i="7"/>
  <c r="J158" i="7"/>
  <c r="I158" i="7"/>
  <c r="H158" i="7"/>
  <c r="G158" i="7"/>
  <c r="E158" i="7"/>
  <c r="D158" i="7"/>
  <c r="C158" i="7"/>
  <c r="V157" i="7"/>
  <c r="U157" i="7"/>
  <c r="T157" i="7"/>
  <c r="S157" i="7"/>
  <c r="R157" i="7"/>
  <c r="P157" i="7"/>
  <c r="O157" i="7"/>
  <c r="N157" i="7"/>
  <c r="L157" i="7"/>
  <c r="K157" i="7"/>
  <c r="J157" i="7"/>
  <c r="I157" i="7"/>
  <c r="H157" i="7"/>
  <c r="G157" i="7"/>
  <c r="E157" i="7"/>
  <c r="D157" i="7"/>
  <c r="C157" i="7"/>
  <c r="V156" i="7"/>
  <c r="U156" i="7"/>
  <c r="T156" i="7"/>
  <c r="S156" i="7"/>
  <c r="R156" i="7"/>
  <c r="P156" i="7"/>
  <c r="O156" i="7"/>
  <c r="N156" i="7"/>
  <c r="L156" i="7"/>
  <c r="K156" i="7"/>
  <c r="J156" i="7"/>
  <c r="I156" i="7"/>
  <c r="H156" i="7"/>
  <c r="G156" i="7"/>
  <c r="E156" i="7"/>
  <c r="D156" i="7"/>
  <c r="C156" i="7"/>
  <c r="V155" i="7"/>
  <c r="U155" i="7"/>
  <c r="T155" i="7"/>
  <c r="S155" i="7"/>
  <c r="R155" i="7"/>
  <c r="P155" i="7"/>
  <c r="O155" i="7"/>
  <c r="N155" i="7"/>
  <c r="L155" i="7"/>
  <c r="K155" i="7"/>
  <c r="J155" i="7"/>
  <c r="I155" i="7"/>
  <c r="H155" i="7"/>
  <c r="G155" i="7"/>
  <c r="E155" i="7"/>
  <c r="D155" i="7"/>
  <c r="C155" i="7"/>
  <c r="V154" i="7"/>
  <c r="U154" i="7"/>
  <c r="T154" i="7"/>
  <c r="S154" i="7"/>
  <c r="R154" i="7"/>
  <c r="P154" i="7"/>
  <c r="O154" i="7"/>
  <c r="N154" i="7"/>
  <c r="L154" i="7"/>
  <c r="K154" i="7"/>
  <c r="J154" i="7"/>
  <c r="I154" i="7"/>
  <c r="H154" i="7"/>
  <c r="G154" i="7"/>
  <c r="E154" i="7"/>
  <c r="D154" i="7"/>
  <c r="C154" i="7"/>
  <c r="V153" i="7"/>
  <c r="U153" i="7"/>
  <c r="T153" i="7"/>
  <c r="S153" i="7"/>
  <c r="R153" i="7"/>
  <c r="P153" i="7"/>
  <c r="O153" i="7"/>
  <c r="N153" i="7"/>
  <c r="L153" i="7"/>
  <c r="K153" i="7"/>
  <c r="J153" i="7"/>
  <c r="I153" i="7"/>
  <c r="H153" i="7"/>
  <c r="G153" i="7"/>
  <c r="E153" i="7"/>
  <c r="D153" i="7"/>
  <c r="C153" i="7"/>
  <c r="V152" i="7"/>
  <c r="U152" i="7"/>
  <c r="T152" i="7"/>
  <c r="S152" i="7"/>
  <c r="R152" i="7"/>
  <c r="P152" i="7"/>
  <c r="O152" i="7"/>
  <c r="N152" i="7"/>
  <c r="L152" i="7"/>
  <c r="K152" i="7"/>
  <c r="J152" i="7"/>
  <c r="I152" i="7"/>
  <c r="H152" i="7"/>
  <c r="G152" i="7"/>
  <c r="E152" i="7"/>
  <c r="D152" i="7"/>
  <c r="C152" i="7"/>
  <c r="V151" i="7"/>
  <c r="U151" i="7"/>
  <c r="T151" i="7"/>
  <c r="S151" i="7"/>
  <c r="R151" i="7"/>
  <c r="P151" i="7"/>
  <c r="O151" i="7"/>
  <c r="N151" i="7"/>
  <c r="L151" i="7"/>
  <c r="K151" i="7"/>
  <c r="J151" i="7"/>
  <c r="I151" i="7"/>
  <c r="H151" i="7"/>
  <c r="G151" i="7"/>
  <c r="E151" i="7"/>
  <c r="D151" i="7"/>
  <c r="C151" i="7"/>
  <c r="V150" i="7"/>
  <c r="U150" i="7"/>
  <c r="T150" i="7"/>
  <c r="S150" i="7"/>
  <c r="R150" i="7"/>
  <c r="P150" i="7"/>
  <c r="O150" i="7"/>
  <c r="N150" i="7"/>
  <c r="L150" i="7"/>
  <c r="K150" i="7"/>
  <c r="J150" i="7"/>
  <c r="I150" i="7"/>
  <c r="H150" i="7"/>
  <c r="G150" i="7"/>
  <c r="E150" i="7"/>
  <c r="D150" i="7"/>
  <c r="C150" i="7"/>
  <c r="V149" i="7"/>
  <c r="U149" i="7"/>
  <c r="T149" i="7"/>
  <c r="S149" i="7"/>
  <c r="R149" i="7"/>
  <c r="P149" i="7"/>
  <c r="O149" i="7"/>
  <c r="N149" i="7"/>
  <c r="L149" i="7"/>
  <c r="K149" i="7"/>
  <c r="J149" i="7"/>
  <c r="I149" i="7"/>
  <c r="H149" i="7"/>
  <c r="G149" i="7"/>
  <c r="E149" i="7"/>
  <c r="D149" i="7"/>
  <c r="C149" i="7"/>
  <c r="V148" i="7"/>
  <c r="U148" i="7"/>
  <c r="T148" i="7"/>
  <c r="S148" i="7"/>
  <c r="R148" i="7"/>
  <c r="P148" i="7"/>
  <c r="O148" i="7"/>
  <c r="N148" i="7"/>
  <c r="L148" i="7"/>
  <c r="K148" i="7"/>
  <c r="J148" i="7"/>
  <c r="I148" i="7"/>
  <c r="H148" i="7"/>
  <c r="G148" i="7"/>
  <c r="E148" i="7"/>
  <c r="D148" i="7"/>
  <c r="C148" i="7"/>
  <c r="V147" i="7"/>
  <c r="U147" i="7"/>
  <c r="T147" i="7"/>
  <c r="S147" i="7"/>
  <c r="R147" i="7"/>
  <c r="P147" i="7"/>
  <c r="O147" i="7"/>
  <c r="N147" i="7"/>
  <c r="L147" i="7"/>
  <c r="K147" i="7"/>
  <c r="J147" i="7"/>
  <c r="I147" i="7"/>
  <c r="H147" i="7"/>
  <c r="G147" i="7"/>
  <c r="E147" i="7"/>
  <c r="D147" i="7"/>
  <c r="C147" i="7"/>
  <c r="V146" i="7"/>
  <c r="U146" i="7"/>
  <c r="T146" i="7"/>
  <c r="S146" i="7"/>
  <c r="R146" i="7"/>
  <c r="P146" i="7"/>
  <c r="O146" i="7"/>
  <c r="N146" i="7"/>
  <c r="L146" i="7"/>
  <c r="K146" i="7"/>
  <c r="J146" i="7"/>
  <c r="I146" i="7"/>
  <c r="H146" i="7"/>
  <c r="G146" i="7"/>
  <c r="E146" i="7"/>
  <c r="D146" i="7"/>
  <c r="C146" i="7"/>
  <c r="V145" i="7"/>
  <c r="U145" i="7"/>
  <c r="T145" i="7"/>
  <c r="S145" i="7"/>
  <c r="R145" i="7"/>
  <c r="P145" i="7"/>
  <c r="O145" i="7"/>
  <c r="N145" i="7"/>
  <c r="L145" i="7"/>
  <c r="K145" i="7"/>
  <c r="J145" i="7"/>
  <c r="I145" i="7"/>
  <c r="H145" i="7"/>
  <c r="G145" i="7"/>
  <c r="E145" i="7"/>
  <c r="D145" i="7"/>
  <c r="C145" i="7"/>
  <c r="V144" i="7"/>
  <c r="U144" i="7"/>
  <c r="T144" i="7"/>
  <c r="S144" i="7"/>
  <c r="R144" i="7"/>
  <c r="P144" i="7"/>
  <c r="O144" i="7"/>
  <c r="N144" i="7"/>
  <c r="L144" i="7"/>
  <c r="K144" i="7"/>
  <c r="J144" i="7"/>
  <c r="I144" i="7"/>
  <c r="H144" i="7"/>
  <c r="G144" i="7"/>
  <c r="E144" i="7"/>
  <c r="D144" i="7"/>
  <c r="C144" i="7"/>
  <c r="V143" i="7"/>
  <c r="U143" i="7"/>
  <c r="T143" i="7"/>
  <c r="S143" i="7"/>
  <c r="R143" i="7"/>
  <c r="P143" i="7"/>
  <c r="O143" i="7"/>
  <c r="N143" i="7"/>
  <c r="L143" i="7"/>
  <c r="K143" i="7"/>
  <c r="J143" i="7"/>
  <c r="I143" i="7"/>
  <c r="H143" i="7"/>
  <c r="G143" i="7"/>
  <c r="E143" i="7"/>
  <c r="D143" i="7"/>
  <c r="C143" i="7"/>
  <c r="V142" i="7"/>
  <c r="U142" i="7"/>
  <c r="T142" i="7"/>
  <c r="S142" i="7"/>
  <c r="R142" i="7"/>
  <c r="P142" i="7"/>
  <c r="O142" i="7"/>
  <c r="N142" i="7"/>
  <c r="L142" i="7"/>
  <c r="K142" i="7"/>
  <c r="J142" i="7"/>
  <c r="I142" i="7"/>
  <c r="H142" i="7"/>
  <c r="G142" i="7"/>
  <c r="E142" i="7"/>
  <c r="D142" i="7"/>
  <c r="C142" i="7"/>
  <c r="V141" i="7"/>
  <c r="U141" i="7"/>
  <c r="T141" i="7"/>
  <c r="S141" i="7"/>
  <c r="R141" i="7"/>
  <c r="P141" i="7"/>
  <c r="O141" i="7"/>
  <c r="N141" i="7"/>
  <c r="L141" i="7"/>
  <c r="K141" i="7"/>
  <c r="J141" i="7"/>
  <c r="I141" i="7"/>
  <c r="H141" i="7"/>
  <c r="G141" i="7"/>
  <c r="E141" i="7"/>
  <c r="D141" i="7"/>
  <c r="C141" i="7"/>
  <c r="V140" i="7"/>
  <c r="U140" i="7"/>
  <c r="T140" i="7"/>
  <c r="S140" i="7"/>
  <c r="R140" i="7"/>
  <c r="P140" i="7"/>
  <c r="O140" i="7"/>
  <c r="N140" i="7"/>
  <c r="L140" i="7"/>
  <c r="K140" i="7"/>
  <c r="J140" i="7"/>
  <c r="I140" i="7"/>
  <c r="H140" i="7"/>
  <c r="G140" i="7"/>
  <c r="E140" i="7"/>
  <c r="D140" i="7"/>
  <c r="C140" i="7"/>
  <c r="V139" i="7"/>
  <c r="U139" i="7"/>
  <c r="T139" i="7"/>
  <c r="S139" i="7"/>
  <c r="R139" i="7"/>
  <c r="P139" i="7"/>
  <c r="O139" i="7"/>
  <c r="N139" i="7"/>
  <c r="L139" i="7"/>
  <c r="K139" i="7"/>
  <c r="J139" i="7"/>
  <c r="I139" i="7"/>
  <c r="H139" i="7"/>
  <c r="G139" i="7"/>
  <c r="E139" i="7"/>
  <c r="D139" i="7"/>
  <c r="C139" i="7"/>
  <c r="V138" i="7"/>
  <c r="U138" i="7"/>
  <c r="T138" i="7"/>
  <c r="S138" i="7"/>
  <c r="R138" i="7"/>
  <c r="P138" i="7"/>
  <c r="O138" i="7"/>
  <c r="N138" i="7"/>
  <c r="L138" i="7"/>
  <c r="K138" i="7"/>
  <c r="J138" i="7"/>
  <c r="I138" i="7"/>
  <c r="H138" i="7"/>
  <c r="G138" i="7"/>
  <c r="E138" i="7"/>
  <c r="D138" i="7"/>
  <c r="C138" i="7"/>
  <c r="V137" i="7"/>
  <c r="U137" i="7"/>
  <c r="T137" i="7"/>
  <c r="S137" i="7"/>
  <c r="R137" i="7"/>
  <c r="P137" i="7"/>
  <c r="O137" i="7"/>
  <c r="N137" i="7"/>
  <c r="L137" i="7"/>
  <c r="K137" i="7"/>
  <c r="J137" i="7"/>
  <c r="I137" i="7"/>
  <c r="H137" i="7"/>
  <c r="G137" i="7"/>
  <c r="E137" i="7"/>
  <c r="D137" i="7"/>
  <c r="C137" i="7"/>
  <c r="V136" i="7"/>
  <c r="U136" i="7"/>
  <c r="T136" i="7"/>
  <c r="S136" i="7"/>
  <c r="R136" i="7"/>
  <c r="P136" i="7"/>
  <c r="O136" i="7"/>
  <c r="N136" i="7"/>
  <c r="L136" i="7"/>
  <c r="K136" i="7"/>
  <c r="J136" i="7"/>
  <c r="I136" i="7"/>
  <c r="H136" i="7"/>
  <c r="G136" i="7"/>
  <c r="E136" i="7"/>
  <c r="D136" i="7"/>
  <c r="C136" i="7"/>
  <c r="V135" i="7"/>
  <c r="U135" i="7"/>
  <c r="T135" i="7"/>
  <c r="S135" i="7"/>
  <c r="R135" i="7"/>
  <c r="P135" i="7"/>
  <c r="O135" i="7"/>
  <c r="N135" i="7"/>
  <c r="L135" i="7"/>
  <c r="K135" i="7"/>
  <c r="J135" i="7"/>
  <c r="I135" i="7"/>
  <c r="H135" i="7"/>
  <c r="G135" i="7"/>
  <c r="E135" i="7"/>
  <c r="D135" i="7"/>
  <c r="C135" i="7"/>
  <c r="V134" i="7"/>
  <c r="U134" i="7"/>
  <c r="T134" i="7"/>
  <c r="S134" i="7"/>
  <c r="R134" i="7"/>
  <c r="P134" i="7"/>
  <c r="O134" i="7"/>
  <c r="N134" i="7"/>
  <c r="L134" i="7"/>
  <c r="K134" i="7"/>
  <c r="J134" i="7"/>
  <c r="I134" i="7"/>
  <c r="H134" i="7"/>
  <c r="G134" i="7"/>
  <c r="E134" i="7"/>
  <c r="D134" i="7"/>
  <c r="C134" i="7"/>
  <c r="V133" i="7"/>
  <c r="U133" i="7"/>
  <c r="T133" i="7"/>
  <c r="S133" i="7"/>
  <c r="R133" i="7"/>
  <c r="P133" i="7"/>
  <c r="O133" i="7"/>
  <c r="N133" i="7"/>
  <c r="L133" i="7"/>
  <c r="K133" i="7"/>
  <c r="J133" i="7"/>
  <c r="I133" i="7"/>
  <c r="H133" i="7"/>
  <c r="G133" i="7"/>
  <c r="E133" i="7"/>
  <c r="D133" i="7"/>
  <c r="C133" i="7"/>
  <c r="V132" i="7"/>
  <c r="U132" i="7"/>
  <c r="T132" i="7"/>
  <c r="S132" i="7"/>
  <c r="R132" i="7"/>
  <c r="P132" i="7"/>
  <c r="O132" i="7"/>
  <c r="N132" i="7"/>
  <c r="L132" i="7"/>
  <c r="K132" i="7"/>
  <c r="J132" i="7"/>
  <c r="I132" i="7"/>
  <c r="H132" i="7"/>
  <c r="G132" i="7"/>
  <c r="E132" i="7"/>
  <c r="D132" i="7"/>
  <c r="C132" i="7"/>
  <c r="V131" i="7"/>
  <c r="U131" i="7"/>
  <c r="T131" i="7"/>
  <c r="S131" i="7"/>
  <c r="R131" i="7"/>
  <c r="P131" i="7"/>
  <c r="O131" i="7"/>
  <c r="N131" i="7"/>
  <c r="L131" i="7"/>
  <c r="K131" i="7"/>
  <c r="J131" i="7"/>
  <c r="I131" i="7"/>
  <c r="H131" i="7"/>
  <c r="G131" i="7"/>
  <c r="E131" i="7"/>
  <c r="D131" i="7"/>
  <c r="C131" i="7"/>
  <c r="V130" i="7"/>
  <c r="U130" i="7"/>
  <c r="T130" i="7"/>
  <c r="S130" i="7"/>
  <c r="R130" i="7"/>
  <c r="P130" i="7"/>
  <c r="O130" i="7"/>
  <c r="N130" i="7"/>
  <c r="L130" i="7"/>
  <c r="K130" i="7"/>
  <c r="J130" i="7"/>
  <c r="I130" i="7"/>
  <c r="H130" i="7"/>
  <c r="G130" i="7"/>
  <c r="E130" i="7"/>
  <c r="D130" i="7"/>
  <c r="C130" i="7"/>
  <c r="V129" i="7"/>
  <c r="U129" i="7"/>
  <c r="T129" i="7"/>
  <c r="S129" i="7"/>
  <c r="R129" i="7"/>
  <c r="P129" i="7"/>
  <c r="O129" i="7"/>
  <c r="N129" i="7"/>
  <c r="L129" i="7"/>
  <c r="K129" i="7"/>
  <c r="J129" i="7"/>
  <c r="I129" i="7"/>
  <c r="H129" i="7"/>
  <c r="G129" i="7"/>
  <c r="E129" i="7"/>
  <c r="D129" i="7"/>
  <c r="C129" i="7"/>
  <c r="V128" i="7"/>
  <c r="U128" i="7"/>
  <c r="T128" i="7"/>
  <c r="S128" i="7"/>
  <c r="R128" i="7"/>
  <c r="P128" i="7"/>
  <c r="O128" i="7"/>
  <c r="N128" i="7"/>
  <c r="L128" i="7"/>
  <c r="K128" i="7"/>
  <c r="J128" i="7"/>
  <c r="I128" i="7"/>
  <c r="H128" i="7"/>
  <c r="G128" i="7"/>
  <c r="E128" i="7"/>
  <c r="D128" i="7"/>
  <c r="C128" i="7"/>
  <c r="V127" i="7"/>
  <c r="U127" i="7"/>
  <c r="T127" i="7"/>
  <c r="S127" i="7"/>
  <c r="R127" i="7"/>
  <c r="P127" i="7"/>
  <c r="O127" i="7"/>
  <c r="N127" i="7"/>
  <c r="L127" i="7"/>
  <c r="K127" i="7"/>
  <c r="J127" i="7"/>
  <c r="I127" i="7"/>
  <c r="H127" i="7"/>
  <c r="G127" i="7"/>
  <c r="E127" i="7"/>
  <c r="D127" i="7"/>
  <c r="C127" i="7"/>
  <c r="V126" i="7"/>
  <c r="U126" i="7"/>
  <c r="T126" i="7"/>
  <c r="S126" i="7"/>
  <c r="R126" i="7"/>
  <c r="P126" i="7"/>
  <c r="O126" i="7"/>
  <c r="N126" i="7"/>
  <c r="L126" i="7"/>
  <c r="K126" i="7"/>
  <c r="J126" i="7"/>
  <c r="I126" i="7"/>
  <c r="H126" i="7"/>
  <c r="G126" i="7"/>
  <c r="E126" i="7"/>
  <c r="D126" i="7"/>
  <c r="C126" i="7"/>
  <c r="V125" i="7"/>
  <c r="U125" i="7"/>
  <c r="T125" i="7"/>
  <c r="S125" i="7"/>
  <c r="R125" i="7"/>
  <c r="P125" i="7"/>
  <c r="O125" i="7"/>
  <c r="N125" i="7"/>
  <c r="L125" i="7"/>
  <c r="K125" i="7"/>
  <c r="J125" i="7"/>
  <c r="I125" i="7"/>
  <c r="H125" i="7"/>
  <c r="G125" i="7"/>
  <c r="E125" i="7"/>
  <c r="D125" i="7"/>
  <c r="C125" i="7"/>
  <c r="V124" i="7"/>
  <c r="U124" i="7"/>
  <c r="T124" i="7"/>
  <c r="S124" i="7"/>
  <c r="R124" i="7"/>
  <c r="P124" i="7"/>
  <c r="O124" i="7"/>
  <c r="N124" i="7"/>
  <c r="L124" i="7"/>
  <c r="K124" i="7"/>
  <c r="J124" i="7"/>
  <c r="I124" i="7"/>
  <c r="H124" i="7"/>
  <c r="G124" i="7"/>
  <c r="E124" i="7"/>
  <c r="D124" i="7"/>
  <c r="C124" i="7"/>
  <c r="V123" i="7"/>
  <c r="U123" i="7"/>
  <c r="T123" i="7"/>
  <c r="S123" i="7"/>
  <c r="R123" i="7"/>
  <c r="P123" i="7"/>
  <c r="O123" i="7"/>
  <c r="N123" i="7"/>
  <c r="L123" i="7"/>
  <c r="K123" i="7"/>
  <c r="J123" i="7"/>
  <c r="I123" i="7"/>
  <c r="H123" i="7"/>
  <c r="G123" i="7"/>
  <c r="E123" i="7"/>
  <c r="D123" i="7"/>
  <c r="C123" i="7"/>
  <c r="V122" i="7"/>
  <c r="U122" i="7"/>
  <c r="T122" i="7"/>
  <c r="S122" i="7"/>
  <c r="R122" i="7"/>
  <c r="P122" i="7"/>
  <c r="O122" i="7"/>
  <c r="N122" i="7"/>
  <c r="L122" i="7"/>
  <c r="K122" i="7"/>
  <c r="J122" i="7"/>
  <c r="I122" i="7"/>
  <c r="H122" i="7"/>
  <c r="G122" i="7"/>
  <c r="E122" i="7"/>
  <c r="D122" i="7"/>
  <c r="C122" i="7"/>
  <c r="V121" i="7"/>
  <c r="U121" i="7"/>
  <c r="T121" i="7"/>
  <c r="S121" i="7"/>
  <c r="R121" i="7"/>
  <c r="P121" i="7"/>
  <c r="O121" i="7"/>
  <c r="N121" i="7"/>
  <c r="L121" i="7"/>
  <c r="K121" i="7"/>
  <c r="J121" i="7"/>
  <c r="I121" i="7"/>
  <c r="H121" i="7"/>
  <c r="G121" i="7"/>
  <c r="E121" i="7"/>
  <c r="D121" i="7"/>
  <c r="C121" i="7"/>
  <c r="V120" i="7"/>
  <c r="U120" i="7"/>
  <c r="T120" i="7"/>
  <c r="S120" i="7"/>
  <c r="R120" i="7"/>
  <c r="P120" i="7"/>
  <c r="O120" i="7"/>
  <c r="N120" i="7"/>
  <c r="L120" i="7"/>
  <c r="K120" i="7"/>
  <c r="J120" i="7"/>
  <c r="I120" i="7"/>
  <c r="H120" i="7"/>
  <c r="G120" i="7"/>
  <c r="E120" i="7"/>
  <c r="D120" i="7"/>
  <c r="C120" i="7"/>
  <c r="V119" i="7"/>
  <c r="U119" i="7"/>
  <c r="T119" i="7"/>
  <c r="S119" i="7"/>
  <c r="R119" i="7"/>
  <c r="P119" i="7"/>
  <c r="O119" i="7"/>
  <c r="N119" i="7"/>
  <c r="L119" i="7"/>
  <c r="K119" i="7"/>
  <c r="J119" i="7"/>
  <c r="I119" i="7"/>
  <c r="H119" i="7"/>
  <c r="G119" i="7"/>
  <c r="E119" i="7"/>
  <c r="D119" i="7"/>
  <c r="C119" i="7"/>
  <c r="V118" i="7"/>
  <c r="U118" i="7"/>
  <c r="T118" i="7"/>
  <c r="S118" i="7"/>
  <c r="R118" i="7"/>
  <c r="P118" i="7"/>
  <c r="O118" i="7"/>
  <c r="N118" i="7"/>
  <c r="L118" i="7"/>
  <c r="K118" i="7"/>
  <c r="J118" i="7"/>
  <c r="I118" i="7"/>
  <c r="H118" i="7"/>
  <c r="G118" i="7"/>
  <c r="E118" i="7"/>
  <c r="D118" i="7"/>
  <c r="C118" i="7"/>
  <c r="V117" i="7"/>
  <c r="U117" i="7"/>
  <c r="T117" i="7"/>
  <c r="S117" i="7"/>
  <c r="R117" i="7"/>
  <c r="P117" i="7"/>
  <c r="O117" i="7"/>
  <c r="N117" i="7"/>
  <c r="L117" i="7"/>
  <c r="K117" i="7"/>
  <c r="J117" i="7"/>
  <c r="I117" i="7"/>
  <c r="H117" i="7"/>
  <c r="G117" i="7"/>
  <c r="E117" i="7"/>
  <c r="D117" i="7"/>
  <c r="C117" i="7"/>
  <c r="V116" i="7"/>
  <c r="U116" i="7"/>
  <c r="T116" i="7"/>
  <c r="S116" i="7"/>
  <c r="R116" i="7"/>
  <c r="P116" i="7"/>
  <c r="O116" i="7"/>
  <c r="N116" i="7"/>
  <c r="L116" i="7"/>
  <c r="K116" i="7"/>
  <c r="J116" i="7"/>
  <c r="I116" i="7"/>
  <c r="H116" i="7"/>
  <c r="G116" i="7"/>
  <c r="E116" i="7"/>
  <c r="D116" i="7"/>
  <c r="C116" i="7"/>
  <c r="V115" i="7"/>
  <c r="U115" i="7"/>
  <c r="T115" i="7"/>
  <c r="S115" i="7"/>
  <c r="R115" i="7"/>
  <c r="P115" i="7"/>
  <c r="O115" i="7"/>
  <c r="N115" i="7"/>
  <c r="L115" i="7"/>
  <c r="K115" i="7"/>
  <c r="J115" i="7"/>
  <c r="I115" i="7"/>
  <c r="H115" i="7"/>
  <c r="G115" i="7"/>
  <c r="E115" i="7"/>
  <c r="D115" i="7"/>
  <c r="C115" i="7"/>
  <c r="V114" i="7"/>
  <c r="U114" i="7"/>
  <c r="T114" i="7"/>
  <c r="S114" i="7"/>
  <c r="R114" i="7"/>
  <c r="P114" i="7"/>
  <c r="O114" i="7"/>
  <c r="N114" i="7"/>
  <c r="L114" i="7"/>
  <c r="K114" i="7"/>
  <c r="J114" i="7"/>
  <c r="I114" i="7"/>
  <c r="H114" i="7"/>
  <c r="G114" i="7"/>
  <c r="E114" i="7"/>
  <c r="D114" i="7"/>
  <c r="C114" i="7"/>
  <c r="V113" i="7"/>
  <c r="U113" i="7"/>
  <c r="T113" i="7"/>
  <c r="S113" i="7"/>
  <c r="R113" i="7"/>
  <c r="P113" i="7"/>
  <c r="O113" i="7"/>
  <c r="N113" i="7"/>
  <c r="L113" i="7"/>
  <c r="K113" i="7"/>
  <c r="J113" i="7"/>
  <c r="I113" i="7"/>
  <c r="H113" i="7"/>
  <c r="G113" i="7"/>
  <c r="E113" i="7"/>
  <c r="D113" i="7"/>
  <c r="C113" i="7"/>
  <c r="V112" i="7"/>
  <c r="U112" i="7"/>
  <c r="T112" i="7"/>
  <c r="S112" i="7"/>
  <c r="R112" i="7"/>
  <c r="P112" i="7"/>
  <c r="O112" i="7"/>
  <c r="N112" i="7"/>
  <c r="L112" i="7"/>
  <c r="K112" i="7"/>
  <c r="J112" i="7"/>
  <c r="I112" i="7"/>
  <c r="H112" i="7"/>
  <c r="G112" i="7"/>
  <c r="E112" i="7"/>
  <c r="D112" i="7"/>
  <c r="C112" i="7"/>
  <c r="V111" i="7"/>
  <c r="U111" i="7"/>
  <c r="T111" i="7"/>
  <c r="S111" i="7"/>
  <c r="R111" i="7"/>
  <c r="P111" i="7"/>
  <c r="O111" i="7"/>
  <c r="N111" i="7"/>
  <c r="L111" i="7"/>
  <c r="K111" i="7"/>
  <c r="J111" i="7"/>
  <c r="I111" i="7"/>
  <c r="H111" i="7"/>
  <c r="G111" i="7"/>
  <c r="E111" i="7"/>
  <c r="D111" i="7"/>
  <c r="C111" i="7"/>
  <c r="V110" i="7"/>
  <c r="U110" i="7"/>
  <c r="T110" i="7"/>
  <c r="S110" i="7"/>
  <c r="R110" i="7"/>
  <c r="P110" i="7"/>
  <c r="O110" i="7"/>
  <c r="N110" i="7"/>
  <c r="L110" i="7"/>
  <c r="K110" i="7"/>
  <c r="J110" i="7"/>
  <c r="I110" i="7"/>
  <c r="H110" i="7"/>
  <c r="G110" i="7"/>
  <c r="E110" i="7"/>
  <c r="D110" i="7"/>
  <c r="C110" i="7"/>
  <c r="V109" i="7"/>
  <c r="U109" i="7"/>
  <c r="T109" i="7"/>
  <c r="S109" i="7"/>
  <c r="R109" i="7"/>
  <c r="P109" i="7"/>
  <c r="O109" i="7"/>
  <c r="N109" i="7"/>
  <c r="L109" i="7"/>
  <c r="K109" i="7"/>
  <c r="J109" i="7"/>
  <c r="I109" i="7"/>
  <c r="H109" i="7"/>
  <c r="G109" i="7"/>
  <c r="E109" i="7"/>
  <c r="D109" i="7"/>
  <c r="C109" i="7"/>
  <c r="V108" i="7"/>
  <c r="U108" i="7"/>
  <c r="T108" i="7"/>
  <c r="S108" i="7"/>
  <c r="R108" i="7"/>
  <c r="P108" i="7"/>
  <c r="O108" i="7"/>
  <c r="N108" i="7"/>
  <c r="L108" i="7"/>
  <c r="K108" i="7"/>
  <c r="J108" i="7"/>
  <c r="I108" i="7"/>
  <c r="H108" i="7"/>
  <c r="G108" i="7"/>
  <c r="E108" i="7"/>
  <c r="D108" i="7"/>
  <c r="C108" i="7"/>
  <c r="V107" i="7"/>
  <c r="U107" i="7"/>
  <c r="T107" i="7"/>
  <c r="S107" i="7"/>
  <c r="R107" i="7"/>
  <c r="P107" i="7"/>
  <c r="O107" i="7"/>
  <c r="N107" i="7"/>
  <c r="L107" i="7"/>
  <c r="K107" i="7"/>
  <c r="J107" i="7"/>
  <c r="I107" i="7"/>
  <c r="H107" i="7"/>
  <c r="G107" i="7"/>
  <c r="E107" i="7"/>
  <c r="D107" i="7"/>
  <c r="C107" i="7"/>
  <c r="V106" i="7"/>
  <c r="U106" i="7"/>
  <c r="T106" i="7"/>
  <c r="S106" i="7"/>
  <c r="R106" i="7"/>
  <c r="P106" i="7"/>
  <c r="O106" i="7"/>
  <c r="N106" i="7"/>
  <c r="L106" i="7"/>
  <c r="K106" i="7"/>
  <c r="J106" i="7"/>
  <c r="I106" i="7"/>
  <c r="H106" i="7"/>
  <c r="G106" i="7"/>
  <c r="E106" i="7"/>
  <c r="D106" i="7"/>
  <c r="C106" i="7"/>
  <c r="V105" i="7"/>
  <c r="U105" i="7"/>
  <c r="T105" i="7"/>
  <c r="S105" i="7"/>
  <c r="R105" i="7"/>
  <c r="P105" i="7"/>
  <c r="O105" i="7"/>
  <c r="N105" i="7"/>
  <c r="L105" i="7"/>
  <c r="K105" i="7"/>
  <c r="J105" i="7"/>
  <c r="I105" i="7"/>
  <c r="H105" i="7"/>
  <c r="G105" i="7"/>
  <c r="E105" i="7"/>
  <c r="D105" i="7"/>
  <c r="C105" i="7"/>
  <c r="V104" i="7"/>
  <c r="U104" i="7"/>
  <c r="T104" i="7"/>
  <c r="S104" i="7"/>
  <c r="R104" i="7"/>
  <c r="P104" i="7"/>
  <c r="O104" i="7"/>
  <c r="N104" i="7"/>
  <c r="L104" i="7"/>
  <c r="K104" i="7"/>
  <c r="J104" i="7"/>
  <c r="I104" i="7"/>
  <c r="H104" i="7"/>
  <c r="G104" i="7"/>
  <c r="E104" i="7"/>
  <c r="D104" i="7"/>
  <c r="C104" i="7"/>
  <c r="V103" i="7"/>
  <c r="U103" i="7"/>
  <c r="T103" i="7"/>
  <c r="S103" i="7"/>
  <c r="R103" i="7"/>
  <c r="P103" i="7"/>
  <c r="O103" i="7"/>
  <c r="N103" i="7"/>
  <c r="L103" i="7"/>
  <c r="K103" i="7"/>
  <c r="J103" i="7"/>
  <c r="I103" i="7"/>
  <c r="H103" i="7"/>
  <c r="G103" i="7"/>
  <c r="E103" i="7"/>
  <c r="D103" i="7"/>
  <c r="C103" i="7"/>
  <c r="V102" i="7"/>
  <c r="U102" i="7"/>
  <c r="T102" i="7"/>
  <c r="S102" i="7"/>
  <c r="R102" i="7"/>
  <c r="P102" i="7"/>
  <c r="O102" i="7"/>
  <c r="N102" i="7"/>
  <c r="L102" i="7"/>
  <c r="K102" i="7"/>
  <c r="J102" i="7"/>
  <c r="I102" i="7"/>
  <c r="H102" i="7"/>
  <c r="G102" i="7"/>
  <c r="E102" i="7"/>
  <c r="D102" i="7"/>
  <c r="C102" i="7"/>
  <c r="V101" i="7"/>
  <c r="U101" i="7"/>
  <c r="T101" i="7"/>
  <c r="S101" i="7"/>
  <c r="R101" i="7"/>
  <c r="P101" i="7"/>
  <c r="O101" i="7"/>
  <c r="N101" i="7"/>
  <c r="L101" i="7"/>
  <c r="K101" i="7"/>
  <c r="J101" i="7"/>
  <c r="I101" i="7"/>
  <c r="H101" i="7"/>
  <c r="G101" i="7"/>
  <c r="E101" i="7"/>
  <c r="D101" i="7"/>
  <c r="C101" i="7"/>
  <c r="V100" i="7"/>
  <c r="U100" i="7"/>
  <c r="T100" i="7"/>
  <c r="S100" i="7"/>
  <c r="R100" i="7"/>
  <c r="P100" i="7"/>
  <c r="O100" i="7"/>
  <c r="N100" i="7"/>
  <c r="L100" i="7"/>
  <c r="K100" i="7"/>
  <c r="J100" i="7"/>
  <c r="I100" i="7"/>
  <c r="H100" i="7"/>
  <c r="G100" i="7"/>
  <c r="E100" i="7"/>
  <c r="D100" i="7"/>
  <c r="C100" i="7"/>
  <c r="V99" i="7"/>
  <c r="U99" i="7"/>
  <c r="T99" i="7"/>
  <c r="S99" i="7"/>
  <c r="R99" i="7"/>
  <c r="P99" i="7"/>
  <c r="O99" i="7"/>
  <c r="N99" i="7"/>
  <c r="L99" i="7"/>
  <c r="K99" i="7"/>
  <c r="J99" i="7"/>
  <c r="I99" i="7"/>
  <c r="H99" i="7"/>
  <c r="G99" i="7"/>
  <c r="E99" i="7"/>
  <c r="D99" i="7"/>
  <c r="C99" i="7"/>
  <c r="V98" i="7"/>
  <c r="U98" i="7"/>
  <c r="T98" i="7"/>
  <c r="S98" i="7"/>
  <c r="R98" i="7"/>
  <c r="P98" i="7"/>
  <c r="O98" i="7"/>
  <c r="N98" i="7"/>
  <c r="L98" i="7"/>
  <c r="K98" i="7"/>
  <c r="J98" i="7"/>
  <c r="I98" i="7"/>
  <c r="H98" i="7"/>
  <c r="G98" i="7"/>
  <c r="E98" i="7"/>
  <c r="D98" i="7"/>
  <c r="C98" i="7"/>
  <c r="V97" i="7"/>
  <c r="U97" i="7"/>
  <c r="T97" i="7"/>
  <c r="S97" i="7"/>
  <c r="R97" i="7"/>
  <c r="P97" i="7"/>
  <c r="O97" i="7"/>
  <c r="N97" i="7"/>
  <c r="L97" i="7"/>
  <c r="K97" i="7"/>
  <c r="J97" i="7"/>
  <c r="I97" i="7"/>
  <c r="H97" i="7"/>
  <c r="G97" i="7"/>
  <c r="E97" i="7"/>
  <c r="D97" i="7"/>
  <c r="C97" i="7"/>
  <c r="V96" i="7"/>
  <c r="U96" i="7"/>
  <c r="T96" i="7"/>
  <c r="S96" i="7"/>
  <c r="R96" i="7"/>
  <c r="P96" i="7"/>
  <c r="O96" i="7"/>
  <c r="N96" i="7"/>
  <c r="L96" i="7"/>
  <c r="K96" i="7"/>
  <c r="J96" i="7"/>
  <c r="I96" i="7"/>
  <c r="H96" i="7"/>
  <c r="G96" i="7"/>
  <c r="E96" i="7"/>
  <c r="D96" i="7"/>
  <c r="C96" i="7"/>
  <c r="V95" i="7"/>
  <c r="U95" i="7"/>
  <c r="T95" i="7"/>
  <c r="S95" i="7"/>
  <c r="R95" i="7"/>
  <c r="P95" i="7"/>
  <c r="O95" i="7"/>
  <c r="N95" i="7"/>
  <c r="L95" i="7"/>
  <c r="K95" i="7"/>
  <c r="J95" i="7"/>
  <c r="I95" i="7"/>
  <c r="H95" i="7"/>
  <c r="G95" i="7"/>
  <c r="E95" i="7"/>
  <c r="D95" i="7"/>
  <c r="C95" i="7"/>
  <c r="V94" i="7"/>
  <c r="U94" i="7"/>
  <c r="T94" i="7"/>
  <c r="S94" i="7"/>
  <c r="R94" i="7"/>
  <c r="P94" i="7"/>
  <c r="O94" i="7"/>
  <c r="N94" i="7"/>
  <c r="L94" i="7"/>
  <c r="K94" i="7"/>
  <c r="J94" i="7"/>
  <c r="I94" i="7"/>
  <c r="H94" i="7"/>
  <c r="G94" i="7"/>
  <c r="E94" i="7"/>
  <c r="D94" i="7"/>
  <c r="C94" i="7"/>
  <c r="V93" i="7"/>
  <c r="U93" i="7"/>
  <c r="T93" i="7"/>
  <c r="S93" i="7"/>
  <c r="R93" i="7"/>
  <c r="P93" i="7"/>
  <c r="O93" i="7"/>
  <c r="N93" i="7"/>
  <c r="L93" i="7"/>
  <c r="K93" i="7"/>
  <c r="J93" i="7"/>
  <c r="I93" i="7"/>
  <c r="H93" i="7"/>
  <c r="G93" i="7"/>
  <c r="E93" i="7"/>
  <c r="D93" i="7"/>
  <c r="C93" i="7"/>
  <c r="V92" i="7"/>
  <c r="U92" i="7"/>
  <c r="T92" i="7"/>
  <c r="S92" i="7"/>
  <c r="R92" i="7"/>
  <c r="P92" i="7"/>
  <c r="O92" i="7"/>
  <c r="N92" i="7"/>
  <c r="L92" i="7"/>
  <c r="K92" i="7"/>
  <c r="J92" i="7"/>
  <c r="I92" i="7"/>
  <c r="H92" i="7"/>
  <c r="G92" i="7"/>
  <c r="E92" i="7"/>
  <c r="D92" i="7"/>
  <c r="C92" i="7"/>
  <c r="V91" i="7"/>
  <c r="U91" i="7"/>
  <c r="T91" i="7"/>
  <c r="S91" i="7"/>
  <c r="R91" i="7"/>
  <c r="P91" i="7"/>
  <c r="O91" i="7"/>
  <c r="N91" i="7"/>
  <c r="L91" i="7"/>
  <c r="K91" i="7"/>
  <c r="J91" i="7"/>
  <c r="I91" i="7"/>
  <c r="H91" i="7"/>
  <c r="G91" i="7"/>
  <c r="E91" i="7"/>
  <c r="D91" i="7"/>
  <c r="C91" i="7"/>
  <c r="V90" i="7"/>
  <c r="U90" i="7"/>
  <c r="T90" i="7"/>
  <c r="S90" i="7"/>
  <c r="R90" i="7"/>
  <c r="P90" i="7"/>
  <c r="O90" i="7"/>
  <c r="N90" i="7"/>
  <c r="L90" i="7"/>
  <c r="K90" i="7"/>
  <c r="J90" i="7"/>
  <c r="I90" i="7"/>
  <c r="H90" i="7"/>
  <c r="G90" i="7"/>
  <c r="E90" i="7"/>
  <c r="D90" i="7"/>
  <c r="C90" i="7"/>
  <c r="V89" i="7"/>
  <c r="U89" i="7"/>
  <c r="T89" i="7"/>
  <c r="S89" i="7"/>
  <c r="R89" i="7"/>
  <c r="P89" i="7"/>
  <c r="O89" i="7"/>
  <c r="N89" i="7"/>
  <c r="L89" i="7"/>
  <c r="K89" i="7"/>
  <c r="J89" i="7"/>
  <c r="I89" i="7"/>
  <c r="H89" i="7"/>
  <c r="G89" i="7"/>
  <c r="E89" i="7"/>
  <c r="D89" i="7"/>
  <c r="C89" i="7"/>
  <c r="V88" i="7"/>
  <c r="U88" i="7"/>
  <c r="T88" i="7"/>
  <c r="S88" i="7"/>
  <c r="R88" i="7"/>
  <c r="P88" i="7"/>
  <c r="O88" i="7"/>
  <c r="N88" i="7"/>
  <c r="L88" i="7"/>
  <c r="K88" i="7"/>
  <c r="J88" i="7"/>
  <c r="I88" i="7"/>
  <c r="H88" i="7"/>
  <c r="G88" i="7"/>
  <c r="E88" i="7"/>
  <c r="D88" i="7"/>
  <c r="C88" i="7"/>
  <c r="V87" i="7"/>
  <c r="U87" i="7"/>
  <c r="T87" i="7"/>
  <c r="S87" i="7"/>
  <c r="R87" i="7"/>
  <c r="P87" i="7"/>
  <c r="O87" i="7"/>
  <c r="N87" i="7"/>
  <c r="L87" i="7"/>
  <c r="K87" i="7"/>
  <c r="J87" i="7"/>
  <c r="I87" i="7"/>
  <c r="H87" i="7"/>
  <c r="G87" i="7"/>
  <c r="E87" i="7"/>
  <c r="D87" i="7"/>
  <c r="C87" i="7"/>
  <c r="V86" i="7"/>
  <c r="U86" i="7"/>
  <c r="T86" i="7"/>
  <c r="S86" i="7"/>
  <c r="R86" i="7"/>
  <c r="P86" i="7"/>
  <c r="O86" i="7"/>
  <c r="N86" i="7"/>
  <c r="L86" i="7"/>
  <c r="K86" i="7"/>
  <c r="J86" i="7"/>
  <c r="I86" i="7"/>
  <c r="H86" i="7"/>
  <c r="G86" i="7"/>
  <c r="E86" i="7"/>
  <c r="D86" i="7"/>
  <c r="C86" i="7"/>
  <c r="V85" i="7"/>
  <c r="U85" i="7"/>
  <c r="T85" i="7"/>
  <c r="S85" i="7"/>
  <c r="R85" i="7"/>
  <c r="P85" i="7"/>
  <c r="O85" i="7"/>
  <c r="N85" i="7"/>
  <c r="L85" i="7"/>
  <c r="K85" i="7"/>
  <c r="J85" i="7"/>
  <c r="I85" i="7"/>
  <c r="H85" i="7"/>
  <c r="G85" i="7"/>
  <c r="E85" i="7"/>
  <c r="D85" i="7"/>
  <c r="C85" i="7"/>
  <c r="V84" i="7"/>
  <c r="U84" i="7"/>
  <c r="T84" i="7"/>
  <c r="S84" i="7"/>
  <c r="R84" i="7"/>
  <c r="P84" i="7"/>
  <c r="O84" i="7"/>
  <c r="N84" i="7"/>
  <c r="L84" i="7"/>
  <c r="K84" i="7"/>
  <c r="J84" i="7"/>
  <c r="I84" i="7"/>
  <c r="H84" i="7"/>
  <c r="G84" i="7"/>
  <c r="E84" i="7"/>
  <c r="D84" i="7"/>
  <c r="C84" i="7"/>
  <c r="V83" i="7"/>
  <c r="U83" i="7"/>
  <c r="T83" i="7"/>
  <c r="S83" i="7"/>
  <c r="R83" i="7"/>
  <c r="P83" i="7"/>
  <c r="O83" i="7"/>
  <c r="N83" i="7"/>
  <c r="L83" i="7"/>
  <c r="K83" i="7"/>
  <c r="J83" i="7"/>
  <c r="I83" i="7"/>
  <c r="H83" i="7"/>
  <c r="G83" i="7"/>
  <c r="E83" i="7"/>
  <c r="D83" i="7"/>
  <c r="C83" i="7"/>
  <c r="V82" i="7"/>
  <c r="U82" i="7"/>
  <c r="T82" i="7"/>
  <c r="S82" i="7"/>
  <c r="R82" i="7"/>
  <c r="P82" i="7"/>
  <c r="O82" i="7"/>
  <c r="N82" i="7"/>
  <c r="L82" i="7"/>
  <c r="K82" i="7"/>
  <c r="J82" i="7"/>
  <c r="I82" i="7"/>
  <c r="H82" i="7"/>
  <c r="G82" i="7"/>
  <c r="E82" i="7"/>
  <c r="D82" i="7"/>
  <c r="C82" i="7"/>
  <c r="V81" i="7"/>
  <c r="U81" i="7"/>
  <c r="T81" i="7"/>
  <c r="S81" i="7"/>
  <c r="R81" i="7"/>
  <c r="P81" i="7"/>
  <c r="O81" i="7"/>
  <c r="N81" i="7"/>
  <c r="L81" i="7"/>
  <c r="K81" i="7"/>
  <c r="J81" i="7"/>
  <c r="I81" i="7"/>
  <c r="H81" i="7"/>
  <c r="G81" i="7"/>
  <c r="E81" i="7"/>
  <c r="D81" i="7"/>
  <c r="C81" i="7"/>
  <c r="V80" i="7"/>
  <c r="U80" i="7"/>
  <c r="T80" i="7"/>
  <c r="S80" i="7"/>
  <c r="R80" i="7"/>
  <c r="P80" i="7"/>
  <c r="O80" i="7"/>
  <c r="N80" i="7"/>
  <c r="L80" i="7"/>
  <c r="K80" i="7"/>
  <c r="J80" i="7"/>
  <c r="I80" i="7"/>
  <c r="H80" i="7"/>
  <c r="G80" i="7"/>
  <c r="E80" i="7"/>
  <c r="D80" i="7"/>
  <c r="C80" i="7"/>
  <c r="V79" i="7"/>
  <c r="U79" i="7"/>
  <c r="T79" i="7"/>
  <c r="S79" i="7"/>
  <c r="R79" i="7"/>
  <c r="P79" i="7"/>
  <c r="O79" i="7"/>
  <c r="N79" i="7"/>
  <c r="L79" i="7"/>
  <c r="K79" i="7"/>
  <c r="J79" i="7"/>
  <c r="I79" i="7"/>
  <c r="H79" i="7"/>
  <c r="G79" i="7"/>
  <c r="E79" i="7"/>
  <c r="D79" i="7"/>
  <c r="C79" i="7"/>
  <c r="V78" i="7"/>
  <c r="U78" i="7"/>
  <c r="T78" i="7"/>
  <c r="S78" i="7"/>
  <c r="R78" i="7"/>
  <c r="P78" i="7"/>
  <c r="O78" i="7"/>
  <c r="N78" i="7"/>
  <c r="L78" i="7"/>
  <c r="K78" i="7"/>
  <c r="J78" i="7"/>
  <c r="I78" i="7"/>
  <c r="H78" i="7"/>
  <c r="G78" i="7"/>
  <c r="E78" i="7"/>
  <c r="D78" i="7"/>
  <c r="C78" i="7"/>
  <c r="V77" i="7"/>
  <c r="U77" i="7"/>
  <c r="T77" i="7"/>
  <c r="S77" i="7"/>
  <c r="R77" i="7"/>
  <c r="P77" i="7"/>
  <c r="O77" i="7"/>
  <c r="N77" i="7"/>
  <c r="L77" i="7"/>
  <c r="K77" i="7"/>
  <c r="J77" i="7"/>
  <c r="I77" i="7"/>
  <c r="H77" i="7"/>
  <c r="G77" i="7"/>
  <c r="E77" i="7"/>
  <c r="D77" i="7"/>
  <c r="C77" i="7"/>
  <c r="V76" i="7"/>
  <c r="U76" i="7"/>
  <c r="T76" i="7"/>
  <c r="S76" i="7"/>
  <c r="R76" i="7"/>
  <c r="P76" i="7"/>
  <c r="O76" i="7"/>
  <c r="N76" i="7"/>
  <c r="L76" i="7"/>
  <c r="K76" i="7"/>
  <c r="J76" i="7"/>
  <c r="I76" i="7"/>
  <c r="H76" i="7"/>
  <c r="G76" i="7"/>
  <c r="E76" i="7"/>
  <c r="D76" i="7"/>
  <c r="C76" i="7"/>
  <c r="V75" i="7"/>
  <c r="U75" i="7"/>
  <c r="T75" i="7"/>
  <c r="S75" i="7"/>
  <c r="R75" i="7"/>
  <c r="P75" i="7"/>
  <c r="O75" i="7"/>
  <c r="N75" i="7"/>
  <c r="L75" i="7"/>
  <c r="K75" i="7"/>
  <c r="J75" i="7"/>
  <c r="I75" i="7"/>
  <c r="H75" i="7"/>
  <c r="G75" i="7"/>
  <c r="E75" i="7"/>
  <c r="D75" i="7"/>
  <c r="C75" i="7"/>
  <c r="V74" i="7"/>
  <c r="U74" i="7"/>
  <c r="T74" i="7"/>
  <c r="S74" i="7"/>
  <c r="R74" i="7"/>
  <c r="P74" i="7"/>
  <c r="O74" i="7"/>
  <c r="N74" i="7"/>
  <c r="L74" i="7"/>
  <c r="K74" i="7"/>
  <c r="J74" i="7"/>
  <c r="I74" i="7"/>
  <c r="H74" i="7"/>
  <c r="G74" i="7"/>
  <c r="E74" i="7"/>
  <c r="D74" i="7"/>
  <c r="C74" i="7"/>
  <c r="V73" i="7"/>
  <c r="U73" i="7"/>
  <c r="T73" i="7"/>
  <c r="S73" i="7"/>
  <c r="R73" i="7"/>
  <c r="P73" i="7"/>
  <c r="O73" i="7"/>
  <c r="N73" i="7"/>
  <c r="L73" i="7"/>
  <c r="K73" i="7"/>
  <c r="J73" i="7"/>
  <c r="I73" i="7"/>
  <c r="H73" i="7"/>
  <c r="G73" i="7"/>
  <c r="E73" i="7"/>
  <c r="D73" i="7"/>
  <c r="C73" i="7"/>
  <c r="V72" i="7"/>
  <c r="U72" i="7"/>
  <c r="T72" i="7"/>
  <c r="S72" i="7"/>
  <c r="R72" i="7"/>
  <c r="P72" i="7"/>
  <c r="O72" i="7"/>
  <c r="N72" i="7"/>
  <c r="L72" i="7"/>
  <c r="K72" i="7"/>
  <c r="J72" i="7"/>
  <c r="I72" i="7"/>
  <c r="H72" i="7"/>
  <c r="G72" i="7"/>
  <c r="E72" i="7"/>
  <c r="D72" i="7"/>
  <c r="C72" i="7"/>
  <c r="V71" i="7"/>
  <c r="U71" i="7"/>
  <c r="T71" i="7"/>
  <c r="S71" i="7"/>
  <c r="R71" i="7"/>
  <c r="P71" i="7"/>
  <c r="O71" i="7"/>
  <c r="N71" i="7"/>
  <c r="L71" i="7"/>
  <c r="K71" i="7"/>
  <c r="J71" i="7"/>
  <c r="I71" i="7"/>
  <c r="H71" i="7"/>
  <c r="G71" i="7"/>
  <c r="E71" i="7"/>
  <c r="D71" i="7"/>
  <c r="C71" i="7"/>
  <c r="V70" i="7"/>
  <c r="U70" i="7"/>
  <c r="T70" i="7"/>
  <c r="S70" i="7"/>
  <c r="R70" i="7"/>
  <c r="P70" i="7"/>
  <c r="O70" i="7"/>
  <c r="N70" i="7"/>
  <c r="L70" i="7"/>
  <c r="K70" i="7"/>
  <c r="J70" i="7"/>
  <c r="I70" i="7"/>
  <c r="H70" i="7"/>
  <c r="G70" i="7"/>
  <c r="E70" i="7"/>
  <c r="D70" i="7"/>
  <c r="C70" i="7"/>
  <c r="V69" i="7"/>
  <c r="U69" i="7"/>
  <c r="T69" i="7"/>
  <c r="S69" i="7"/>
  <c r="R69" i="7"/>
  <c r="P69" i="7"/>
  <c r="O69" i="7"/>
  <c r="N69" i="7"/>
  <c r="L69" i="7"/>
  <c r="K69" i="7"/>
  <c r="J69" i="7"/>
  <c r="I69" i="7"/>
  <c r="H69" i="7"/>
  <c r="G69" i="7"/>
  <c r="E69" i="7"/>
  <c r="D69" i="7"/>
  <c r="C69" i="7"/>
  <c r="V68" i="7"/>
  <c r="U68" i="7"/>
  <c r="T68" i="7"/>
  <c r="S68" i="7"/>
  <c r="R68" i="7"/>
  <c r="P68" i="7"/>
  <c r="O68" i="7"/>
  <c r="N68" i="7"/>
  <c r="L68" i="7"/>
  <c r="K68" i="7"/>
  <c r="J68" i="7"/>
  <c r="I68" i="7"/>
  <c r="H68" i="7"/>
  <c r="G68" i="7"/>
  <c r="E68" i="7"/>
  <c r="D68" i="7"/>
  <c r="C68" i="7"/>
  <c r="V67" i="7"/>
  <c r="U67" i="7"/>
  <c r="T67" i="7"/>
  <c r="S67" i="7"/>
  <c r="R67" i="7"/>
  <c r="P67" i="7"/>
  <c r="O67" i="7"/>
  <c r="N67" i="7"/>
  <c r="L67" i="7"/>
  <c r="K67" i="7"/>
  <c r="J67" i="7"/>
  <c r="I67" i="7"/>
  <c r="H67" i="7"/>
  <c r="G67" i="7"/>
  <c r="E67" i="7"/>
  <c r="D67" i="7"/>
  <c r="C67" i="7"/>
  <c r="V66" i="7"/>
  <c r="U66" i="7"/>
  <c r="T66" i="7"/>
  <c r="S66" i="7"/>
  <c r="R66" i="7"/>
  <c r="P66" i="7"/>
  <c r="O66" i="7"/>
  <c r="N66" i="7"/>
  <c r="L66" i="7"/>
  <c r="K66" i="7"/>
  <c r="J66" i="7"/>
  <c r="I66" i="7"/>
  <c r="H66" i="7"/>
  <c r="G66" i="7"/>
  <c r="E66" i="7"/>
  <c r="D66" i="7"/>
  <c r="C66" i="7"/>
  <c r="V65" i="7"/>
  <c r="U65" i="7"/>
  <c r="T65" i="7"/>
  <c r="S65" i="7"/>
  <c r="R65" i="7"/>
  <c r="P65" i="7"/>
  <c r="O65" i="7"/>
  <c r="N65" i="7"/>
  <c r="L65" i="7"/>
  <c r="K65" i="7"/>
  <c r="J65" i="7"/>
  <c r="I65" i="7"/>
  <c r="H65" i="7"/>
  <c r="G65" i="7"/>
  <c r="E65" i="7"/>
  <c r="D65" i="7"/>
  <c r="C65" i="7"/>
  <c r="V64" i="7"/>
  <c r="U64" i="7"/>
  <c r="T64" i="7"/>
  <c r="S64" i="7"/>
  <c r="R64" i="7"/>
  <c r="P64" i="7"/>
  <c r="O64" i="7"/>
  <c r="N64" i="7"/>
  <c r="L64" i="7"/>
  <c r="K64" i="7"/>
  <c r="J64" i="7"/>
  <c r="I64" i="7"/>
  <c r="H64" i="7"/>
  <c r="G64" i="7"/>
  <c r="E64" i="7"/>
  <c r="D64" i="7"/>
  <c r="C64" i="7"/>
  <c r="V63" i="7"/>
  <c r="U63" i="7"/>
  <c r="T63" i="7"/>
  <c r="S63" i="7"/>
  <c r="R63" i="7"/>
  <c r="P63" i="7"/>
  <c r="O63" i="7"/>
  <c r="N63" i="7"/>
  <c r="L63" i="7"/>
  <c r="K63" i="7"/>
  <c r="J63" i="7"/>
  <c r="I63" i="7"/>
  <c r="H63" i="7"/>
  <c r="G63" i="7"/>
  <c r="E63" i="7"/>
  <c r="D63" i="7"/>
  <c r="C63" i="7"/>
  <c r="V62" i="7"/>
  <c r="U62" i="7"/>
  <c r="T62" i="7"/>
  <c r="S62" i="7"/>
  <c r="R62" i="7"/>
  <c r="P62" i="7"/>
  <c r="O62" i="7"/>
  <c r="N62" i="7"/>
  <c r="L62" i="7"/>
  <c r="K62" i="7"/>
  <c r="J62" i="7"/>
  <c r="I62" i="7"/>
  <c r="H62" i="7"/>
  <c r="G62" i="7"/>
  <c r="E62" i="7"/>
  <c r="D62" i="7"/>
  <c r="C62" i="7"/>
  <c r="V61" i="7"/>
  <c r="U61" i="7"/>
  <c r="T61" i="7"/>
  <c r="S61" i="7"/>
  <c r="R61" i="7"/>
  <c r="P61" i="7"/>
  <c r="O61" i="7"/>
  <c r="N61" i="7"/>
  <c r="L61" i="7"/>
  <c r="K61" i="7"/>
  <c r="J61" i="7"/>
  <c r="I61" i="7"/>
  <c r="H61" i="7"/>
  <c r="G61" i="7"/>
  <c r="E61" i="7"/>
  <c r="D61" i="7"/>
  <c r="C61" i="7"/>
  <c r="V60" i="7"/>
  <c r="U60" i="7"/>
  <c r="T60" i="7"/>
  <c r="S60" i="7"/>
  <c r="R60" i="7"/>
  <c r="P60" i="7"/>
  <c r="O60" i="7"/>
  <c r="N60" i="7"/>
  <c r="L60" i="7"/>
  <c r="K60" i="7"/>
  <c r="J60" i="7"/>
  <c r="I60" i="7"/>
  <c r="H60" i="7"/>
  <c r="G60" i="7"/>
  <c r="E60" i="7"/>
  <c r="D60" i="7"/>
  <c r="C60" i="7"/>
  <c r="V59" i="7"/>
  <c r="U59" i="7"/>
  <c r="T59" i="7"/>
  <c r="S59" i="7"/>
  <c r="R59" i="7"/>
  <c r="P59" i="7"/>
  <c r="O59" i="7"/>
  <c r="N59" i="7"/>
  <c r="L59" i="7"/>
  <c r="K59" i="7"/>
  <c r="J59" i="7"/>
  <c r="I59" i="7"/>
  <c r="H59" i="7"/>
  <c r="G59" i="7"/>
  <c r="E59" i="7"/>
  <c r="D59" i="7"/>
  <c r="C59" i="7"/>
  <c r="V58" i="7"/>
  <c r="U58" i="7"/>
  <c r="T58" i="7"/>
  <c r="S58" i="7"/>
  <c r="R58" i="7"/>
  <c r="P58" i="7"/>
  <c r="O58" i="7"/>
  <c r="N58" i="7"/>
  <c r="L58" i="7"/>
  <c r="K58" i="7"/>
  <c r="J58" i="7"/>
  <c r="I58" i="7"/>
  <c r="H58" i="7"/>
  <c r="G58" i="7"/>
  <c r="E58" i="7"/>
  <c r="D58" i="7"/>
  <c r="C58" i="7"/>
  <c r="V57" i="7"/>
  <c r="U57" i="7"/>
  <c r="T57" i="7"/>
  <c r="S57" i="7"/>
  <c r="R57" i="7"/>
  <c r="P57" i="7"/>
  <c r="O57" i="7"/>
  <c r="N57" i="7"/>
  <c r="L57" i="7"/>
  <c r="K57" i="7"/>
  <c r="J57" i="7"/>
  <c r="I57" i="7"/>
  <c r="H57" i="7"/>
  <c r="G57" i="7"/>
  <c r="E57" i="7"/>
  <c r="D57" i="7"/>
  <c r="C57" i="7"/>
  <c r="V56" i="7"/>
  <c r="U56" i="7"/>
  <c r="T56" i="7"/>
  <c r="S56" i="7"/>
  <c r="R56" i="7"/>
  <c r="P56" i="7"/>
  <c r="O56" i="7"/>
  <c r="N56" i="7"/>
  <c r="L56" i="7"/>
  <c r="K56" i="7"/>
  <c r="J56" i="7"/>
  <c r="I56" i="7"/>
  <c r="H56" i="7"/>
  <c r="G56" i="7"/>
  <c r="E56" i="7"/>
  <c r="D56" i="7"/>
  <c r="C56" i="7"/>
  <c r="V55" i="7"/>
  <c r="U55" i="7"/>
  <c r="T55" i="7"/>
  <c r="S55" i="7"/>
  <c r="R55" i="7"/>
  <c r="P55" i="7"/>
  <c r="O55" i="7"/>
  <c r="N55" i="7"/>
  <c r="L55" i="7"/>
  <c r="K55" i="7"/>
  <c r="J55" i="7"/>
  <c r="I55" i="7"/>
  <c r="H55" i="7"/>
  <c r="G55" i="7"/>
  <c r="E55" i="7"/>
  <c r="D55" i="7"/>
  <c r="C55" i="7"/>
  <c r="V54" i="7"/>
  <c r="U54" i="7"/>
  <c r="T54" i="7"/>
  <c r="S54" i="7"/>
  <c r="R54" i="7"/>
  <c r="P54" i="7"/>
  <c r="O54" i="7"/>
  <c r="N54" i="7"/>
  <c r="L54" i="7"/>
  <c r="K54" i="7"/>
  <c r="J54" i="7"/>
  <c r="I54" i="7"/>
  <c r="H54" i="7"/>
  <c r="G54" i="7"/>
  <c r="E54" i="7"/>
  <c r="D54" i="7"/>
  <c r="C54" i="7"/>
  <c r="V53" i="7"/>
  <c r="U53" i="7"/>
  <c r="T53" i="7"/>
  <c r="S53" i="7"/>
  <c r="R53" i="7"/>
  <c r="P53" i="7"/>
  <c r="O53" i="7"/>
  <c r="N53" i="7"/>
  <c r="L53" i="7"/>
  <c r="K53" i="7"/>
  <c r="J53" i="7"/>
  <c r="I53" i="7"/>
  <c r="H53" i="7"/>
  <c r="G53" i="7"/>
  <c r="E53" i="7"/>
  <c r="D53" i="7"/>
  <c r="C53" i="7"/>
  <c r="V52" i="7"/>
  <c r="U52" i="7"/>
  <c r="T52" i="7"/>
  <c r="S52" i="7"/>
  <c r="R52" i="7"/>
  <c r="P52" i="7"/>
  <c r="O52" i="7"/>
  <c r="N52" i="7"/>
  <c r="L52" i="7"/>
  <c r="K52" i="7"/>
  <c r="J52" i="7"/>
  <c r="I52" i="7"/>
  <c r="H52" i="7"/>
  <c r="G52" i="7"/>
  <c r="E52" i="7"/>
  <c r="D52" i="7"/>
  <c r="C52" i="7"/>
  <c r="V51" i="7"/>
  <c r="U51" i="7"/>
  <c r="T51" i="7"/>
  <c r="S51" i="7"/>
  <c r="R51" i="7"/>
  <c r="P51" i="7"/>
  <c r="O51" i="7"/>
  <c r="N51" i="7"/>
  <c r="L51" i="7"/>
  <c r="K51" i="7"/>
  <c r="J51" i="7"/>
  <c r="I51" i="7"/>
  <c r="H51" i="7"/>
  <c r="G51" i="7"/>
  <c r="E51" i="7"/>
  <c r="D51" i="7"/>
  <c r="C51" i="7"/>
  <c r="V50" i="7"/>
  <c r="U50" i="7"/>
  <c r="T50" i="7"/>
  <c r="S50" i="7"/>
  <c r="R50" i="7"/>
  <c r="P50" i="7"/>
  <c r="O50" i="7"/>
  <c r="N50" i="7"/>
  <c r="L50" i="7"/>
  <c r="K50" i="7"/>
  <c r="J50" i="7"/>
  <c r="I50" i="7"/>
  <c r="H50" i="7"/>
  <c r="G50" i="7"/>
  <c r="E50" i="7"/>
  <c r="D50" i="7"/>
  <c r="C50" i="7"/>
  <c r="V49" i="7"/>
  <c r="U49" i="7"/>
  <c r="T49" i="7"/>
  <c r="S49" i="7"/>
  <c r="R49" i="7"/>
  <c r="P49" i="7"/>
  <c r="O49" i="7"/>
  <c r="N49" i="7"/>
  <c r="L49" i="7"/>
  <c r="K49" i="7"/>
  <c r="J49" i="7"/>
  <c r="I49" i="7"/>
  <c r="H49" i="7"/>
  <c r="G49" i="7"/>
  <c r="E49" i="7"/>
  <c r="D49" i="7"/>
  <c r="C49" i="7"/>
  <c r="V48" i="7"/>
  <c r="U48" i="7"/>
  <c r="T48" i="7"/>
  <c r="S48" i="7"/>
  <c r="R48" i="7"/>
  <c r="P48" i="7"/>
  <c r="O48" i="7"/>
  <c r="N48" i="7"/>
  <c r="L48" i="7"/>
  <c r="K48" i="7"/>
  <c r="J48" i="7"/>
  <c r="I48" i="7"/>
  <c r="H48" i="7"/>
  <c r="G48" i="7"/>
  <c r="E48" i="7"/>
  <c r="D48" i="7"/>
  <c r="C48" i="7"/>
  <c r="V47" i="7"/>
  <c r="U47" i="7"/>
  <c r="T47" i="7"/>
  <c r="S47" i="7"/>
  <c r="R47" i="7"/>
  <c r="P47" i="7"/>
  <c r="O47" i="7"/>
  <c r="N47" i="7"/>
  <c r="L47" i="7"/>
  <c r="K47" i="7"/>
  <c r="J47" i="7"/>
  <c r="I47" i="7"/>
  <c r="H47" i="7"/>
  <c r="G47" i="7"/>
  <c r="E47" i="7"/>
  <c r="D47" i="7"/>
  <c r="C47" i="7"/>
  <c r="V46" i="7"/>
  <c r="U46" i="7"/>
  <c r="T46" i="7"/>
  <c r="S46" i="7"/>
  <c r="R46" i="7"/>
  <c r="P46" i="7"/>
  <c r="O46" i="7"/>
  <c r="N46" i="7"/>
  <c r="L46" i="7"/>
  <c r="K46" i="7"/>
  <c r="J46" i="7"/>
  <c r="I46" i="7"/>
  <c r="H46" i="7"/>
  <c r="G46" i="7"/>
  <c r="E46" i="7"/>
  <c r="D46" i="7"/>
  <c r="C46" i="7"/>
  <c r="V45" i="7"/>
  <c r="U45" i="7"/>
  <c r="T45" i="7"/>
  <c r="S45" i="7"/>
  <c r="R45" i="7"/>
  <c r="P45" i="7"/>
  <c r="O45" i="7"/>
  <c r="N45" i="7"/>
  <c r="L45" i="7"/>
  <c r="K45" i="7"/>
  <c r="J45" i="7"/>
  <c r="I45" i="7"/>
  <c r="H45" i="7"/>
  <c r="G45" i="7"/>
  <c r="E45" i="7"/>
  <c r="D45" i="7"/>
  <c r="C45" i="7"/>
  <c r="V44" i="7"/>
  <c r="U44" i="7"/>
  <c r="T44" i="7"/>
  <c r="S44" i="7"/>
  <c r="R44" i="7"/>
  <c r="P44" i="7"/>
  <c r="O44" i="7"/>
  <c r="N44" i="7"/>
  <c r="L44" i="7"/>
  <c r="K44" i="7"/>
  <c r="J44" i="7"/>
  <c r="I44" i="7"/>
  <c r="H44" i="7"/>
  <c r="G44" i="7"/>
  <c r="E44" i="7"/>
  <c r="D44" i="7"/>
  <c r="C44" i="7"/>
  <c r="V43" i="7"/>
  <c r="U43" i="7"/>
  <c r="T43" i="7"/>
  <c r="S43" i="7"/>
  <c r="R43" i="7"/>
  <c r="P43" i="7"/>
  <c r="O43" i="7"/>
  <c r="N43" i="7"/>
  <c r="L43" i="7"/>
  <c r="K43" i="7"/>
  <c r="J43" i="7"/>
  <c r="I43" i="7"/>
  <c r="H43" i="7"/>
  <c r="G43" i="7"/>
  <c r="E43" i="7"/>
  <c r="D43" i="7"/>
  <c r="C43" i="7"/>
  <c r="V42" i="7"/>
  <c r="U42" i="7"/>
  <c r="T42" i="7"/>
  <c r="S42" i="7"/>
  <c r="R42" i="7"/>
  <c r="P42" i="7"/>
  <c r="O42" i="7"/>
  <c r="N42" i="7"/>
  <c r="L42" i="7"/>
  <c r="K42" i="7"/>
  <c r="J42" i="7"/>
  <c r="I42" i="7"/>
  <c r="H42" i="7"/>
  <c r="G42" i="7"/>
  <c r="E42" i="7"/>
  <c r="D42" i="7"/>
  <c r="C42" i="7"/>
  <c r="V41" i="7"/>
  <c r="U41" i="7"/>
  <c r="T41" i="7"/>
  <c r="S41" i="7"/>
  <c r="R41" i="7"/>
  <c r="P41" i="7"/>
  <c r="O41" i="7"/>
  <c r="N41" i="7"/>
  <c r="L41" i="7"/>
  <c r="K41" i="7"/>
  <c r="J41" i="7"/>
  <c r="I41" i="7"/>
  <c r="H41" i="7"/>
  <c r="G41" i="7"/>
  <c r="E41" i="7"/>
  <c r="D41" i="7"/>
  <c r="C41" i="7"/>
  <c r="V40" i="7"/>
  <c r="U40" i="7"/>
  <c r="T40" i="7"/>
  <c r="S40" i="7"/>
  <c r="R40" i="7"/>
  <c r="P40" i="7"/>
  <c r="O40" i="7"/>
  <c r="N40" i="7"/>
  <c r="L40" i="7"/>
  <c r="K40" i="7"/>
  <c r="J40" i="7"/>
  <c r="I40" i="7"/>
  <c r="H40" i="7"/>
  <c r="G40" i="7"/>
  <c r="E40" i="7"/>
  <c r="D40" i="7"/>
  <c r="C40" i="7"/>
  <c r="V39" i="7"/>
  <c r="U39" i="7"/>
  <c r="T39" i="7"/>
  <c r="S39" i="7"/>
  <c r="R39" i="7"/>
  <c r="P39" i="7"/>
  <c r="O39" i="7"/>
  <c r="N39" i="7"/>
  <c r="L39" i="7"/>
  <c r="K39" i="7"/>
  <c r="J39" i="7"/>
  <c r="I39" i="7"/>
  <c r="H39" i="7"/>
  <c r="G39" i="7"/>
  <c r="E39" i="7"/>
  <c r="D39" i="7"/>
  <c r="C39" i="7"/>
  <c r="V38" i="7"/>
  <c r="U38" i="7"/>
  <c r="T38" i="7"/>
  <c r="S38" i="7"/>
  <c r="R38" i="7"/>
  <c r="P38" i="7"/>
  <c r="O38" i="7"/>
  <c r="N38" i="7"/>
  <c r="L38" i="7"/>
  <c r="K38" i="7"/>
  <c r="J38" i="7"/>
  <c r="I38" i="7"/>
  <c r="H38" i="7"/>
  <c r="G38" i="7"/>
  <c r="E38" i="7"/>
  <c r="D38" i="7"/>
  <c r="C38" i="7"/>
  <c r="V37" i="7"/>
  <c r="U37" i="7"/>
  <c r="T37" i="7"/>
  <c r="S37" i="7"/>
  <c r="R37" i="7"/>
  <c r="P37" i="7"/>
  <c r="O37" i="7"/>
  <c r="N37" i="7"/>
  <c r="L37" i="7"/>
  <c r="K37" i="7"/>
  <c r="J37" i="7"/>
  <c r="I37" i="7"/>
  <c r="H37" i="7"/>
  <c r="G37" i="7"/>
  <c r="E37" i="7"/>
  <c r="D37" i="7"/>
  <c r="C37" i="7"/>
  <c r="V36" i="7"/>
  <c r="U36" i="7"/>
  <c r="T36" i="7"/>
  <c r="S36" i="7"/>
  <c r="R36" i="7"/>
  <c r="P36" i="7"/>
  <c r="O36" i="7"/>
  <c r="N36" i="7"/>
  <c r="L36" i="7"/>
  <c r="K36" i="7"/>
  <c r="J36" i="7"/>
  <c r="I36" i="7"/>
  <c r="H36" i="7"/>
  <c r="G36" i="7"/>
  <c r="E36" i="7"/>
  <c r="D36" i="7"/>
  <c r="C36" i="7"/>
  <c r="V35" i="7"/>
  <c r="U35" i="7"/>
  <c r="T35" i="7"/>
  <c r="S35" i="7"/>
  <c r="R35" i="7"/>
  <c r="P35" i="7"/>
  <c r="O35" i="7"/>
  <c r="N35" i="7"/>
  <c r="L35" i="7"/>
  <c r="K35" i="7"/>
  <c r="J35" i="7"/>
  <c r="I35" i="7"/>
  <c r="H35" i="7"/>
  <c r="G35" i="7"/>
  <c r="E35" i="7"/>
  <c r="D35" i="7"/>
  <c r="C35" i="7"/>
  <c r="V34" i="7"/>
  <c r="U34" i="7"/>
  <c r="T34" i="7"/>
  <c r="S34" i="7"/>
  <c r="R34" i="7"/>
  <c r="P34" i="7"/>
  <c r="O34" i="7"/>
  <c r="N34" i="7"/>
  <c r="L34" i="7"/>
  <c r="K34" i="7"/>
  <c r="J34" i="7"/>
  <c r="I34" i="7"/>
  <c r="H34" i="7"/>
  <c r="G34" i="7"/>
  <c r="E34" i="7"/>
  <c r="D34" i="7"/>
  <c r="C34" i="7"/>
  <c r="V33" i="7"/>
  <c r="U33" i="7"/>
  <c r="T33" i="7"/>
  <c r="S33" i="7"/>
  <c r="R33" i="7"/>
  <c r="P33" i="7"/>
  <c r="O33" i="7"/>
  <c r="N33" i="7"/>
  <c r="L33" i="7"/>
  <c r="K33" i="7"/>
  <c r="J33" i="7"/>
  <c r="I33" i="7"/>
  <c r="H33" i="7"/>
  <c r="G33" i="7"/>
  <c r="E33" i="7"/>
  <c r="D33" i="7"/>
  <c r="C33" i="7"/>
  <c r="V32" i="7"/>
  <c r="U32" i="7"/>
  <c r="T32" i="7"/>
  <c r="S32" i="7"/>
  <c r="R32" i="7"/>
  <c r="P32" i="7"/>
  <c r="O32" i="7"/>
  <c r="N32" i="7"/>
  <c r="L32" i="7"/>
  <c r="K32" i="7"/>
  <c r="J32" i="7"/>
  <c r="I32" i="7"/>
  <c r="H32" i="7"/>
  <c r="G32" i="7"/>
  <c r="E32" i="7"/>
  <c r="D32" i="7"/>
  <c r="C32" i="7"/>
  <c r="V31" i="7"/>
  <c r="U31" i="7"/>
  <c r="T31" i="7"/>
  <c r="S31" i="7"/>
  <c r="R31" i="7"/>
  <c r="P31" i="7"/>
  <c r="O31" i="7"/>
  <c r="N31" i="7"/>
  <c r="L31" i="7"/>
  <c r="K31" i="7"/>
  <c r="J31" i="7"/>
  <c r="I31" i="7"/>
  <c r="H31" i="7"/>
  <c r="G31" i="7"/>
  <c r="E31" i="7"/>
  <c r="D31" i="7"/>
  <c r="C31" i="7"/>
  <c r="V30" i="7"/>
  <c r="U30" i="7"/>
  <c r="T30" i="7"/>
  <c r="S30" i="7"/>
  <c r="R30" i="7"/>
  <c r="P30" i="7"/>
  <c r="O30" i="7"/>
  <c r="N30" i="7"/>
  <c r="L30" i="7"/>
  <c r="K30" i="7"/>
  <c r="J30" i="7"/>
  <c r="I30" i="7"/>
  <c r="H30" i="7"/>
  <c r="G30" i="7"/>
  <c r="E30" i="7"/>
  <c r="D30" i="7"/>
  <c r="C30" i="7"/>
  <c r="V29" i="7"/>
  <c r="U29" i="7"/>
  <c r="T29" i="7"/>
  <c r="S29" i="7"/>
  <c r="R29" i="7"/>
  <c r="P29" i="7"/>
  <c r="O29" i="7"/>
  <c r="N29" i="7"/>
  <c r="L29" i="7"/>
  <c r="K29" i="7"/>
  <c r="J29" i="7"/>
  <c r="I29" i="7"/>
  <c r="H29" i="7"/>
  <c r="G29" i="7"/>
  <c r="E29" i="7"/>
  <c r="D29" i="7"/>
  <c r="C29" i="7"/>
  <c r="V28" i="7"/>
  <c r="U28" i="7"/>
  <c r="T28" i="7"/>
  <c r="S28" i="7"/>
  <c r="R28" i="7"/>
  <c r="P28" i="7"/>
  <c r="O28" i="7"/>
  <c r="N28" i="7"/>
  <c r="L28" i="7"/>
  <c r="K28" i="7"/>
  <c r="J28" i="7"/>
  <c r="I28" i="7"/>
  <c r="H28" i="7"/>
  <c r="G28" i="7"/>
  <c r="E28" i="7"/>
  <c r="D28" i="7"/>
  <c r="C28" i="7"/>
  <c r="V27" i="7"/>
  <c r="U27" i="7"/>
  <c r="T27" i="7"/>
  <c r="S27" i="7"/>
  <c r="R27" i="7"/>
  <c r="P27" i="7"/>
  <c r="O27" i="7"/>
  <c r="N27" i="7"/>
  <c r="L27" i="7"/>
  <c r="K27" i="7"/>
  <c r="J27" i="7"/>
  <c r="I27" i="7"/>
  <c r="H27" i="7"/>
  <c r="G27" i="7"/>
  <c r="E27" i="7"/>
  <c r="D27" i="7"/>
  <c r="C27" i="7"/>
  <c r="V26" i="7"/>
  <c r="U26" i="7"/>
  <c r="T26" i="7"/>
  <c r="S26" i="7"/>
  <c r="R26" i="7"/>
  <c r="P26" i="7"/>
  <c r="O26" i="7"/>
  <c r="N26" i="7"/>
  <c r="L26" i="7"/>
  <c r="K26" i="7"/>
  <c r="J26" i="7"/>
  <c r="I26" i="7"/>
  <c r="H26" i="7"/>
  <c r="G26" i="7"/>
  <c r="E26" i="7"/>
  <c r="D26" i="7"/>
  <c r="C26" i="7"/>
  <c r="V25" i="7"/>
  <c r="U25" i="7"/>
  <c r="T25" i="7"/>
  <c r="S25" i="7"/>
  <c r="R25" i="7"/>
  <c r="P25" i="7"/>
  <c r="O25" i="7"/>
  <c r="N25" i="7"/>
  <c r="L25" i="7"/>
  <c r="K25" i="7"/>
  <c r="J25" i="7"/>
  <c r="I25" i="7"/>
  <c r="H25" i="7"/>
  <c r="G25" i="7"/>
  <c r="E25" i="7"/>
  <c r="D25" i="7"/>
  <c r="C25" i="7"/>
  <c r="V24" i="7"/>
  <c r="U24" i="7"/>
  <c r="T24" i="7"/>
  <c r="S24" i="7"/>
  <c r="R24" i="7"/>
  <c r="P24" i="7"/>
  <c r="O24" i="7"/>
  <c r="N24" i="7"/>
  <c r="L24" i="7"/>
  <c r="K24" i="7"/>
  <c r="J24" i="7"/>
  <c r="I24" i="7"/>
  <c r="H24" i="7"/>
  <c r="G24" i="7"/>
  <c r="E24" i="7"/>
  <c r="D24" i="7"/>
  <c r="C24" i="7"/>
  <c r="V23" i="7"/>
  <c r="U23" i="7"/>
  <c r="T23" i="7"/>
  <c r="S23" i="7"/>
  <c r="R23" i="7"/>
  <c r="P23" i="7"/>
  <c r="O23" i="7"/>
  <c r="N23" i="7"/>
  <c r="L23" i="7"/>
  <c r="K23" i="7"/>
  <c r="J23" i="7"/>
  <c r="I23" i="7"/>
  <c r="H23" i="7"/>
  <c r="G23" i="7"/>
  <c r="E23" i="7"/>
  <c r="D23" i="7"/>
  <c r="C23" i="7"/>
  <c r="V22" i="7"/>
  <c r="U22" i="7"/>
  <c r="T22" i="7"/>
  <c r="S22" i="7"/>
  <c r="R22" i="7"/>
  <c r="P22" i="7"/>
  <c r="O22" i="7"/>
  <c r="N22" i="7"/>
  <c r="L22" i="7"/>
  <c r="K22" i="7"/>
  <c r="J22" i="7"/>
  <c r="I22" i="7"/>
  <c r="H22" i="7"/>
  <c r="G22" i="7"/>
  <c r="E22" i="7"/>
  <c r="D22" i="7"/>
  <c r="C22" i="7"/>
  <c r="V21" i="7"/>
  <c r="U21" i="7"/>
  <c r="T21" i="7"/>
  <c r="S21" i="7"/>
  <c r="R21" i="7"/>
  <c r="P21" i="7"/>
  <c r="O21" i="7"/>
  <c r="N21" i="7"/>
  <c r="L21" i="7"/>
  <c r="K21" i="7"/>
  <c r="J21" i="7"/>
  <c r="I21" i="7"/>
  <c r="H21" i="7"/>
  <c r="G21" i="7"/>
  <c r="E21" i="7"/>
  <c r="D21" i="7"/>
  <c r="C21" i="7"/>
  <c r="V20" i="7"/>
  <c r="U20" i="7"/>
  <c r="T20" i="7"/>
  <c r="S20" i="7"/>
  <c r="R20" i="7"/>
  <c r="P20" i="7"/>
  <c r="O20" i="7"/>
  <c r="N20" i="7"/>
  <c r="L20" i="7"/>
  <c r="K20" i="7"/>
  <c r="J20" i="7"/>
  <c r="I20" i="7"/>
  <c r="H20" i="7"/>
  <c r="G20" i="7"/>
  <c r="E20" i="7"/>
  <c r="D20" i="7"/>
  <c r="C20" i="7"/>
  <c r="V19" i="7"/>
  <c r="U19" i="7"/>
  <c r="T19" i="7"/>
  <c r="S19" i="7"/>
  <c r="R19" i="7"/>
  <c r="P19" i="7"/>
  <c r="O19" i="7"/>
  <c r="N19" i="7"/>
  <c r="L19" i="7"/>
  <c r="K19" i="7"/>
  <c r="J19" i="7"/>
  <c r="I19" i="7"/>
  <c r="H19" i="7"/>
  <c r="G19" i="7"/>
  <c r="E19" i="7"/>
  <c r="D19" i="7"/>
  <c r="C19" i="7"/>
  <c r="V18" i="7"/>
  <c r="U18" i="7"/>
  <c r="T18" i="7"/>
  <c r="S18" i="7"/>
  <c r="R18" i="7"/>
  <c r="P18" i="7"/>
  <c r="O18" i="7"/>
  <c r="N18" i="7"/>
  <c r="L18" i="7"/>
  <c r="K18" i="7"/>
  <c r="J18" i="7"/>
  <c r="I18" i="7"/>
  <c r="H18" i="7"/>
  <c r="G18" i="7"/>
  <c r="E18" i="7"/>
  <c r="D18" i="7"/>
  <c r="C18" i="7"/>
  <c r="V17" i="7"/>
  <c r="U17" i="7"/>
  <c r="T17" i="7"/>
  <c r="S17" i="7"/>
  <c r="R17" i="7"/>
  <c r="P17" i="7"/>
  <c r="O17" i="7"/>
  <c r="N17" i="7"/>
  <c r="L17" i="7"/>
  <c r="K17" i="7"/>
  <c r="J17" i="7"/>
  <c r="I17" i="7"/>
  <c r="H17" i="7"/>
  <c r="G17" i="7"/>
  <c r="E17" i="7"/>
  <c r="D17" i="7"/>
  <c r="C17" i="7"/>
  <c r="V16" i="7"/>
  <c r="U16" i="7"/>
  <c r="T16" i="7"/>
  <c r="S16" i="7"/>
  <c r="R16" i="7"/>
  <c r="P16" i="7"/>
  <c r="O16" i="7"/>
  <c r="N16" i="7"/>
  <c r="L16" i="7"/>
  <c r="K16" i="7"/>
  <c r="J16" i="7"/>
  <c r="I16" i="7"/>
  <c r="H16" i="7"/>
  <c r="G16" i="7"/>
  <c r="E16" i="7"/>
  <c r="D16" i="7"/>
  <c r="C16" i="7"/>
  <c r="V15" i="7"/>
  <c r="U15" i="7"/>
  <c r="T15" i="7"/>
  <c r="S15" i="7"/>
  <c r="R15" i="7"/>
  <c r="P15" i="7"/>
  <c r="O15" i="7"/>
  <c r="N15" i="7"/>
  <c r="L15" i="7"/>
  <c r="K15" i="7"/>
  <c r="J15" i="7"/>
  <c r="I15" i="7"/>
  <c r="H15" i="7"/>
  <c r="G15" i="7"/>
  <c r="E15" i="7"/>
  <c r="D15" i="7"/>
  <c r="C15" i="7"/>
  <c r="V14" i="7"/>
  <c r="U14" i="7"/>
  <c r="T14" i="7"/>
  <c r="S14" i="7"/>
  <c r="R14" i="7"/>
  <c r="P14" i="7"/>
  <c r="O14" i="7"/>
  <c r="N14" i="7"/>
  <c r="L14" i="7"/>
  <c r="K14" i="7"/>
  <c r="J14" i="7"/>
  <c r="I14" i="7"/>
  <c r="H14" i="7"/>
  <c r="G14" i="7"/>
  <c r="E14" i="7"/>
  <c r="D14" i="7"/>
  <c r="C14" i="7"/>
  <c r="V13" i="7"/>
  <c r="U13" i="7"/>
  <c r="T13" i="7"/>
  <c r="S13" i="7"/>
  <c r="R13" i="7"/>
  <c r="P13" i="7"/>
  <c r="O13" i="7"/>
  <c r="N13" i="7"/>
  <c r="L13" i="7"/>
  <c r="K13" i="7"/>
  <c r="J13" i="7"/>
  <c r="I13" i="7"/>
  <c r="H13" i="7"/>
  <c r="G13" i="7"/>
  <c r="E13" i="7"/>
  <c r="D13" i="7"/>
  <c r="C13" i="7"/>
  <c r="V12" i="7"/>
  <c r="U12" i="7"/>
  <c r="T12" i="7"/>
  <c r="S12" i="7"/>
  <c r="R12" i="7"/>
  <c r="P12" i="7"/>
  <c r="O12" i="7"/>
  <c r="N12" i="7"/>
  <c r="L12" i="7"/>
  <c r="K12" i="7"/>
  <c r="J12" i="7"/>
  <c r="I12" i="7"/>
  <c r="H12" i="7"/>
  <c r="G12" i="7"/>
  <c r="E12" i="7"/>
  <c r="D12" i="7"/>
  <c r="C12" i="7"/>
  <c r="V11" i="7"/>
  <c r="U11" i="7"/>
  <c r="T11" i="7"/>
  <c r="S11" i="7"/>
  <c r="R11" i="7"/>
  <c r="P11" i="7"/>
  <c r="O11" i="7"/>
  <c r="N11" i="7"/>
  <c r="L11" i="7"/>
  <c r="K11" i="7"/>
  <c r="J11" i="7"/>
  <c r="I11" i="7"/>
  <c r="H11" i="7"/>
  <c r="G11" i="7"/>
  <c r="E11" i="7"/>
  <c r="D11" i="7"/>
  <c r="C11" i="7"/>
  <c r="V10" i="7"/>
  <c r="U10" i="7"/>
  <c r="T10" i="7"/>
  <c r="S10" i="7"/>
  <c r="R10" i="7"/>
  <c r="P10" i="7"/>
  <c r="O10" i="7"/>
  <c r="N10" i="7"/>
  <c r="L10" i="7"/>
  <c r="K10" i="7"/>
  <c r="J10" i="7"/>
  <c r="I10" i="7"/>
  <c r="H10" i="7"/>
  <c r="G10" i="7"/>
  <c r="E10" i="7"/>
  <c r="D10" i="7"/>
  <c r="C10" i="7"/>
  <c r="V9" i="7"/>
  <c r="U9" i="7"/>
  <c r="T9" i="7"/>
  <c r="S9" i="7"/>
  <c r="R9" i="7"/>
  <c r="P9" i="7"/>
  <c r="O9" i="7"/>
  <c r="N9" i="7"/>
  <c r="L9" i="7"/>
  <c r="K9" i="7"/>
  <c r="J9" i="7"/>
  <c r="I9" i="7"/>
  <c r="H9" i="7"/>
  <c r="G9" i="7"/>
  <c r="E9" i="7"/>
  <c r="D9" i="7"/>
  <c r="C9" i="7"/>
  <c r="V8" i="7"/>
  <c r="U8" i="7"/>
  <c r="T8" i="7"/>
  <c r="S8" i="7"/>
  <c r="R8" i="7"/>
  <c r="P8" i="7"/>
  <c r="O8" i="7"/>
  <c r="N8" i="7"/>
  <c r="L8" i="7"/>
  <c r="K8" i="7"/>
  <c r="J8" i="7"/>
  <c r="I8" i="7"/>
  <c r="H8" i="7"/>
  <c r="G8" i="7"/>
  <c r="E8" i="7"/>
  <c r="D8" i="7"/>
  <c r="C8" i="7"/>
  <c r="V7" i="7"/>
  <c r="U7" i="7"/>
  <c r="T7" i="7"/>
  <c r="S7" i="7"/>
  <c r="R7" i="7"/>
  <c r="P7" i="7"/>
  <c r="O7" i="7"/>
  <c r="N7" i="7"/>
  <c r="L7" i="7"/>
  <c r="K7" i="7"/>
  <c r="J7" i="7"/>
  <c r="I7" i="7"/>
  <c r="H7" i="7"/>
  <c r="G7" i="7"/>
  <c r="E7" i="7"/>
  <c r="D7" i="7"/>
  <c r="C7" i="7"/>
  <c r="V6" i="7"/>
  <c r="U6" i="7"/>
  <c r="T6" i="7"/>
  <c r="S6" i="7"/>
  <c r="R6" i="7"/>
  <c r="P6" i="7"/>
  <c r="O6" i="7"/>
  <c r="N6" i="7"/>
  <c r="L6" i="7"/>
  <c r="K6" i="7"/>
  <c r="J6" i="7"/>
  <c r="I6" i="7"/>
  <c r="H6" i="7"/>
  <c r="G6" i="7"/>
  <c r="E6" i="7"/>
  <c r="D6" i="7"/>
  <c r="C6" i="7"/>
  <c r="V5" i="7"/>
  <c r="U5" i="7"/>
  <c r="T5" i="7"/>
  <c r="S5" i="7"/>
  <c r="R5" i="7"/>
  <c r="P5" i="7"/>
  <c r="O5" i="7"/>
  <c r="N5" i="7"/>
  <c r="L5" i="7"/>
  <c r="K5" i="7"/>
  <c r="J5" i="7"/>
  <c r="I5" i="7"/>
  <c r="H5" i="7"/>
  <c r="G5" i="7"/>
  <c r="E5" i="7"/>
  <c r="D5" i="7"/>
  <c r="C5" i="7"/>
  <c r="V4" i="7"/>
  <c r="U4" i="7"/>
  <c r="T4" i="7"/>
  <c r="S4" i="7"/>
  <c r="R4" i="7"/>
  <c r="P4" i="7"/>
  <c r="O4" i="7"/>
  <c r="N4" i="7"/>
  <c r="L4" i="7"/>
  <c r="K4" i="7"/>
  <c r="J4" i="7"/>
  <c r="I4" i="7"/>
  <c r="H4" i="7"/>
  <c r="G4" i="7"/>
  <c r="E4" i="7"/>
  <c r="D4" i="7"/>
  <c r="C4" i="7"/>
  <c r="V3" i="7"/>
  <c r="U3" i="7"/>
  <c r="T3" i="7"/>
  <c r="S3" i="7"/>
  <c r="R3" i="7"/>
  <c r="P3" i="7"/>
  <c r="O3" i="7"/>
  <c r="N3" i="7"/>
  <c r="L3" i="7"/>
  <c r="K3" i="7"/>
  <c r="J3" i="7"/>
  <c r="I3" i="7"/>
  <c r="H3" i="7"/>
  <c r="G3" i="7"/>
  <c r="E3" i="7"/>
  <c r="D3" i="7"/>
  <c r="C3" i="7"/>
  <c r="V2" i="7"/>
  <c r="U2" i="7"/>
  <c r="T2" i="7"/>
  <c r="S2" i="7"/>
  <c r="R2" i="7"/>
  <c r="P2" i="7"/>
  <c r="O2" i="7"/>
  <c r="N2" i="7"/>
  <c r="L2" i="7"/>
  <c r="K2" i="7"/>
  <c r="J2" i="7"/>
  <c r="I2" i="7"/>
  <c r="H2" i="7"/>
  <c r="G2" i="7"/>
  <c r="E2" i="7"/>
  <c r="D2" i="7"/>
  <c r="C2" i="7"/>
  <c r="I1001" i="4"/>
  <c r="H1001" i="4"/>
  <c r="G1001" i="4"/>
  <c r="D1001" i="4"/>
  <c r="I1000" i="4"/>
  <c r="H1000" i="4"/>
  <c r="G1000" i="4"/>
  <c r="D1000" i="4"/>
  <c r="I999" i="4"/>
  <c r="H999" i="4"/>
  <c r="G999" i="4"/>
  <c r="D999" i="4"/>
  <c r="I998" i="4"/>
  <c r="H998" i="4"/>
  <c r="G998" i="4"/>
  <c r="D998" i="4"/>
  <c r="I997" i="4"/>
  <c r="H997" i="4"/>
  <c r="G997" i="4"/>
  <c r="D997" i="4"/>
  <c r="I996" i="4"/>
  <c r="H996" i="4"/>
  <c r="G996" i="4"/>
  <c r="D996" i="4"/>
  <c r="I995" i="4"/>
  <c r="H995" i="4"/>
  <c r="G995" i="4"/>
  <c r="D995" i="4"/>
  <c r="I994" i="4"/>
  <c r="H994" i="4"/>
  <c r="G994" i="4"/>
  <c r="D994" i="4"/>
  <c r="I993" i="4"/>
  <c r="H993" i="4"/>
  <c r="G993" i="4"/>
  <c r="D993" i="4"/>
  <c r="I992" i="4"/>
  <c r="H992" i="4"/>
  <c r="G992" i="4"/>
  <c r="D992" i="4"/>
  <c r="I991" i="4"/>
  <c r="H991" i="4"/>
  <c r="G991" i="4"/>
  <c r="D991" i="4"/>
  <c r="I990" i="4"/>
  <c r="H990" i="4"/>
  <c r="G990" i="4"/>
  <c r="D990" i="4"/>
  <c r="I989" i="4"/>
  <c r="H989" i="4"/>
  <c r="G989" i="4"/>
  <c r="D989" i="4"/>
  <c r="I988" i="4"/>
  <c r="H988" i="4"/>
  <c r="G988" i="4"/>
  <c r="D988" i="4"/>
  <c r="I987" i="4"/>
  <c r="H987" i="4"/>
  <c r="G987" i="4"/>
  <c r="D987" i="4"/>
  <c r="I986" i="4"/>
  <c r="H986" i="4"/>
  <c r="G986" i="4"/>
  <c r="D986" i="4"/>
  <c r="I985" i="4"/>
  <c r="H985" i="4"/>
  <c r="G985" i="4"/>
  <c r="D985" i="4"/>
  <c r="I984" i="4"/>
  <c r="H984" i="4"/>
  <c r="G984" i="4"/>
  <c r="D984" i="4"/>
  <c r="I983" i="4"/>
  <c r="H983" i="4"/>
  <c r="G983" i="4"/>
  <c r="D983" i="4"/>
  <c r="I982" i="4"/>
  <c r="H982" i="4"/>
  <c r="G982" i="4"/>
  <c r="D982" i="4"/>
  <c r="I981" i="4"/>
  <c r="H981" i="4"/>
  <c r="G981" i="4"/>
  <c r="D981" i="4"/>
  <c r="I980" i="4"/>
  <c r="H980" i="4"/>
  <c r="G980" i="4"/>
  <c r="D980" i="4"/>
  <c r="I979" i="4"/>
  <c r="H979" i="4"/>
  <c r="G979" i="4"/>
  <c r="D979" i="4"/>
  <c r="I978" i="4"/>
  <c r="H978" i="4"/>
  <c r="G978" i="4"/>
  <c r="D978" i="4"/>
  <c r="I977" i="4"/>
  <c r="H977" i="4"/>
  <c r="G977" i="4"/>
  <c r="D977" i="4"/>
  <c r="I976" i="4"/>
  <c r="H976" i="4"/>
  <c r="G976" i="4"/>
  <c r="D976" i="4"/>
  <c r="I975" i="4"/>
  <c r="H975" i="4"/>
  <c r="G975" i="4"/>
  <c r="D975" i="4"/>
  <c r="I974" i="4"/>
  <c r="H974" i="4"/>
  <c r="G974" i="4"/>
  <c r="D974" i="4"/>
  <c r="I973" i="4"/>
  <c r="H973" i="4"/>
  <c r="G973" i="4"/>
  <c r="D973" i="4"/>
  <c r="I972" i="4"/>
  <c r="H972" i="4"/>
  <c r="G972" i="4"/>
  <c r="D972" i="4"/>
  <c r="I971" i="4"/>
  <c r="H971" i="4"/>
  <c r="G971" i="4"/>
  <c r="D971" i="4"/>
  <c r="I970" i="4"/>
  <c r="H970" i="4"/>
  <c r="G970" i="4"/>
  <c r="D970" i="4"/>
  <c r="I969" i="4"/>
  <c r="H969" i="4"/>
  <c r="G969" i="4"/>
  <c r="D969" i="4"/>
  <c r="I968" i="4"/>
  <c r="H968" i="4"/>
  <c r="G968" i="4"/>
  <c r="D968" i="4"/>
  <c r="I967" i="4"/>
  <c r="H967" i="4"/>
  <c r="G967" i="4"/>
  <c r="D967" i="4"/>
  <c r="I966" i="4"/>
  <c r="H966" i="4"/>
  <c r="G966" i="4"/>
  <c r="D966" i="4"/>
  <c r="I965" i="4"/>
  <c r="H965" i="4"/>
  <c r="G965" i="4"/>
  <c r="D965" i="4"/>
  <c r="I964" i="4"/>
  <c r="H964" i="4"/>
  <c r="G964" i="4"/>
  <c r="D964" i="4"/>
  <c r="I963" i="4"/>
  <c r="H963" i="4"/>
  <c r="G963" i="4"/>
  <c r="D963" i="4"/>
  <c r="I962" i="4"/>
  <c r="H962" i="4"/>
  <c r="G962" i="4"/>
  <c r="D962" i="4"/>
  <c r="I961" i="4"/>
  <c r="H961" i="4"/>
  <c r="G961" i="4"/>
  <c r="D961" i="4"/>
  <c r="I960" i="4"/>
  <c r="H960" i="4"/>
  <c r="G960" i="4"/>
  <c r="D960" i="4"/>
  <c r="I959" i="4"/>
  <c r="H959" i="4"/>
  <c r="G959" i="4"/>
  <c r="D959" i="4"/>
  <c r="I958" i="4"/>
  <c r="H958" i="4"/>
  <c r="G958" i="4"/>
  <c r="D958" i="4"/>
  <c r="I957" i="4"/>
  <c r="H957" i="4"/>
  <c r="G957" i="4"/>
  <c r="D957" i="4"/>
  <c r="I956" i="4"/>
  <c r="H956" i="4"/>
  <c r="G956" i="4"/>
  <c r="D956" i="4"/>
  <c r="I955" i="4"/>
  <c r="H955" i="4"/>
  <c r="G955" i="4"/>
  <c r="D955" i="4"/>
  <c r="I954" i="4"/>
  <c r="H954" i="4"/>
  <c r="G954" i="4"/>
  <c r="D954" i="4"/>
  <c r="I953" i="4"/>
  <c r="H953" i="4"/>
  <c r="G953" i="4"/>
  <c r="D953" i="4"/>
  <c r="I952" i="4"/>
  <c r="H952" i="4"/>
  <c r="G952" i="4"/>
  <c r="D952" i="4"/>
  <c r="I951" i="4"/>
  <c r="H951" i="4"/>
  <c r="G951" i="4"/>
  <c r="D951" i="4"/>
  <c r="I950" i="4"/>
  <c r="H950" i="4"/>
  <c r="G950" i="4"/>
  <c r="D950" i="4"/>
  <c r="I949" i="4"/>
  <c r="H949" i="4"/>
  <c r="G949" i="4"/>
  <c r="D949" i="4"/>
  <c r="I948" i="4"/>
  <c r="H948" i="4"/>
  <c r="G948" i="4"/>
  <c r="D948" i="4"/>
  <c r="I947" i="4"/>
  <c r="H947" i="4"/>
  <c r="G947" i="4"/>
  <c r="D947" i="4"/>
  <c r="I946" i="4"/>
  <c r="H946" i="4"/>
  <c r="G946" i="4"/>
  <c r="D946" i="4"/>
  <c r="I945" i="4"/>
  <c r="H945" i="4"/>
  <c r="G945" i="4"/>
  <c r="D945" i="4"/>
  <c r="I944" i="4"/>
  <c r="H944" i="4"/>
  <c r="G944" i="4"/>
  <c r="D944" i="4"/>
  <c r="I943" i="4"/>
  <c r="H943" i="4"/>
  <c r="G943" i="4"/>
  <c r="D943" i="4"/>
  <c r="I942" i="4"/>
  <c r="H942" i="4"/>
  <c r="G942" i="4"/>
  <c r="D942" i="4"/>
  <c r="I941" i="4"/>
  <c r="H941" i="4"/>
  <c r="G941" i="4"/>
  <c r="D941" i="4"/>
  <c r="I940" i="4"/>
  <c r="H940" i="4"/>
  <c r="G940" i="4"/>
  <c r="D940" i="4"/>
  <c r="I939" i="4"/>
  <c r="H939" i="4"/>
  <c r="G939" i="4"/>
  <c r="D939" i="4"/>
  <c r="I938" i="4"/>
  <c r="H938" i="4"/>
  <c r="G938" i="4"/>
  <c r="D938" i="4"/>
  <c r="I937" i="4"/>
  <c r="H937" i="4"/>
  <c r="G937" i="4"/>
  <c r="D937" i="4"/>
  <c r="I936" i="4"/>
  <c r="H936" i="4"/>
  <c r="G936" i="4"/>
  <c r="D936" i="4"/>
  <c r="I935" i="4"/>
  <c r="H935" i="4"/>
  <c r="G935" i="4"/>
  <c r="D935" i="4"/>
  <c r="I934" i="4"/>
  <c r="H934" i="4"/>
  <c r="G934" i="4"/>
  <c r="D934" i="4"/>
  <c r="I933" i="4"/>
  <c r="H933" i="4"/>
  <c r="G933" i="4"/>
  <c r="D933" i="4"/>
  <c r="I932" i="4"/>
  <c r="H932" i="4"/>
  <c r="G932" i="4"/>
  <c r="D932" i="4"/>
  <c r="I931" i="4"/>
  <c r="H931" i="4"/>
  <c r="G931" i="4"/>
  <c r="D931" i="4"/>
  <c r="I930" i="4"/>
  <c r="H930" i="4"/>
  <c r="G930" i="4"/>
  <c r="D930" i="4"/>
  <c r="I929" i="4"/>
  <c r="H929" i="4"/>
  <c r="G929" i="4"/>
  <c r="D929" i="4"/>
  <c r="I928" i="4"/>
  <c r="H928" i="4"/>
  <c r="G928" i="4"/>
  <c r="D928" i="4"/>
  <c r="I927" i="4"/>
  <c r="H927" i="4"/>
  <c r="G927" i="4"/>
  <c r="D927" i="4"/>
  <c r="I926" i="4"/>
  <c r="H926" i="4"/>
  <c r="G926" i="4"/>
  <c r="D926" i="4"/>
  <c r="I925" i="4"/>
  <c r="H925" i="4"/>
  <c r="G925" i="4"/>
  <c r="D925" i="4"/>
  <c r="I924" i="4"/>
  <c r="H924" i="4"/>
  <c r="G924" i="4"/>
  <c r="D924" i="4"/>
  <c r="I923" i="4"/>
  <c r="H923" i="4"/>
  <c r="G923" i="4"/>
  <c r="D923" i="4"/>
  <c r="I922" i="4"/>
  <c r="H922" i="4"/>
  <c r="G922" i="4"/>
  <c r="D922" i="4"/>
  <c r="I921" i="4"/>
  <c r="H921" i="4"/>
  <c r="G921" i="4"/>
  <c r="D921" i="4"/>
  <c r="I920" i="4"/>
  <c r="H920" i="4"/>
  <c r="G920" i="4"/>
  <c r="D920" i="4"/>
  <c r="I919" i="4"/>
  <c r="H919" i="4"/>
  <c r="G919" i="4"/>
  <c r="D919" i="4"/>
  <c r="I918" i="4"/>
  <c r="H918" i="4"/>
  <c r="G918" i="4"/>
  <c r="D918" i="4"/>
  <c r="I917" i="4"/>
  <c r="H917" i="4"/>
  <c r="G917" i="4"/>
  <c r="D917" i="4"/>
  <c r="I916" i="4"/>
  <c r="H916" i="4"/>
  <c r="G916" i="4"/>
  <c r="D916" i="4"/>
  <c r="I915" i="4"/>
  <c r="H915" i="4"/>
  <c r="G915" i="4"/>
  <c r="D915" i="4"/>
  <c r="I914" i="4"/>
  <c r="H914" i="4"/>
  <c r="G914" i="4"/>
  <c r="D914" i="4"/>
  <c r="I913" i="4"/>
  <c r="H913" i="4"/>
  <c r="G913" i="4"/>
  <c r="D913" i="4"/>
  <c r="I912" i="4"/>
  <c r="H912" i="4"/>
  <c r="G912" i="4"/>
  <c r="D912" i="4"/>
  <c r="I911" i="4"/>
  <c r="H911" i="4"/>
  <c r="G911" i="4"/>
  <c r="D911" i="4"/>
  <c r="I910" i="4"/>
  <c r="H910" i="4"/>
  <c r="G910" i="4"/>
  <c r="D910" i="4"/>
  <c r="I909" i="4"/>
  <c r="H909" i="4"/>
  <c r="G909" i="4"/>
  <c r="D909" i="4"/>
  <c r="I908" i="4"/>
  <c r="H908" i="4"/>
  <c r="G908" i="4"/>
  <c r="D908" i="4"/>
  <c r="I907" i="4"/>
  <c r="H907" i="4"/>
  <c r="G907" i="4"/>
  <c r="D907" i="4"/>
  <c r="I906" i="4"/>
  <c r="H906" i="4"/>
  <c r="G906" i="4"/>
  <c r="D906" i="4"/>
  <c r="I905" i="4"/>
  <c r="H905" i="4"/>
  <c r="G905" i="4"/>
  <c r="D905" i="4"/>
  <c r="I904" i="4"/>
  <c r="H904" i="4"/>
  <c r="G904" i="4"/>
  <c r="D904" i="4"/>
  <c r="I903" i="4"/>
  <c r="H903" i="4"/>
  <c r="G903" i="4"/>
  <c r="D903" i="4"/>
  <c r="I902" i="4"/>
  <c r="H902" i="4"/>
  <c r="G902" i="4"/>
  <c r="D902" i="4"/>
  <c r="I901" i="4"/>
  <c r="H901" i="4"/>
  <c r="G901" i="4"/>
  <c r="D901" i="4"/>
  <c r="I900" i="4"/>
  <c r="H900" i="4"/>
  <c r="G900" i="4"/>
  <c r="D900" i="4"/>
  <c r="I899" i="4"/>
  <c r="H899" i="4"/>
  <c r="G899" i="4"/>
  <c r="D899" i="4"/>
  <c r="I898" i="4"/>
  <c r="H898" i="4"/>
  <c r="G898" i="4"/>
  <c r="D898" i="4"/>
  <c r="I897" i="4"/>
  <c r="H897" i="4"/>
  <c r="G897" i="4"/>
  <c r="D897" i="4"/>
  <c r="I896" i="4"/>
  <c r="H896" i="4"/>
  <c r="G896" i="4"/>
  <c r="D896" i="4"/>
  <c r="I895" i="4"/>
  <c r="H895" i="4"/>
  <c r="G895" i="4"/>
  <c r="D895" i="4"/>
  <c r="I894" i="4"/>
  <c r="H894" i="4"/>
  <c r="G894" i="4"/>
  <c r="D894" i="4"/>
  <c r="I893" i="4"/>
  <c r="H893" i="4"/>
  <c r="G893" i="4"/>
  <c r="D893" i="4"/>
  <c r="I892" i="4"/>
  <c r="H892" i="4"/>
  <c r="G892" i="4"/>
  <c r="D892" i="4"/>
  <c r="I891" i="4"/>
  <c r="H891" i="4"/>
  <c r="G891" i="4"/>
  <c r="D891" i="4"/>
  <c r="I890" i="4"/>
  <c r="H890" i="4"/>
  <c r="G890" i="4"/>
  <c r="D890" i="4"/>
  <c r="I889" i="4"/>
  <c r="H889" i="4"/>
  <c r="G889" i="4"/>
  <c r="D889" i="4"/>
  <c r="I888" i="4"/>
  <c r="H888" i="4"/>
  <c r="G888" i="4"/>
  <c r="D888" i="4"/>
  <c r="I887" i="4"/>
  <c r="H887" i="4"/>
  <c r="G887" i="4"/>
  <c r="D887" i="4"/>
  <c r="I886" i="4"/>
  <c r="H886" i="4"/>
  <c r="G886" i="4"/>
  <c r="D886" i="4"/>
  <c r="I885" i="4"/>
  <c r="H885" i="4"/>
  <c r="G885" i="4"/>
  <c r="D885" i="4"/>
  <c r="I884" i="4"/>
  <c r="H884" i="4"/>
  <c r="G884" i="4"/>
  <c r="D884" i="4"/>
  <c r="I883" i="4"/>
  <c r="H883" i="4"/>
  <c r="G883" i="4"/>
  <c r="D883" i="4"/>
  <c r="I882" i="4"/>
  <c r="H882" i="4"/>
  <c r="G882" i="4"/>
  <c r="D882" i="4"/>
  <c r="I881" i="4"/>
  <c r="H881" i="4"/>
  <c r="G881" i="4"/>
  <c r="D881" i="4"/>
  <c r="I880" i="4"/>
  <c r="H880" i="4"/>
  <c r="G880" i="4"/>
  <c r="D880" i="4"/>
  <c r="I879" i="4"/>
  <c r="H879" i="4"/>
  <c r="G879" i="4"/>
  <c r="D879" i="4"/>
  <c r="I878" i="4"/>
  <c r="H878" i="4"/>
  <c r="G878" i="4"/>
  <c r="D878" i="4"/>
  <c r="I877" i="4"/>
  <c r="H877" i="4"/>
  <c r="G877" i="4"/>
  <c r="D877" i="4"/>
  <c r="I876" i="4"/>
  <c r="H876" i="4"/>
  <c r="G876" i="4"/>
  <c r="D876" i="4"/>
  <c r="I875" i="4"/>
  <c r="H875" i="4"/>
  <c r="G875" i="4"/>
  <c r="D875" i="4"/>
  <c r="I874" i="4"/>
  <c r="H874" i="4"/>
  <c r="G874" i="4"/>
  <c r="D874" i="4"/>
  <c r="I873" i="4"/>
  <c r="H873" i="4"/>
  <c r="G873" i="4"/>
  <c r="D873" i="4"/>
  <c r="I872" i="4"/>
  <c r="H872" i="4"/>
  <c r="G872" i="4"/>
  <c r="D872" i="4"/>
  <c r="I871" i="4"/>
  <c r="H871" i="4"/>
  <c r="G871" i="4"/>
  <c r="D871" i="4"/>
  <c r="I870" i="4"/>
  <c r="H870" i="4"/>
  <c r="G870" i="4"/>
  <c r="D870" i="4"/>
  <c r="I869" i="4"/>
  <c r="H869" i="4"/>
  <c r="G869" i="4"/>
  <c r="D869" i="4"/>
  <c r="I868" i="4"/>
  <c r="H868" i="4"/>
  <c r="G868" i="4"/>
  <c r="D868" i="4"/>
  <c r="I867" i="4"/>
  <c r="H867" i="4"/>
  <c r="G867" i="4"/>
  <c r="D867" i="4"/>
  <c r="I866" i="4"/>
  <c r="H866" i="4"/>
  <c r="G866" i="4"/>
  <c r="D866" i="4"/>
  <c r="I865" i="4"/>
  <c r="H865" i="4"/>
  <c r="G865" i="4"/>
  <c r="D865" i="4"/>
  <c r="I864" i="4"/>
  <c r="H864" i="4"/>
  <c r="G864" i="4"/>
  <c r="D864" i="4"/>
  <c r="I863" i="4"/>
  <c r="H863" i="4"/>
  <c r="G863" i="4"/>
  <c r="D863" i="4"/>
  <c r="I862" i="4"/>
  <c r="H862" i="4"/>
  <c r="G862" i="4"/>
  <c r="D862" i="4"/>
  <c r="I861" i="4"/>
  <c r="H861" i="4"/>
  <c r="G861" i="4"/>
  <c r="D861" i="4"/>
  <c r="I860" i="4"/>
  <c r="H860" i="4"/>
  <c r="G860" i="4"/>
  <c r="D860" i="4"/>
  <c r="I859" i="4"/>
  <c r="H859" i="4"/>
  <c r="G859" i="4"/>
  <c r="D859" i="4"/>
  <c r="I858" i="4"/>
  <c r="H858" i="4"/>
  <c r="G858" i="4"/>
  <c r="D858" i="4"/>
  <c r="I857" i="4"/>
  <c r="H857" i="4"/>
  <c r="G857" i="4"/>
  <c r="D857" i="4"/>
  <c r="I856" i="4"/>
  <c r="H856" i="4"/>
  <c r="G856" i="4"/>
  <c r="D856" i="4"/>
  <c r="I855" i="4"/>
  <c r="H855" i="4"/>
  <c r="G855" i="4"/>
  <c r="D855" i="4"/>
  <c r="I854" i="4"/>
  <c r="H854" i="4"/>
  <c r="G854" i="4"/>
  <c r="D854" i="4"/>
  <c r="I853" i="4"/>
  <c r="H853" i="4"/>
  <c r="G853" i="4"/>
  <c r="D853" i="4"/>
  <c r="I852" i="4"/>
  <c r="H852" i="4"/>
  <c r="G852" i="4"/>
  <c r="D852" i="4"/>
  <c r="I851" i="4"/>
  <c r="H851" i="4"/>
  <c r="G851" i="4"/>
  <c r="D851" i="4"/>
  <c r="I850" i="4"/>
  <c r="H850" i="4"/>
  <c r="G850" i="4"/>
  <c r="D850" i="4"/>
  <c r="I849" i="4"/>
  <c r="H849" i="4"/>
  <c r="G849" i="4"/>
  <c r="D849" i="4"/>
  <c r="I848" i="4"/>
  <c r="H848" i="4"/>
  <c r="G848" i="4"/>
  <c r="D848" i="4"/>
  <c r="I847" i="4"/>
  <c r="H847" i="4"/>
  <c r="G847" i="4"/>
  <c r="D847" i="4"/>
  <c r="I846" i="4"/>
  <c r="H846" i="4"/>
  <c r="G846" i="4"/>
  <c r="D846" i="4"/>
  <c r="I845" i="4"/>
  <c r="H845" i="4"/>
  <c r="G845" i="4"/>
  <c r="D845" i="4"/>
  <c r="I844" i="4"/>
  <c r="H844" i="4"/>
  <c r="G844" i="4"/>
  <c r="D844" i="4"/>
  <c r="I843" i="4"/>
  <c r="H843" i="4"/>
  <c r="G843" i="4"/>
  <c r="D843" i="4"/>
  <c r="I842" i="4"/>
  <c r="H842" i="4"/>
  <c r="G842" i="4"/>
  <c r="D842" i="4"/>
  <c r="I841" i="4"/>
  <c r="H841" i="4"/>
  <c r="G841" i="4"/>
  <c r="D841" i="4"/>
  <c r="I840" i="4"/>
  <c r="H840" i="4"/>
  <c r="G840" i="4"/>
  <c r="D840" i="4"/>
  <c r="I839" i="4"/>
  <c r="H839" i="4"/>
  <c r="G839" i="4"/>
  <c r="D839" i="4"/>
  <c r="I838" i="4"/>
  <c r="H838" i="4"/>
  <c r="G838" i="4"/>
  <c r="D838" i="4"/>
  <c r="I837" i="4"/>
  <c r="H837" i="4"/>
  <c r="G837" i="4"/>
  <c r="D837" i="4"/>
  <c r="I836" i="4"/>
  <c r="H836" i="4"/>
  <c r="G836" i="4"/>
  <c r="D836" i="4"/>
  <c r="I835" i="4"/>
  <c r="H835" i="4"/>
  <c r="G835" i="4"/>
  <c r="D835" i="4"/>
  <c r="I834" i="4"/>
  <c r="H834" i="4"/>
  <c r="G834" i="4"/>
  <c r="D834" i="4"/>
  <c r="I833" i="4"/>
  <c r="H833" i="4"/>
  <c r="G833" i="4"/>
  <c r="D833" i="4"/>
  <c r="I832" i="4"/>
  <c r="H832" i="4"/>
  <c r="G832" i="4"/>
  <c r="D832" i="4"/>
  <c r="I831" i="4"/>
  <c r="H831" i="4"/>
  <c r="G831" i="4"/>
  <c r="D831" i="4"/>
  <c r="I830" i="4"/>
  <c r="H830" i="4"/>
  <c r="G830" i="4"/>
  <c r="D830" i="4"/>
  <c r="I829" i="4"/>
  <c r="H829" i="4"/>
  <c r="G829" i="4"/>
  <c r="D829" i="4"/>
  <c r="I828" i="4"/>
  <c r="H828" i="4"/>
  <c r="G828" i="4"/>
  <c r="D828" i="4"/>
  <c r="I827" i="4"/>
  <c r="H827" i="4"/>
  <c r="G827" i="4"/>
  <c r="D827" i="4"/>
  <c r="I826" i="4"/>
  <c r="H826" i="4"/>
  <c r="G826" i="4"/>
  <c r="D826" i="4"/>
  <c r="I825" i="4"/>
  <c r="H825" i="4"/>
  <c r="G825" i="4"/>
  <c r="D825" i="4"/>
  <c r="I824" i="4"/>
  <c r="H824" i="4"/>
  <c r="G824" i="4"/>
  <c r="D824" i="4"/>
  <c r="I823" i="4"/>
  <c r="H823" i="4"/>
  <c r="G823" i="4"/>
  <c r="D823" i="4"/>
  <c r="I822" i="4"/>
  <c r="H822" i="4"/>
  <c r="G822" i="4"/>
  <c r="D822" i="4"/>
  <c r="I821" i="4"/>
  <c r="H821" i="4"/>
  <c r="G821" i="4"/>
  <c r="D821" i="4"/>
  <c r="I820" i="4"/>
  <c r="H820" i="4"/>
  <c r="G820" i="4"/>
  <c r="D820" i="4"/>
  <c r="I819" i="4"/>
  <c r="H819" i="4"/>
  <c r="G819" i="4"/>
  <c r="D819" i="4"/>
  <c r="I818" i="4"/>
  <c r="H818" i="4"/>
  <c r="G818" i="4"/>
  <c r="D818" i="4"/>
  <c r="I817" i="4"/>
  <c r="H817" i="4"/>
  <c r="G817" i="4"/>
  <c r="D817" i="4"/>
  <c r="I816" i="4"/>
  <c r="H816" i="4"/>
  <c r="G816" i="4"/>
  <c r="D816" i="4"/>
  <c r="I815" i="4"/>
  <c r="H815" i="4"/>
  <c r="G815" i="4"/>
  <c r="D815" i="4"/>
  <c r="I814" i="4"/>
  <c r="H814" i="4"/>
  <c r="G814" i="4"/>
  <c r="D814" i="4"/>
  <c r="I813" i="4"/>
  <c r="H813" i="4"/>
  <c r="G813" i="4"/>
  <c r="D813" i="4"/>
  <c r="I812" i="4"/>
  <c r="H812" i="4"/>
  <c r="G812" i="4"/>
  <c r="D812" i="4"/>
  <c r="I811" i="4"/>
  <c r="H811" i="4"/>
  <c r="G811" i="4"/>
  <c r="D811" i="4"/>
  <c r="I810" i="4"/>
  <c r="H810" i="4"/>
  <c r="G810" i="4"/>
  <c r="D810" i="4"/>
  <c r="I809" i="4"/>
  <c r="H809" i="4"/>
  <c r="G809" i="4"/>
  <c r="D809" i="4"/>
  <c r="I808" i="4"/>
  <c r="H808" i="4"/>
  <c r="G808" i="4"/>
  <c r="D808" i="4"/>
  <c r="I807" i="4"/>
  <c r="H807" i="4"/>
  <c r="G807" i="4"/>
  <c r="D807" i="4"/>
  <c r="I806" i="4"/>
  <c r="H806" i="4"/>
  <c r="G806" i="4"/>
  <c r="D806" i="4"/>
  <c r="I805" i="4"/>
  <c r="H805" i="4"/>
  <c r="G805" i="4"/>
  <c r="D805" i="4"/>
  <c r="I804" i="4"/>
  <c r="H804" i="4"/>
  <c r="G804" i="4"/>
  <c r="D804" i="4"/>
  <c r="I803" i="4"/>
  <c r="H803" i="4"/>
  <c r="G803" i="4"/>
  <c r="D803" i="4"/>
  <c r="I802" i="4"/>
  <c r="H802" i="4"/>
  <c r="G802" i="4"/>
  <c r="D802" i="4"/>
  <c r="I801" i="4"/>
  <c r="H801" i="4"/>
  <c r="G801" i="4"/>
  <c r="D801" i="4"/>
  <c r="I800" i="4"/>
  <c r="H800" i="4"/>
  <c r="G800" i="4"/>
  <c r="D800" i="4"/>
  <c r="I799" i="4"/>
  <c r="H799" i="4"/>
  <c r="G799" i="4"/>
  <c r="D799" i="4"/>
  <c r="I798" i="4"/>
  <c r="H798" i="4"/>
  <c r="G798" i="4"/>
  <c r="D798" i="4"/>
  <c r="I797" i="4"/>
  <c r="H797" i="4"/>
  <c r="G797" i="4"/>
  <c r="D797" i="4"/>
  <c r="I796" i="4"/>
  <c r="H796" i="4"/>
  <c r="G796" i="4"/>
  <c r="D796" i="4"/>
  <c r="I795" i="4"/>
  <c r="H795" i="4"/>
  <c r="G795" i="4"/>
  <c r="D795" i="4"/>
  <c r="I794" i="4"/>
  <c r="H794" i="4"/>
  <c r="G794" i="4"/>
  <c r="D794" i="4"/>
  <c r="I793" i="4"/>
  <c r="H793" i="4"/>
  <c r="G793" i="4"/>
  <c r="D793" i="4"/>
  <c r="I792" i="4"/>
  <c r="H792" i="4"/>
  <c r="G792" i="4"/>
  <c r="D792" i="4"/>
  <c r="I791" i="4"/>
  <c r="H791" i="4"/>
  <c r="G791" i="4"/>
  <c r="D791" i="4"/>
  <c r="I790" i="4"/>
  <c r="H790" i="4"/>
  <c r="G790" i="4"/>
  <c r="D790" i="4"/>
  <c r="I789" i="4"/>
  <c r="H789" i="4"/>
  <c r="G789" i="4"/>
  <c r="D789" i="4"/>
  <c r="I788" i="4"/>
  <c r="H788" i="4"/>
  <c r="G788" i="4"/>
  <c r="D788" i="4"/>
  <c r="I787" i="4"/>
  <c r="H787" i="4"/>
  <c r="G787" i="4"/>
  <c r="D787" i="4"/>
  <c r="I786" i="4"/>
  <c r="H786" i="4"/>
  <c r="G786" i="4"/>
  <c r="D786" i="4"/>
  <c r="I785" i="4"/>
  <c r="H785" i="4"/>
  <c r="G785" i="4"/>
  <c r="D785" i="4"/>
  <c r="I784" i="4"/>
  <c r="H784" i="4"/>
  <c r="G784" i="4"/>
  <c r="D784" i="4"/>
  <c r="I783" i="4"/>
  <c r="H783" i="4"/>
  <c r="G783" i="4"/>
  <c r="D783" i="4"/>
  <c r="I782" i="4"/>
  <c r="H782" i="4"/>
  <c r="G782" i="4"/>
  <c r="D782" i="4"/>
  <c r="I781" i="4"/>
  <c r="H781" i="4"/>
  <c r="G781" i="4"/>
  <c r="D781" i="4"/>
  <c r="I780" i="4"/>
  <c r="H780" i="4"/>
  <c r="G780" i="4"/>
  <c r="D780" i="4"/>
  <c r="I779" i="4"/>
  <c r="H779" i="4"/>
  <c r="G779" i="4"/>
  <c r="D779" i="4"/>
  <c r="I778" i="4"/>
  <c r="H778" i="4"/>
  <c r="G778" i="4"/>
  <c r="D778" i="4"/>
  <c r="I777" i="4"/>
  <c r="H777" i="4"/>
  <c r="G777" i="4"/>
  <c r="D777" i="4"/>
  <c r="I776" i="4"/>
  <c r="H776" i="4"/>
  <c r="G776" i="4"/>
  <c r="D776" i="4"/>
  <c r="I775" i="4"/>
  <c r="H775" i="4"/>
  <c r="G775" i="4"/>
  <c r="D775" i="4"/>
  <c r="I774" i="4"/>
  <c r="H774" i="4"/>
  <c r="G774" i="4"/>
  <c r="D774" i="4"/>
  <c r="I773" i="4"/>
  <c r="H773" i="4"/>
  <c r="G773" i="4"/>
  <c r="D773" i="4"/>
  <c r="I772" i="4"/>
  <c r="H772" i="4"/>
  <c r="G772" i="4"/>
  <c r="D772" i="4"/>
  <c r="I771" i="4"/>
  <c r="H771" i="4"/>
  <c r="G771" i="4"/>
  <c r="D771" i="4"/>
  <c r="I770" i="4"/>
  <c r="H770" i="4"/>
  <c r="G770" i="4"/>
  <c r="D770" i="4"/>
  <c r="I769" i="4"/>
  <c r="H769" i="4"/>
  <c r="G769" i="4"/>
  <c r="D769" i="4"/>
  <c r="I768" i="4"/>
  <c r="H768" i="4"/>
  <c r="G768" i="4"/>
  <c r="D768" i="4"/>
  <c r="I767" i="4"/>
  <c r="H767" i="4"/>
  <c r="G767" i="4"/>
  <c r="D767" i="4"/>
  <c r="I766" i="4"/>
  <c r="H766" i="4"/>
  <c r="G766" i="4"/>
  <c r="D766" i="4"/>
  <c r="I765" i="4"/>
  <c r="H765" i="4"/>
  <c r="G765" i="4"/>
  <c r="D765" i="4"/>
  <c r="I764" i="4"/>
  <c r="H764" i="4"/>
  <c r="G764" i="4"/>
  <c r="D764" i="4"/>
  <c r="I763" i="4"/>
  <c r="H763" i="4"/>
  <c r="G763" i="4"/>
  <c r="D763" i="4"/>
  <c r="I762" i="4"/>
  <c r="H762" i="4"/>
  <c r="G762" i="4"/>
  <c r="D762" i="4"/>
  <c r="I761" i="4"/>
  <c r="H761" i="4"/>
  <c r="G761" i="4"/>
  <c r="D761" i="4"/>
  <c r="I760" i="4"/>
  <c r="H760" i="4"/>
  <c r="G760" i="4"/>
  <c r="D760" i="4"/>
  <c r="I759" i="4"/>
  <c r="H759" i="4"/>
  <c r="G759" i="4"/>
  <c r="D759" i="4"/>
  <c r="I758" i="4"/>
  <c r="H758" i="4"/>
  <c r="G758" i="4"/>
  <c r="D758" i="4"/>
  <c r="I757" i="4"/>
  <c r="H757" i="4"/>
  <c r="G757" i="4"/>
  <c r="D757" i="4"/>
  <c r="I756" i="4"/>
  <c r="H756" i="4"/>
  <c r="G756" i="4"/>
  <c r="D756" i="4"/>
  <c r="I755" i="4"/>
  <c r="H755" i="4"/>
  <c r="G755" i="4"/>
  <c r="D755" i="4"/>
  <c r="I754" i="4"/>
  <c r="H754" i="4"/>
  <c r="G754" i="4"/>
  <c r="D754" i="4"/>
  <c r="I753" i="4"/>
  <c r="H753" i="4"/>
  <c r="G753" i="4"/>
  <c r="D753" i="4"/>
  <c r="I752" i="4"/>
  <c r="H752" i="4"/>
  <c r="G752" i="4"/>
  <c r="D752" i="4"/>
  <c r="I751" i="4"/>
  <c r="H751" i="4"/>
  <c r="G751" i="4"/>
  <c r="D751" i="4"/>
  <c r="I750" i="4"/>
  <c r="H750" i="4"/>
  <c r="G750" i="4"/>
  <c r="D750" i="4"/>
  <c r="I749" i="4"/>
  <c r="H749" i="4"/>
  <c r="G749" i="4"/>
  <c r="D749" i="4"/>
  <c r="I748" i="4"/>
  <c r="H748" i="4"/>
  <c r="G748" i="4"/>
  <c r="D748" i="4"/>
  <c r="I747" i="4"/>
  <c r="H747" i="4"/>
  <c r="G747" i="4"/>
  <c r="D747" i="4"/>
  <c r="I746" i="4"/>
  <c r="H746" i="4"/>
  <c r="G746" i="4"/>
  <c r="D746" i="4"/>
  <c r="I745" i="4"/>
  <c r="H745" i="4"/>
  <c r="G745" i="4"/>
  <c r="D745" i="4"/>
  <c r="I744" i="4"/>
  <c r="H744" i="4"/>
  <c r="G744" i="4"/>
  <c r="D744" i="4"/>
  <c r="I743" i="4"/>
  <c r="H743" i="4"/>
  <c r="G743" i="4"/>
  <c r="D743" i="4"/>
  <c r="I742" i="4"/>
  <c r="H742" i="4"/>
  <c r="G742" i="4"/>
  <c r="D742" i="4"/>
  <c r="I741" i="4"/>
  <c r="H741" i="4"/>
  <c r="G741" i="4"/>
  <c r="D741" i="4"/>
  <c r="I740" i="4"/>
  <c r="H740" i="4"/>
  <c r="G740" i="4"/>
  <c r="D740" i="4"/>
  <c r="I739" i="4"/>
  <c r="H739" i="4"/>
  <c r="G739" i="4"/>
  <c r="D739" i="4"/>
  <c r="I738" i="4"/>
  <c r="H738" i="4"/>
  <c r="G738" i="4"/>
  <c r="D738" i="4"/>
  <c r="I737" i="4"/>
  <c r="H737" i="4"/>
  <c r="G737" i="4"/>
  <c r="D737" i="4"/>
  <c r="I736" i="4"/>
  <c r="H736" i="4"/>
  <c r="G736" i="4"/>
  <c r="D736" i="4"/>
  <c r="I735" i="4"/>
  <c r="H735" i="4"/>
  <c r="G735" i="4"/>
  <c r="D735" i="4"/>
  <c r="I734" i="4"/>
  <c r="H734" i="4"/>
  <c r="G734" i="4"/>
  <c r="D734" i="4"/>
  <c r="I733" i="4"/>
  <c r="H733" i="4"/>
  <c r="G733" i="4"/>
  <c r="D733" i="4"/>
  <c r="I732" i="4"/>
  <c r="H732" i="4"/>
  <c r="G732" i="4"/>
  <c r="D732" i="4"/>
  <c r="I731" i="4"/>
  <c r="H731" i="4"/>
  <c r="G731" i="4"/>
  <c r="D731" i="4"/>
  <c r="I730" i="4"/>
  <c r="H730" i="4"/>
  <c r="G730" i="4"/>
  <c r="D730" i="4"/>
  <c r="I729" i="4"/>
  <c r="H729" i="4"/>
  <c r="G729" i="4"/>
  <c r="D729" i="4"/>
  <c r="I728" i="4"/>
  <c r="H728" i="4"/>
  <c r="G728" i="4"/>
  <c r="D728" i="4"/>
  <c r="I727" i="4"/>
  <c r="H727" i="4"/>
  <c r="G727" i="4"/>
  <c r="D727" i="4"/>
  <c r="I726" i="4"/>
  <c r="H726" i="4"/>
  <c r="G726" i="4"/>
  <c r="D726" i="4"/>
  <c r="I725" i="4"/>
  <c r="H725" i="4"/>
  <c r="G725" i="4"/>
  <c r="D725" i="4"/>
  <c r="I724" i="4"/>
  <c r="H724" i="4"/>
  <c r="G724" i="4"/>
  <c r="D724" i="4"/>
  <c r="I723" i="4"/>
  <c r="H723" i="4"/>
  <c r="G723" i="4"/>
  <c r="D723" i="4"/>
  <c r="I722" i="4"/>
  <c r="H722" i="4"/>
  <c r="G722" i="4"/>
  <c r="D722" i="4"/>
  <c r="I721" i="4"/>
  <c r="H721" i="4"/>
  <c r="G721" i="4"/>
  <c r="D721" i="4"/>
  <c r="I720" i="4"/>
  <c r="H720" i="4"/>
  <c r="G720" i="4"/>
  <c r="D720" i="4"/>
  <c r="I719" i="4"/>
  <c r="H719" i="4"/>
  <c r="G719" i="4"/>
  <c r="D719" i="4"/>
  <c r="I718" i="4"/>
  <c r="H718" i="4"/>
  <c r="G718" i="4"/>
  <c r="D718" i="4"/>
  <c r="I717" i="4"/>
  <c r="H717" i="4"/>
  <c r="G717" i="4"/>
  <c r="D717" i="4"/>
  <c r="I716" i="4"/>
  <c r="H716" i="4"/>
  <c r="G716" i="4"/>
  <c r="D716" i="4"/>
  <c r="I715" i="4"/>
  <c r="H715" i="4"/>
  <c r="G715" i="4"/>
  <c r="D715" i="4"/>
  <c r="I714" i="4"/>
  <c r="H714" i="4"/>
  <c r="G714" i="4"/>
  <c r="D714" i="4"/>
  <c r="I713" i="4"/>
  <c r="H713" i="4"/>
  <c r="G713" i="4"/>
  <c r="D713" i="4"/>
  <c r="I712" i="4"/>
  <c r="H712" i="4"/>
  <c r="G712" i="4"/>
  <c r="D712" i="4"/>
  <c r="I711" i="4"/>
  <c r="H711" i="4"/>
  <c r="G711" i="4"/>
  <c r="D711" i="4"/>
  <c r="I710" i="4"/>
  <c r="H710" i="4"/>
  <c r="G710" i="4"/>
  <c r="D710" i="4"/>
  <c r="I709" i="4"/>
  <c r="H709" i="4"/>
  <c r="G709" i="4"/>
  <c r="D709" i="4"/>
  <c r="I708" i="4"/>
  <c r="H708" i="4"/>
  <c r="G708" i="4"/>
  <c r="D708" i="4"/>
  <c r="I707" i="4"/>
  <c r="H707" i="4"/>
  <c r="G707" i="4"/>
  <c r="D707" i="4"/>
  <c r="I706" i="4"/>
  <c r="H706" i="4"/>
  <c r="G706" i="4"/>
  <c r="D706" i="4"/>
  <c r="I705" i="4"/>
  <c r="H705" i="4"/>
  <c r="G705" i="4"/>
  <c r="D705" i="4"/>
  <c r="I704" i="4"/>
  <c r="H704" i="4"/>
  <c r="G704" i="4"/>
  <c r="D704" i="4"/>
  <c r="I703" i="4"/>
  <c r="H703" i="4"/>
  <c r="G703" i="4"/>
  <c r="D703" i="4"/>
  <c r="I702" i="4"/>
  <c r="H702" i="4"/>
  <c r="G702" i="4"/>
  <c r="D702" i="4"/>
  <c r="I701" i="4"/>
  <c r="H701" i="4"/>
  <c r="G701" i="4"/>
  <c r="D701" i="4"/>
  <c r="I700" i="4"/>
  <c r="H700" i="4"/>
  <c r="G700" i="4"/>
  <c r="D700" i="4"/>
  <c r="I699" i="4"/>
  <c r="H699" i="4"/>
  <c r="G699" i="4"/>
  <c r="D699" i="4"/>
  <c r="I698" i="4"/>
  <c r="H698" i="4"/>
  <c r="G698" i="4"/>
  <c r="D698" i="4"/>
  <c r="I697" i="4"/>
  <c r="H697" i="4"/>
  <c r="G697" i="4"/>
  <c r="D697" i="4"/>
  <c r="I696" i="4"/>
  <c r="H696" i="4"/>
  <c r="G696" i="4"/>
  <c r="D696" i="4"/>
  <c r="I695" i="4"/>
  <c r="H695" i="4"/>
  <c r="G695" i="4"/>
  <c r="D695" i="4"/>
  <c r="I694" i="4"/>
  <c r="H694" i="4"/>
  <c r="G694" i="4"/>
  <c r="D694" i="4"/>
  <c r="I693" i="4"/>
  <c r="H693" i="4"/>
  <c r="G693" i="4"/>
  <c r="D693" i="4"/>
  <c r="I692" i="4"/>
  <c r="H692" i="4"/>
  <c r="G692" i="4"/>
  <c r="D692" i="4"/>
  <c r="I691" i="4"/>
  <c r="H691" i="4"/>
  <c r="G691" i="4"/>
  <c r="D691" i="4"/>
  <c r="I690" i="4"/>
  <c r="H690" i="4"/>
  <c r="G690" i="4"/>
  <c r="D690" i="4"/>
  <c r="I689" i="4"/>
  <c r="H689" i="4"/>
  <c r="G689" i="4"/>
  <c r="D689" i="4"/>
  <c r="I688" i="4"/>
  <c r="H688" i="4"/>
  <c r="G688" i="4"/>
  <c r="D688" i="4"/>
  <c r="I687" i="4"/>
  <c r="H687" i="4"/>
  <c r="G687" i="4"/>
  <c r="D687" i="4"/>
  <c r="I686" i="4"/>
  <c r="H686" i="4"/>
  <c r="G686" i="4"/>
  <c r="D686" i="4"/>
  <c r="I685" i="4"/>
  <c r="H685" i="4"/>
  <c r="G685" i="4"/>
  <c r="D685" i="4"/>
  <c r="I684" i="4"/>
  <c r="H684" i="4"/>
  <c r="G684" i="4"/>
  <c r="D684" i="4"/>
  <c r="I683" i="4"/>
  <c r="H683" i="4"/>
  <c r="G683" i="4"/>
  <c r="D683" i="4"/>
  <c r="I682" i="4"/>
  <c r="H682" i="4"/>
  <c r="G682" i="4"/>
  <c r="D682" i="4"/>
  <c r="I681" i="4"/>
  <c r="H681" i="4"/>
  <c r="G681" i="4"/>
  <c r="D681" i="4"/>
  <c r="I680" i="4"/>
  <c r="H680" i="4"/>
  <c r="G680" i="4"/>
  <c r="D680" i="4"/>
  <c r="I679" i="4"/>
  <c r="H679" i="4"/>
  <c r="G679" i="4"/>
  <c r="D679" i="4"/>
  <c r="I678" i="4"/>
  <c r="H678" i="4"/>
  <c r="G678" i="4"/>
  <c r="D678" i="4"/>
  <c r="I677" i="4"/>
  <c r="H677" i="4"/>
  <c r="G677" i="4"/>
  <c r="D677" i="4"/>
  <c r="I676" i="4"/>
  <c r="H676" i="4"/>
  <c r="G676" i="4"/>
  <c r="D676" i="4"/>
  <c r="I675" i="4"/>
  <c r="H675" i="4"/>
  <c r="G675" i="4"/>
  <c r="D675" i="4"/>
  <c r="I674" i="4"/>
  <c r="H674" i="4"/>
  <c r="G674" i="4"/>
  <c r="D674" i="4"/>
  <c r="I673" i="4"/>
  <c r="H673" i="4"/>
  <c r="G673" i="4"/>
  <c r="D673" i="4"/>
  <c r="I672" i="4"/>
  <c r="H672" i="4"/>
  <c r="G672" i="4"/>
  <c r="D672" i="4"/>
  <c r="I671" i="4"/>
  <c r="H671" i="4"/>
  <c r="G671" i="4"/>
  <c r="D671" i="4"/>
  <c r="I670" i="4"/>
  <c r="H670" i="4"/>
  <c r="G670" i="4"/>
  <c r="D670" i="4"/>
  <c r="I669" i="4"/>
  <c r="H669" i="4"/>
  <c r="G669" i="4"/>
  <c r="D669" i="4"/>
  <c r="I668" i="4"/>
  <c r="H668" i="4"/>
  <c r="G668" i="4"/>
  <c r="D668" i="4"/>
  <c r="I667" i="4"/>
  <c r="H667" i="4"/>
  <c r="G667" i="4"/>
  <c r="D667" i="4"/>
  <c r="I666" i="4"/>
  <c r="H666" i="4"/>
  <c r="G666" i="4"/>
  <c r="D666" i="4"/>
  <c r="I665" i="4"/>
  <c r="H665" i="4"/>
  <c r="G665" i="4"/>
  <c r="D665" i="4"/>
  <c r="I664" i="4"/>
  <c r="H664" i="4"/>
  <c r="G664" i="4"/>
  <c r="D664" i="4"/>
  <c r="I663" i="4"/>
  <c r="H663" i="4"/>
  <c r="G663" i="4"/>
  <c r="D663" i="4"/>
  <c r="I662" i="4"/>
  <c r="H662" i="4"/>
  <c r="G662" i="4"/>
  <c r="D662" i="4"/>
  <c r="I661" i="4"/>
  <c r="H661" i="4"/>
  <c r="G661" i="4"/>
  <c r="D661" i="4"/>
  <c r="I660" i="4"/>
  <c r="H660" i="4"/>
  <c r="G660" i="4"/>
  <c r="D660" i="4"/>
  <c r="I659" i="4"/>
  <c r="H659" i="4"/>
  <c r="G659" i="4"/>
  <c r="D659" i="4"/>
  <c r="I658" i="4"/>
  <c r="H658" i="4"/>
  <c r="G658" i="4"/>
  <c r="D658" i="4"/>
  <c r="I657" i="4"/>
  <c r="H657" i="4"/>
  <c r="G657" i="4"/>
  <c r="D657" i="4"/>
  <c r="I656" i="4"/>
  <c r="H656" i="4"/>
  <c r="G656" i="4"/>
  <c r="D656" i="4"/>
  <c r="I655" i="4"/>
  <c r="H655" i="4"/>
  <c r="G655" i="4"/>
  <c r="D655" i="4"/>
  <c r="I654" i="4"/>
  <c r="H654" i="4"/>
  <c r="G654" i="4"/>
  <c r="D654" i="4"/>
  <c r="I653" i="4"/>
  <c r="H653" i="4"/>
  <c r="G653" i="4"/>
  <c r="D653" i="4"/>
  <c r="I652" i="4"/>
  <c r="H652" i="4"/>
  <c r="G652" i="4"/>
  <c r="D652" i="4"/>
  <c r="I651" i="4"/>
  <c r="H651" i="4"/>
  <c r="G651" i="4"/>
  <c r="D651" i="4"/>
  <c r="I650" i="4"/>
  <c r="H650" i="4"/>
  <c r="G650" i="4"/>
  <c r="D650" i="4"/>
  <c r="I649" i="4"/>
  <c r="H649" i="4"/>
  <c r="G649" i="4"/>
  <c r="D649" i="4"/>
  <c r="I648" i="4"/>
  <c r="H648" i="4"/>
  <c r="G648" i="4"/>
  <c r="D648" i="4"/>
  <c r="I647" i="4"/>
  <c r="H647" i="4"/>
  <c r="G647" i="4"/>
  <c r="D647" i="4"/>
  <c r="I646" i="4"/>
  <c r="H646" i="4"/>
  <c r="G646" i="4"/>
  <c r="D646" i="4"/>
  <c r="I645" i="4"/>
  <c r="H645" i="4"/>
  <c r="G645" i="4"/>
  <c r="D645" i="4"/>
  <c r="I644" i="4"/>
  <c r="H644" i="4"/>
  <c r="G644" i="4"/>
  <c r="D644" i="4"/>
  <c r="I643" i="4"/>
  <c r="H643" i="4"/>
  <c r="G643" i="4"/>
  <c r="D643" i="4"/>
  <c r="I642" i="4"/>
  <c r="H642" i="4"/>
  <c r="G642" i="4"/>
  <c r="D642" i="4"/>
  <c r="I641" i="4"/>
  <c r="H641" i="4"/>
  <c r="G641" i="4"/>
  <c r="D641" i="4"/>
  <c r="I640" i="4"/>
  <c r="H640" i="4"/>
  <c r="G640" i="4"/>
  <c r="D640" i="4"/>
  <c r="I639" i="4"/>
  <c r="H639" i="4"/>
  <c r="G639" i="4"/>
  <c r="D639" i="4"/>
  <c r="I638" i="4"/>
  <c r="H638" i="4"/>
  <c r="G638" i="4"/>
  <c r="D638" i="4"/>
  <c r="I637" i="4"/>
  <c r="H637" i="4"/>
  <c r="G637" i="4"/>
  <c r="D637" i="4"/>
  <c r="I636" i="4"/>
  <c r="H636" i="4"/>
  <c r="G636" i="4"/>
  <c r="D636" i="4"/>
  <c r="I635" i="4"/>
  <c r="H635" i="4"/>
  <c r="G635" i="4"/>
  <c r="D635" i="4"/>
  <c r="I634" i="4"/>
  <c r="H634" i="4"/>
  <c r="G634" i="4"/>
  <c r="D634" i="4"/>
  <c r="I633" i="4"/>
  <c r="H633" i="4"/>
  <c r="G633" i="4"/>
  <c r="D633" i="4"/>
  <c r="I632" i="4"/>
  <c r="H632" i="4"/>
  <c r="G632" i="4"/>
  <c r="D632" i="4"/>
  <c r="I631" i="4"/>
  <c r="H631" i="4"/>
  <c r="G631" i="4"/>
  <c r="D631" i="4"/>
  <c r="I630" i="4"/>
  <c r="H630" i="4"/>
  <c r="G630" i="4"/>
  <c r="D630" i="4"/>
  <c r="I629" i="4"/>
  <c r="H629" i="4"/>
  <c r="G629" i="4"/>
  <c r="D629" i="4"/>
  <c r="I628" i="4"/>
  <c r="H628" i="4"/>
  <c r="G628" i="4"/>
  <c r="D628" i="4"/>
  <c r="I627" i="4"/>
  <c r="H627" i="4"/>
  <c r="G627" i="4"/>
  <c r="D627" i="4"/>
  <c r="I626" i="4"/>
  <c r="H626" i="4"/>
  <c r="G626" i="4"/>
  <c r="D626" i="4"/>
  <c r="I625" i="4"/>
  <c r="H625" i="4"/>
  <c r="G625" i="4"/>
  <c r="D625" i="4"/>
  <c r="I624" i="4"/>
  <c r="H624" i="4"/>
  <c r="G624" i="4"/>
  <c r="D624" i="4"/>
  <c r="I623" i="4"/>
  <c r="H623" i="4"/>
  <c r="G623" i="4"/>
  <c r="D623" i="4"/>
  <c r="I622" i="4"/>
  <c r="H622" i="4"/>
  <c r="G622" i="4"/>
  <c r="D622" i="4"/>
  <c r="I621" i="4"/>
  <c r="H621" i="4"/>
  <c r="G621" i="4"/>
  <c r="D621" i="4"/>
  <c r="I620" i="4"/>
  <c r="H620" i="4"/>
  <c r="G620" i="4"/>
  <c r="D620" i="4"/>
  <c r="I619" i="4"/>
  <c r="H619" i="4"/>
  <c r="G619" i="4"/>
  <c r="D619" i="4"/>
  <c r="I618" i="4"/>
  <c r="H618" i="4"/>
  <c r="G618" i="4"/>
  <c r="D618" i="4"/>
  <c r="I617" i="4"/>
  <c r="H617" i="4"/>
  <c r="G617" i="4"/>
  <c r="D617" i="4"/>
  <c r="I616" i="4"/>
  <c r="H616" i="4"/>
  <c r="G616" i="4"/>
  <c r="D616" i="4"/>
  <c r="I615" i="4"/>
  <c r="H615" i="4"/>
  <c r="G615" i="4"/>
  <c r="D615" i="4"/>
  <c r="I614" i="4"/>
  <c r="H614" i="4"/>
  <c r="G614" i="4"/>
  <c r="D614" i="4"/>
  <c r="I613" i="4"/>
  <c r="H613" i="4"/>
  <c r="G613" i="4"/>
  <c r="D613" i="4"/>
  <c r="I612" i="4"/>
  <c r="H612" i="4"/>
  <c r="G612" i="4"/>
  <c r="D612" i="4"/>
  <c r="I611" i="4"/>
  <c r="H611" i="4"/>
  <c r="G611" i="4"/>
  <c r="D611" i="4"/>
  <c r="I610" i="4"/>
  <c r="H610" i="4"/>
  <c r="G610" i="4"/>
  <c r="D610" i="4"/>
  <c r="I609" i="4"/>
  <c r="H609" i="4"/>
  <c r="G609" i="4"/>
  <c r="D609" i="4"/>
  <c r="I608" i="4"/>
  <c r="H608" i="4"/>
  <c r="G608" i="4"/>
  <c r="D608" i="4"/>
  <c r="I607" i="4"/>
  <c r="H607" i="4"/>
  <c r="G607" i="4"/>
  <c r="D607" i="4"/>
  <c r="I606" i="4"/>
  <c r="H606" i="4"/>
  <c r="G606" i="4"/>
  <c r="D606" i="4"/>
  <c r="I605" i="4"/>
  <c r="H605" i="4"/>
  <c r="G605" i="4"/>
  <c r="D605" i="4"/>
  <c r="I604" i="4"/>
  <c r="H604" i="4"/>
  <c r="G604" i="4"/>
  <c r="D604" i="4"/>
  <c r="I603" i="4"/>
  <c r="H603" i="4"/>
  <c r="G603" i="4"/>
  <c r="D603" i="4"/>
  <c r="I602" i="4"/>
  <c r="H602" i="4"/>
  <c r="G602" i="4"/>
  <c r="D602" i="4"/>
  <c r="I601" i="4"/>
  <c r="H601" i="4"/>
  <c r="G601" i="4"/>
  <c r="D601" i="4"/>
  <c r="I600" i="4"/>
  <c r="H600" i="4"/>
  <c r="G600" i="4"/>
  <c r="D600" i="4"/>
  <c r="I599" i="4"/>
  <c r="H599" i="4"/>
  <c r="G599" i="4"/>
  <c r="D599" i="4"/>
  <c r="I598" i="4"/>
  <c r="H598" i="4"/>
  <c r="G598" i="4"/>
  <c r="D598" i="4"/>
  <c r="I597" i="4"/>
  <c r="H597" i="4"/>
  <c r="G597" i="4"/>
  <c r="D597" i="4"/>
  <c r="I596" i="4"/>
  <c r="H596" i="4"/>
  <c r="G596" i="4"/>
  <c r="D596" i="4"/>
  <c r="I595" i="4"/>
  <c r="H595" i="4"/>
  <c r="G595" i="4"/>
  <c r="D595" i="4"/>
  <c r="I594" i="4"/>
  <c r="H594" i="4"/>
  <c r="G594" i="4"/>
  <c r="D594" i="4"/>
  <c r="I593" i="4"/>
  <c r="H593" i="4"/>
  <c r="G593" i="4"/>
  <c r="D593" i="4"/>
  <c r="I592" i="4"/>
  <c r="H592" i="4"/>
  <c r="G592" i="4"/>
  <c r="D592" i="4"/>
  <c r="I591" i="4"/>
  <c r="H591" i="4"/>
  <c r="G591" i="4"/>
  <c r="D591" i="4"/>
  <c r="I590" i="4"/>
  <c r="H590" i="4"/>
  <c r="G590" i="4"/>
  <c r="D590" i="4"/>
  <c r="I589" i="4"/>
  <c r="H589" i="4"/>
  <c r="G589" i="4"/>
  <c r="D589" i="4"/>
  <c r="I588" i="4"/>
  <c r="H588" i="4"/>
  <c r="G588" i="4"/>
  <c r="D588" i="4"/>
  <c r="I587" i="4"/>
  <c r="H587" i="4"/>
  <c r="G587" i="4"/>
  <c r="D587" i="4"/>
  <c r="I586" i="4"/>
  <c r="H586" i="4"/>
  <c r="G586" i="4"/>
  <c r="D586" i="4"/>
  <c r="I585" i="4"/>
  <c r="H585" i="4"/>
  <c r="G585" i="4"/>
  <c r="D585" i="4"/>
  <c r="I584" i="4"/>
  <c r="H584" i="4"/>
  <c r="G584" i="4"/>
  <c r="D584" i="4"/>
  <c r="I583" i="4"/>
  <c r="H583" i="4"/>
  <c r="G583" i="4"/>
  <c r="D583" i="4"/>
  <c r="I582" i="4"/>
  <c r="H582" i="4"/>
  <c r="G582" i="4"/>
  <c r="D582" i="4"/>
  <c r="I581" i="4"/>
  <c r="H581" i="4"/>
  <c r="G581" i="4"/>
  <c r="D581" i="4"/>
  <c r="I580" i="4"/>
  <c r="H580" i="4"/>
  <c r="G580" i="4"/>
  <c r="D580" i="4"/>
  <c r="I579" i="4"/>
  <c r="H579" i="4"/>
  <c r="G579" i="4"/>
  <c r="D579" i="4"/>
  <c r="I578" i="4"/>
  <c r="H578" i="4"/>
  <c r="G578" i="4"/>
  <c r="D578" i="4"/>
  <c r="I577" i="4"/>
  <c r="H577" i="4"/>
  <c r="G577" i="4"/>
  <c r="D577" i="4"/>
  <c r="I576" i="4"/>
  <c r="H576" i="4"/>
  <c r="G576" i="4"/>
  <c r="D576" i="4"/>
  <c r="I575" i="4"/>
  <c r="H575" i="4"/>
  <c r="G575" i="4"/>
  <c r="D575" i="4"/>
  <c r="I574" i="4"/>
  <c r="H574" i="4"/>
  <c r="G574" i="4"/>
  <c r="D574" i="4"/>
  <c r="I573" i="4"/>
  <c r="H573" i="4"/>
  <c r="G573" i="4"/>
  <c r="D573" i="4"/>
  <c r="I572" i="4"/>
  <c r="H572" i="4"/>
  <c r="G572" i="4"/>
  <c r="D572" i="4"/>
  <c r="I571" i="4"/>
  <c r="H571" i="4"/>
  <c r="G571" i="4"/>
  <c r="D571" i="4"/>
  <c r="I570" i="4"/>
  <c r="H570" i="4"/>
  <c r="G570" i="4"/>
  <c r="D570" i="4"/>
  <c r="I569" i="4"/>
  <c r="H569" i="4"/>
  <c r="G569" i="4"/>
  <c r="D569" i="4"/>
  <c r="I568" i="4"/>
  <c r="H568" i="4"/>
  <c r="G568" i="4"/>
  <c r="D568" i="4"/>
  <c r="I567" i="4"/>
  <c r="H567" i="4"/>
  <c r="G567" i="4"/>
  <c r="D567" i="4"/>
  <c r="I566" i="4"/>
  <c r="H566" i="4"/>
  <c r="G566" i="4"/>
  <c r="D566" i="4"/>
  <c r="I565" i="4"/>
  <c r="H565" i="4"/>
  <c r="G565" i="4"/>
  <c r="D565" i="4"/>
  <c r="I564" i="4"/>
  <c r="H564" i="4"/>
  <c r="G564" i="4"/>
  <c r="D564" i="4"/>
  <c r="I563" i="4"/>
  <c r="H563" i="4"/>
  <c r="G563" i="4"/>
  <c r="D563" i="4"/>
  <c r="I562" i="4"/>
  <c r="H562" i="4"/>
  <c r="G562" i="4"/>
  <c r="D562" i="4"/>
  <c r="I561" i="4"/>
  <c r="H561" i="4"/>
  <c r="G561" i="4"/>
  <c r="D561" i="4"/>
  <c r="I560" i="4"/>
  <c r="H560" i="4"/>
  <c r="G560" i="4"/>
  <c r="D560" i="4"/>
  <c r="I559" i="4"/>
  <c r="H559" i="4"/>
  <c r="G559" i="4"/>
  <c r="D559" i="4"/>
  <c r="I558" i="4"/>
  <c r="H558" i="4"/>
  <c r="G558" i="4"/>
  <c r="D558" i="4"/>
  <c r="I557" i="4"/>
  <c r="H557" i="4"/>
  <c r="G557" i="4"/>
  <c r="D557" i="4"/>
  <c r="I556" i="4"/>
  <c r="H556" i="4"/>
  <c r="G556" i="4"/>
  <c r="D556" i="4"/>
  <c r="I555" i="4"/>
  <c r="H555" i="4"/>
  <c r="G555" i="4"/>
  <c r="D555" i="4"/>
  <c r="I554" i="4"/>
  <c r="H554" i="4"/>
  <c r="G554" i="4"/>
  <c r="D554" i="4"/>
  <c r="I553" i="4"/>
  <c r="H553" i="4"/>
  <c r="G553" i="4"/>
  <c r="D553" i="4"/>
  <c r="I552" i="4"/>
  <c r="H552" i="4"/>
  <c r="G552" i="4"/>
  <c r="D552" i="4"/>
  <c r="I551" i="4"/>
  <c r="H551" i="4"/>
  <c r="G551" i="4"/>
  <c r="D551" i="4"/>
  <c r="I550" i="4"/>
  <c r="H550" i="4"/>
  <c r="G550" i="4"/>
  <c r="D550" i="4"/>
  <c r="I549" i="4"/>
  <c r="H549" i="4"/>
  <c r="G549" i="4"/>
  <c r="D549" i="4"/>
  <c r="I548" i="4"/>
  <c r="H548" i="4"/>
  <c r="G548" i="4"/>
  <c r="D548" i="4"/>
  <c r="I547" i="4"/>
  <c r="H547" i="4"/>
  <c r="G547" i="4"/>
  <c r="D547" i="4"/>
  <c r="I546" i="4"/>
  <c r="H546" i="4"/>
  <c r="G546" i="4"/>
  <c r="D546" i="4"/>
  <c r="I545" i="4"/>
  <c r="H545" i="4"/>
  <c r="G545" i="4"/>
  <c r="D545" i="4"/>
  <c r="I544" i="4"/>
  <c r="H544" i="4"/>
  <c r="G544" i="4"/>
  <c r="D544" i="4"/>
  <c r="I543" i="4"/>
  <c r="H543" i="4"/>
  <c r="G543" i="4"/>
  <c r="D543" i="4"/>
  <c r="I542" i="4"/>
  <c r="H542" i="4"/>
  <c r="G542" i="4"/>
  <c r="D542" i="4"/>
  <c r="I541" i="4"/>
  <c r="H541" i="4"/>
  <c r="G541" i="4"/>
  <c r="D541" i="4"/>
  <c r="I540" i="4"/>
  <c r="H540" i="4"/>
  <c r="G540" i="4"/>
  <c r="D540" i="4"/>
  <c r="I539" i="4"/>
  <c r="H539" i="4"/>
  <c r="G539" i="4"/>
  <c r="D539" i="4"/>
  <c r="I538" i="4"/>
  <c r="H538" i="4"/>
  <c r="G538" i="4"/>
  <c r="D538" i="4"/>
  <c r="I537" i="4"/>
  <c r="H537" i="4"/>
  <c r="G537" i="4"/>
  <c r="D537" i="4"/>
  <c r="I536" i="4"/>
  <c r="H536" i="4"/>
  <c r="G536" i="4"/>
  <c r="D536" i="4"/>
  <c r="I535" i="4"/>
  <c r="H535" i="4"/>
  <c r="G535" i="4"/>
  <c r="D535" i="4"/>
  <c r="I534" i="4"/>
  <c r="H534" i="4"/>
  <c r="G534" i="4"/>
  <c r="D534" i="4"/>
  <c r="I533" i="4"/>
  <c r="H533" i="4"/>
  <c r="G533" i="4"/>
  <c r="D533" i="4"/>
  <c r="I532" i="4"/>
  <c r="H532" i="4"/>
  <c r="G532" i="4"/>
  <c r="D532" i="4"/>
  <c r="I531" i="4"/>
  <c r="H531" i="4"/>
  <c r="G531" i="4"/>
  <c r="D531" i="4"/>
  <c r="I530" i="4"/>
  <c r="H530" i="4"/>
  <c r="G530" i="4"/>
  <c r="D530" i="4"/>
  <c r="I529" i="4"/>
  <c r="H529" i="4"/>
  <c r="G529" i="4"/>
  <c r="D529" i="4"/>
  <c r="I528" i="4"/>
  <c r="H528" i="4"/>
  <c r="G528" i="4"/>
  <c r="D528" i="4"/>
  <c r="I527" i="4"/>
  <c r="H527" i="4"/>
  <c r="G527" i="4"/>
  <c r="D527" i="4"/>
  <c r="I526" i="4"/>
  <c r="H526" i="4"/>
  <c r="G526" i="4"/>
  <c r="D526" i="4"/>
  <c r="I525" i="4"/>
  <c r="H525" i="4"/>
  <c r="G525" i="4"/>
  <c r="D525" i="4"/>
  <c r="I524" i="4"/>
  <c r="H524" i="4"/>
  <c r="G524" i="4"/>
  <c r="D524" i="4"/>
  <c r="I523" i="4"/>
  <c r="H523" i="4"/>
  <c r="G523" i="4"/>
  <c r="D523" i="4"/>
  <c r="I522" i="4"/>
  <c r="H522" i="4"/>
  <c r="G522" i="4"/>
  <c r="D522" i="4"/>
  <c r="I521" i="4"/>
  <c r="H521" i="4"/>
  <c r="G521" i="4"/>
  <c r="D521" i="4"/>
  <c r="I520" i="4"/>
  <c r="H520" i="4"/>
  <c r="G520" i="4"/>
  <c r="D520" i="4"/>
  <c r="I519" i="4"/>
  <c r="H519" i="4"/>
  <c r="G519" i="4"/>
  <c r="D519" i="4"/>
  <c r="I518" i="4"/>
  <c r="H518" i="4"/>
  <c r="G518" i="4"/>
  <c r="D518" i="4"/>
  <c r="I517" i="4"/>
  <c r="H517" i="4"/>
  <c r="G517" i="4"/>
  <c r="D517" i="4"/>
  <c r="I516" i="4"/>
  <c r="H516" i="4"/>
  <c r="G516" i="4"/>
  <c r="D516" i="4"/>
  <c r="I515" i="4"/>
  <c r="H515" i="4"/>
  <c r="G515" i="4"/>
  <c r="D515" i="4"/>
  <c r="I514" i="4"/>
  <c r="H514" i="4"/>
  <c r="G514" i="4"/>
  <c r="D514" i="4"/>
  <c r="I513" i="4"/>
  <c r="H513" i="4"/>
  <c r="G513" i="4"/>
  <c r="D513" i="4"/>
  <c r="I512" i="4"/>
  <c r="H512" i="4"/>
  <c r="G512" i="4"/>
  <c r="D512" i="4"/>
  <c r="I511" i="4"/>
  <c r="H511" i="4"/>
  <c r="G511" i="4"/>
  <c r="D511" i="4"/>
  <c r="I510" i="4"/>
  <c r="H510" i="4"/>
  <c r="G510" i="4"/>
  <c r="D510" i="4"/>
  <c r="I509" i="4"/>
  <c r="H509" i="4"/>
  <c r="G509" i="4"/>
  <c r="D509" i="4"/>
  <c r="I508" i="4"/>
  <c r="H508" i="4"/>
  <c r="G508" i="4"/>
  <c r="D508" i="4"/>
  <c r="I507" i="4"/>
  <c r="H507" i="4"/>
  <c r="G507" i="4"/>
  <c r="D507" i="4"/>
  <c r="I506" i="4"/>
  <c r="H506" i="4"/>
  <c r="G506" i="4"/>
  <c r="D506" i="4"/>
  <c r="I505" i="4"/>
  <c r="H505" i="4"/>
  <c r="G505" i="4"/>
  <c r="D505" i="4"/>
  <c r="I504" i="4"/>
  <c r="H504" i="4"/>
  <c r="G504" i="4"/>
  <c r="D504" i="4"/>
  <c r="I503" i="4"/>
  <c r="H503" i="4"/>
  <c r="G503" i="4"/>
  <c r="D503" i="4"/>
  <c r="I502" i="4"/>
  <c r="H502" i="4"/>
  <c r="G502" i="4"/>
  <c r="D502" i="4"/>
  <c r="I501" i="4"/>
  <c r="H501" i="4"/>
  <c r="G501" i="4"/>
  <c r="D501" i="4"/>
  <c r="I500" i="4"/>
  <c r="H500" i="4"/>
  <c r="G500" i="4"/>
  <c r="D500" i="4"/>
  <c r="I499" i="4"/>
  <c r="H499" i="4"/>
  <c r="G499" i="4"/>
  <c r="D499" i="4"/>
  <c r="I498" i="4"/>
  <c r="H498" i="4"/>
  <c r="G498" i="4"/>
  <c r="D498" i="4"/>
  <c r="I497" i="4"/>
  <c r="H497" i="4"/>
  <c r="G497" i="4"/>
  <c r="D497" i="4"/>
  <c r="I496" i="4"/>
  <c r="H496" i="4"/>
  <c r="G496" i="4"/>
  <c r="D496" i="4"/>
  <c r="I495" i="4"/>
  <c r="H495" i="4"/>
  <c r="G495" i="4"/>
  <c r="D495" i="4"/>
  <c r="I494" i="4"/>
  <c r="H494" i="4"/>
  <c r="G494" i="4"/>
  <c r="D494" i="4"/>
  <c r="I493" i="4"/>
  <c r="H493" i="4"/>
  <c r="G493" i="4"/>
  <c r="D493" i="4"/>
  <c r="I492" i="4"/>
  <c r="H492" i="4"/>
  <c r="G492" i="4"/>
  <c r="D492" i="4"/>
  <c r="I491" i="4"/>
  <c r="H491" i="4"/>
  <c r="G491" i="4"/>
  <c r="D491" i="4"/>
  <c r="I490" i="4"/>
  <c r="H490" i="4"/>
  <c r="G490" i="4"/>
  <c r="D490" i="4"/>
  <c r="I489" i="4"/>
  <c r="H489" i="4"/>
  <c r="G489" i="4"/>
  <c r="D489" i="4"/>
  <c r="I488" i="4"/>
  <c r="H488" i="4"/>
  <c r="G488" i="4"/>
  <c r="D488" i="4"/>
  <c r="I487" i="4"/>
  <c r="H487" i="4"/>
  <c r="G487" i="4"/>
  <c r="D487" i="4"/>
  <c r="I486" i="4"/>
  <c r="H486" i="4"/>
  <c r="G486" i="4"/>
  <c r="D486" i="4"/>
  <c r="I485" i="4"/>
  <c r="H485" i="4"/>
  <c r="G485" i="4"/>
  <c r="D485" i="4"/>
  <c r="I484" i="4"/>
  <c r="H484" i="4"/>
  <c r="G484" i="4"/>
  <c r="D484" i="4"/>
  <c r="I483" i="4"/>
  <c r="H483" i="4"/>
  <c r="G483" i="4"/>
  <c r="D483" i="4"/>
  <c r="I482" i="4"/>
  <c r="H482" i="4"/>
  <c r="G482" i="4"/>
  <c r="D482" i="4"/>
  <c r="I481" i="4"/>
  <c r="H481" i="4"/>
  <c r="G481" i="4"/>
  <c r="D481" i="4"/>
  <c r="I480" i="4"/>
  <c r="H480" i="4"/>
  <c r="G480" i="4"/>
  <c r="D480" i="4"/>
  <c r="I479" i="4"/>
  <c r="H479" i="4"/>
  <c r="G479" i="4"/>
  <c r="D479" i="4"/>
  <c r="I478" i="4"/>
  <c r="H478" i="4"/>
  <c r="G478" i="4"/>
  <c r="D478" i="4"/>
  <c r="I477" i="4"/>
  <c r="H477" i="4"/>
  <c r="G477" i="4"/>
  <c r="D477" i="4"/>
  <c r="I476" i="4"/>
  <c r="H476" i="4"/>
  <c r="G476" i="4"/>
  <c r="D476" i="4"/>
  <c r="I475" i="4"/>
  <c r="H475" i="4"/>
  <c r="G475" i="4"/>
  <c r="D475" i="4"/>
  <c r="I474" i="4"/>
  <c r="H474" i="4"/>
  <c r="G474" i="4"/>
  <c r="D474" i="4"/>
  <c r="I473" i="4"/>
  <c r="H473" i="4"/>
  <c r="G473" i="4"/>
  <c r="D473" i="4"/>
  <c r="I472" i="4"/>
  <c r="H472" i="4"/>
  <c r="G472" i="4"/>
  <c r="D472" i="4"/>
  <c r="I471" i="4"/>
  <c r="H471" i="4"/>
  <c r="G471" i="4"/>
  <c r="D471" i="4"/>
  <c r="I470" i="4"/>
  <c r="H470" i="4"/>
  <c r="G470" i="4"/>
  <c r="D470" i="4"/>
  <c r="I469" i="4"/>
  <c r="H469" i="4"/>
  <c r="G469" i="4"/>
  <c r="D469" i="4"/>
  <c r="I468" i="4"/>
  <c r="H468" i="4"/>
  <c r="G468" i="4"/>
  <c r="D468" i="4"/>
  <c r="I467" i="4"/>
  <c r="H467" i="4"/>
  <c r="G467" i="4"/>
  <c r="D467" i="4"/>
  <c r="I466" i="4"/>
  <c r="H466" i="4"/>
  <c r="G466" i="4"/>
  <c r="D466" i="4"/>
  <c r="I465" i="4"/>
  <c r="H465" i="4"/>
  <c r="G465" i="4"/>
  <c r="D465" i="4"/>
  <c r="I464" i="4"/>
  <c r="H464" i="4"/>
  <c r="G464" i="4"/>
  <c r="D464" i="4"/>
  <c r="I463" i="4"/>
  <c r="H463" i="4"/>
  <c r="G463" i="4"/>
  <c r="D463" i="4"/>
  <c r="I462" i="4"/>
  <c r="H462" i="4"/>
  <c r="G462" i="4"/>
  <c r="D462" i="4"/>
  <c r="I461" i="4"/>
  <c r="H461" i="4"/>
  <c r="G461" i="4"/>
  <c r="D461" i="4"/>
  <c r="I460" i="4"/>
  <c r="H460" i="4"/>
  <c r="G460" i="4"/>
  <c r="D460" i="4"/>
  <c r="I459" i="4"/>
  <c r="H459" i="4"/>
  <c r="G459" i="4"/>
  <c r="D459" i="4"/>
  <c r="I458" i="4"/>
  <c r="H458" i="4"/>
  <c r="G458" i="4"/>
  <c r="D458" i="4"/>
  <c r="I457" i="4"/>
  <c r="H457" i="4"/>
  <c r="G457" i="4"/>
  <c r="D457" i="4"/>
  <c r="I456" i="4"/>
  <c r="H456" i="4"/>
  <c r="G456" i="4"/>
  <c r="D456" i="4"/>
  <c r="I455" i="4"/>
  <c r="H455" i="4"/>
  <c r="G455" i="4"/>
  <c r="D455" i="4"/>
  <c r="I454" i="4"/>
  <c r="H454" i="4"/>
  <c r="G454" i="4"/>
  <c r="D454" i="4"/>
  <c r="I453" i="4"/>
  <c r="H453" i="4"/>
  <c r="G453" i="4"/>
  <c r="D453" i="4"/>
  <c r="I452" i="4"/>
  <c r="H452" i="4"/>
  <c r="G452" i="4"/>
  <c r="D452" i="4"/>
  <c r="I451" i="4"/>
  <c r="H451" i="4"/>
  <c r="G451" i="4"/>
  <c r="D451" i="4"/>
  <c r="I450" i="4"/>
  <c r="H450" i="4"/>
  <c r="G450" i="4"/>
  <c r="D450" i="4"/>
  <c r="I449" i="4"/>
  <c r="H449" i="4"/>
  <c r="G449" i="4"/>
  <c r="D449" i="4"/>
  <c r="I448" i="4"/>
  <c r="H448" i="4"/>
  <c r="G448" i="4"/>
  <c r="D448" i="4"/>
  <c r="I447" i="4"/>
  <c r="H447" i="4"/>
  <c r="G447" i="4"/>
  <c r="D447" i="4"/>
  <c r="I446" i="4"/>
  <c r="H446" i="4"/>
  <c r="G446" i="4"/>
  <c r="D446" i="4"/>
  <c r="I445" i="4"/>
  <c r="H445" i="4"/>
  <c r="G445" i="4"/>
  <c r="D445" i="4"/>
  <c r="I444" i="4"/>
  <c r="H444" i="4"/>
  <c r="G444" i="4"/>
  <c r="D444" i="4"/>
  <c r="I443" i="4"/>
  <c r="H443" i="4"/>
  <c r="G443" i="4"/>
  <c r="D443" i="4"/>
  <c r="I442" i="4"/>
  <c r="H442" i="4"/>
  <c r="G442" i="4"/>
  <c r="D442" i="4"/>
  <c r="I441" i="4"/>
  <c r="H441" i="4"/>
  <c r="G441" i="4"/>
  <c r="D441" i="4"/>
  <c r="I440" i="4"/>
  <c r="H440" i="4"/>
  <c r="G440" i="4"/>
  <c r="D440" i="4"/>
  <c r="I439" i="4"/>
  <c r="H439" i="4"/>
  <c r="G439" i="4"/>
  <c r="D439" i="4"/>
  <c r="I438" i="4"/>
  <c r="H438" i="4"/>
  <c r="G438" i="4"/>
  <c r="D438" i="4"/>
  <c r="I437" i="4"/>
  <c r="H437" i="4"/>
  <c r="G437" i="4"/>
  <c r="D437" i="4"/>
  <c r="I436" i="4"/>
  <c r="H436" i="4"/>
  <c r="G436" i="4"/>
  <c r="D436" i="4"/>
  <c r="I435" i="4"/>
  <c r="H435" i="4"/>
  <c r="G435" i="4"/>
  <c r="D435" i="4"/>
  <c r="I434" i="4"/>
  <c r="H434" i="4"/>
  <c r="G434" i="4"/>
  <c r="D434" i="4"/>
  <c r="I433" i="4"/>
  <c r="H433" i="4"/>
  <c r="G433" i="4"/>
  <c r="D433" i="4"/>
  <c r="I432" i="4"/>
  <c r="H432" i="4"/>
  <c r="G432" i="4"/>
  <c r="D432" i="4"/>
  <c r="I431" i="4"/>
  <c r="H431" i="4"/>
  <c r="G431" i="4"/>
  <c r="D431" i="4"/>
  <c r="I430" i="4"/>
  <c r="H430" i="4"/>
  <c r="G430" i="4"/>
  <c r="D430" i="4"/>
  <c r="I429" i="4"/>
  <c r="H429" i="4"/>
  <c r="G429" i="4"/>
  <c r="D429" i="4"/>
  <c r="I428" i="4"/>
  <c r="H428" i="4"/>
  <c r="G428" i="4"/>
  <c r="D428" i="4"/>
  <c r="I427" i="4"/>
  <c r="H427" i="4"/>
  <c r="G427" i="4"/>
  <c r="D427" i="4"/>
  <c r="I426" i="4"/>
  <c r="H426" i="4"/>
  <c r="G426" i="4"/>
  <c r="D426" i="4"/>
  <c r="I425" i="4"/>
  <c r="H425" i="4"/>
  <c r="G425" i="4"/>
  <c r="D425" i="4"/>
  <c r="I424" i="4"/>
  <c r="H424" i="4"/>
  <c r="G424" i="4"/>
  <c r="D424" i="4"/>
  <c r="I423" i="4"/>
  <c r="H423" i="4"/>
  <c r="G423" i="4"/>
  <c r="D423" i="4"/>
  <c r="I422" i="4"/>
  <c r="H422" i="4"/>
  <c r="G422" i="4"/>
  <c r="D422" i="4"/>
  <c r="I421" i="4"/>
  <c r="H421" i="4"/>
  <c r="G421" i="4"/>
  <c r="D421" i="4"/>
  <c r="I420" i="4"/>
  <c r="H420" i="4"/>
  <c r="G420" i="4"/>
  <c r="D420" i="4"/>
  <c r="I419" i="4"/>
  <c r="H419" i="4"/>
  <c r="G419" i="4"/>
  <c r="D419" i="4"/>
  <c r="I418" i="4"/>
  <c r="H418" i="4"/>
  <c r="G418" i="4"/>
  <c r="D418" i="4"/>
  <c r="I417" i="4"/>
  <c r="H417" i="4"/>
  <c r="G417" i="4"/>
  <c r="D417" i="4"/>
  <c r="I416" i="4"/>
  <c r="H416" i="4"/>
  <c r="G416" i="4"/>
  <c r="D416" i="4"/>
  <c r="I415" i="4"/>
  <c r="H415" i="4"/>
  <c r="G415" i="4"/>
  <c r="D415" i="4"/>
  <c r="I414" i="4"/>
  <c r="H414" i="4"/>
  <c r="G414" i="4"/>
  <c r="D414" i="4"/>
  <c r="I413" i="4"/>
  <c r="H413" i="4"/>
  <c r="G413" i="4"/>
  <c r="D413" i="4"/>
  <c r="I412" i="4"/>
  <c r="H412" i="4"/>
  <c r="G412" i="4"/>
  <c r="D412" i="4"/>
  <c r="I411" i="4"/>
  <c r="H411" i="4"/>
  <c r="G411" i="4"/>
  <c r="D411" i="4"/>
  <c r="I410" i="4"/>
  <c r="H410" i="4"/>
  <c r="G410" i="4"/>
  <c r="D410" i="4"/>
  <c r="I409" i="4"/>
  <c r="H409" i="4"/>
  <c r="G409" i="4"/>
  <c r="D409" i="4"/>
  <c r="I408" i="4"/>
  <c r="H408" i="4"/>
  <c r="G408" i="4"/>
  <c r="D408" i="4"/>
  <c r="I407" i="4"/>
  <c r="H407" i="4"/>
  <c r="G407" i="4"/>
  <c r="D407" i="4"/>
  <c r="I406" i="4"/>
  <c r="H406" i="4"/>
  <c r="G406" i="4"/>
  <c r="D406" i="4"/>
  <c r="I405" i="4"/>
  <c r="H405" i="4"/>
  <c r="G405" i="4"/>
  <c r="D405" i="4"/>
  <c r="I404" i="4"/>
  <c r="H404" i="4"/>
  <c r="G404" i="4"/>
  <c r="D404" i="4"/>
  <c r="I403" i="4"/>
  <c r="H403" i="4"/>
  <c r="G403" i="4"/>
  <c r="D403" i="4"/>
  <c r="I402" i="4"/>
  <c r="H402" i="4"/>
  <c r="G402" i="4"/>
  <c r="D402" i="4"/>
  <c r="I401" i="4"/>
  <c r="H401" i="4"/>
  <c r="G401" i="4"/>
  <c r="D401" i="4"/>
  <c r="I400" i="4"/>
  <c r="H400" i="4"/>
  <c r="G400" i="4"/>
  <c r="D400" i="4"/>
  <c r="I399" i="4"/>
  <c r="H399" i="4"/>
  <c r="G399" i="4"/>
  <c r="D399" i="4"/>
  <c r="I398" i="4"/>
  <c r="H398" i="4"/>
  <c r="G398" i="4"/>
  <c r="D398" i="4"/>
  <c r="I397" i="4"/>
  <c r="H397" i="4"/>
  <c r="G397" i="4"/>
  <c r="D397" i="4"/>
  <c r="I396" i="4"/>
  <c r="H396" i="4"/>
  <c r="G396" i="4"/>
  <c r="D396" i="4"/>
  <c r="I395" i="4"/>
  <c r="H395" i="4"/>
  <c r="G395" i="4"/>
  <c r="D395" i="4"/>
  <c r="I394" i="4"/>
  <c r="H394" i="4"/>
  <c r="G394" i="4"/>
  <c r="D394" i="4"/>
  <c r="I393" i="4"/>
  <c r="H393" i="4"/>
  <c r="G393" i="4"/>
  <c r="D393" i="4"/>
  <c r="I392" i="4"/>
  <c r="H392" i="4"/>
  <c r="G392" i="4"/>
  <c r="D392" i="4"/>
  <c r="I391" i="4"/>
  <c r="H391" i="4"/>
  <c r="G391" i="4"/>
  <c r="D391" i="4"/>
  <c r="I390" i="4"/>
  <c r="H390" i="4"/>
  <c r="G390" i="4"/>
  <c r="D390" i="4"/>
  <c r="I389" i="4"/>
  <c r="H389" i="4"/>
  <c r="G389" i="4"/>
  <c r="D389" i="4"/>
  <c r="I388" i="4"/>
  <c r="H388" i="4"/>
  <c r="G388" i="4"/>
  <c r="D388" i="4"/>
  <c r="I387" i="4"/>
  <c r="H387" i="4"/>
  <c r="G387" i="4"/>
  <c r="D387" i="4"/>
  <c r="I386" i="4"/>
  <c r="H386" i="4"/>
  <c r="G386" i="4"/>
  <c r="D386" i="4"/>
  <c r="I385" i="4"/>
  <c r="H385" i="4"/>
  <c r="G385" i="4"/>
  <c r="D385" i="4"/>
  <c r="I384" i="4"/>
  <c r="H384" i="4"/>
  <c r="G384" i="4"/>
  <c r="D384" i="4"/>
  <c r="I383" i="4"/>
  <c r="H383" i="4"/>
  <c r="G383" i="4"/>
  <c r="D383" i="4"/>
  <c r="I382" i="4"/>
  <c r="H382" i="4"/>
  <c r="G382" i="4"/>
  <c r="D382" i="4"/>
  <c r="I381" i="4"/>
  <c r="H381" i="4"/>
  <c r="G381" i="4"/>
  <c r="D381" i="4"/>
  <c r="I380" i="4"/>
  <c r="H380" i="4"/>
  <c r="G380" i="4"/>
  <c r="D380" i="4"/>
  <c r="I379" i="4"/>
  <c r="H379" i="4"/>
  <c r="G379" i="4"/>
  <c r="D379" i="4"/>
  <c r="I378" i="4"/>
  <c r="H378" i="4"/>
  <c r="G378" i="4"/>
  <c r="D378" i="4"/>
  <c r="I377" i="4"/>
  <c r="H377" i="4"/>
  <c r="G377" i="4"/>
  <c r="D377" i="4"/>
  <c r="I376" i="4"/>
  <c r="H376" i="4"/>
  <c r="G376" i="4"/>
  <c r="D376" i="4"/>
  <c r="I375" i="4"/>
  <c r="H375" i="4"/>
  <c r="G375" i="4"/>
  <c r="D375" i="4"/>
  <c r="I374" i="4"/>
  <c r="H374" i="4"/>
  <c r="G374" i="4"/>
  <c r="D374" i="4"/>
  <c r="I373" i="4"/>
  <c r="H373" i="4"/>
  <c r="G373" i="4"/>
  <c r="D373" i="4"/>
  <c r="I372" i="4"/>
  <c r="H372" i="4"/>
  <c r="G372" i="4"/>
  <c r="D372" i="4"/>
  <c r="I371" i="4"/>
  <c r="H371" i="4"/>
  <c r="G371" i="4"/>
  <c r="D371" i="4"/>
  <c r="I370" i="4"/>
  <c r="H370" i="4"/>
  <c r="G370" i="4"/>
  <c r="D370" i="4"/>
  <c r="I369" i="4"/>
  <c r="H369" i="4"/>
  <c r="G369" i="4"/>
  <c r="D369" i="4"/>
  <c r="I368" i="4"/>
  <c r="H368" i="4"/>
  <c r="G368" i="4"/>
  <c r="D368" i="4"/>
  <c r="I367" i="4"/>
  <c r="H367" i="4"/>
  <c r="G367" i="4"/>
  <c r="D367" i="4"/>
  <c r="I366" i="4"/>
  <c r="H366" i="4"/>
  <c r="G366" i="4"/>
  <c r="D366" i="4"/>
  <c r="I365" i="4"/>
  <c r="H365" i="4"/>
  <c r="G365" i="4"/>
  <c r="D365" i="4"/>
  <c r="I364" i="4"/>
  <c r="H364" i="4"/>
  <c r="G364" i="4"/>
  <c r="D364" i="4"/>
  <c r="I363" i="4"/>
  <c r="H363" i="4"/>
  <c r="G363" i="4"/>
  <c r="D363" i="4"/>
  <c r="I362" i="4"/>
  <c r="H362" i="4"/>
  <c r="G362" i="4"/>
  <c r="D362" i="4"/>
  <c r="I361" i="4"/>
  <c r="H361" i="4"/>
  <c r="G361" i="4"/>
  <c r="D361" i="4"/>
  <c r="I360" i="4"/>
  <c r="H360" i="4"/>
  <c r="G360" i="4"/>
  <c r="D360" i="4"/>
  <c r="I359" i="4"/>
  <c r="H359" i="4"/>
  <c r="G359" i="4"/>
  <c r="D359" i="4"/>
  <c r="I358" i="4"/>
  <c r="H358" i="4"/>
  <c r="G358" i="4"/>
  <c r="D358" i="4"/>
  <c r="I357" i="4"/>
  <c r="H357" i="4"/>
  <c r="G357" i="4"/>
  <c r="D357" i="4"/>
  <c r="I356" i="4"/>
  <c r="H356" i="4"/>
  <c r="G356" i="4"/>
  <c r="D356" i="4"/>
  <c r="I355" i="4"/>
  <c r="H355" i="4"/>
  <c r="G355" i="4"/>
  <c r="D355" i="4"/>
  <c r="I354" i="4"/>
  <c r="H354" i="4"/>
  <c r="G354" i="4"/>
  <c r="D354" i="4"/>
  <c r="I353" i="4"/>
  <c r="H353" i="4"/>
  <c r="G353" i="4"/>
  <c r="D353" i="4"/>
  <c r="I352" i="4"/>
  <c r="H352" i="4"/>
  <c r="G352" i="4"/>
  <c r="D352" i="4"/>
  <c r="I351" i="4"/>
  <c r="H351" i="4"/>
  <c r="G351" i="4"/>
  <c r="D351" i="4"/>
  <c r="I350" i="4"/>
  <c r="H350" i="4"/>
  <c r="G350" i="4"/>
  <c r="D350" i="4"/>
  <c r="I349" i="4"/>
  <c r="H349" i="4"/>
  <c r="G349" i="4"/>
  <c r="D349" i="4"/>
  <c r="I348" i="4"/>
  <c r="H348" i="4"/>
  <c r="G348" i="4"/>
  <c r="D348" i="4"/>
  <c r="I347" i="4"/>
  <c r="H347" i="4"/>
  <c r="G347" i="4"/>
  <c r="D347" i="4"/>
  <c r="I346" i="4"/>
  <c r="H346" i="4"/>
  <c r="G346" i="4"/>
  <c r="D346" i="4"/>
  <c r="I345" i="4"/>
  <c r="H345" i="4"/>
  <c r="G345" i="4"/>
  <c r="D345" i="4"/>
  <c r="I344" i="4"/>
  <c r="H344" i="4"/>
  <c r="G344" i="4"/>
  <c r="D344" i="4"/>
  <c r="I343" i="4"/>
  <c r="H343" i="4"/>
  <c r="G343" i="4"/>
  <c r="D343" i="4"/>
  <c r="I342" i="4"/>
  <c r="H342" i="4"/>
  <c r="G342" i="4"/>
  <c r="D342" i="4"/>
  <c r="I341" i="4"/>
  <c r="H341" i="4"/>
  <c r="G341" i="4"/>
  <c r="D341" i="4"/>
  <c r="I340" i="4"/>
  <c r="H340" i="4"/>
  <c r="G340" i="4"/>
  <c r="D340" i="4"/>
  <c r="I339" i="4"/>
  <c r="H339" i="4"/>
  <c r="G339" i="4"/>
  <c r="D339" i="4"/>
  <c r="I338" i="4"/>
  <c r="H338" i="4"/>
  <c r="G338" i="4"/>
  <c r="D338" i="4"/>
  <c r="I337" i="4"/>
  <c r="H337" i="4"/>
  <c r="G337" i="4"/>
  <c r="D337" i="4"/>
  <c r="I336" i="4"/>
  <c r="H336" i="4"/>
  <c r="G336" i="4"/>
  <c r="D336" i="4"/>
  <c r="I335" i="4"/>
  <c r="H335" i="4"/>
  <c r="G335" i="4"/>
  <c r="D335" i="4"/>
  <c r="I334" i="4"/>
  <c r="H334" i="4"/>
  <c r="G334" i="4"/>
  <c r="D334" i="4"/>
  <c r="I333" i="4"/>
  <c r="H333" i="4"/>
  <c r="G333" i="4"/>
  <c r="D333" i="4"/>
  <c r="I332" i="4"/>
  <c r="H332" i="4"/>
  <c r="G332" i="4"/>
  <c r="D332" i="4"/>
  <c r="I331" i="4"/>
  <c r="H331" i="4"/>
  <c r="G331" i="4"/>
  <c r="D331" i="4"/>
  <c r="I330" i="4"/>
  <c r="H330" i="4"/>
  <c r="G330" i="4"/>
  <c r="D330" i="4"/>
  <c r="I329" i="4"/>
  <c r="H329" i="4"/>
  <c r="G329" i="4"/>
  <c r="D329" i="4"/>
  <c r="I328" i="4"/>
  <c r="H328" i="4"/>
  <c r="G328" i="4"/>
  <c r="D328" i="4"/>
  <c r="I327" i="4"/>
  <c r="H327" i="4"/>
  <c r="G327" i="4"/>
  <c r="D327" i="4"/>
  <c r="I326" i="4"/>
  <c r="H326" i="4"/>
  <c r="G326" i="4"/>
  <c r="D326" i="4"/>
  <c r="I325" i="4"/>
  <c r="H325" i="4"/>
  <c r="G325" i="4"/>
  <c r="D325" i="4"/>
  <c r="I324" i="4"/>
  <c r="H324" i="4"/>
  <c r="G324" i="4"/>
  <c r="D324" i="4"/>
  <c r="I323" i="4"/>
  <c r="H323" i="4"/>
  <c r="G323" i="4"/>
  <c r="D323" i="4"/>
  <c r="I322" i="4"/>
  <c r="H322" i="4"/>
  <c r="G322" i="4"/>
  <c r="D322" i="4"/>
  <c r="I321" i="4"/>
  <c r="H321" i="4"/>
  <c r="G321" i="4"/>
  <c r="D321" i="4"/>
  <c r="I320" i="4"/>
  <c r="H320" i="4"/>
  <c r="G320" i="4"/>
  <c r="D320" i="4"/>
  <c r="I319" i="4"/>
  <c r="H319" i="4"/>
  <c r="G319" i="4"/>
  <c r="D319" i="4"/>
  <c r="I318" i="4"/>
  <c r="H318" i="4"/>
  <c r="G318" i="4"/>
  <c r="D318" i="4"/>
  <c r="I317" i="4"/>
  <c r="H317" i="4"/>
  <c r="G317" i="4"/>
  <c r="D317" i="4"/>
  <c r="I316" i="4"/>
  <c r="H316" i="4"/>
  <c r="G316" i="4"/>
  <c r="D316" i="4"/>
  <c r="I315" i="4"/>
  <c r="H315" i="4"/>
  <c r="G315" i="4"/>
  <c r="D315" i="4"/>
  <c r="I314" i="4"/>
  <c r="H314" i="4"/>
  <c r="G314" i="4"/>
  <c r="D314" i="4"/>
  <c r="I313" i="4"/>
  <c r="H313" i="4"/>
  <c r="G313" i="4"/>
  <c r="D313" i="4"/>
  <c r="I312" i="4"/>
  <c r="H312" i="4"/>
  <c r="G312" i="4"/>
  <c r="D312" i="4"/>
  <c r="I311" i="4"/>
  <c r="H311" i="4"/>
  <c r="G311" i="4"/>
  <c r="D311" i="4"/>
  <c r="I310" i="4"/>
  <c r="H310" i="4"/>
  <c r="G310" i="4"/>
  <c r="D310" i="4"/>
  <c r="I309" i="4"/>
  <c r="H309" i="4"/>
  <c r="G309" i="4"/>
  <c r="D309" i="4"/>
  <c r="I308" i="4"/>
  <c r="H308" i="4"/>
  <c r="G308" i="4"/>
  <c r="D308" i="4"/>
  <c r="I307" i="4"/>
  <c r="H307" i="4"/>
  <c r="G307" i="4"/>
  <c r="D307" i="4"/>
  <c r="I306" i="4"/>
  <c r="H306" i="4"/>
  <c r="G306" i="4"/>
  <c r="D306" i="4"/>
  <c r="I305" i="4"/>
  <c r="H305" i="4"/>
  <c r="G305" i="4"/>
  <c r="D305" i="4"/>
  <c r="I304" i="4"/>
  <c r="H304" i="4"/>
  <c r="G304" i="4"/>
  <c r="D304" i="4"/>
  <c r="I303" i="4"/>
  <c r="H303" i="4"/>
  <c r="G303" i="4"/>
  <c r="D303" i="4"/>
  <c r="I302" i="4"/>
  <c r="H302" i="4"/>
  <c r="G302" i="4"/>
  <c r="D302" i="4"/>
  <c r="I301" i="4"/>
  <c r="H301" i="4"/>
  <c r="G301" i="4"/>
  <c r="D301" i="4"/>
  <c r="I300" i="4"/>
  <c r="H300" i="4"/>
  <c r="G300" i="4"/>
  <c r="D300" i="4"/>
  <c r="I299" i="4"/>
  <c r="H299" i="4"/>
  <c r="G299" i="4"/>
  <c r="D299" i="4"/>
  <c r="I298" i="4"/>
  <c r="H298" i="4"/>
  <c r="G298" i="4"/>
  <c r="D298" i="4"/>
  <c r="I297" i="4"/>
  <c r="H297" i="4"/>
  <c r="G297" i="4"/>
  <c r="D297" i="4"/>
  <c r="I296" i="4"/>
  <c r="H296" i="4"/>
  <c r="G296" i="4"/>
  <c r="D296" i="4"/>
  <c r="I295" i="4"/>
  <c r="H295" i="4"/>
  <c r="G295" i="4"/>
  <c r="D295" i="4"/>
  <c r="I294" i="4"/>
  <c r="H294" i="4"/>
  <c r="G294" i="4"/>
  <c r="D294" i="4"/>
  <c r="I293" i="4"/>
  <c r="H293" i="4"/>
  <c r="G293" i="4"/>
  <c r="D293" i="4"/>
  <c r="I292" i="4"/>
  <c r="H292" i="4"/>
  <c r="G292" i="4"/>
  <c r="D292" i="4"/>
  <c r="I291" i="4"/>
  <c r="H291" i="4"/>
  <c r="G291" i="4"/>
  <c r="D291" i="4"/>
  <c r="I290" i="4"/>
  <c r="H290" i="4"/>
  <c r="G290" i="4"/>
  <c r="D290" i="4"/>
  <c r="I289" i="4"/>
  <c r="H289" i="4"/>
  <c r="G289" i="4"/>
  <c r="D289" i="4"/>
  <c r="I288" i="4"/>
  <c r="H288" i="4"/>
  <c r="G288" i="4"/>
  <c r="D288" i="4"/>
  <c r="I287" i="4"/>
  <c r="H287" i="4"/>
  <c r="G287" i="4"/>
  <c r="D287" i="4"/>
  <c r="I286" i="4"/>
  <c r="H286" i="4"/>
  <c r="G286" i="4"/>
  <c r="D286" i="4"/>
  <c r="I285" i="4"/>
  <c r="H285" i="4"/>
  <c r="G285" i="4"/>
  <c r="D285" i="4"/>
  <c r="I284" i="4"/>
  <c r="H284" i="4"/>
  <c r="G284" i="4"/>
  <c r="D284" i="4"/>
  <c r="I283" i="4"/>
  <c r="H283" i="4"/>
  <c r="G283" i="4"/>
  <c r="D283" i="4"/>
  <c r="I282" i="4"/>
  <c r="H282" i="4"/>
  <c r="G282" i="4"/>
  <c r="D282" i="4"/>
  <c r="I281" i="4"/>
  <c r="H281" i="4"/>
  <c r="G281" i="4"/>
  <c r="D281" i="4"/>
  <c r="I280" i="4"/>
  <c r="H280" i="4"/>
  <c r="G280" i="4"/>
  <c r="D280" i="4"/>
  <c r="I279" i="4"/>
  <c r="H279" i="4"/>
  <c r="G279" i="4"/>
  <c r="D279" i="4"/>
  <c r="I278" i="4"/>
  <c r="H278" i="4"/>
  <c r="G278" i="4"/>
  <c r="D278" i="4"/>
  <c r="I277" i="4"/>
  <c r="H277" i="4"/>
  <c r="G277" i="4"/>
  <c r="D277" i="4"/>
  <c r="I276" i="4"/>
  <c r="H276" i="4"/>
  <c r="G276" i="4"/>
  <c r="D276" i="4"/>
  <c r="I275" i="4"/>
  <c r="H275" i="4"/>
  <c r="G275" i="4"/>
  <c r="D275" i="4"/>
  <c r="I274" i="4"/>
  <c r="H274" i="4"/>
  <c r="G274" i="4"/>
  <c r="D274" i="4"/>
  <c r="I273" i="4"/>
  <c r="H273" i="4"/>
  <c r="G273" i="4"/>
  <c r="D273" i="4"/>
  <c r="I272" i="4"/>
  <c r="H272" i="4"/>
  <c r="G272" i="4"/>
  <c r="D272" i="4"/>
  <c r="I271" i="4"/>
  <c r="H271" i="4"/>
  <c r="G271" i="4"/>
  <c r="D271" i="4"/>
  <c r="I270" i="4"/>
  <c r="H270" i="4"/>
  <c r="G270" i="4"/>
  <c r="D270" i="4"/>
  <c r="I269" i="4"/>
  <c r="H269" i="4"/>
  <c r="G269" i="4"/>
  <c r="D269" i="4"/>
  <c r="I268" i="4"/>
  <c r="H268" i="4"/>
  <c r="G268" i="4"/>
  <c r="D268" i="4"/>
  <c r="I267" i="4"/>
  <c r="H267" i="4"/>
  <c r="G267" i="4"/>
  <c r="D267" i="4"/>
  <c r="I266" i="4"/>
  <c r="H266" i="4"/>
  <c r="G266" i="4"/>
  <c r="D266" i="4"/>
  <c r="I265" i="4"/>
  <c r="H265" i="4"/>
  <c r="G265" i="4"/>
  <c r="D265" i="4"/>
  <c r="I264" i="4"/>
  <c r="H264" i="4"/>
  <c r="G264" i="4"/>
  <c r="D264" i="4"/>
  <c r="I263" i="4"/>
  <c r="H263" i="4"/>
  <c r="G263" i="4"/>
  <c r="D263" i="4"/>
  <c r="I262" i="4"/>
  <c r="H262" i="4"/>
  <c r="G262" i="4"/>
  <c r="D262" i="4"/>
  <c r="I261" i="4"/>
  <c r="H261" i="4"/>
  <c r="G261" i="4"/>
  <c r="D261" i="4"/>
  <c r="I260" i="4"/>
  <c r="H260" i="4"/>
  <c r="G260" i="4"/>
  <c r="D260" i="4"/>
  <c r="I259" i="4"/>
  <c r="H259" i="4"/>
  <c r="G259" i="4"/>
  <c r="D259" i="4"/>
  <c r="I258" i="4"/>
  <c r="H258" i="4"/>
  <c r="G258" i="4"/>
  <c r="D258" i="4"/>
  <c r="I257" i="4"/>
  <c r="H257" i="4"/>
  <c r="G257" i="4"/>
  <c r="D257" i="4"/>
  <c r="I256" i="4"/>
  <c r="H256" i="4"/>
  <c r="G256" i="4"/>
  <c r="D256" i="4"/>
  <c r="I255" i="4"/>
  <c r="H255" i="4"/>
  <c r="G255" i="4"/>
  <c r="D255" i="4"/>
  <c r="I254" i="4"/>
  <c r="H254" i="4"/>
  <c r="G254" i="4"/>
  <c r="D254" i="4"/>
  <c r="I253" i="4"/>
  <c r="H253" i="4"/>
  <c r="G253" i="4"/>
  <c r="D253" i="4"/>
  <c r="I252" i="4"/>
  <c r="H252" i="4"/>
  <c r="G252" i="4"/>
  <c r="D252" i="4"/>
  <c r="I251" i="4"/>
  <c r="H251" i="4"/>
  <c r="G251" i="4"/>
  <c r="D251" i="4"/>
  <c r="I250" i="4"/>
  <c r="H250" i="4"/>
  <c r="G250" i="4"/>
  <c r="D250" i="4"/>
  <c r="I249" i="4"/>
  <c r="H249" i="4"/>
  <c r="G249" i="4"/>
  <c r="D249" i="4"/>
  <c r="I248" i="4"/>
  <c r="H248" i="4"/>
  <c r="G248" i="4"/>
  <c r="D248" i="4"/>
  <c r="I247" i="4"/>
  <c r="H247" i="4"/>
  <c r="G247" i="4"/>
  <c r="D247" i="4"/>
  <c r="I246" i="4"/>
  <c r="H246" i="4"/>
  <c r="G246" i="4"/>
  <c r="D246" i="4"/>
  <c r="I245" i="4"/>
  <c r="H245" i="4"/>
  <c r="G245" i="4"/>
  <c r="D245" i="4"/>
  <c r="I244" i="4"/>
  <c r="H244" i="4"/>
  <c r="G244" i="4"/>
  <c r="D244" i="4"/>
  <c r="I243" i="4"/>
  <c r="H243" i="4"/>
  <c r="G243" i="4"/>
  <c r="D243" i="4"/>
  <c r="I242" i="4"/>
  <c r="H242" i="4"/>
  <c r="G242" i="4"/>
  <c r="D242" i="4"/>
  <c r="I241" i="4"/>
  <c r="H241" i="4"/>
  <c r="G241" i="4"/>
  <c r="D241" i="4"/>
  <c r="I240" i="4"/>
  <c r="H240" i="4"/>
  <c r="G240" i="4"/>
  <c r="D240" i="4"/>
  <c r="I239" i="4"/>
  <c r="H239" i="4"/>
  <c r="G239" i="4"/>
  <c r="D239" i="4"/>
  <c r="I238" i="4"/>
  <c r="H238" i="4"/>
  <c r="G238" i="4"/>
  <c r="D238" i="4"/>
  <c r="I237" i="4"/>
  <c r="H237" i="4"/>
  <c r="G237" i="4"/>
  <c r="D237" i="4"/>
  <c r="I236" i="4"/>
  <c r="H236" i="4"/>
  <c r="G236" i="4"/>
  <c r="D236" i="4"/>
  <c r="I235" i="4"/>
  <c r="H235" i="4"/>
  <c r="G235" i="4"/>
  <c r="D235" i="4"/>
  <c r="I234" i="4"/>
  <c r="H234" i="4"/>
  <c r="G234" i="4"/>
  <c r="D234" i="4"/>
  <c r="I233" i="4"/>
  <c r="H233" i="4"/>
  <c r="G233" i="4"/>
  <c r="D233" i="4"/>
  <c r="I232" i="4"/>
  <c r="H232" i="4"/>
  <c r="G232" i="4"/>
  <c r="D232" i="4"/>
  <c r="I231" i="4"/>
  <c r="H231" i="4"/>
  <c r="G231" i="4"/>
  <c r="D231" i="4"/>
  <c r="I230" i="4"/>
  <c r="H230" i="4"/>
  <c r="G230" i="4"/>
  <c r="D230" i="4"/>
  <c r="I229" i="4"/>
  <c r="H229" i="4"/>
  <c r="G229" i="4"/>
  <c r="D229" i="4"/>
  <c r="I228" i="4"/>
  <c r="H228" i="4"/>
  <c r="G228" i="4"/>
  <c r="D228" i="4"/>
  <c r="I227" i="4"/>
  <c r="H227" i="4"/>
  <c r="G227" i="4"/>
  <c r="D227" i="4"/>
  <c r="I226" i="4"/>
  <c r="H226" i="4"/>
  <c r="G226" i="4"/>
  <c r="D226" i="4"/>
  <c r="I225" i="4"/>
  <c r="H225" i="4"/>
  <c r="G225" i="4"/>
  <c r="D225" i="4"/>
  <c r="I224" i="4"/>
  <c r="H224" i="4"/>
  <c r="G224" i="4"/>
  <c r="D224" i="4"/>
  <c r="I223" i="4"/>
  <c r="H223" i="4"/>
  <c r="G223" i="4"/>
  <c r="D223" i="4"/>
  <c r="I222" i="4"/>
  <c r="H222" i="4"/>
  <c r="G222" i="4"/>
  <c r="D222" i="4"/>
  <c r="I221" i="4"/>
  <c r="H221" i="4"/>
  <c r="G221" i="4"/>
  <c r="D221" i="4"/>
  <c r="I220" i="4"/>
  <c r="H220" i="4"/>
  <c r="G220" i="4"/>
  <c r="D220" i="4"/>
  <c r="I219" i="4"/>
  <c r="H219" i="4"/>
  <c r="G219" i="4"/>
  <c r="D219" i="4"/>
  <c r="I218" i="4"/>
  <c r="H218" i="4"/>
  <c r="G218" i="4"/>
  <c r="D218" i="4"/>
  <c r="I217" i="4"/>
  <c r="H217" i="4"/>
  <c r="G217" i="4"/>
  <c r="D217" i="4"/>
  <c r="I216" i="4"/>
  <c r="H216" i="4"/>
  <c r="G216" i="4"/>
  <c r="D216" i="4"/>
  <c r="I215" i="4"/>
  <c r="H215" i="4"/>
  <c r="G215" i="4"/>
  <c r="D215" i="4"/>
  <c r="I214" i="4"/>
  <c r="H214" i="4"/>
  <c r="G214" i="4"/>
  <c r="D214" i="4"/>
  <c r="I213" i="4"/>
  <c r="H213" i="4"/>
  <c r="G213" i="4"/>
  <c r="D213" i="4"/>
  <c r="I212" i="4"/>
  <c r="H212" i="4"/>
  <c r="G212" i="4"/>
  <c r="D212" i="4"/>
  <c r="I211" i="4"/>
  <c r="H211" i="4"/>
  <c r="G211" i="4"/>
  <c r="D211" i="4"/>
  <c r="I210" i="4"/>
  <c r="H210" i="4"/>
  <c r="G210" i="4"/>
  <c r="D210" i="4"/>
  <c r="I209" i="4"/>
  <c r="H209" i="4"/>
  <c r="G209" i="4"/>
  <c r="D209" i="4"/>
  <c r="I208" i="4"/>
  <c r="H208" i="4"/>
  <c r="G208" i="4"/>
  <c r="D208" i="4"/>
  <c r="I207" i="4"/>
  <c r="H207" i="4"/>
  <c r="G207" i="4"/>
  <c r="D207" i="4"/>
  <c r="I206" i="4"/>
  <c r="H206" i="4"/>
  <c r="G206" i="4"/>
  <c r="D206" i="4"/>
  <c r="I205" i="4"/>
  <c r="H205" i="4"/>
  <c r="G205" i="4"/>
  <c r="D205" i="4"/>
  <c r="I204" i="4"/>
  <c r="H204" i="4"/>
  <c r="G204" i="4"/>
  <c r="D204" i="4"/>
  <c r="I203" i="4"/>
  <c r="H203" i="4"/>
  <c r="G203" i="4"/>
  <c r="D203" i="4"/>
  <c r="I202" i="4"/>
  <c r="H202" i="4"/>
  <c r="G202" i="4"/>
  <c r="D202" i="4"/>
  <c r="I201" i="4"/>
  <c r="H201" i="4"/>
  <c r="G201" i="4"/>
  <c r="D201" i="4"/>
  <c r="I200" i="4"/>
  <c r="H200" i="4"/>
  <c r="G200" i="4"/>
  <c r="D200" i="4"/>
  <c r="I199" i="4"/>
  <c r="H199" i="4"/>
  <c r="G199" i="4"/>
  <c r="D199" i="4"/>
  <c r="I198" i="4"/>
  <c r="H198" i="4"/>
  <c r="G198" i="4"/>
  <c r="D198" i="4"/>
  <c r="I197" i="4"/>
  <c r="H197" i="4"/>
  <c r="G197" i="4"/>
  <c r="D197" i="4"/>
  <c r="I196" i="4"/>
  <c r="H196" i="4"/>
  <c r="G196" i="4"/>
  <c r="D196" i="4"/>
  <c r="I195" i="4"/>
  <c r="H195" i="4"/>
  <c r="G195" i="4"/>
  <c r="D195" i="4"/>
  <c r="I194" i="4"/>
  <c r="H194" i="4"/>
  <c r="G194" i="4"/>
  <c r="D194" i="4"/>
  <c r="I193" i="4"/>
  <c r="H193" i="4"/>
  <c r="G193" i="4"/>
  <c r="D193" i="4"/>
  <c r="I192" i="4"/>
  <c r="H192" i="4"/>
  <c r="G192" i="4"/>
  <c r="D192" i="4"/>
  <c r="I191" i="4"/>
  <c r="H191" i="4"/>
  <c r="G191" i="4"/>
  <c r="D191" i="4"/>
  <c r="I190" i="4"/>
  <c r="H190" i="4"/>
  <c r="G190" i="4"/>
  <c r="D190" i="4"/>
  <c r="I189" i="4"/>
  <c r="H189" i="4"/>
  <c r="G189" i="4"/>
  <c r="D189" i="4"/>
  <c r="I188" i="4"/>
  <c r="H188" i="4"/>
  <c r="G188" i="4"/>
  <c r="D188" i="4"/>
  <c r="I187" i="4"/>
  <c r="H187" i="4"/>
  <c r="G187" i="4"/>
  <c r="D187" i="4"/>
  <c r="I186" i="4"/>
  <c r="H186" i="4"/>
  <c r="G186" i="4"/>
  <c r="D186" i="4"/>
  <c r="I185" i="4"/>
  <c r="H185" i="4"/>
  <c r="G185" i="4"/>
  <c r="D185" i="4"/>
  <c r="I184" i="4"/>
  <c r="H184" i="4"/>
  <c r="G184" i="4"/>
  <c r="D184" i="4"/>
  <c r="I183" i="4"/>
  <c r="H183" i="4"/>
  <c r="G183" i="4"/>
  <c r="D183" i="4"/>
  <c r="I182" i="4"/>
  <c r="H182" i="4"/>
  <c r="G182" i="4"/>
  <c r="D182" i="4"/>
  <c r="I181" i="4"/>
  <c r="H181" i="4"/>
  <c r="G181" i="4"/>
  <c r="D181" i="4"/>
  <c r="I180" i="4"/>
  <c r="H180" i="4"/>
  <c r="G180" i="4"/>
  <c r="D180" i="4"/>
  <c r="I179" i="4"/>
  <c r="H179" i="4"/>
  <c r="G179" i="4"/>
  <c r="D179" i="4"/>
  <c r="I178" i="4"/>
  <c r="H178" i="4"/>
  <c r="G178" i="4"/>
  <c r="D178" i="4"/>
  <c r="I177" i="4"/>
  <c r="H177" i="4"/>
  <c r="G177" i="4"/>
  <c r="D177" i="4"/>
  <c r="I176" i="4"/>
  <c r="H176" i="4"/>
  <c r="G176" i="4"/>
  <c r="D176" i="4"/>
  <c r="I175" i="4"/>
  <c r="H175" i="4"/>
  <c r="G175" i="4"/>
  <c r="D175" i="4"/>
  <c r="I174" i="4"/>
  <c r="H174" i="4"/>
  <c r="G174" i="4"/>
  <c r="D174" i="4"/>
  <c r="I173" i="4"/>
  <c r="H173" i="4"/>
  <c r="G173" i="4"/>
  <c r="D173" i="4"/>
  <c r="I172" i="4"/>
  <c r="H172" i="4"/>
  <c r="G172" i="4"/>
  <c r="D172" i="4"/>
  <c r="I171" i="4"/>
  <c r="H171" i="4"/>
  <c r="G171" i="4"/>
  <c r="D171" i="4"/>
  <c r="I170" i="4"/>
  <c r="H170" i="4"/>
  <c r="G170" i="4"/>
  <c r="D170" i="4"/>
  <c r="I169" i="4"/>
  <c r="H169" i="4"/>
  <c r="G169" i="4"/>
  <c r="D169" i="4"/>
  <c r="I168" i="4"/>
  <c r="H168" i="4"/>
  <c r="G168" i="4"/>
  <c r="D168" i="4"/>
  <c r="I167" i="4"/>
  <c r="H167" i="4"/>
  <c r="G167" i="4"/>
  <c r="D167" i="4"/>
  <c r="I166" i="4"/>
  <c r="H166" i="4"/>
  <c r="G166" i="4"/>
  <c r="D166" i="4"/>
  <c r="I165" i="4"/>
  <c r="H165" i="4"/>
  <c r="G165" i="4"/>
  <c r="D165" i="4"/>
  <c r="I164" i="4"/>
  <c r="H164" i="4"/>
  <c r="G164" i="4"/>
  <c r="D164" i="4"/>
  <c r="I163" i="4"/>
  <c r="H163" i="4"/>
  <c r="G163" i="4"/>
  <c r="D163" i="4"/>
  <c r="I162" i="4"/>
  <c r="H162" i="4"/>
  <c r="G162" i="4"/>
  <c r="D162" i="4"/>
  <c r="I161" i="4"/>
  <c r="H161" i="4"/>
  <c r="G161" i="4"/>
  <c r="D161" i="4"/>
  <c r="I160" i="4"/>
  <c r="H160" i="4"/>
  <c r="G160" i="4"/>
  <c r="D160" i="4"/>
  <c r="I159" i="4"/>
  <c r="H159" i="4"/>
  <c r="G159" i="4"/>
  <c r="D159" i="4"/>
  <c r="I158" i="4"/>
  <c r="H158" i="4"/>
  <c r="G158" i="4"/>
  <c r="D158" i="4"/>
  <c r="I157" i="4"/>
  <c r="H157" i="4"/>
  <c r="G157" i="4"/>
  <c r="D157" i="4"/>
  <c r="I156" i="4"/>
  <c r="H156" i="4"/>
  <c r="G156" i="4"/>
  <c r="D156" i="4"/>
  <c r="I155" i="4"/>
  <c r="H155" i="4"/>
  <c r="G155" i="4"/>
  <c r="D155" i="4"/>
  <c r="I154" i="4"/>
  <c r="H154" i="4"/>
  <c r="G154" i="4"/>
  <c r="D154" i="4"/>
  <c r="I153" i="4"/>
  <c r="H153" i="4"/>
  <c r="G153" i="4"/>
  <c r="D153" i="4"/>
  <c r="I152" i="4"/>
  <c r="H152" i="4"/>
  <c r="G152" i="4"/>
  <c r="D152" i="4"/>
  <c r="I151" i="4"/>
  <c r="H151" i="4"/>
  <c r="G151" i="4"/>
  <c r="D151" i="4"/>
  <c r="I150" i="4"/>
  <c r="H150" i="4"/>
  <c r="G150" i="4"/>
  <c r="D150" i="4"/>
  <c r="I149" i="4"/>
  <c r="H149" i="4"/>
  <c r="G149" i="4"/>
  <c r="D149" i="4"/>
  <c r="I148" i="4"/>
  <c r="H148" i="4"/>
  <c r="G148" i="4"/>
  <c r="D148" i="4"/>
  <c r="I147" i="4"/>
  <c r="H147" i="4"/>
  <c r="G147" i="4"/>
  <c r="D147" i="4"/>
  <c r="I146" i="4"/>
  <c r="H146" i="4"/>
  <c r="G146" i="4"/>
  <c r="D146" i="4"/>
  <c r="I145" i="4"/>
  <c r="H145" i="4"/>
  <c r="G145" i="4"/>
  <c r="D145" i="4"/>
  <c r="I144" i="4"/>
  <c r="H144" i="4"/>
  <c r="G144" i="4"/>
  <c r="D144" i="4"/>
  <c r="I143" i="4"/>
  <c r="H143" i="4"/>
  <c r="G143" i="4"/>
  <c r="D143" i="4"/>
  <c r="I142" i="4"/>
  <c r="H142" i="4"/>
  <c r="G142" i="4"/>
  <c r="D142" i="4"/>
  <c r="I141" i="4"/>
  <c r="H141" i="4"/>
  <c r="G141" i="4"/>
  <c r="D141" i="4"/>
  <c r="I140" i="4"/>
  <c r="H140" i="4"/>
  <c r="G140" i="4"/>
  <c r="D140" i="4"/>
  <c r="I139" i="4"/>
  <c r="H139" i="4"/>
  <c r="G139" i="4"/>
  <c r="D139" i="4"/>
  <c r="I138" i="4"/>
  <c r="H138" i="4"/>
  <c r="G138" i="4"/>
  <c r="D138" i="4"/>
  <c r="I137" i="4"/>
  <c r="H137" i="4"/>
  <c r="G137" i="4"/>
  <c r="D137" i="4"/>
  <c r="I136" i="4"/>
  <c r="H136" i="4"/>
  <c r="G136" i="4"/>
  <c r="D136" i="4"/>
  <c r="I135" i="4"/>
  <c r="H135" i="4"/>
  <c r="G135" i="4"/>
  <c r="D135" i="4"/>
  <c r="I134" i="4"/>
  <c r="H134" i="4"/>
  <c r="G134" i="4"/>
  <c r="D134" i="4"/>
  <c r="I133" i="4"/>
  <c r="H133" i="4"/>
  <c r="G133" i="4"/>
  <c r="D133" i="4"/>
  <c r="I132" i="4"/>
  <c r="H132" i="4"/>
  <c r="G132" i="4"/>
  <c r="D132" i="4"/>
  <c r="I131" i="4"/>
  <c r="H131" i="4"/>
  <c r="G131" i="4"/>
  <c r="D131" i="4"/>
  <c r="I130" i="4"/>
  <c r="H130" i="4"/>
  <c r="G130" i="4"/>
  <c r="D130" i="4"/>
  <c r="I129" i="4"/>
  <c r="H129" i="4"/>
  <c r="G129" i="4"/>
  <c r="D129" i="4"/>
  <c r="I128" i="4"/>
  <c r="H128" i="4"/>
  <c r="G128" i="4"/>
  <c r="D128" i="4"/>
  <c r="I127" i="4"/>
  <c r="H127" i="4"/>
  <c r="G127" i="4"/>
  <c r="D127" i="4"/>
  <c r="I126" i="4"/>
  <c r="H126" i="4"/>
  <c r="G126" i="4"/>
  <c r="D126" i="4"/>
  <c r="I125" i="4"/>
  <c r="H125" i="4"/>
  <c r="G125" i="4"/>
  <c r="D125" i="4"/>
  <c r="I124" i="4"/>
  <c r="H124" i="4"/>
  <c r="G124" i="4"/>
  <c r="D124" i="4"/>
  <c r="I123" i="4"/>
  <c r="H123" i="4"/>
  <c r="G123" i="4"/>
  <c r="D123" i="4"/>
  <c r="I122" i="4"/>
  <c r="H122" i="4"/>
  <c r="G122" i="4"/>
  <c r="D122" i="4"/>
  <c r="I121" i="4"/>
  <c r="H121" i="4"/>
  <c r="G121" i="4"/>
  <c r="D121" i="4"/>
  <c r="I120" i="4"/>
  <c r="H120" i="4"/>
  <c r="G120" i="4"/>
  <c r="D120" i="4"/>
  <c r="I119" i="4"/>
  <c r="H119" i="4"/>
  <c r="G119" i="4"/>
  <c r="D119" i="4"/>
  <c r="I118" i="4"/>
  <c r="H118" i="4"/>
  <c r="G118" i="4"/>
  <c r="D118" i="4"/>
  <c r="I117" i="4"/>
  <c r="H117" i="4"/>
  <c r="G117" i="4"/>
  <c r="D117" i="4"/>
  <c r="I116" i="4"/>
  <c r="H116" i="4"/>
  <c r="G116" i="4"/>
  <c r="D116" i="4"/>
  <c r="I115" i="4"/>
  <c r="H115" i="4"/>
  <c r="G115" i="4"/>
  <c r="D115" i="4"/>
  <c r="I114" i="4"/>
  <c r="H114" i="4"/>
  <c r="G114" i="4"/>
  <c r="D114" i="4"/>
  <c r="I113" i="4"/>
  <c r="H113" i="4"/>
  <c r="G113" i="4"/>
  <c r="D113" i="4"/>
  <c r="I112" i="4"/>
  <c r="H112" i="4"/>
  <c r="G112" i="4"/>
  <c r="D112" i="4"/>
  <c r="I111" i="4"/>
  <c r="H111" i="4"/>
  <c r="G111" i="4"/>
  <c r="D111" i="4"/>
  <c r="I110" i="4"/>
  <c r="H110" i="4"/>
  <c r="G110" i="4"/>
  <c r="D110" i="4"/>
  <c r="I109" i="4"/>
  <c r="H109" i="4"/>
  <c r="G109" i="4"/>
  <c r="D109" i="4"/>
  <c r="I108" i="4"/>
  <c r="H108" i="4"/>
  <c r="G108" i="4"/>
  <c r="D108" i="4"/>
  <c r="I107" i="4"/>
  <c r="H107" i="4"/>
  <c r="G107" i="4"/>
  <c r="D107" i="4"/>
  <c r="I106" i="4"/>
  <c r="H106" i="4"/>
  <c r="G106" i="4"/>
  <c r="D106" i="4"/>
  <c r="I105" i="4"/>
  <c r="H105" i="4"/>
  <c r="G105" i="4"/>
  <c r="D105" i="4"/>
  <c r="I104" i="4"/>
  <c r="H104" i="4"/>
  <c r="G104" i="4"/>
  <c r="D104" i="4"/>
  <c r="I103" i="4"/>
  <c r="H103" i="4"/>
  <c r="G103" i="4"/>
  <c r="D103" i="4"/>
  <c r="I102" i="4"/>
  <c r="H102" i="4"/>
  <c r="G102" i="4"/>
  <c r="D102" i="4"/>
  <c r="I101" i="4"/>
  <c r="H101" i="4"/>
  <c r="G101" i="4"/>
  <c r="D101" i="4"/>
  <c r="I100" i="4"/>
  <c r="H100" i="4"/>
  <c r="G100" i="4"/>
  <c r="D100" i="4"/>
  <c r="I99" i="4"/>
  <c r="H99" i="4"/>
  <c r="G99" i="4"/>
  <c r="D99" i="4"/>
  <c r="I98" i="4"/>
  <c r="H98" i="4"/>
  <c r="G98" i="4"/>
  <c r="D98" i="4"/>
  <c r="I97" i="4"/>
  <c r="H97" i="4"/>
  <c r="G97" i="4"/>
  <c r="D97" i="4"/>
  <c r="I96" i="4"/>
  <c r="H96" i="4"/>
  <c r="G96" i="4"/>
  <c r="D96" i="4"/>
  <c r="I95" i="4"/>
  <c r="H95" i="4"/>
  <c r="G95" i="4"/>
  <c r="D95" i="4"/>
  <c r="I94" i="4"/>
  <c r="H94" i="4"/>
  <c r="G94" i="4"/>
  <c r="D94" i="4"/>
  <c r="I93" i="4"/>
  <c r="H93" i="4"/>
  <c r="G93" i="4"/>
  <c r="D93" i="4"/>
  <c r="I92" i="4"/>
  <c r="H92" i="4"/>
  <c r="G92" i="4"/>
  <c r="D92" i="4"/>
  <c r="I91" i="4"/>
  <c r="H91" i="4"/>
  <c r="G91" i="4"/>
  <c r="D91" i="4"/>
  <c r="I90" i="4"/>
  <c r="H90" i="4"/>
  <c r="G90" i="4"/>
  <c r="D90" i="4"/>
  <c r="I89" i="4"/>
  <c r="H89" i="4"/>
  <c r="G89" i="4"/>
  <c r="D89" i="4"/>
  <c r="I88" i="4"/>
  <c r="H88" i="4"/>
  <c r="G88" i="4"/>
  <c r="D88" i="4"/>
  <c r="I87" i="4"/>
  <c r="H87" i="4"/>
  <c r="G87" i="4"/>
  <c r="D87" i="4"/>
  <c r="I86" i="4"/>
  <c r="H86" i="4"/>
  <c r="G86" i="4"/>
  <c r="D86" i="4"/>
  <c r="I85" i="4"/>
  <c r="H85" i="4"/>
  <c r="G85" i="4"/>
  <c r="D85" i="4"/>
  <c r="I84" i="4"/>
  <c r="H84" i="4"/>
  <c r="G84" i="4"/>
  <c r="D84" i="4"/>
  <c r="I83" i="4"/>
  <c r="H83" i="4"/>
  <c r="G83" i="4"/>
  <c r="D83" i="4"/>
  <c r="I82" i="4"/>
  <c r="H82" i="4"/>
  <c r="G82" i="4"/>
  <c r="D82" i="4"/>
  <c r="I81" i="4"/>
  <c r="H81" i="4"/>
  <c r="G81" i="4"/>
  <c r="D81" i="4"/>
  <c r="I80" i="4"/>
  <c r="H80" i="4"/>
  <c r="G80" i="4"/>
  <c r="D80" i="4"/>
  <c r="I79" i="4"/>
  <c r="H79" i="4"/>
  <c r="G79" i="4"/>
  <c r="D79" i="4"/>
  <c r="I78" i="4"/>
  <c r="H78" i="4"/>
  <c r="G78" i="4"/>
  <c r="D78" i="4"/>
  <c r="I77" i="4"/>
  <c r="H77" i="4"/>
  <c r="G77" i="4"/>
  <c r="D77" i="4"/>
  <c r="I76" i="4"/>
  <c r="H76" i="4"/>
  <c r="G76" i="4"/>
  <c r="D76" i="4"/>
  <c r="I75" i="4"/>
  <c r="H75" i="4"/>
  <c r="G75" i="4"/>
  <c r="D75" i="4"/>
  <c r="I74" i="4"/>
  <c r="H74" i="4"/>
  <c r="G74" i="4"/>
  <c r="D74" i="4"/>
  <c r="I73" i="4"/>
  <c r="H73" i="4"/>
  <c r="G73" i="4"/>
  <c r="D73" i="4"/>
  <c r="I72" i="4"/>
  <c r="H72" i="4"/>
  <c r="G72" i="4"/>
  <c r="D72" i="4"/>
  <c r="I71" i="4"/>
  <c r="H71" i="4"/>
  <c r="G71" i="4"/>
  <c r="D71" i="4"/>
  <c r="I70" i="4"/>
  <c r="H70" i="4"/>
  <c r="G70" i="4"/>
  <c r="D70" i="4"/>
  <c r="I69" i="4"/>
  <c r="H69" i="4"/>
  <c r="G69" i="4"/>
  <c r="D69" i="4"/>
  <c r="I68" i="4"/>
  <c r="H68" i="4"/>
  <c r="G68" i="4"/>
  <c r="D68" i="4"/>
  <c r="I67" i="4"/>
  <c r="H67" i="4"/>
  <c r="G67" i="4"/>
  <c r="D67" i="4"/>
  <c r="I66" i="4"/>
  <c r="H66" i="4"/>
  <c r="G66" i="4"/>
  <c r="D66" i="4"/>
  <c r="I65" i="4"/>
  <c r="H65" i="4"/>
  <c r="G65" i="4"/>
  <c r="D65" i="4"/>
  <c r="I64" i="4"/>
  <c r="H64" i="4"/>
  <c r="G64" i="4"/>
  <c r="D64" i="4"/>
  <c r="I63" i="4"/>
  <c r="H63" i="4"/>
  <c r="G63" i="4"/>
  <c r="D63" i="4"/>
  <c r="I62" i="4"/>
  <c r="H62" i="4"/>
  <c r="G62" i="4"/>
  <c r="D62" i="4"/>
  <c r="I61" i="4"/>
  <c r="H61" i="4"/>
  <c r="G61" i="4"/>
  <c r="D61" i="4"/>
  <c r="I60" i="4"/>
  <c r="H60" i="4"/>
  <c r="G60" i="4"/>
  <c r="D60" i="4"/>
  <c r="I59" i="4"/>
  <c r="H59" i="4"/>
  <c r="G59" i="4"/>
  <c r="D59" i="4"/>
  <c r="I58" i="4"/>
  <c r="H58" i="4"/>
  <c r="G58" i="4"/>
  <c r="D58" i="4"/>
  <c r="I57" i="4"/>
  <c r="H57" i="4"/>
  <c r="G57" i="4"/>
  <c r="D57" i="4"/>
  <c r="I56" i="4"/>
  <c r="H56" i="4"/>
  <c r="G56" i="4"/>
  <c r="D56" i="4"/>
  <c r="I55" i="4"/>
  <c r="H55" i="4"/>
  <c r="G55" i="4"/>
  <c r="D55" i="4"/>
  <c r="I54" i="4"/>
  <c r="H54" i="4"/>
  <c r="G54" i="4"/>
  <c r="D54" i="4"/>
  <c r="I53" i="4"/>
  <c r="H53" i="4"/>
  <c r="G53" i="4"/>
  <c r="D53" i="4"/>
  <c r="I52" i="4"/>
  <c r="H52" i="4"/>
  <c r="G52" i="4"/>
  <c r="D52" i="4"/>
  <c r="I51" i="4"/>
  <c r="H51" i="4"/>
  <c r="G51" i="4"/>
  <c r="D51" i="4"/>
  <c r="I50" i="4"/>
  <c r="H50" i="4"/>
  <c r="G50" i="4"/>
  <c r="D50" i="4"/>
  <c r="I49" i="4"/>
  <c r="H49" i="4"/>
  <c r="G49" i="4"/>
  <c r="D49" i="4"/>
  <c r="I48" i="4"/>
  <c r="H48" i="4"/>
  <c r="G48" i="4"/>
  <c r="D48" i="4"/>
  <c r="I47" i="4"/>
  <c r="H47" i="4"/>
  <c r="G47" i="4"/>
  <c r="D47" i="4"/>
  <c r="I46" i="4"/>
  <c r="H46" i="4"/>
  <c r="G46" i="4"/>
  <c r="D46" i="4"/>
  <c r="I45" i="4"/>
  <c r="H45" i="4"/>
  <c r="G45" i="4"/>
  <c r="D45" i="4"/>
  <c r="I44" i="4"/>
  <c r="H44" i="4"/>
  <c r="G44" i="4"/>
  <c r="D44" i="4"/>
  <c r="I43" i="4"/>
  <c r="H43" i="4"/>
  <c r="G43" i="4"/>
  <c r="D43" i="4"/>
  <c r="I42" i="4"/>
  <c r="H42" i="4"/>
  <c r="G42" i="4"/>
  <c r="D42" i="4"/>
  <c r="I41" i="4"/>
  <c r="H41" i="4"/>
  <c r="G41" i="4"/>
  <c r="D41" i="4"/>
  <c r="I40" i="4"/>
  <c r="H40" i="4"/>
  <c r="G40" i="4"/>
  <c r="D40" i="4"/>
  <c r="I39" i="4"/>
  <c r="H39" i="4"/>
  <c r="G39" i="4"/>
  <c r="D39" i="4"/>
  <c r="I38" i="4"/>
  <c r="H38" i="4"/>
  <c r="G38" i="4"/>
  <c r="D38" i="4"/>
  <c r="I37" i="4"/>
  <c r="H37" i="4"/>
  <c r="G37" i="4"/>
  <c r="D37" i="4"/>
  <c r="I36" i="4"/>
  <c r="H36" i="4"/>
  <c r="G36" i="4"/>
  <c r="D36" i="4"/>
  <c r="I35" i="4"/>
  <c r="H35" i="4"/>
  <c r="G35" i="4"/>
  <c r="D35" i="4"/>
  <c r="I34" i="4"/>
  <c r="H34" i="4"/>
  <c r="G34" i="4"/>
  <c r="D34" i="4"/>
  <c r="I33" i="4"/>
  <c r="H33" i="4"/>
  <c r="G33" i="4"/>
  <c r="D33" i="4"/>
  <c r="I32" i="4"/>
  <c r="H32" i="4"/>
  <c r="G32" i="4"/>
  <c r="D32" i="4"/>
  <c r="I31" i="4"/>
  <c r="H31" i="4"/>
  <c r="G31" i="4"/>
  <c r="D31" i="4"/>
  <c r="I30" i="4"/>
  <c r="H30" i="4"/>
  <c r="G30" i="4"/>
  <c r="D30" i="4"/>
  <c r="I29" i="4"/>
  <c r="H29" i="4"/>
  <c r="G29" i="4"/>
  <c r="D29" i="4"/>
  <c r="I28" i="4"/>
  <c r="H28" i="4"/>
  <c r="G28" i="4"/>
  <c r="D28" i="4"/>
  <c r="I27" i="4"/>
  <c r="H27" i="4"/>
  <c r="G27" i="4"/>
  <c r="D27" i="4"/>
  <c r="I26" i="4"/>
  <c r="H26" i="4"/>
  <c r="G26" i="4"/>
  <c r="D26" i="4"/>
  <c r="I25" i="4"/>
  <c r="H25" i="4"/>
  <c r="G25" i="4"/>
  <c r="D25" i="4"/>
  <c r="I24" i="4"/>
  <c r="H24" i="4"/>
  <c r="G24" i="4"/>
  <c r="D24" i="4"/>
  <c r="I23" i="4"/>
  <c r="H23" i="4"/>
  <c r="G23" i="4"/>
  <c r="D23" i="4"/>
  <c r="I22" i="4"/>
  <c r="H22" i="4"/>
  <c r="G22" i="4"/>
  <c r="D22" i="4"/>
  <c r="I21" i="4"/>
  <c r="H21" i="4"/>
  <c r="G21" i="4"/>
  <c r="D21" i="4"/>
  <c r="I20" i="4"/>
  <c r="H20" i="4"/>
  <c r="G20" i="4"/>
  <c r="D20" i="4"/>
  <c r="I19" i="4"/>
  <c r="H19" i="4"/>
  <c r="G19" i="4"/>
  <c r="D19" i="4"/>
  <c r="I18" i="4"/>
  <c r="H18" i="4"/>
  <c r="G18" i="4"/>
  <c r="D18" i="4"/>
  <c r="I17" i="4"/>
  <c r="H17" i="4"/>
  <c r="G17" i="4"/>
  <c r="D17" i="4"/>
  <c r="I16" i="4"/>
  <c r="H16" i="4"/>
  <c r="G16" i="4"/>
  <c r="D16" i="4"/>
  <c r="I15" i="4"/>
  <c r="H15" i="4"/>
  <c r="G15" i="4"/>
  <c r="D15" i="4"/>
  <c r="I14" i="4"/>
  <c r="H14" i="4"/>
  <c r="G14" i="4"/>
  <c r="D14" i="4"/>
  <c r="I13" i="4"/>
  <c r="H13" i="4"/>
  <c r="G13" i="4"/>
  <c r="D13" i="4"/>
  <c r="I12" i="4"/>
  <c r="H12" i="4"/>
  <c r="G12" i="4"/>
  <c r="D12" i="4"/>
  <c r="I11" i="4"/>
  <c r="H11" i="4"/>
  <c r="G11" i="4"/>
  <c r="D11" i="4"/>
  <c r="I10" i="4"/>
  <c r="H10" i="4"/>
  <c r="G10" i="4"/>
  <c r="D10" i="4"/>
  <c r="I9" i="4"/>
  <c r="H9" i="4"/>
  <c r="G9" i="4"/>
  <c r="D9" i="4"/>
  <c r="I8" i="4"/>
  <c r="H8" i="4"/>
  <c r="G8" i="4"/>
  <c r="D8" i="4"/>
  <c r="I7" i="4"/>
  <c r="H7" i="4"/>
  <c r="G7" i="4"/>
  <c r="D7" i="4"/>
  <c r="I6" i="4"/>
  <c r="H6" i="4"/>
  <c r="G6" i="4"/>
  <c r="D6" i="4"/>
  <c r="I5" i="4"/>
  <c r="H5" i="4"/>
  <c r="G5" i="4"/>
  <c r="D5" i="4"/>
  <c r="I4" i="4"/>
  <c r="H4" i="4"/>
  <c r="G4" i="4"/>
  <c r="D4" i="4"/>
  <c r="I3" i="4"/>
  <c r="H3" i="4"/>
  <c r="G3" i="4"/>
  <c r="D3" i="4"/>
  <c r="I2" i="4"/>
  <c r="H2" i="4"/>
  <c r="G2" i="4"/>
  <c r="D2" i="4"/>
  <c r="D1" i="4"/>
  <c r="H1001" i="1"/>
  <c r="G1001" i="1"/>
  <c r="F1001" i="1"/>
  <c r="H1000" i="1"/>
  <c r="G1000" i="1"/>
  <c r="F1000" i="1"/>
  <c r="H999" i="1"/>
  <c r="G999" i="1"/>
  <c r="F999" i="1"/>
  <c r="H998" i="1"/>
  <c r="G998" i="1"/>
  <c r="F998" i="1"/>
  <c r="H997" i="1"/>
  <c r="G997" i="1"/>
  <c r="F997" i="1"/>
  <c r="H996" i="1"/>
  <c r="G996" i="1"/>
  <c r="F996" i="1"/>
  <c r="H995" i="1"/>
  <c r="G995" i="1"/>
  <c r="F995" i="1"/>
  <c r="H994" i="1"/>
  <c r="G994" i="1"/>
  <c r="F994" i="1"/>
  <c r="H993" i="1"/>
  <c r="G993" i="1"/>
  <c r="F993" i="1"/>
  <c r="H992" i="1"/>
  <c r="G992" i="1"/>
  <c r="F992" i="1"/>
  <c r="H991" i="1"/>
  <c r="G991" i="1"/>
  <c r="F991" i="1"/>
  <c r="H990" i="1"/>
  <c r="G990" i="1"/>
  <c r="F990" i="1"/>
  <c r="H989" i="1"/>
  <c r="G989" i="1"/>
  <c r="F989" i="1"/>
  <c r="H988" i="1"/>
  <c r="G988" i="1"/>
  <c r="F988" i="1"/>
  <c r="H987" i="1"/>
  <c r="G987" i="1"/>
  <c r="F987" i="1"/>
  <c r="H986" i="1"/>
  <c r="G986" i="1"/>
  <c r="F986" i="1"/>
  <c r="H985" i="1"/>
  <c r="G985" i="1"/>
  <c r="F985" i="1"/>
  <c r="H984" i="1"/>
  <c r="G984" i="1"/>
  <c r="F984" i="1"/>
  <c r="H983" i="1"/>
  <c r="G983" i="1"/>
  <c r="F983" i="1"/>
  <c r="H982" i="1"/>
  <c r="G982" i="1"/>
  <c r="F982" i="1"/>
  <c r="H981" i="1"/>
  <c r="G981" i="1"/>
  <c r="F981" i="1"/>
  <c r="H980" i="1"/>
  <c r="G980" i="1"/>
  <c r="F980" i="1"/>
  <c r="H979" i="1"/>
  <c r="G979" i="1"/>
  <c r="F979" i="1"/>
  <c r="H978" i="1"/>
  <c r="G978" i="1"/>
  <c r="F978" i="1"/>
  <c r="H977" i="1"/>
  <c r="G977" i="1"/>
  <c r="F977" i="1"/>
  <c r="H976" i="1"/>
  <c r="G976" i="1"/>
  <c r="F976" i="1"/>
  <c r="H975" i="1"/>
  <c r="G975" i="1"/>
  <c r="F975" i="1"/>
  <c r="H974" i="1"/>
  <c r="G974" i="1"/>
  <c r="F974" i="1"/>
  <c r="H973" i="1"/>
  <c r="G973" i="1"/>
  <c r="F973" i="1"/>
  <c r="H972" i="1"/>
  <c r="G972" i="1"/>
  <c r="F972" i="1"/>
  <c r="H971" i="1"/>
  <c r="G971" i="1"/>
  <c r="F971" i="1"/>
  <c r="H970" i="1"/>
  <c r="G970" i="1"/>
  <c r="F970" i="1"/>
  <c r="H969" i="1"/>
  <c r="G969" i="1"/>
  <c r="F969" i="1"/>
  <c r="H968" i="1"/>
  <c r="G968" i="1"/>
  <c r="F968" i="1"/>
  <c r="H967" i="1"/>
  <c r="G967" i="1"/>
  <c r="F967" i="1"/>
  <c r="H966" i="1"/>
  <c r="G966" i="1"/>
  <c r="F966" i="1"/>
  <c r="H965" i="1"/>
  <c r="G965" i="1"/>
  <c r="F965" i="1"/>
  <c r="H964" i="1"/>
  <c r="G964" i="1"/>
  <c r="F964" i="1"/>
  <c r="H963" i="1"/>
  <c r="G963" i="1"/>
  <c r="F963" i="1"/>
  <c r="H962" i="1"/>
  <c r="G962" i="1"/>
  <c r="F962" i="1"/>
  <c r="H961" i="1"/>
  <c r="G961" i="1"/>
  <c r="F961" i="1"/>
  <c r="H960" i="1"/>
  <c r="G960" i="1"/>
  <c r="F960" i="1"/>
  <c r="H959" i="1"/>
  <c r="G959" i="1"/>
  <c r="F959" i="1"/>
  <c r="H958" i="1"/>
  <c r="G958" i="1"/>
  <c r="F958" i="1"/>
  <c r="H957" i="1"/>
  <c r="G957" i="1"/>
  <c r="F957" i="1"/>
  <c r="H956" i="1"/>
  <c r="G956" i="1"/>
  <c r="F956" i="1"/>
  <c r="H955" i="1"/>
  <c r="G955" i="1"/>
  <c r="F955" i="1"/>
  <c r="H954" i="1"/>
  <c r="G954" i="1"/>
  <c r="F954" i="1"/>
  <c r="H953" i="1"/>
  <c r="G953" i="1"/>
  <c r="F953" i="1"/>
  <c r="H952" i="1"/>
  <c r="G952" i="1"/>
  <c r="F952" i="1"/>
  <c r="H951" i="1"/>
  <c r="G951" i="1"/>
  <c r="F951" i="1"/>
  <c r="H950" i="1"/>
  <c r="G950" i="1"/>
  <c r="F950" i="1"/>
  <c r="H949" i="1"/>
  <c r="G949" i="1"/>
  <c r="F949" i="1"/>
  <c r="H948" i="1"/>
  <c r="G948" i="1"/>
  <c r="F948" i="1"/>
  <c r="H947" i="1"/>
  <c r="G947" i="1"/>
  <c r="F947" i="1"/>
  <c r="H946" i="1"/>
  <c r="G946" i="1"/>
  <c r="F946" i="1"/>
  <c r="H945" i="1"/>
  <c r="G945" i="1"/>
  <c r="F945" i="1"/>
  <c r="H944" i="1"/>
  <c r="G944" i="1"/>
  <c r="F944" i="1"/>
  <c r="H943" i="1"/>
  <c r="G943" i="1"/>
  <c r="F943" i="1"/>
  <c r="H942" i="1"/>
  <c r="G942" i="1"/>
  <c r="F942" i="1"/>
  <c r="H941" i="1"/>
  <c r="G941" i="1"/>
  <c r="F941" i="1"/>
  <c r="H940" i="1"/>
  <c r="G940" i="1"/>
  <c r="F940" i="1"/>
  <c r="H939" i="1"/>
  <c r="G939" i="1"/>
  <c r="F939" i="1"/>
  <c r="H938" i="1"/>
  <c r="G938" i="1"/>
  <c r="F938" i="1"/>
  <c r="H937" i="1"/>
  <c r="G937" i="1"/>
  <c r="F937" i="1"/>
  <c r="H936" i="1"/>
  <c r="G936" i="1"/>
  <c r="F936" i="1"/>
  <c r="H935" i="1"/>
  <c r="G935" i="1"/>
  <c r="F935" i="1"/>
  <c r="H934" i="1"/>
  <c r="G934" i="1"/>
  <c r="F934" i="1"/>
  <c r="H933" i="1"/>
  <c r="G933" i="1"/>
  <c r="F933" i="1"/>
  <c r="H932" i="1"/>
  <c r="G932" i="1"/>
  <c r="F932" i="1"/>
  <c r="H931" i="1"/>
  <c r="G931" i="1"/>
  <c r="F931" i="1"/>
  <c r="H930" i="1"/>
  <c r="G930" i="1"/>
  <c r="F930" i="1"/>
  <c r="H929" i="1"/>
  <c r="G929" i="1"/>
  <c r="F929" i="1"/>
  <c r="H928" i="1"/>
  <c r="G928" i="1"/>
  <c r="F928" i="1"/>
  <c r="H927" i="1"/>
  <c r="G927" i="1"/>
  <c r="F927" i="1"/>
  <c r="H926" i="1"/>
  <c r="G926" i="1"/>
  <c r="F926" i="1"/>
  <c r="H925" i="1"/>
  <c r="G925" i="1"/>
  <c r="F925" i="1"/>
  <c r="H924" i="1"/>
  <c r="G924" i="1"/>
  <c r="F924" i="1"/>
  <c r="H923" i="1"/>
  <c r="G923" i="1"/>
  <c r="F923" i="1"/>
  <c r="H922" i="1"/>
  <c r="G922" i="1"/>
  <c r="F922" i="1"/>
  <c r="H921" i="1"/>
  <c r="G921" i="1"/>
  <c r="F921" i="1"/>
  <c r="H920" i="1"/>
  <c r="G920" i="1"/>
  <c r="F920" i="1"/>
  <c r="H919" i="1"/>
  <c r="G919" i="1"/>
  <c r="F919" i="1"/>
  <c r="H918" i="1"/>
  <c r="G918" i="1"/>
  <c r="F918" i="1"/>
  <c r="H917" i="1"/>
  <c r="G917" i="1"/>
  <c r="F917" i="1"/>
  <c r="H916" i="1"/>
  <c r="G916" i="1"/>
  <c r="F916" i="1"/>
  <c r="H915" i="1"/>
  <c r="G915" i="1"/>
  <c r="F915" i="1"/>
  <c r="H914" i="1"/>
  <c r="G914" i="1"/>
  <c r="F914" i="1"/>
  <c r="H913" i="1"/>
  <c r="G913" i="1"/>
  <c r="F913" i="1"/>
  <c r="H912" i="1"/>
  <c r="G912" i="1"/>
  <c r="F912" i="1"/>
  <c r="H911" i="1"/>
  <c r="G911" i="1"/>
  <c r="F911" i="1"/>
  <c r="H910" i="1"/>
  <c r="G910" i="1"/>
  <c r="F910" i="1"/>
  <c r="H909" i="1"/>
  <c r="G909" i="1"/>
  <c r="F909" i="1"/>
  <c r="H908" i="1"/>
  <c r="G908" i="1"/>
  <c r="F908" i="1"/>
  <c r="H907" i="1"/>
  <c r="G907" i="1"/>
  <c r="F907" i="1"/>
  <c r="H906" i="1"/>
  <c r="G906" i="1"/>
  <c r="F906" i="1"/>
  <c r="H905" i="1"/>
  <c r="G905" i="1"/>
  <c r="F905" i="1"/>
  <c r="H904" i="1"/>
  <c r="G904" i="1"/>
  <c r="F904" i="1"/>
  <c r="H903" i="1"/>
  <c r="G903" i="1"/>
  <c r="F903" i="1"/>
  <c r="H902" i="1"/>
  <c r="G902" i="1"/>
  <c r="F902" i="1"/>
  <c r="H901" i="1"/>
  <c r="G901" i="1"/>
  <c r="F901" i="1"/>
  <c r="H900" i="1"/>
  <c r="G900" i="1"/>
  <c r="F900" i="1"/>
  <c r="H899" i="1"/>
  <c r="G899" i="1"/>
  <c r="F899" i="1"/>
  <c r="H898" i="1"/>
  <c r="G898" i="1"/>
  <c r="F898" i="1"/>
  <c r="H897" i="1"/>
  <c r="G897" i="1"/>
  <c r="F897" i="1"/>
  <c r="H896" i="1"/>
  <c r="G896" i="1"/>
  <c r="F896" i="1"/>
  <c r="H895" i="1"/>
  <c r="G895" i="1"/>
  <c r="F895" i="1"/>
  <c r="H894" i="1"/>
  <c r="G894" i="1"/>
  <c r="F894" i="1"/>
  <c r="H893" i="1"/>
  <c r="G893" i="1"/>
  <c r="F893" i="1"/>
  <c r="H892" i="1"/>
  <c r="G892" i="1"/>
  <c r="F892" i="1"/>
  <c r="H891" i="1"/>
  <c r="G891" i="1"/>
  <c r="F891" i="1"/>
  <c r="H890" i="1"/>
  <c r="G890" i="1"/>
  <c r="F890" i="1"/>
  <c r="H889" i="1"/>
  <c r="G889" i="1"/>
  <c r="F889" i="1"/>
  <c r="H888" i="1"/>
  <c r="G888" i="1"/>
  <c r="F888" i="1"/>
  <c r="H887" i="1"/>
  <c r="G887" i="1"/>
  <c r="F887" i="1"/>
  <c r="H886" i="1"/>
  <c r="G886" i="1"/>
  <c r="F886" i="1"/>
  <c r="H885" i="1"/>
  <c r="G885" i="1"/>
  <c r="F885" i="1"/>
  <c r="H884" i="1"/>
  <c r="G884" i="1"/>
  <c r="F884" i="1"/>
  <c r="H883" i="1"/>
  <c r="G883" i="1"/>
  <c r="F883" i="1"/>
  <c r="H882" i="1"/>
  <c r="G882" i="1"/>
  <c r="F882" i="1"/>
  <c r="H881" i="1"/>
  <c r="G881" i="1"/>
  <c r="F881" i="1"/>
  <c r="H880" i="1"/>
  <c r="G880" i="1"/>
  <c r="F880" i="1"/>
  <c r="H879" i="1"/>
  <c r="G879" i="1"/>
  <c r="F879" i="1"/>
  <c r="H878" i="1"/>
  <c r="G878" i="1"/>
  <c r="F878" i="1"/>
  <c r="H877" i="1"/>
  <c r="G877" i="1"/>
  <c r="F877" i="1"/>
  <c r="H876" i="1"/>
  <c r="G876" i="1"/>
  <c r="F876" i="1"/>
  <c r="H875" i="1"/>
  <c r="G875" i="1"/>
  <c r="F875" i="1"/>
  <c r="H874" i="1"/>
  <c r="G874" i="1"/>
  <c r="F874" i="1"/>
  <c r="H873" i="1"/>
  <c r="G873" i="1"/>
  <c r="F873" i="1"/>
  <c r="H872" i="1"/>
  <c r="G872" i="1"/>
  <c r="F872" i="1"/>
  <c r="H871" i="1"/>
  <c r="G871" i="1"/>
  <c r="F871" i="1"/>
  <c r="H870" i="1"/>
  <c r="G870" i="1"/>
  <c r="F870" i="1"/>
  <c r="H869" i="1"/>
  <c r="G869" i="1"/>
  <c r="F869" i="1"/>
  <c r="H868" i="1"/>
  <c r="G868" i="1"/>
  <c r="F868" i="1"/>
  <c r="H867" i="1"/>
  <c r="G867" i="1"/>
  <c r="F867" i="1"/>
  <c r="H866" i="1"/>
  <c r="G866" i="1"/>
  <c r="F866" i="1"/>
  <c r="H865" i="1"/>
  <c r="G865" i="1"/>
  <c r="F865" i="1"/>
  <c r="H864" i="1"/>
  <c r="G864" i="1"/>
  <c r="F864" i="1"/>
  <c r="H863" i="1"/>
  <c r="G863" i="1"/>
  <c r="F863" i="1"/>
  <c r="H862" i="1"/>
  <c r="G862" i="1"/>
  <c r="F862" i="1"/>
  <c r="H861" i="1"/>
  <c r="G861" i="1"/>
  <c r="F861" i="1"/>
  <c r="H860" i="1"/>
  <c r="G860" i="1"/>
  <c r="F860" i="1"/>
  <c r="H859" i="1"/>
  <c r="G859" i="1"/>
  <c r="F859" i="1"/>
  <c r="H858" i="1"/>
  <c r="G858" i="1"/>
  <c r="F858" i="1"/>
  <c r="H857" i="1"/>
  <c r="G857" i="1"/>
  <c r="F857" i="1"/>
  <c r="H856" i="1"/>
  <c r="G856" i="1"/>
  <c r="F856" i="1"/>
  <c r="H855" i="1"/>
  <c r="G855" i="1"/>
  <c r="F855" i="1"/>
  <c r="H854" i="1"/>
  <c r="G854" i="1"/>
  <c r="F854" i="1"/>
  <c r="H853" i="1"/>
  <c r="G853" i="1"/>
  <c r="F853" i="1"/>
  <c r="H852" i="1"/>
  <c r="G852" i="1"/>
  <c r="F852" i="1"/>
  <c r="H851" i="1"/>
  <c r="G851" i="1"/>
  <c r="F851" i="1"/>
  <c r="H850" i="1"/>
  <c r="G850" i="1"/>
  <c r="F850" i="1"/>
  <c r="H849" i="1"/>
  <c r="G849" i="1"/>
  <c r="F849" i="1"/>
  <c r="H848" i="1"/>
  <c r="G848" i="1"/>
  <c r="F848" i="1"/>
  <c r="H847" i="1"/>
  <c r="G847" i="1"/>
  <c r="F847" i="1"/>
  <c r="H846" i="1"/>
  <c r="G846" i="1"/>
  <c r="F846" i="1"/>
  <c r="H845" i="1"/>
  <c r="G845" i="1"/>
  <c r="F845" i="1"/>
  <c r="H844" i="1"/>
  <c r="G844" i="1"/>
  <c r="F844" i="1"/>
  <c r="H843" i="1"/>
  <c r="G843" i="1"/>
  <c r="F843" i="1"/>
  <c r="H842" i="1"/>
  <c r="G842" i="1"/>
  <c r="F842" i="1"/>
  <c r="H841" i="1"/>
  <c r="G841" i="1"/>
  <c r="F841" i="1"/>
  <c r="H840" i="1"/>
  <c r="G840" i="1"/>
  <c r="F840" i="1"/>
  <c r="H839" i="1"/>
  <c r="G839" i="1"/>
  <c r="F839" i="1"/>
  <c r="H838" i="1"/>
  <c r="G838" i="1"/>
  <c r="F838" i="1"/>
  <c r="H837" i="1"/>
  <c r="G837" i="1"/>
  <c r="F837" i="1"/>
  <c r="H836" i="1"/>
  <c r="G836" i="1"/>
  <c r="F836" i="1"/>
  <c r="H835" i="1"/>
  <c r="G835" i="1"/>
  <c r="F835" i="1"/>
  <c r="H834" i="1"/>
  <c r="G834" i="1"/>
  <c r="F834" i="1"/>
  <c r="H833" i="1"/>
  <c r="G833" i="1"/>
  <c r="F833" i="1"/>
  <c r="H832" i="1"/>
  <c r="G832" i="1"/>
  <c r="F832" i="1"/>
  <c r="H831" i="1"/>
  <c r="G831" i="1"/>
  <c r="F831" i="1"/>
  <c r="H830" i="1"/>
  <c r="G830" i="1"/>
  <c r="F830" i="1"/>
  <c r="H829" i="1"/>
  <c r="G829" i="1"/>
  <c r="F829" i="1"/>
  <c r="H828" i="1"/>
  <c r="G828" i="1"/>
  <c r="F828" i="1"/>
  <c r="H827" i="1"/>
  <c r="G827" i="1"/>
  <c r="F827" i="1"/>
  <c r="H826" i="1"/>
  <c r="G826" i="1"/>
  <c r="F826" i="1"/>
  <c r="H825" i="1"/>
  <c r="G825" i="1"/>
  <c r="F825" i="1"/>
  <c r="H824" i="1"/>
  <c r="G824" i="1"/>
  <c r="F824" i="1"/>
  <c r="H823" i="1"/>
  <c r="G823" i="1"/>
  <c r="F823" i="1"/>
  <c r="H822" i="1"/>
  <c r="G822" i="1"/>
  <c r="F822" i="1"/>
  <c r="H821" i="1"/>
  <c r="G821" i="1"/>
  <c r="F821" i="1"/>
  <c r="H820" i="1"/>
  <c r="G820" i="1"/>
  <c r="F820" i="1"/>
  <c r="H819" i="1"/>
  <c r="G819" i="1"/>
  <c r="F819" i="1"/>
  <c r="H818" i="1"/>
  <c r="G818" i="1"/>
  <c r="F818" i="1"/>
  <c r="H817" i="1"/>
  <c r="G817" i="1"/>
  <c r="F817" i="1"/>
  <c r="H816" i="1"/>
  <c r="G816" i="1"/>
  <c r="F816" i="1"/>
  <c r="H815" i="1"/>
  <c r="G815" i="1"/>
  <c r="F815" i="1"/>
  <c r="H814" i="1"/>
  <c r="G814" i="1"/>
  <c r="F814" i="1"/>
  <c r="H813" i="1"/>
  <c r="G813" i="1"/>
  <c r="F813" i="1"/>
  <c r="H812" i="1"/>
  <c r="G812" i="1"/>
  <c r="F812" i="1"/>
  <c r="H811" i="1"/>
  <c r="G811" i="1"/>
  <c r="F811" i="1"/>
  <c r="H810" i="1"/>
  <c r="G810" i="1"/>
  <c r="F810" i="1"/>
  <c r="H809" i="1"/>
  <c r="G809" i="1"/>
  <c r="F809" i="1"/>
  <c r="H808" i="1"/>
  <c r="G808" i="1"/>
  <c r="F808" i="1"/>
  <c r="H807" i="1"/>
  <c r="G807" i="1"/>
  <c r="F807" i="1"/>
  <c r="H806" i="1"/>
  <c r="G806" i="1"/>
  <c r="F806" i="1"/>
  <c r="H805" i="1"/>
  <c r="G805" i="1"/>
  <c r="F805" i="1"/>
  <c r="H804" i="1"/>
  <c r="G804" i="1"/>
  <c r="F804" i="1"/>
  <c r="H803" i="1"/>
  <c r="G803" i="1"/>
  <c r="F803" i="1"/>
  <c r="H802" i="1"/>
  <c r="G802" i="1"/>
  <c r="F802" i="1"/>
  <c r="H801" i="1"/>
  <c r="G801" i="1"/>
  <c r="F801" i="1"/>
  <c r="H800" i="1"/>
  <c r="G800" i="1"/>
  <c r="F800" i="1"/>
  <c r="H799" i="1"/>
  <c r="G799" i="1"/>
  <c r="F799" i="1"/>
  <c r="H798" i="1"/>
  <c r="G798" i="1"/>
  <c r="F798" i="1"/>
  <c r="H797" i="1"/>
  <c r="G797" i="1"/>
  <c r="F797" i="1"/>
  <c r="H796" i="1"/>
  <c r="G796" i="1"/>
  <c r="F796" i="1"/>
  <c r="H795" i="1"/>
  <c r="G795" i="1"/>
  <c r="F795" i="1"/>
  <c r="H794" i="1"/>
  <c r="G794" i="1"/>
  <c r="F794" i="1"/>
  <c r="H793" i="1"/>
  <c r="G793" i="1"/>
  <c r="F793" i="1"/>
  <c r="H792" i="1"/>
  <c r="G792" i="1"/>
  <c r="F792" i="1"/>
  <c r="H791" i="1"/>
  <c r="G791" i="1"/>
  <c r="F791" i="1"/>
  <c r="H790" i="1"/>
  <c r="G790" i="1"/>
  <c r="F790" i="1"/>
  <c r="H789" i="1"/>
  <c r="G789" i="1"/>
  <c r="F789" i="1"/>
  <c r="H788" i="1"/>
  <c r="G788" i="1"/>
  <c r="F788" i="1"/>
  <c r="H787" i="1"/>
  <c r="G787" i="1"/>
  <c r="F787" i="1"/>
  <c r="H786" i="1"/>
  <c r="G786" i="1"/>
  <c r="F786" i="1"/>
  <c r="H785" i="1"/>
  <c r="G785" i="1"/>
  <c r="F785" i="1"/>
  <c r="H784" i="1"/>
  <c r="G784" i="1"/>
  <c r="F784" i="1"/>
  <c r="H783" i="1"/>
  <c r="G783" i="1"/>
  <c r="F783" i="1"/>
  <c r="H782" i="1"/>
  <c r="G782" i="1"/>
  <c r="F782" i="1"/>
  <c r="H781" i="1"/>
  <c r="G781" i="1"/>
  <c r="F781" i="1"/>
  <c r="H780" i="1"/>
  <c r="G780" i="1"/>
  <c r="F780" i="1"/>
  <c r="H779" i="1"/>
  <c r="G779" i="1"/>
  <c r="F779" i="1"/>
  <c r="H778" i="1"/>
  <c r="G778" i="1"/>
  <c r="F778" i="1"/>
  <c r="H777" i="1"/>
  <c r="G777" i="1"/>
  <c r="F777" i="1"/>
  <c r="H776" i="1"/>
  <c r="G776" i="1"/>
  <c r="F776" i="1"/>
  <c r="H775" i="1"/>
  <c r="G775" i="1"/>
  <c r="F775" i="1"/>
  <c r="H774" i="1"/>
  <c r="G774" i="1"/>
  <c r="F774" i="1"/>
  <c r="H773" i="1"/>
  <c r="G773" i="1"/>
  <c r="F773" i="1"/>
  <c r="H772" i="1"/>
  <c r="G772" i="1"/>
  <c r="F772" i="1"/>
  <c r="H771" i="1"/>
  <c r="G771" i="1"/>
  <c r="F771" i="1"/>
  <c r="H770" i="1"/>
  <c r="G770" i="1"/>
  <c r="F770" i="1"/>
  <c r="H769" i="1"/>
  <c r="G769" i="1"/>
  <c r="F769" i="1"/>
  <c r="H768" i="1"/>
  <c r="G768" i="1"/>
  <c r="F768" i="1"/>
  <c r="H767" i="1"/>
  <c r="G767" i="1"/>
  <c r="F767" i="1"/>
  <c r="H766" i="1"/>
  <c r="G766" i="1"/>
  <c r="F766" i="1"/>
  <c r="H765" i="1"/>
  <c r="G765" i="1"/>
  <c r="F765" i="1"/>
  <c r="H764" i="1"/>
  <c r="G764" i="1"/>
  <c r="F764" i="1"/>
  <c r="H763" i="1"/>
  <c r="G763" i="1"/>
  <c r="F763" i="1"/>
  <c r="H762" i="1"/>
  <c r="G762" i="1"/>
  <c r="F762" i="1"/>
  <c r="H761" i="1"/>
  <c r="G761" i="1"/>
  <c r="F761" i="1"/>
  <c r="H760" i="1"/>
  <c r="G760" i="1"/>
  <c r="F760" i="1"/>
  <c r="H759" i="1"/>
  <c r="G759" i="1"/>
  <c r="F759" i="1"/>
  <c r="H758" i="1"/>
  <c r="G758" i="1"/>
  <c r="F758" i="1"/>
  <c r="H757" i="1"/>
  <c r="G757" i="1"/>
  <c r="F757" i="1"/>
  <c r="H756" i="1"/>
  <c r="G756" i="1"/>
  <c r="F756" i="1"/>
  <c r="H755" i="1"/>
  <c r="G755" i="1"/>
  <c r="F755" i="1"/>
  <c r="H754" i="1"/>
  <c r="G754" i="1"/>
  <c r="F754" i="1"/>
  <c r="H753" i="1"/>
  <c r="G753" i="1"/>
  <c r="F753" i="1"/>
  <c r="H752" i="1"/>
  <c r="G752" i="1"/>
  <c r="F752" i="1"/>
  <c r="H751" i="1"/>
  <c r="G751" i="1"/>
  <c r="F751" i="1"/>
  <c r="H750" i="1"/>
  <c r="G750" i="1"/>
  <c r="F750" i="1"/>
  <c r="H749" i="1"/>
  <c r="G749" i="1"/>
  <c r="F749" i="1"/>
  <c r="H748" i="1"/>
  <c r="G748" i="1"/>
  <c r="F748" i="1"/>
  <c r="H747" i="1"/>
  <c r="G747" i="1"/>
  <c r="F747" i="1"/>
  <c r="H746" i="1"/>
  <c r="G746" i="1"/>
  <c r="F746" i="1"/>
  <c r="H745" i="1"/>
  <c r="G745" i="1"/>
  <c r="F745" i="1"/>
  <c r="H744" i="1"/>
  <c r="G744" i="1"/>
  <c r="F744" i="1"/>
  <c r="H743" i="1"/>
  <c r="G743" i="1"/>
  <c r="F743" i="1"/>
  <c r="H742" i="1"/>
  <c r="G742" i="1"/>
  <c r="F742" i="1"/>
  <c r="H741" i="1"/>
  <c r="G741" i="1"/>
  <c r="F741" i="1"/>
  <c r="H740" i="1"/>
  <c r="G740" i="1"/>
  <c r="F740" i="1"/>
  <c r="H739" i="1"/>
  <c r="G739" i="1"/>
  <c r="F739" i="1"/>
  <c r="H738" i="1"/>
  <c r="G738" i="1"/>
  <c r="F738" i="1"/>
  <c r="H737" i="1"/>
  <c r="G737" i="1"/>
  <c r="F737" i="1"/>
  <c r="H736" i="1"/>
  <c r="G736" i="1"/>
  <c r="F736" i="1"/>
  <c r="H735" i="1"/>
  <c r="G735" i="1"/>
  <c r="F735" i="1"/>
  <c r="H734" i="1"/>
  <c r="G734" i="1"/>
  <c r="F734" i="1"/>
  <c r="H733" i="1"/>
  <c r="G733" i="1"/>
  <c r="F733" i="1"/>
  <c r="H732" i="1"/>
  <c r="G732" i="1"/>
  <c r="F732" i="1"/>
  <c r="H731" i="1"/>
  <c r="G731" i="1"/>
  <c r="F731" i="1"/>
  <c r="H730" i="1"/>
  <c r="G730" i="1"/>
  <c r="F730" i="1"/>
  <c r="H729" i="1"/>
  <c r="G729" i="1"/>
  <c r="F729" i="1"/>
  <c r="H728" i="1"/>
  <c r="G728" i="1"/>
  <c r="F728" i="1"/>
  <c r="H727" i="1"/>
  <c r="G727" i="1"/>
  <c r="F727" i="1"/>
  <c r="H726" i="1"/>
  <c r="G726" i="1"/>
  <c r="F726" i="1"/>
  <c r="H725" i="1"/>
  <c r="G725" i="1"/>
  <c r="F725" i="1"/>
  <c r="H724" i="1"/>
  <c r="G724" i="1"/>
  <c r="F724" i="1"/>
  <c r="H723" i="1"/>
  <c r="G723" i="1"/>
  <c r="F723" i="1"/>
  <c r="H722" i="1"/>
  <c r="G722" i="1"/>
  <c r="F722" i="1"/>
  <c r="H721" i="1"/>
  <c r="G721" i="1"/>
  <c r="F721" i="1"/>
  <c r="H720" i="1"/>
  <c r="G720" i="1"/>
  <c r="F720" i="1"/>
  <c r="H719" i="1"/>
  <c r="G719" i="1"/>
  <c r="F719" i="1"/>
  <c r="H718" i="1"/>
  <c r="G718" i="1"/>
  <c r="F718" i="1"/>
  <c r="H717" i="1"/>
  <c r="G717" i="1"/>
  <c r="F717" i="1"/>
  <c r="H716" i="1"/>
  <c r="G716" i="1"/>
  <c r="F716" i="1"/>
  <c r="H715" i="1"/>
  <c r="G715" i="1"/>
  <c r="F715" i="1"/>
  <c r="H714" i="1"/>
  <c r="G714" i="1"/>
  <c r="F714" i="1"/>
  <c r="H713" i="1"/>
  <c r="G713" i="1"/>
  <c r="F713" i="1"/>
  <c r="H712" i="1"/>
  <c r="G712" i="1"/>
  <c r="F712" i="1"/>
  <c r="H711" i="1"/>
  <c r="G711" i="1"/>
  <c r="F711" i="1"/>
  <c r="H710" i="1"/>
  <c r="G710" i="1"/>
  <c r="F710" i="1"/>
  <c r="H709" i="1"/>
  <c r="G709" i="1"/>
  <c r="F709" i="1"/>
  <c r="H708" i="1"/>
  <c r="G708" i="1"/>
  <c r="F708" i="1"/>
  <c r="H707" i="1"/>
  <c r="G707" i="1"/>
  <c r="F707" i="1"/>
  <c r="H706" i="1"/>
  <c r="G706" i="1"/>
  <c r="F706" i="1"/>
  <c r="H705" i="1"/>
  <c r="G705" i="1"/>
  <c r="F705" i="1"/>
  <c r="H704" i="1"/>
  <c r="G704" i="1"/>
  <c r="F704" i="1"/>
  <c r="H703" i="1"/>
  <c r="G703" i="1"/>
  <c r="F703" i="1"/>
  <c r="H702" i="1"/>
  <c r="G702" i="1"/>
  <c r="F702" i="1"/>
  <c r="H701" i="1"/>
  <c r="G701" i="1"/>
  <c r="F701" i="1"/>
  <c r="H700" i="1"/>
  <c r="G700" i="1"/>
  <c r="F700" i="1"/>
  <c r="H699" i="1"/>
  <c r="G699" i="1"/>
  <c r="F699" i="1"/>
  <c r="H698" i="1"/>
  <c r="G698" i="1"/>
  <c r="F698" i="1"/>
  <c r="H697" i="1"/>
  <c r="G697" i="1"/>
  <c r="F697" i="1"/>
  <c r="H696" i="1"/>
  <c r="G696" i="1"/>
  <c r="F696" i="1"/>
  <c r="H695" i="1"/>
  <c r="G695" i="1"/>
  <c r="F695" i="1"/>
  <c r="H694" i="1"/>
  <c r="G694" i="1"/>
  <c r="F694" i="1"/>
  <c r="H693" i="1"/>
  <c r="G693" i="1"/>
  <c r="F693" i="1"/>
  <c r="H692" i="1"/>
  <c r="G692" i="1"/>
  <c r="F692" i="1"/>
  <c r="H691" i="1"/>
  <c r="G691" i="1"/>
  <c r="F691" i="1"/>
  <c r="H690" i="1"/>
  <c r="G690" i="1"/>
  <c r="F690" i="1"/>
  <c r="H689" i="1"/>
  <c r="G689" i="1"/>
  <c r="F689" i="1"/>
  <c r="H688" i="1"/>
  <c r="G688" i="1"/>
  <c r="F688" i="1"/>
  <c r="H687" i="1"/>
  <c r="G687" i="1"/>
  <c r="F687" i="1"/>
  <c r="H686" i="1"/>
  <c r="G686" i="1"/>
  <c r="F686" i="1"/>
  <c r="H685" i="1"/>
  <c r="G685" i="1"/>
  <c r="F685" i="1"/>
  <c r="H684" i="1"/>
  <c r="G684" i="1"/>
  <c r="F684" i="1"/>
  <c r="H683" i="1"/>
  <c r="G683" i="1"/>
  <c r="F683" i="1"/>
  <c r="H682" i="1"/>
  <c r="G682" i="1"/>
  <c r="F682" i="1"/>
  <c r="H681" i="1"/>
  <c r="G681" i="1"/>
  <c r="F681" i="1"/>
  <c r="H680" i="1"/>
  <c r="G680" i="1"/>
  <c r="F680" i="1"/>
  <c r="H679" i="1"/>
  <c r="G679" i="1"/>
  <c r="F679" i="1"/>
  <c r="H678" i="1"/>
  <c r="G678" i="1"/>
  <c r="F678" i="1"/>
  <c r="H677" i="1"/>
  <c r="G677" i="1"/>
  <c r="F677" i="1"/>
  <c r="H676" i="1"/>
  <c r="G676" i="1"/>
  <c r="F676" i="1"/>
  <c r="H675" i="1"/>
  <c r="G675" i="1"/>
  <c r="F675" i="1"/>
  <c r="H674" i="1"/>
  <c r="G674" i="1"/>
  <c r="F674" i="1"/>
  <c r="H673" i="1"/>
  <c r="G673" i="1"/>
  <c r="F673" i="1"/>
  <c r="H672" i="1"/>
  <c r="G672" i="1"/>
  <c r="F672" i="1"/>
  <c r="H671" i="1"/>
  <c r="G671" i="1"/>
  <c r="F671" i="1"/>
  <c r="H670" i="1"/>
  <c r="G670" i="1"/>
  <c r="F670" i="1"/>
  <c r="H669" i="1"/>
  <c r="G669" i="1"/>
  <c r="F669" i="1"/>
  <c r="H668" i="1"/>
  <c r="G668" i="1"/>
  <c r="F668" i="1"/>
  <c r="H667" i="1"/>
  <c r="G667" i="1"/>
  <c r="F667" i="1"/>
  <c r="H666" i="1"/>
  <c r="G666" i="1"/>
  <c r="F666" i="1"/>
  <c r="H665" i="1"/>
  <c r="G665" i="1"/>
  <c r="F665" i="1"/>
  <c r="H664" i="1"/>
  <c r="G664" i="1"/>
  <c r="F664" i="1"/>
  <c r="H663" i="1"/>
  <c r="G663" i="1"/>
  <c r="F663" i="1"/>
  <c r="H662" i="1"/>
  <c r="G662" i="1"/>
  <c r="F662" i="1"/>
  <c r="H661" i="1"/>
  <c r="G661" i="1"/>
  <c r="F661" i="1"/>
  <c r="H660" i="1"/>
  <c r="G660" i="1"/>
  <c r="F660" i="1"/>
  <c r="H659" i="1"/>
  <c r="G659" i="1"/>
  <c r="F659" i="1"/>
  <c r="H658" i="1"/>
  <c r="G658" i="1"/>
  <c r="F658" i="1"/>
  <c r="H657" i="1"/>
  <c r="G657" i="1"/>
  <c r="F657" i="1"/>
  <c r="H656" i="1"/>
  <c r="G656" i="1"/>
  <c r="F656" i="1"/>
  <c r="H655" i="1"/>
  <c r="G655" i="1"/>
  <c r="F655" i="1"/>
  <c r="H654" i="1"/>
  <c r="G654" i="1"/>
  <c r="F654" i="1"/>
  <c r="H653" i="1"/>
  <c r="G653" i="1"/>
  <c r="F653" i="1"/>
  <c r="H652" i="1"/>
  <c r="G652" i="1"/>
  <c r="F652" i="1"/>
  <c r="H651" i="1"/>
  <c r="G651" i="1"/>
  <c r="F651" i="1"/>
  <c r="H650" i="1"/>
  <c r="G650" i="1"/>
  <c r="F650" i="1"/>
  <c r="H649" i="1"/>
  <c r="G649" i="1"/>
  <c r="F649" i="1"/>
  <c r="H648" i="1"/>
  <c r="G648" i="1"/>
  <c r="F648" i="1"/>
  <c r="H647" i="1"/>
  <c r="G647" i="1"/>
  <c r="F647" i="1"/>
  <c r="H646" i="1"/>
  <c r="G646" i="1"/>
  <c r="F646" i="1"/>
  <c r="H645" i="1"/>
  <c r="G645" i="1"/>
  <c r="F645" i="1"/>
  <c r="H644" i="1"/>
  <c r="G644" i="1"/>
  <c r="F644" i="1"/>
  <c r="H643" i="1"/>
  <c r="G643" i="1"/>
  <c r="F643" i="1"/>
  <c r="H642" i="1"/>
  <c r="G642" i="1"/>
  <c r="F642" i="1"/>
  <c r="H641" i="1"/>
  <c r="G641" i="1"/>
  <c r="F641" i="1"/>
  <c r="H640" i="1"/>
  <c r="G640" i="1"/>
  <c r="F640" i="1"/>
  <c r="H639" i="1"/>
  <c r="G639" i="1"/>
  <c r="F639" i="1"/>
  <c r="H638" i="1"/>
  <c r="G638" i="1"/>
  <c r="F638" i="1"/>
  <c r="H637" i="1"/>
  <c r="G637" i="1"/>
  <c r="F637" i="1"/>
  <c r="H636" i="1"/>
  <c r="G636" i="1"/>
  <c r="F636" i="1"/>
  <c r="H635" i="1"/>
  <c r="G635" i="1"/>
  <c r="F635" i="1"/>
  <c r="H634" i="1"/>
  <c r="G634" i="1"/>
  <c r="F634" i="1"/>
  <c r="H633" i="1"/>
  <c r="G633" i="1"/>
  <c r="F633" i="1"/>
  <c r="H632" i="1"/>
  <c r="G632" i="1"/>
  <c r="F632" i="1"/>
  <c r="H631" i="1"/>
  <c r="G631" i="1"/>
  <c r="F631" i="1"/>
  <c r="H630" i="1"/>
  <c r="G630" i="1"/>
  <c r="F630" i="1"/>
  <c r="H629" i="1"/>
  <c r="G629" i="1"/>
  <c r="F629" i="1"/>
  <c r="H628" i="1"/>
  <c r="G628" i="1"/>
  <c r="F628" i="1"/>
  <c r="H627" i="1"/>
  <c r="G627" i="1"/>
  <c r="F627" i="1"/>
  <c r="H626" i="1"/>
  <c r="G626" i="1"/>
  <c r="F626" i="1"/>
  <c r="H625" i="1"/>
  <c r="G625" i="1"/>
  <c r="F625" i="1"/>
  <c r="H624" i="1"/>
  <c r="G624" i="1"/>
  <c r="F624" i="1"/>
  <c r="H623" i="1"/>
  <c r="G623" i="1"/>
  <c r="F623" i="1"/>
  <c r="H622" i="1"/>
  <c r="G622" i="1"/>
  <c r="F622" i="1"/>
  <c r="H621" i="1"/>
  <c r="G621" i="1"/>
  <c r="F621" i="1"/>
  <c r="H620" i="1"/>
  <c r="G620" i="1"/>
  <c r="F620" i="1"/>
  <c r="H619" i="1"/>
  <c r="G619" i="1"/>
  <c r="F619" i="1"/>
  <c r="H618" i="1"/>
  <c r="G618" i="1"/>
  <c r="F618" i="1"/>
  <c r="H617" i="1"/>
  <c r="G617" i="1"/>
  <c r="F617" i="1"/>
  <c r="H616" i="1"/>
  <c r="G616" i="1"/>
  <c r="F616" i="1"/>
  <c r="H615" i="1"/>
  <c r="G615" i="1"/>
  <c r="F615" i="1"/>
  <c r="H614" i="1"/>
  <c r="G614" i="1"/>
  <c r="F614" i="1"/>
  <c r="H613" i="1"/>
  <c r="G613" i="1"/>
  <c r="F613" i="1"/>
  <c r="H612" i="1"/>
  <c r="G612" i="1"/>
  <c r="F612" i="1"/>
  <c r="H611" i="1"/>
  <c r="G611" i="1"/>
  <c r="F611" i="1"/>
  <c r="H610" i="1"/>
  <c r="G610" i="1"/>
  <c r="F610" i="1"/>
  <c r="H609" i="1"/>
  <c r="G609" i="1"/>
  <c r="F609" i="1"/>
  <c r="H608" i="1"/>
  <c r="G608" i="1"/>
  <c r="F608" i="1"/>
  <c r="H607" i="1"/>
  <c r="G607" i="1"/>
  <c r="F607" i="1"/>
  <c r="H606" i="1"/>
  <c r="G606" i="1"/>
  <c r="F606" i="1"/>
  <c r="H605" i="1"/>
  <c r="G605" i="1"/>
  <c r="F605" i="1"/>
  <c r="H604" i="1"/>
  <c r="G604" i="1"/>
  <c r="F604" i="1"/>
  <c r="H603" i="1"/>
  <c r="G603" i="1"/>
  <c r="F603" i="1"/>
  <c r="H602" i="1"/>
  <c r="G602" i="1"/>
  <c r="F602" i="1"/>
  <c r="H601" i="1"/>
  <c r="G601" i="1"/>
  <c r="F601" i="1"/>
  <c r="H600" i="1"/>
  <c r="G600" i="1"/>
  <c r="F600" i="1"/>
  <c r="H599" i="1"/>
  <c r="G599" i="1"/>
  <c r="F599" i="1"/>
  <c r="H598" i="1"/>
  <c r="G598" i="1"/>
  <c r="F598" i="1"/>
  <c r="H597" i="1"/>
  <c r="G597" i="1"/>
  <c r="F597" i="1"/>
  <c r="H596" i="1"/>
  <c r="G596" i="1"/>
  <c r="F596" i="1"/>
  <c r="H595" i="1"/>
  <c r="G595" i="1"/>
  <c r="F595" i="1"/>
  <c r="H594" i="1"/>
  <c r="G594" i="1"/>
  <c r="F594" i="1"/>
  <c r="H593" i="1"/>
  <c r="G593" i="1"/>
  <c r="F593" i="1"/>
  <c r="H592" i="1"/>
  <c r="G592" i="1"/>
  <c r="F592" i="1"/>
  <c r="H591" i="1"/>
  <c r="G591" i="1"/>
  <c r="F591" i="1"/>
  <c r="H590" i="1"/>
  <c r="G590" i="1"/>
  <c r="F590" i="1"/>
  <c r="H589" i="1"/>
  <c r="G589" i="1"/>
  <c r="F589" i="1"/>
  <c r="H588" i="1"/>
  <c r="G588" i="1"/>
  <c r="F588" i="1"/>
  <c r="H587" i="1"/>
  <c r="G587" i="1"/>
  <c r="F587" i="1"/>
  <c r="H586" i="1"/>
  <c r="G586" i="1"/>
  <c r="F586" i="1"/>
  <c r="H585" i="1"/>
  <c r="G585" i="1"/>
  <c r="F585" i="1"/>
  <c r="H584" i="1"/>
  <c r="G584" i="1"/>
  <c r="F584" i="1"/>
  <c r="H583" i="1"/>
  <c r="G583" i="1"/>
  <c r="F583" i="1"/>
  <c r="H582" i="1"/>
  <c r="G582" i="1"/>
  <c r="F582" i="1"/>
  <c r="H581" i="1"/>
  <c r="G581" i="1"/>
  <c r="F581" i="1"/>
  <c r="H580" i="1"/>
  <c r="G580" i="1"/>
  <c r="F580" i="1"/>
  <c r="H579" i="1"/>
  <c r="G579" i="1"/>
  <c r="F579" i="1"/>
  <c r="H578" i="1"/>
  <c r="G578" i="1"/>
  <c r="F578" i="1"/>
  <c r="H577" i="1"/>
  <c r="G577" i="1"/>
  <c r="F577" i="1"/>
  <c r="H576" i="1"/>
  <c r="G576" i="1"/>
  <c r="F576" i="1"/>
  <c r="H575" i="1"/>
  <c r="G575" i="1"/>
  <c r="F575" i="1"/>
  <c r="H574" i="1"/>
  <c r="G574" i="1"/>
  <c r="F574" i="1"/>
  <c r="H573" i="1"/>
  <c r="G573" i="1"/>
  <c r="F573" i="1"/>
  <c r="H572" i="1"/>
  <c r="G572" i="1"/>
  <c r="F572" i="1"/>
  <c r="H571" i="1"/>
  <c r="G571" i="1"/>
  <c r="F571" i="1"/>
  <c r="H570" i="1"/>
  <c r="G570" i="1"/>
  <c r="F570" i="1"/>
  <c r="H569" i="1"/>
  <c r="G569" i="1"/>
  <c r="F569" i="1"/>
  <c r="H568" i="1"/>
  <c r="G568" i="1"/>
  <c r="F568" i="1"/>
  <c r="H567" i="1"/>
  <c r="G567" i="1"/>
  <c r="F567" i="1"/>
  <c r="H566" i="1"/>
  <c r="G566" i="1"/>
  <c r="F566" i="1"/>
  <c r="H565" i="1"/>
  <c r="G565" i="1"/>
  <c r="F565" i="1"/>
  <c r="H564" i="1"/>
  <c r="G564" i="1"/>
  <c r="F564" i="1"/>
  <c r="H563" i="1"/>
  <c r="G563" i="1"/>
  <c r="F563" i="1"/>
  <c r="H562" i="1"/>
  <c r="G562" i="1"/>
  <c r="F562" i="1"/>
  <c r="H561" i="1"/>
  <c r="G561" i="1"/>
  <c r="F561" i="1"/>
  <c r="H560" i="1"/>
  <c r="G560" i="1"/>
  <c r="F560" i="1"/>
  <c r="H559" i="1"/>
  <c r="G559" i="1"/>
  <c r="F559" i="1"/>
  <c r="H558" i="1"/>
  <c r="G558" i="1"/>
  <c r="F558" i="1"/>
  <c r="H557" i="1"/>
  <c r="G557" i="1"/>
  <c r="F557" i="1"/>
  <c r="H556" i="1"/>
  <c r="G556" i="1"/>
  <c r="F556" i="1"/>
  <c r="H555" i="1"/>
  <c r="G555" i="1"/>
  <c r="F555" i="1"/>
  <c r="H554" i="1"/>
  <c r="G554" i="1"/>
  <c r="F554" i="1"/>
  <c r="H553" i="1"/>
  <c r="G553" i="1"/>
  <c r="F553" i="1"/>
  <c r="H552" i="1"/>
  <c r="G552" i="1"/>
  <c r="F552" i="1"/>
  <c r="H551" i="1"/>
  <c r="G551" i="1"/>
  <c r="F551" i="1"/>
  <c r="H550" i="1"/>
  <c r="G550" i="1"/>
  <c r="F550" i="1"/>
  <c r="H549" i="1"/>
  <c r="G549" i="1"/>
  <c r="F549" i="1"/>
  <c r="H548" i="1"/>
  <c r="G548" i="1"/>
  <c r="F548" i="1"/>
  <c r="H547" i="1"/>
  <c r="G547" i="1"/>
  <c r="F547" i="1"/>
  <c r="H546" i="1"/>
  <c r="G546" i="1"/>
  <c r="F546" i="1"/>
  <c r="H545" i="1"/>
  <c r="G545" i="1"/>
  <c r="F545" i="1"/>
  <c r="H544" i="1"/>
  <c r="G544" i="1"/>
  <c r="F544" i="1"/>
  <c r="H543" i="1"/>
  <c r="G543" i="1"/>
  <c r="F543" i="1"/>
  <c r="H542" i="1"/>
  <c r="G542" i="1"/>
  <c r="F542" i="1"/>
  <c r="H541" i="1"/>
  <c r="G541" i="1"/>
  <c r="F541" i="1"/>
  <c r="H540" i="1"/>
  <c r="G540" i="1"/>
  <c r="F540" i="1"/>
  <c r="H539" i="1"/>
  <c r="G539" i="1"/>
  <c r="F539" i="1"/>
  <c r="H538" i="1"/>
  <c r="G538" i="1"/>
  <c r="F538" i="1"/>
  <c r="H537" i="1"/>
  <c r="G537" i="1"/>
  <c r="F537" i="1"/>
  <c r="H536" i="1"/>
  <c r="G536" i="1"/>
  <c r="F536" i="1"/>
  <c r="H535" i="1"/>
  <c r="G535" i="1"/>
  <c r="F535" i="1"/>
  <c r="H534" i="1"/>
  <c r="G534" i="1"/>
  <c r="F534" i="1"/>
  <c r="H533" i="1"/>
  <c r="G533" i="1"/>
  <c r="F533" i="1"/>
  <c r="H532" i="1"/>
  <c r="G532" i="1"/>
  <c r="F532" i="1"/>
  <c r="H531" i="1"/>
  <c r="G531" i="1"/>
  <c r="F531" i="1"/>
  <c r="H530" i="1"/>
  <c r="G530" i="1"/>
  <c r="F530" i="1"/>
  <c r="H529" i="1"/>
  <c r="G529" i="1"/>
  <c r="F529" i="1"/>
  <c r="H528" i="1"/>
  <c r="G528" i="1"/>
  <c r="F528" i="1"/>
  <c r="H527" i="1"/>
  <c r="G527" i="1"/>
  <c r="F527" i="1"/>
  <c r="H526" i="1"/>
  <c r="G526" i="1"/>
  <c r="F526" i="1"/>
  <c r="H525" i="1"/>
  <c r="G525" i="1"/>
  <c r="F525" i="1"/>
  <c r="H524" i="1"/>
  <c r="G524" i="1"/>
  <c r="F524" i="1"/>
  <c r="H523" i="1"/>
  <c r="G523" i="1"/>
  <c r="F523" i="1"/>
  <c r="H522" i="1"/>
  <c r="G522" i="1"/>
  <c r="F522" i="1"/>
  <c r="H521" i="1"/>
  <c r="G521" i="1"/>
  <c r="F521" i="1"/>
  <c r="H520" i="1"/>
  <c r="G520" i="1"/>
  <c r="F520" i="1"/>
  <c r="H519" i="1"/>
  <c r="G519" i="1"/>
  <c r="F519" i="1"/>
  <c r="H518" i="1"/>
  <c r="G518" i="1"/>
  <c r="F518" i="1"/>
  <c r="H517" i="1"/>
  <c r="G517" i="1"/>
  <c r="F517" i="1"/>
  <c r="H516" i="1"/>
  <c r="G516" i="1"/>
  <c r="F516" i="1"/>
  <c r="H515" i="1"/>
  <c r="G515" i="1"/>
  <c r="F515" i="1"/>
  <c r="H514" i="1"/>
  <c r="G514" i="1"/>
  <c r="F514" i="1"/>
  <c r="H513" i="1"/>
  <c r="G513" i="1"/>
  <c r="F513" i="1"/>
  <c r="H512" i="1"/>
  <c r="G512" i="1"/>
  <c r="F512" i="1"/>
  <c r="H511" i="1"/>
  <c r="G511" i="1"/>
  <c r="F511" i="1"/>
  <c r="H510" i="1"/>
  <c r="G510" i="1"/>
  <c r="F510" i="1"/>
  <c r="H509" i="1"/>
  <c r="G509" i="1"/>
  <c r="F509" i="1"/>
  <c r="H508" i="1"/>
  <c r="G508" i="1"/>
  <c r="F508" i="1"/>
  <c r="H507" i="1"/>
  <c r="G507" i="1"/>
  <c r="F507" i="1"/>
  <c r="H506" i="1"/>
  <c r="G506" i="1"/>
  <c r="F506" i="1"/>
  <c r="H505" i="1"/>
  <c r="G505" i="1"/>
  <c r="F505" i="1"/>
  <c r="H504" i="1"/>
  <c r="G504" i="1"/>
  <c r="F504" i="1"/>
  <c r="H503" i="1"/>
  <c r="G503" i="1"/>
  <c r="F503" i="1"/>
  <c r="H502" i="1"/>
  <c r="G502" i="1"/>
  <c r="F502" i="1"/>
  <c r="H501" i="1"/>
  <c r="G501" i="1"/>
  <c r="F501" i="1"/>
  <c r="H500" i="1"/>
  <c r="G500" i="1"/>
  <c r="F500" i="1"/>
  <c r="H499" i="1"/>
  <c r="G499" i="1"/>
  <c r="F499" i="1"/>
  <c r="H498" i="1"/>
  <c r="G498" i="1"/>
  <c r="F498" i="1"/>
  <c r="H497" i="1"/>
  <c r="G497" i="1"/>
  <c r="F497" i="1"/>
  <c r="H496" i="1"/>
  <c r="G496" i="1"/>
  <c r="F496" i="1"/>
  <c r="H495" i="1"/>
  <c r="G495" i="1"/>
  <c r="F495" i="1"/>
  <c r="H494" i="1"/>
  <c r="G494" i="1"/>
  <c r="F494" i="1"/>
  <c r="H493" i="1"/>
  <c r="G493" i="1"/>
  <c r="F493" i="1"/>
  <c r="H492" i="1"/>
  <c r="G492" i="1"/>
  <c r="F492" i="1"/>
  <c r="H491" i="1"/>
  <c r="G491" i="1"/>
  <c r="F491" i="1"/>
  <c r="H490" i="1"/>
  <c r="G490" i="1"/>
  <c r="F490" i="1"/>
  <c r="H489" i="1"/>
  <c r="G489" i="1"/>
  <c r="F489" i="1"/>
  <c r="H488" i="1"/>
  <c r="G488" i="1"/>
  <c r="F488" i="1"/>
  <c r="H487" i="1"/>
  <c r="G487" i="1"/>
  <c r="F487" i="1"/>
  <c r="H486" i="1"/>
  <c r="G486" i="1"/>
  <c r="F486" i="1"/>
  <c r="H485" i="1"/>
  <c r="G485" i="1"/>
  <c r="F485" i="1"/>
  <c r="H484" i="1"/>
  <c r="G484" i="1"/>
  <c r="F484" i="1"/>
  <c r="H483" i="1"/>
  <c r="G483" i="1"/>
  <c r="F483" i="1"/>
  <c r="H482" i="1"/>
  <c r="G482" i="1"/>
  <c r="F482" i="1"/>
  <c r="H481" i="1"/>
  <c r="G481" i="1"/>
  <c r="F481" i="1"/>
  <c r="H480" i="1"/>
  <c r="G480" i="1"/>
  <c r="F480" i="1"/>
  <c r="H479" i="1"/>
  <c r="G479" i="1"/>
  <c r="F479" i="1"/>
  <c r="H478" i="1"/>
  <c r="G478" i="1"/>
  <c r="F478" i="1"/>
  <c r="H477" i="1"/>
  <c r="G477" i="1"/>
  <c r="F477" i="1"/>
  <c r="H476" i="1"/>
  <c r="G476" i="1"/>
  <c r="F476" i="1"/>
  <c r="H475" i="1"/>
  <c r="G475" i="1"/>
  <c r="F475" i="1"/>
  <c r="H474" i="1"/>
  <c r="G474" i="1"/>
  <c r="F474" i="1"/>
  <c r="H473" i="1"/>
  <c r="G473" i="1"/>
  <c r="F473" i="1"/>
  <c r="H472" i="1"/>
  <c r="G472" i="1"/>
  <c r="F472" i="1"/>
  <c r="H471" i="1"/>
  <c r="G471" i="1"/>
  <c r="F471" i="1"/>
  <c r="H470" i="1"/>
  <c r="G470" i="1"/>
  <c r="F470" i="1"/>
  <c r="H469" i="1"/>
  <c r="G469" i="1"/>
  <c r="F469" i="1"/>
  <c r="H468" i="1"/>
  <c r="G468" i="1"/>
  <c r="F468" i="1"/>
  <c r="H467" i="1"/>
  <c r="G467" i="1"/>
  <c r="F467" i="1"/>
  <c r="H466" i="1"/>
  <c r="G466" i="1"/>
  <c r="F466" i="1"/>
  <c r="H465" i="1"/>
  <c r="G465" i="1"/>
  <c r="F465" i="1"/>
  <c r="H464" i="1"/>
  <c r="G464" i="1"/>
  <c r="F464" i="1"/>
  <c r="H463" i="1"/>
  <c r="G463" i="1"/>
  <c r="F463" i="1"/>
  <c r="H462" i="1"/>
  <c r="G462" i="1"/>
  <c r="F462" i="1"/>
  <c r="H461" i="1"/>
  <c r="G461" i="1"/>
  <c r="F461" i="1"/>
  <c r="H460" i="1"/>
  <c r="G460" i="1"/>
  <c r="F460" i="1"/>
  <c r="H459" i="1"/>
  <c r="G459" i="1"/>
  <c r="F459" i="1"/>
  <c r="H458" i="1"/>
  <c r="G458" i="1"/>
  <c r="F458" i="1"/>
  <c r="H457" i="1"/>
  <c r="G457" i="1"/>
  <c r="F457" i="1"/>
  <c r="H456" i="1"/>
  <c r="G456" i="1"/>
  <c r="F456" i="1"/>
  <c r="H455" i="1"/>
  <c r="G455" i="1"/>
  <c r="F455" i="1"/>
  <c r="H454" i="1"/>
  <c r="G454" i="1"/>
  <c r="F454" i="1"/>
  <c r="H453" i="1"/>
  <c r="G453" i="1"/>
  <c r="F453" i="1"/>
  <c r="H452" i="1"/>
  <c r="G452" i="1"/>
  <c r="F452" i="1"/>
  <c r="H451" i="1"/>
  <c r="G451" i="1"/>
  <c r="F451" i="1"/>
  <c r="H450" i="1"/>
  <c r="G450" i="1"/>
  <c r="F450" i="1"/>
  <c r="H449" i="1"/>
  <c r="G449" i="1"/>
  <c r="F449" i="1"/>
  <c r="H448" i="1"/>
  <c r="G448" i="1"/>
  <c r="F448" i="1"/>
  <c r="H447" i="1"/>
  <c r="G447" i="1"/>
  <c r="F447" i="1"/>
  <c r="H446" i="1"/>
  <c r="G446" i="1"/>
  <c r="F446" i="1"/>
  <c r="H445" i="1"/>
  <c r="G445" i="1"/>
  <c r="F445" i="1"/>
  <c r="H444" i="1"/>
  <c r="G444" i="1"/>
  <c r="F444" i="1"/>
  <c r="H443" i="1"/>
  <c r="G443" i="1"/>
  <c r="F443" i="1"/>
  <c r="H442" i="1"/>
  <c r="G442" i="1"/>
  <c r="F442" i="1"/>
  <c r="H441" i="1"/>
  <c r="G441" i="1"/>
  <c r="F441" i="1"/>
  <c r="H440" i="1"/>
  <c r="G440" i="1"/>
  <c r="F440" i="1"/>
  <c r="H439" i="1"/>
  <c r="G439" i="1"/>
  <c r="F439" i="1"/>
  <c r="H438" i="1"/>
  <c r="G438" i="1"/>
  <c r="F438" i="1"/>
  <c r="H437" i="1"/>
  <c r="G437" i="1"/>
  <c r="F437" i="1"/>
  <c r="H436" i="1"/>
  <c r="G436" i="1"/>
  <c r="F436" i="1"/>
  <c r="H435" i="1"/>
  <c r="G435" i="1"/>
  <c r="F435" i="1"/>
  <c r="H434" i="1"/>
  <c r="G434" i="1"/>
  <c r="F434" i="1"/>
  <c r="H433" i="1"/>
  <c r="G433" i="1"/>
  <c r="F433" i="1"/>
  <c r="H432" i="1"/>
  <c r="G432" i="1"/>
  <c r="F432" i="1"/>
  <c r="H431" i="1"/>
  <c r="G431" i="1"/>
  <c r="F431" i="1"/>
  <c r="H430" i="1"/>
  <c r="G430" i="1"/>
  <c r="F430" i="1"/>
  <c r="H429" i="1"/>
  <c r="G429" i="1"/>
  <c r="F429" i="1"/>
  <c r="H428" i="1"/>
  <c r="G428" i="1"/>
  <c r="F428" i="1"/>
  <c r="H427" i="1"/>
  <c r="G427" i="1"/>
  <c r="F427" i="1"/>
  <c r="H426" i="1"/>
  <c r="G426" i="1"/>
  <c r="F426" i="1"/>
  <c r="H425" i="1"/>
  <c r="G425" i="1"/>
  <c r="F425" i="1"/>
  <c r="H424" i="1"/>
  <c r="G424" i="1"/>
  <c r="F424" i="1"/>
  <c r="H423" i="1"/>
  <c r="G423" i="1"/>
  <c r="F423" i="1"/>
  <c r="H422" i="1"/>
  <c r="G422" i="1"/>
  <c r="F422" i="1"/>
  <c r="H421" i="1"/>
  <c r="G421" i="1"/>
  <c r="F421" i="1"/>
  <c r="H420" i="1"/>
  <c r="G420" i="1"/>
  <c r="F420" i="1"/>
  <c r="H419" i="1"/>
  <c r="G419" i="1"/>
  <c r="F419" i="1"/>
  <c r="H418" i="1"/>
  <c r="G418" i="1"/>
  <c r="F418" i="1"/>
  <c r="H417" i="1"/>
  <c r="G417" i="1"/>
  <c r="F417" i="1"/>
  <c r="H416" i="1"/>
  <c r="G416" i="1"/>
  <c r="F416" i="1"/>
  <c r="H415" i="1"/>
  <c r="G415" i="1"/>
  <c r="F415" i="1"/>
  <c r="H414" i="1"/>
  <c r="G414" i="1"/>
  <c r="F414" i="1"/>
  <c r="H413" i="1"/>
  <c r="G413" i="1"/>
  <c r="F413" i="1"/>
  <c r="H412" i="1"/>
  <c r="G412" i="1"/>
  <c r="F412" i="1"/>
  <c r="H411" i="1"/>
  <c r="G411" i="1"/>
  <c r="F411" i="1"/>
  <c r="H410" i="1"/>
  <c r="G410" i="1"/>
  <c r="F410" i="1"/>
  <c r="H409" i="1"/>
  <c r="G409" i="1"/>
  <c r="F409" i="1"/>
  <c r="H408" i="1"/>
  <c r="G408" i="1"/>
  <c r="F408" i="1"/>
  <c r="H407" i="1"/>
  <c r="G407" i="1"/>
  <c r="F407" i="1"/>
  <c r="H406" i="1"/>
  <c r="G406" i="1"/>
  <c r="F406" i="1"/>
  <c r="H405" i="1"/>
  <c r="G405" i="1"/>
  <c r="F405" i="1"/>
  <c r="H404" i="1"/>
  <c r="G404" i="1"/>
  <c r="F404" i="1"/>
  <c r="H403" i="1"/>
  <c r="G403" i="1"/>
  <c r="F403" i="1"/>
  <c r="H402" i="1"/>
  <c r="G402" i="1"/>
  <c r="F402" i="1"/>
  <c r="H401" i="1"/>
  <c r="G401" i="1"/>
  <c r="F401" i="1"/>
  <c r="H400" i="1"/>
  <c r="G400" i="1"/>
  <c r="F400" i="1"/>
  <c r="H399" i="1"/>
  <c r="G399" i="1"/>
  <c r="F399" i="1"/>
  <c r="H398" i="1"/>
  <c r="G398" i="1"/>
  <c r="F398" i="1"/>
  <c r="H397" i="1"/>
  <c r="G397" i="1"/>
  <c r="F397" i="1"/>
  <c r="H396" i="1"/>
  <c r="G396" i="1"/>
  <c r="F396" i="1"/>
  <c r="H395" i="1"/>
  <c r="G395" i="1"/>
  <c r="F395" i="1"/>
  <c r="H394" i="1"/>
  <c r="G394" i="1"/>
  <c r="F394" i="1"/>
  <c r="H393" i="1"/>
  <c r="G393" i="1"/>
  <c r="F393" i="1"/>
  <c r="H392" i="1"/>
  <c r="G392" i="1"/>
  <c r="F392" i="1"/>
  <c r="H391" i="1"/>
  <c r="G391" i="1"/>
  <c r="F391" i="1"/>
  <c r="H390" i="1"/>
  <c r="G390" i="1"/>
  <c r="F390" i="1"/>
  <c r="H389" i="1"/>
  <c r="G389" i="1"/>
  <c r="F389" i="1"/>
  <c r="H388" i="1"/>
  <c r="G388" i="1"/>
  <c r="F388" i="1"/>
  <c r="H387" i="1"/>
  <c r="G387" i="1"/>
  <c r="F387" i="1"/>
  <c r="H386" i="1"/>
  <c r="G386" i="1"/>
  <c r="F386" i="1"/>
  <c r="H385" i="1"/>
  <c r="G385" i="1"/>
  <c r="F385" i="1"/>
  <c r="H384" i="1"/>
  <c r="G384" i="1"/>
  <c r="F384" i="1"/>
  <c r="H383" i="1"/>
  <c r="G383" i="1"/>
  <c r="F383" i="1"/>
  <c r="H382" i="1"/>
  <c r="G382" i="1"/>
  <c r="F382" i="1"/>
  <c r="H381" i="1"/>
  <c r="G381" i="1"/>
  <c r="F381" i="1"/>
  <c r="H380" i="1"/>
  <c r="G380" i="1"/>
  <c r="F380" i="1"/>
  <c r="H379" i="1"/>
  <c r="G379" i="1"/>
  <c r="F379" i="1"/>
  <c r="H378" i="1"/>
  <c r="G378" i="1"/>
  <c r="F378" i="1"/>
  <c r="H377" i="1"/>
  <c r="G377" i="1"/>
  <c r="F377" i="1"/>
  <c r="H376" i="1"/>
  <c r="G376" i="1"/>
  <c r="F376" i="1"/>
  <c r="H375" i="1"/>
  <c r="G375" i="1"/>
  <c r="F375" i="1"/>
  <c r="H374" i="1"/>
  <c r="G374" i="1"/>
  <c r="F374" i="1"/>
  <c r="H373" i="1"/>
  <c r="G373" i="1"/>
  <c r="F373" i="1"/>
  <c r="H372" i="1"/>
  <c r="G372" i="1"/>
  <c r="F372" i="1"/>
  <c r="H371" i="1"/>
  <c r="G371" i="1"/>
  <c r="F371" i="1"/>
  <c r="H370" i="1"/>
  <c r="G370" i="1"/>
  <c r="F370" i="1"/>
  <c r="H369" i="1"/>
  <c r="G369" i="1"/>
  <c r="F369" i="1"/>
  <c r="H368" i="1"/>
  <c r="G368" i="1"/>
  <c r="F368" i="1"/>
  <c r="H367" i="1"/>
  <c r="G367" i="1"/>
  <c r="F367" i="1"/>
  <c r="H366" i="1"/>
  <c r="G366" i="1"/>
  <c r="F366" i="1"/>
  <c r="H365" i="1"/>
  <c r="G365" i="1"/>
  <c r="F365" i="1"/>
  <c r="H364" i="1"/>
  <c r="G364" i="1"/>
  <c r="F364" i="1"/>
  <c r="H363" i="1"/>
  <c r="G363" i="1"/>
  <c r="F363" i="1"/>
  <c r="H362" i="1"/>
  <c r="G362" i="1"/>
  <c r="F362" i="1"/>
  <c r="H361" i="1"/>
  <c r="G361" i="1"/>
  <c r="F361" i="1"/>
  <c r="H360" i="1"/>
  <c r="G360" i="1"/>
  <c r="F360" i="1"/>
  <c r="H359" i="1"/>
  <c r="G359" i="1"/>
  <c r="F359" i="1"/>
  <c r="H358" i="1"/>
  <c r="G358" i="1"/>
  <c r="F358" i="1"/>
  <c r="H357" i="1"/>
  <c r="G357" i="1"/>
  <c r="F357" i="1"/>
  <c r="H356" i="1"/>
  <c r="G356" i="1"/>
  <c r="F356" i="1"/>
  <c r="H355" i="1"/>
  <c r="G355" i="1"/>
  <c r="F355" i="1"/>
  <c r="H354" i="1"/>
  <c r="G354" i="1"/>
  <c r="F354" i="1"/>
  <c r="H353" i="1"/>
  <c r="G353" i="1"/>
  <c r="F353" i="1"/>
  <c r="H352" i="1"/>
  <c r="G352" i="1"/>
  <c r="F352" i="1"/>
  <c r="H351" i="1"/>
  <c r="G351" i="1"/>
  <c r="F351" i="1"/>
  <c r="H350" i="1"/>
  <c r="G350" i="1"/>
  <c r="F350" i="1"/>
  <c r="H349" i="1"/>
  <c r="G349" i="1"/>
  <c r="F349" i="1"/>
  <c r="H348" i="1"/>
  <c r="G348" i="1"/>
  <c r="F348" i="1"/>
  <c r="H347" i="1"/>
  <c r="G347" i="1"/>
  <c r="F347" i="1"/>
  <c r="H346" i="1"/>
  <c r="G346" i="1"/>
  <c r="F346" i="1"/>
  <c r="H345" i="1"/>
  <c r="G345" i="1"/>
  <c r="F345" i="1"/>
  <c r="H344" i="1"/>
  <c r="G344" i="1"/>
  <c r="F344" i="1"/>
  <c r="H343" i="1"/>
  <c r="G343" i="1"/>
  <c r="F343" i="1"/>
  <c r="H342" i="1"/>
  <c r="G342" i="1"/>
  <c r="F342" i="1"/>
  <c r="H341" i="1"/>
  <c r="G341" i="1"/>
  <c r="F341" i="1"/>
  <c r="H340" i="1"/>
  <c r="G340" i="1"/>
  <c r="F340" i="1"/>
  <c r="H339" i="1"/>
  <c r="G339" i="1"/>
  <c r="F339" i="1"/>
  <c r="H338" i="1"/>
  <c r="G338" i="1"/>
  <c r="F338" i="1"/>
  <c r="H337" i="1"/>
  <c r="G337" i="1"/>
  <c r="F337" i="1"/>
  <c r="H336" i="1"/>
  <c r="G336" i="1"/>
  <c r="F336" i="1"/>
  <c r="H335" i="1"/>
  <c r="G335" i="1"/>
  <c r="F335" i="1"/>
  <c r="H334" i="1"/>
  <c r="G334" i="1"/>
  <c r="F334" i="1"/>
  <c r="H333" i="1"/>
  <c r="G333" i="1"/>
  <c r="F333" i="1"/>
  <c r="H332" i="1"/>
  <c r="G332" i="1"/>
  <c r="F332" i="1"/>
  <c r="H331" i="1"/>
  <c r="G331" i="1"/>
  <c r="F331" i="1"/>
  <c r="H330" i="1"/>
  <c r="G330" i="1"/>
  <c r="F330" i="1"/>
  <c r="H329" i="1"/>
  <c r="G329" i="1"/>
  <c r="F329" i="1"/>
  <c r="H328" i="1"/>
  <c r="G328" i="1"/>
  <c r="F328" i="1"/>
  <c r="H327" i="1"/>
  <c r="G327" i="1"/>
  <c r="F327" i="1"/>
  <c r="H326" i="1"/>
  <c r="G326" i="1"/>
  <c r="F326" i="1"/>
  <c r="H325" i="1"/>
  <c r="G325" i="1"/>
  <c r="F325" i="1"/>
  <c r="H324" i="1"/>
  <c r="G324" i="1"/>
  <c r="F324" i="1"/>
  <c r="H323" i="1"/>
  <c r="G323" i="1"/>
  <c r="F323" i="1"/>
  <c r="H322" i="1"/>
  <c r="G322" i="1"/>
  <c r="F322" i="1"/>
  <c r="H321" i="1"/>
  <c r="G321" i="1"/>
  <c r="F321" i="1"/>
  <c r="H320" i="1"/>
  <c r="G320" i="1"/>
  <c r="F320" i="1"/>
  <c r="H319" i="1"/>
  <c r="G319" i="1"/>
  <c r="F319" i="1"/>
  <c r="H318" i="1"/>
  <c r="G318" i="1"/>
  <c r="F318" i="1"/>
  <c r="H317" i="1"/>
  <c r="G317" i="1"/>
  <c r="F317" i="1"/>
  <c r="H316" i="1"/>
  <c r="G316" i="1"/>
  <c r="F316" i="1"/>
  <c r="H315" i="1"/>
  <c r="G315" i="1"/>
  <c r="F315" i="1"/>
  <c r="H314" i="1"/>
  <c r="G314" i="1"/>
  <c r="F314" i="1"/>
  <c r="H313" i="1"/>
  <c r="G313" i="1"/>
  <c r="F313" i="1"/>
  <c r="H312" i="1"/>
  <c r="G312" i="1"/>
  <c r="F312" i="1"/>
  <c r="H311" i="1"/>
  <c r="G311" i="1"/>
  <c r="F311" i="1"/>
  <c r="H310" i="1"/>
  <c r="G310" i="1"/>
  <c r="F310" i="1"/>
  <c r="H309" i="1"/>
  <c r="G309" i="1"/>
  <c r="F309" i="1"/>
  <c r="H308" i="1"/>
  <c r="G308" i="1"/>
  <c r="F308" i="1"/>
  <c r="H307" i="1"/>
  <c r="G307" i="1"/>
  <c r="F307" i="1"/>
  <c r="H306" i="1"/>
  <c r="G306" i="1"/>
  <c r="F306" i="1"/>
  <c r="H305" i="1"/>
  <c r="G305" i="1"/>
  <c r="F305" i="1"/>
  <c r="H304" i="1"/>
  <c r="G304" i="1"/>
  <c r="F304" i="1"/>
  <c r="H303" i="1"/>
  <c r="G303" i="1"/>
  <c r="F303" i="1"/>
  <c r="H302" i="1"/>
  <c r="G302" i="1"/>
  <c r="F302" i="1"/>
  <c r="H301" i="1"/>
  <c r="G301" i="1"/>
  <c r="F301" i="1"/>
  <c r="H300" i="1"/>
  <c r="G300" i="1"/>
  <c r="F300" i="1"/>
  <c r="H299" i="1"/>
  <c r="G299" i="1"/>
  <c r="F299" i="1"/>
  <c r="H298" i="1"/>
  <c r="G298" i="1"/>
  <c r="F298" i="1"/>
  <c r="H297" i="1"/>
  <c r="G297" i="1"/>
  <c r="F297" i="1"/>
  <c r="H296" i="1"/>
  <c r="G296" i="1"/>
  <c r="F296" i="1"/>
  <c r="H295" i="1"/>
  <c r="G295" i="1"/>
  <c r="F295" i="1"/>
  <c r="H294" i="1"/>
  <c r="G294" i="1"/>
  <c r="F294" i="1"/>
  <c r="H293" i="1"/>
  <c r="G293" i="1"/>
  <c r="F293" i="1"/>
  <c r="H292" i="1"/>
  <c r="G292" i="1"/>
  <c r="F292" i="1"/>
  <c r="H291" i="1"/>
  <c r="G291" i="1"/>
  <c r="F291" i="1"/>
  <c r="H290" i="1"/>
  <c r="G290" i="1"/>
  <c r="F290" i="1"/>
  <c r="H289" i="1"/>
  <c r="G289" i="1"/>
  <c r="F289" i="1"/>
  <c r="H288" i="1"/>
  <c r="G288" i="1"/>
  <c r="F288" i="1"/>
  <c r="H287" i="1"/>
  <c r="G287" i="1"/>
  <c r="F287" i="1"/>
  <c r="H286" i="1"/>
  <c r="G286" i="1"/>
  <c r="F286" i="1"/>
  <c r="H285" i="1"/>
  <c r="G285" i="1"/>
  <c r="F285" i="1"/>
  <c r="H284" i="1"/>
  <c r="G284" i="1"/>
  <c r="F284" i="1"/>
  <c r="H283" i="1"/>
  <c r="G283" i="1"/>
  <c r="F283" i="1"/>
  <c r="H282" i="1"/>
  <c r="G282" i="1"/>
  <c r="F282" i="1"/>
  <c r="H281" i="1"/>
  <c r="G281" i="1"/>
  <c r="F281" i="1"/>
  <c r="H280" i="1"/>
  <c r="G280" i="1"/>
  <c r="F280" i="1"/>
  <c r="H279" i="1"/>
  <c r="G279" i="1"/>
  <c r="F279" i="1"/>
  <c r="H278" i="1"/>
  <c r="G278" i="1"/>
  <c r="F278" i="1"/>
  <c r="H277" i="1"/>
  <c r="G277" i="1"/>
  <c r="F277" i="1"/>
  <c r="H276" i="1"/>
  <c r="G276" i="1"/>
  <c r="F276" i="1"/>
  <c r="H275" i="1"/>
  <c r="G275" i="1"/>
  <c r="F275" i="1"/>
  <c r="H274" i="1"/>
  <c r="G274" i="1"/>
  <c r="F274" i="1"/>
  <c r="H273" i="1"/>
  <c r="G273" i="1"/>
  <c r="F273" i="1"/>
  <c r="H272" i="1"/>
  <c r="G272" i="1"/>
  <c r="F272" i="1"/>
  <c r="H271" i="1"/>
  <c r="G271" i="1"/>
  <c r="F271" i="1"/>
  <c r="H270" i="1"/>
  <c r="G270" i="1"/>
  <c r="F270" i="1"/>
  <c r="H269" i="1"/>
  <c r="G269" i="1"/>
  <c r="F269" i="1"/>
  <c r="H268" i="1"/>
  <c r="G268" i="1"/>
  <c r="F268" i="1"/>
  <c r="H267" i="1"/>
  <c r="G267" i="1"/>
  <c r="F267" i="1"/>
  <c r="H266" i="1"/>
  <c r="G266" i="1"/>
  <c r="F266" i="1"/>
  <c r="H265" i="1"/>
  <c r="G265" i="1"/>
  <c r="F265" i="1"/>
  <c r="H264" i="1"/>
  <c r="G264" i="1"/>
  <c r="F264" i="1"/>
  <c r="H263" i="1"/>
  <c r="G263" i="1"/>
  <c r="F263" i="1"/>
  <c r="H262" i="1"/>
  <c r="G262" i="1"/>
  <c r="F262" i="1"/>
  <c r="H261" i="1"/>
  <c r="G261" i="1"/>
  <c r="F261" i="1"/>
  <c r="H260" i="1"/>
  <c r="G260" i="1"/>
  <c r="F260" i="1"/>
  <c r="H259" i="1"/>
  <c r="G259" i="1"/>
  <c r="F259" i="1"/>
  <c r="H258" i="1"/>
  <c r="G258" i="1"/>
  <c r="F258" i="1"/>
  <c r="H257" i="1"/>
  <c r="G257" i="1"/>
  <c r="F257" i="1"/>
  <c r="H256" i="1"/>
  <c r="G256" i="1"/>
  <c r="F256" i="1"/>
  <c r="H255" i="1"/>
  <c r="G255" i="1"/>
  <c r="F255" i="1"/>
  <c r="H254" i="1"/>
  <c r="G254" i="1"/>
  <c r="F254" i="1"/>
  <c r="H253" i="1"/>
  <c r="G253" i="1"/>
  <c r="F253" i="1"/>
  <c r="H252" i="1"/>
  <c r="G252" i="1"/>
  <c r="F252" i="1"/>
  <c r="H251" i="1"/>
  <c r="G251" i="1"/>
  <c r="F251" i="1"/>
  <c r="H250" i="1"/>
  <c r="G250" i="1"/>
  <c r="F250" i="1"/>
  <c r="H249" i="1"/>
  <c r="G249" i="1"/>
  <c r="F249" i="1"/>
  <c r="H248" i="1"/>
  <c r="G248" i="1"/>
  <c r="F248" i="1"/>
  <c r="H247" i="1"/>
  <c r="G247" i="1"/>
  <c r="F247" i="1"/>
  <c r="H246" i="1"/>
  <c r="G246" i="1"/>
  <c r="F246" i="1"/>
  <c r="H245" i="1"/>
  <c r="G245" i="1"/>
  <c r="F245" i="1"/>
  <c r="H244" i="1"/>
  <c r="G244" i="1"/>
  <c r="F244" i="1"/>
  <c r="H243" i="1"/>
  <c r="G243" i="1"/>
  <c r="F243" i="1"/>
  <c r="H242" i="1"/>
  <c r="G242" i="1"/>
  <c r="F242" i="1"/>
  <c r="H241" i="1"/>
  <c r="G241" i="1"/>
  <c r="F241" i="1"/>
  <c r="H240" i="1"/>
  <c r="G240" i="1"/>
  <c r="F240" i="1"/>
  <c r="H239" i="1"/>
  <c r="G239" i="1"/>
  <c r="F239" i="1"/>
  <c r="H238" i="1"/>
  <c r="G238" i="1"/>
  <c r="F238" i="1"/>
  <c r="H237" i="1"/>
  <c r="G237" i="1"/>
  <c r="F237" i="1"/>
  <c r="H236" i="1"/>
  <c r="G236" i="1"/>
  <c r="F236" i="1"/>
  <c r="H235" i="1"/>
  <c r="G235" i="1"/>
  <c r="F235" i="1"/>
  <c r="H234" i="1"/>
  <c r="G234" i="1"/>
  <c r="F234" i="1"/>
  <c r="H233" i="1"/>
  <c r="G233" i="1"/>
  <c r="F233" i="1"/>
  <c r="H232" i="1"/>
  <c r="G232" i="1"/>
  <c r="F232" i="1"/>
  <c r="H231" i="1"/>
  <c r="G231" i="1"/>
  <c r="F231" i="1"/>
  <c r="H230" i="1"/>
  <c r="G230" i="1"/>
  <c r="F230" i="1"/>
  <c r="H229" i="1"/>
  <c r="G229" i="1"/>
  <c r="F229" i="1"/>
  <c r="H228" i="1"/>
  <c r="G228" i="1"/>
  <c r="F228" i="1"/>
  <c r="H227" i="1"/>
  <c r="G227" i="1"/>
  <c r="F227" i="1"/>
  <c r="H226" i="1"/>
  <c r="G226" i="1"/>
  <c r="F226" i="1"/>
  <c r="H225" i="1"/>
  <c r="G225" i="1"/>
  <c r="F225" i="1"/>
  <c r="H224" i="1"/>
  <c r="G224" i="1"/>
  <c r="F224" i="1"/>
  <c r="H223" i="1"/>
  <c r="G223" i="1"/>
  <c r="F223" i="1"/>
  <c r="H222" i="1"/>
  <c r="G222" i="1"/>
  <c r="F222" i="1"/>
  <c r="H221" i="1"/>
  <c r="G221" i="1"/>
  <c r="F221" i="1"/>
  <c r="H220" i="1"/>
  <c r="G220" i="1"/>
  <c r="F220" i="1"/>
  <c r="H219" i="1"/>
  <c r="G219" i="1"/>
  <c r="F219" i="1"/>
  <c r="H218" i="1"/>
  <c r="G218" i="1"/>
  <c r="F218" i="1"/>
  <c r="H217" i="1"/>
  <c r="G217" i="1"/>
  <c r="F217" i="1"/>
  <c r="H216" i="1"/>
  <c r="G216" i="1"/>
  <c r="F216" i="1"/>
  <c r="H215" i="1"/>
  <c r="G215" i="1"/>
  <c r="F215" i="1"/>
  <c r="H214" i="1"/>
  <c r="G214" i="1"/>
  <c r="F214" i="1"/>
  <c r="H213" i="1"/>
  <c r="G213" i="1"/>
  <c r="F213" i="1"/>
  <c r="H212" i="1"/>
  <c r="G212" i="1"/>
  <c r="F212" i="1"/>
  <c r="H211" i="1"/>
  <c r="G211" i="1"/>
  <c r="F211" i="1"/>
  <c r="H210" i="1"/>
  <c r="G210" i="1"/>
  <c r="F210" i="1"/>
  <c r="H209" i="1"/>
  <c r="G209" i="1"/>
  <c r="F209" i="1"/>
  <c r="H208" i="1"/>
  <c r="G208" i="1"/>
  <c r="F208" i="1"/>
  <c r="H207" i="1"/>
  <c r="G207" i="1"/>
  <c r="F207" i="1"/>
  <c r="H206" i="1"/>
  <c r="G206" i="1"/>
  <c r="F206" i="1"/>
  <c r="H205" i="1"/>
  <c r="G205" i="1"/>
  <c r="F205" i="1"/>
  <c r="H204" i="1"/>
  <c r="G204" i="1"/>
  <c r="F204" i="1"/>
  <c r="H203" i="1"/>
  <c r="G203" i="1"/>
  <c r="F203" i="1"/>
  <c r="H202" i="1"/>
  <c r="G202" i="1"/>
  <c r="F202" i="1"/>
  <c r="H201" i="1"/>
  <c r="G201" i="1"/>
  <c r="F201" i="1"/>
  <c r="H200" i="1"/>
  <c r="G200" i="1"/>
  <c r="F200" i="1"/>
  <c r="H199" i="1"/>
  <c r="G199" i="1"/>
  <c r="F199" i="1"/>
  <c r="H198" i="1"/>
  <c r="G198" i="1"/>
  <c r="F198" i="1"/>
  <c r="H197" i="1"/>
  <c r="G197" i="1"/>
  <c r="F197" i="1"/>
  <c r="H196" i="1"/>
  <c r="G196" i="1"/>
  <c r="F196" i="1"/>
  <c r="H195" i="1"/>
  <c r="G195" i="1"/>
  <c r="F195" i="1"/>
  <c r="H194" i="1"/>
  <c r="G194" i="1"/>
  <c r="F194" i="1"/>
  <c r="H193" i="1"/>
  <c r="G193" i="1"/>
  <c r="F193" i="1"/>
  <c r="H192" i="1"/>
  <c r="G192" i="1"/>
  <c r="F192" i="1"/>
  <c r="H191" i="1"/>
  <c r="G191" i="1"/>
  <c r="F191" i="1"/>
  <c r="H190" i="1"/>
  <c r="G190" i="1"/>
  <c r="F190" i="1"/>
  <c r="H189" i="1"/>
  <c r="G189" i="1"/>
  <c r="F189" i="1"/>
  <c r="H188" i="1"/>
  <c r="G188" i="1"/>
  <c r="F188" i="1"/>
  <c r="H187" i="1"/>
  <c r="G187" i="1"/>
  <c r="F187" i="1"/>
  <c r="H186" i="1"/>
  <c r="G186" i="1"/>
  <c r="F186" i="1"/>
  <c r="H185" i="1"/>
  <c r="G185" i="1"/>
  <c r="F185" i="1"/>
  <c r="H184" i="1"/>
  <c r="G184" i="1"/>
  <c r="F184" i="1"/>
  <c r="H183" i="1"/>
  <c r="G183" i="1"/>
  <c r="F183" i="1"/>
  <c r="H182" i="1"/>
  <c r="G182" i="1"/>
  <c r="F182" i="1"/>
  <c r="H181" i="1"/>
  <c r="G181" i="1"/>
  <c r="F181" i="1"/>
  <c r="H180" i="1"/>
  <c r="G180" i="1"/>
  <c r="F180" i="1"/>
  <c r="H179" i="1"/>
  <c r="G179" i="1"/>
  <c r="F179" i="1"/>
  <c r="H178" i="1"/>
  <c r="G178" i="1"/>
  <c r="F178" i="1"/>
  <c r="H177" i="1"/>
  <c r="G177" i="1"/>
  <c r="F177" i="1"/>
  <c r="H176" i="1"/>
  <c r="G176" i="1"/>
  <c r="F176" i="1"/>
  <c r="H175" i="1"/>
  <c r="G175" i="1"/>
  <c r="F175" i="1"/>
  <c r="H174" i="1"/>
  <c r="G174" i="1"/>
  <c r="F174" i="1"/>
  <c r="H173" i="1"/>
  <c r="G173" i="1"/>
  <c r="F173" i="1"/>
  <c r="H172" i="1"/>
  <c r="G172" i="1"/>
  <c r="F172" i="1"/>
  <c r="H171" i="1"/>
  <c r="G171" i="1"/>
  <c r="F171" i="1"/>
  <c r="H170" i="1"/>
  <c r="G170" i="1"/>
  <c r="F170" i="1"/>
  <c r="H169" i="1"/>
  <c r="G169" i="1"/>
  <c r="F169" i="1"/>
  <c r="H168" i="1"/>
  <c r="G168" i="1"/>
  <c r="F168" i="1"/>
  <c r="H167" i="1"/>
  <c r="G167" i="1"/>
  <c r="F167" i="1"/>
  <c r="H166" i="1"/>
  <c r="G166" i="1"/>
  <c r="F166" i="1"/>
  <c r="H165" i="1"/>
  <c r="G165" i="1"/>
  <c r="F165" i="1"/>
  <c r="H164" i="1"/>
  <c r="G164" i="1"/>
  <c r="F164" i="1"/>
  <c r="H163" i="1"/>
  <c r="G163" i="1"/>
  <c r="F163" i="1"/>
  <c r="H162" i="1"/>
  <c r="G162" i="1"/>
  <c r="F162" i="1"/>
  <c r="H161" i="1"/>
  <c r="G161" i="1"/>
  <c r="F161" i="1"/>
  <c r="H160" i="1"/>
  <c r="G160" i="1"/>
  <c r="F160" i="1"/>
  <c r="H159" i="1"/>
  <c r="G159" i="1"/>
  <c r="F159" i="1"/>
  <c r="H158" i="1"/>
  <c r="G158" i="1"/>
  <c r="F158" i="1"/>
  <c r="H157" i="1"/>
  <c r="G157" i="1"/>
  <c r="F157" i="1"/>
  <c r="H156" i="1"/>
  <c r="G156" i="1"/>
  <c r="F156" i="1"/>
  <c r="H155" i="1"/>
  <c r="G155" i="1"/>
  <c r="F155" i="1"/>
  <c r="H154" i="1"/>
  <c r="G154" i="1"/>
  <c r="F154" i="1"/>
  <c r="H153" i="1"/>
  <c r="G153" i="1"/>
  <c r="F153" i="1"/>
  <c r="H152" i="1"/>
  <c r="G152" i="1"/>
  <c r="F152" i="1"/>
  <c r="H151" i="1"/>
  <c r="G151" i="1"/>
  <c r="F151" i="1"/>
  <c r="H150" i="1"/>
  <c r="G150" i="1"/>
  <c r="F150" i="1"/>
  <c r="H149" i="1"/>
  <c r="G149" i="1"/>
  <c r="F149" i="1"/>
  <c r="H148" i="1"/>
  <c r="G148" i="1"/>
  <c r="F148" i="1"/>
  <c r="H147" i="1"/>
  <c r="G147" i="1"/>
  <c r="F147" i="1"/>
  <c r="H146" i="1"/>
  <c r="G146" i="1"/>
  <c r="F146" i="1"/>
  <c r="H145" i="1"/>
  <c r="G145" i="1"/>
  <c r="F145" i="1"/>
  <c r="H144" i="1"/>
  <c r="G144" i="1"/>
  <c r="F144" i="1"/>
  <c r="H143" i="1"/>
  <c r="G143" i="1"/>
  <c r="F143" i="1"/>
  <c r="H142" i="1"/>
  <c r="G142" i="1"/>
  <c r="F142" i="1"/>
  <c r="H141" i="1"/>
  <c r="G141" i="1"/>
  <c r="F141" i="1"/>
  <c r="H140" i="1"/>
  <c r="G140" i="1"/>
  <c r="F140" i="1"/>
  <c r="H139" i="1"/>
  <c r="G139" i="1"/>
  <c r="F139" i="1"/>
  <c r="H138" i="1"/>
  <c r="G138" i="1"/>
  <c r="F138" i="1"/>
  <c r="H137" i="1"/>
  <c r="G137" i="1"/>
  <c r="F137" i="1"/>
  <c r="H136" i="1"/>
  <c r="G136" i="1"/>
  <c r="F136" i="1"/>
  <c r="H135" i="1"/>
  <c r="G135" i="1"/>
  <c r="F135" i="1"/>
  <c r="H134" i="1"/>
  <c r="G134" i="1"/>
  <c r="F134" i="1"/>
  <c r="H133" i="1"/>
  <c r="G133" i="1"/>
  <c r="F133" i="1"/>
  <c r="H132" i="1"/>
  <c r="G132" i="1"/>
  <c r="F132" i="1"/>
  <c r="H131" i="1"/>
  <c r="G131" i="1"/>
  <c r="F131" i="1"/>
  <c r="H130" i="1"/>
  <c r="G130" i="1"/>
  <c r="F130" i="1"/>
  <c r="H129" i="1"/>
  <c r="G129" i="1"/>
  <c r="F129" i="1"/>
  <c r="H128" i="1"/>
  <c r="G128" i="1"/>
  <c r="F128" i="1"/>
  <c r="H127" i="1"/>
  <c r="G127" i="1"/>
  <c r="F127" i="1"/>
  <c r="H126" i="1"/>
  <c r="G126" i="1"/>
  <c r="F126" i="1"/>
  <c r="H125" i="1"/>
  <c r="G125" i="1"/>
  <c r="F125" i="1"/>
  <c r="H124" i="1"/>
  <c r="G124" i="1"/>
  <c r="F124" i="1"/>
  <c r="H123" i="1"/>
  <c r="G123" i="1"/>
  <c r="F123" i="1"/>
  <c r="H122" i="1"/>
  <c r="G122" i="1"/>
  <c r="F122" i="1"/>
  <c r="H121" i="1"/>
  <c r="G121" i="1"/>
  <c r="F121" i="1"/>
  <c r="H120" i="1"/>
  <c r="G120" i="1"/>
  <c r="F120" i="1"/>
  <c r="H119" i="1"/>
  <c r="G119" i="1"/>
  <c r="F119" i="1"/>
  <c r="H118" i="1"/>
  <c r="G118" i="1"/>
  <c r="F118" i="1"/>
  <c r="H117" i="1"/>
  <c r="G117" i="1"/>
  <c r="F117" i="1"/>
  <c r="H116" i="1"/>
  <c r="G116" i="1"/>
  <c r="F116" i="1"/>
  <c r="H115" i="1"/>
  <c r="G115" i="1"/>
  <c r="F115" i="1"/>
  <c r="H114" i="1"/>
  <c r="G114" i="1"/>
  <c r="F114" i="1"/>
  <c r="H113" i="1"/>
  <c r="G113" i="1"/>
  <c r="F113" i="1"/>
  <c r="H112" i="1"/>
  <c r="G112" i="1"/>
  <c r="F112" i="1"/>
  <c r="H111" i="1"/>
  <c r="G111" i="1"/>
  <c r="F111" i="1"/>
  <c r="H110" i="1"/>
  <c r="G110" i="1"/>
  <c r="F110" i="1"/>
  <c r="H109" i="1"/>
  <c r="G109" i="1"/>
  <c r="F109" i="1"/>
  <c r="H108" i="1"/>
  <c r="G108" i="1"/>
  <c r="F108" i="1"/>
  <c r="H107" i="1"/>
  <c r="G107" i="1"/>
  <c r="F107" i="1"/>
  <c r="H106" i="1"/>
  <c r="G106" i="1"/>
  <c r="F106" i="1"/>
  <c r="H105" i="1"/>
  <c r="G105" i="1"/>
  <c r="F105" i="1"/>
  <c r="H104" i="1"/>
  <c r="G104" i="1"/>
  <c r="F104" i="1"/>
  <c r="H103" i="1"/>
  <c r="G103" i="1"/>
  <c r="F103" i="1"/>
  <c r="H102" i="1"/>
  <c r="G102" i="1"/>
  <c r="F102" i="1"/>
  <c r="H101" i="1"/>
  <c r="G101" i="1"/>
  <c r="F101" i="1"/>
  <c r="H100" i="1"/>
  <c r="G100" i="1"/>
  <c r="F100" i="1"/>
  <c r="H99" i="1"/>
  <c r="G99" i="1"/>
  <c r="F99" i="1"/>
  <c r="H98" i="1"/>
  <c r="G98" i="1"/>
  <c r="F98" i="1"/>
  <c r="H97" i="1"/>
  <c r="G97" i="1"/>
  <c r="F97" i="1"/>
  <c r="H96" i="1"/>
  <c r="G96" i="1"/>
  <c r="F96" i="1"/>
  <c r="H95" i="1"/>
  <c r="G95" i="1"/>
  <c r="F95" i="1"/>
  <c r="H94" i="1"/>
  <c r="G94" i="1"/>
  <c r="F94" i="1"/>
  <c r="H93" i="1"/>
  <c r="G93" i="1"/>
  <c r="F93" i="1"/>
  <c r="H92" i="1"/>
  <c r="G92" i="1"/>
  <c r="F92" i="1"/>
  <c r="H91" i="1"/>
  <c r="G91" i="1"/>
  <c r="F91" i="1"/>
  <c r="H90" i="1"/>
  <c r="G90" i="1"/>
  <c r="F90" i="1"/>
  <c r="H89" i="1"/>
  <c r="G89" i="1"/>
  <c r="F89" i="1"/>
  <c r="H88" i="1"/>
  <c r="G88" i="1"/>
  <c r="F88" i="1"/>
  <c r="H87" i="1"/>
  <c r="G87" i="1"/>
  <c r="F87" i="1"/>
  <c r="H86" i="1"/>
  <c r="G86" i="1"/>
  <c r="F86" i="1"/>
  <c r="H85" i="1"/>
  <c r="G85" i="1"/>
  <c r="F85" i="1"/>
  <c r="H84" i="1"/>
  <c r="G84" i="1"/>
  <c r="F84" i="1"/>
  <c r="H83" i="1"/>
  <c r="G83" i="1"/>
  <c r="F83" i="1"/>
  <c r="H82" i="1"/>
  <c r="G82" i="1"/>
  <c r="F82" i="1"/>
  <c r="H81" i="1"/>
  <c r="G81" i="1"/>
  <c r="F81" i="1"/>
  <c r="H80" i="1"/>
  <c r="G80" i="1"/>
  <c r="F80" i="1"/>
  <c r="H79" i="1"/>
  <c r="G79" i="1"/>
  <c r="F79" i="1"/>
  <c r="H78" i="1"/>
  <c r="G78" i="1"/>
  <c r="F78" i="1"/>
  <c r="H77" i="1"/>
  <c r="G77" i="1"/>
  <c r="F77" i="1"/>
  <c r="H76" i="1"/>
  <c r="G76" i="1"/>
  <c r="F76" i="1"/>
  <c r="H75" i="1"/>
  <c r="G75" i="1"/>
  <c r="F75" i="1"/>
  <c r="H74" i="1"/>
  <c r="G74" i="1"/>
  <c r="F74" i="1"/>
  <c r="H73" i="1"/>
  <c r="G73" i="1"/>
  <c r="F73" i="1"/>
  <c r="H72" i="1"/>
  <c r="G72" i="1"/>
  <c r="F72" i="1"/>
  <c r="H71" i="1"/>
  <c r="G71" i="1"/>
  <c r="F71" i="1"/>
  <c r="H70" i="1"/>
  <c r="G70" i="1"/>
  <c r="F70" i="1"/>
  <c r="H69" i="1"/>
  <c r="G69" i="1"/>
  <c r="F69" i="1"/>
  <c r="H68" i="1"/>
  <c r="G68" i="1"/>
  <c r="F68" i="1"/>
  <c r="H67" i="1"/>
  <c r="G67" i="1"/>
  <c r="F67" i="1"/>
  <c r="H66" i="1"/>
  <c r="G66" i="1"/>
  <c r="F66" i="1"/>
  <c r="H65" i="1"/>
  <c r="G65" i="1"/>
  <c r="F65" i="1"/>
  <c r="H64" i="1"/>
  <c r="G64" i="1"/>
  <c r="F64" i="1"/>
  <c r="H63" i="1"/>
  <c r="G63" i="1"/>
  <c r="F63" i="1"/>
  <c r="H62" i="1"/>
  <c r="G62" i="1"/>
  <c r="F62" i="1"/>
  <c r="H61" i="1"/>
  <c r="G61" i="1"/>
  <c r="F61" i="1"/>
  <c r="H60" i="1"/>
  <c r="G60" i="1"/>
  <c r="F60" i="1"/>
  <c r="H59" i="1"/>
  <c r="G59" i="1"/>
  <c r="F59" i="1"/>
  <c r="H58" i="1"/>
  <c r="G58" i="1"/>
  <c r="F58" i="1"/>
  <c r="H57" i="1"/>
  <c r="G57" i="1"/>
  <c r="F57" i="1"/>
  <c r="H56" i="1"/>
  <c r="G56" i="1"/>
  <c r="F56" i="1"/>
  <c r="H55" i="1"/>
  <c r="G55" i="1"/>
  <c r="F55" i="1"/>
  <c r="H54" i="1"/>
  <c r="G54" i="1"/>
  <c r="F54" i="1"/>
  <c r="H53" i="1"/>
  <c r="G53" i="1"/>
  <c r="F53" i="1"/>
  <c r="H52" i="1"/>
  <c r="G52" i="1"/>
  <c r="F52" i="1"/>
  <c r="H51" i="1"/>
  <c r="G51" i="1"/>
  <c r="F51" i="1"/>
  <c r="H50" i="1"/>
  <c r="G50" i="1"/>
  <c r="F50" i="1"/>
  <c r="H49" i="1"/>
  <c r="G49" i="1"/>
  <c r="F49" i="1"/>
  <c r="H48" i="1"/>
  <c r="G48" i="1"/>
  <c r="F48" i="1"/>
  <c r="H47" i="1"/>
  <c r="G47" i="1"/>
  <c r="F47" i="1"/>
  <c r="H46" i="1"/>
  <c r="G46" i="1"/>
  <c r="F46" i="1"/>
  <c r="H45" i="1"/>
  <c r="G45" i="1"/>
  <c r="F45" i="1"/>
  <c r="H44" i="1"/>
  <c r="G44" i="1"/>
  <c r="F44" i="1"/>
  <c r="H43" i="1"/>
  <c r="G43" i="1"/>
  <c r="F43" i="1"/>
  <c r="H42" i="1"/>
  <c r="G42" i="1"/>
  <c r="F42" i="1"/>
  <c r="H41" i="1"/>
  <c r="G41" i="1"/>
  <c r="F41" i="1"/>
  <c r="H40" i="1"/>
  <c r="G40" i="1"/>
  <c r="F40" i="1"/>
  <c r="H39" i="1"/>
  <c r="G39" i="1"/>
  <c r="F39" i="1"/>
  <c r="H38" i="1"/>
  <c r="G38" i="1"/>
  <c r="F38" i="1"/>
  <c r="H37" i="1"/>
  <c r="G37" i="1"/>
  <c r="F37" i="1"/>
  <c r="H36" i="1"/>
  <c r="G36" i="1"/>
  <c r="F36" i="1"/>
  <c r="H35" i="1"/>
  <c r="G35" i="1"/>
  <c r="F35" i="1"/>
  <c r="H34" i="1"/>
  <c r="G34" i="1"/>
  <c r="F34" i="1"/>
  <c r="H33" i="1"/>
  <c r="G33" i="1"/>
  <c r="F33" i="1"/>
  <c r="H32" i="1"/>
  <c r="G32" i="1"/>
  <c r="F32" i="1"/>
  <c r="H31" i="1"/>
  <c r="G31" i="1"/>
  <c r="F31" i="1"/>
  <c r="H30" i="1"/>
  <c r="G30" i="1"/>
  <c r="F30" i="1"/>
  <c r="H29" i="1"/>
  <c r="G29" i="1"/>
  <c r="F29" i="1"/>
  <c r="H28" i="1"/>
  <c r="G28" i="1"/>
  <c r="F28" i="1"/>
  <c r="H27" i="1"/>
  <c r="G27" i="1"/>
  <c r="F27" i="1"/>
  <c r="H26" i="1"/>
  <c r="G26" i="1"/>
  <c r="F26" i="1"/>
  <c r="H25" i="1"/>
  <c r="G25" i="1"/>
  <c r="F25" i="1"/>
  <c r="H24" i="1"/>
  <c r="G24" i="1"/>
  <c r="F24" i="1"/>
  <c r="H23" i="1"/>
  <c r="G23" i="1"/>
  <c r="F23" i="1"/>
  <c r="H22" i="1"/>
  <c r="G22" i="1"/>
  <c r="F22" i="1"/>
  <c r="H21" i="1"/>
  <c r="G21" i="1"/>
  <c r="F21" i="1"/>
  <c r="H20" i="1"/>
  <c r="G20" i="1"/>
  <c r="F20" i="1"/>
  <c r="H19" i="1"/>
  <c r="G19" i="1"/>
  <c r="F19" i="1"/>
  <c r="H18" i="1"/>
  <c r="G18" i="1"/>
  <c r="F18" i="1"/>
  <c r="H17" i="1"/>
  <c r="G17" i="1"/>
  <c r="F17" i="1"/>
  <c r="H16" i="1"/>
  <c r="G16" i="1"/>
  <c r="F16" i="1"/>
  <c r="H15" i="1"/>
  <c r="G15" i="1"/>
  <c r="F15" i="1"/>
  <c r="H14" i="1"/>
  <c r="G14" i="1"/>
  <c r="F14" i="1"/>
  <c r="H13" i="1"/>
  <c r="G13" i="1"/>
  <c r="F13" i="1"/>
  <c r="H12" i="1"/>
  <c r="G12" i="1"/>
  <c r="F12" i="1"/>
  <c r="H11" i="1"/>
  <c r="G11" i="1"/>
  <c r="F11" i="1"/>
  <c r="H10" i="1"/>
  <c r="G10" i="1"/>
  <c r="F10" i="1"/>
  <c r="H9" i="1"/>
  <c r="G9" i="1"/>
  <c r="F9" i="1"/>
  <c r="H8" i="1"/>
  <c r="G8" i="1"/>
  <c r="F8" i="1"/>
  <c r="H7" i="1"/>
  <c r="G7" i="1"/>
  <c r="F7" i="1"/>
  <c r="H6" i="1"/>
  <c r="G6" i="1"/>
  <c r="F6" i="1"/>
  <c r="H5" i="1"/>
  <c r="G5" i="1"/>
  <c r="F5" i="1"/>
  <c r="H4" i="1"/>
  <c r="G4" i="1"/>
  <c r="F4" i="1"/>
  <c r="H3" i="1"/>
  <c r="G3" i="1"/>
  <c r="F3" i="1"/>
  <c r="H2" i="1"/>
  <c r="G2" i="1"/>
  <c r="F2" i="1"/>
  <c r="P111" i="9"/>
  <c r="P103" i="9"/>
  <c r="M106" i="9"/>
  <c r="N92" i="9"/>
</calcChain>
</file>

<file path=xl/sharedStrings.xml><?xml version="1.0" encoding="utf-8"?>
<sst xmlns="http://schemas.openxmlformats.org/spreadsheetml/2006/main" count="25301" uniqueCount="6242">
  <si>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</si>
  <si>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</si>
  <si>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</si>
  <si>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</si>
  <si>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</si>
  <si>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</si>
  <si>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</si>
  <si>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</si>
  <si>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</si>
  <si>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</si>
  <si>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</si>
  <si>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</si>
  <si>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</si>
  <si>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</si>
  <si>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</si>
  <si>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</si>
  <si>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</si>
  <si>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</si>
  <si>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</si>
  <si>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</si>
  <si>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</si>
  <si>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</si>
  <si>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</si>
  <si>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</si>
  <si>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</si>
  <si>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</si>
  <si>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</si>
  <si>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</si>
  <si>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</si>
  <si>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</si>
  <si>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</si>
  <si>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</si>
  <si>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</si>
  <si>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</si>
  <si>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</si>
  <si>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</si>
  <si>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</si>
  <si>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</si>
  <si>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</si>
  <si>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</si>
  <si>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</si>
  <si>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</si>
  <si>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</si>
  <si>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</si>
  <si>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</si>
  <si>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</si>
  <si>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</si>
  <si>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</si>
  <si>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</si>
  <si>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</si>
  <si>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</si>
  <si>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</si>
  <si>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</si>
  <si>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</si>
  <si>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</si>
  <si>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</si>
  <si>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</si>
  <si>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</si>
  <si>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</si>
  <si>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</si>
  <si>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</si>
  <si>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</si>
  <si>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</si>
  <si>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</si>
  <si>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</si>
  <si>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</si>
  <si>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</si>
  <si>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</si>
  <si>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</si>
  <si>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</si>
  <si>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</si>
  <si>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</si>
  <si>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</si>
  <si>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</si>
  <si>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</si>
  <si>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</si>
  <si>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</si>
  <si>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</si>
  <si>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</si>
  <si>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</si>
  <si>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</si>
  <si>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</si>
  <si>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</si>
  <si>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</si>
  <si>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</si>
  <si>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</si>
  <si>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</si>
  <si>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</si>
  <si>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</si>
  <si>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</si>
  <si>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</si>
  <si>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</si>
  <si>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</si>
  <si>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</si>
  <si>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</si>
  <si>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</si>
  <si>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</si>
  <si>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</si>
  <si>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</si>
  <si>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</si>
  <si>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</si>
  <si>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</si>
  <si>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</si>
  <si>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</si>
  <si>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</si>
  <si>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</si>
  <si>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</si>
  <si>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</si>
  <si>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</si>
  <si>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</si>
  <si>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</si>
  <si>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</si>
  <si>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</si>
  <si>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</si>
  <si>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</si>
  <si>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</si>
  <si>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</si>
  <si>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</si>
  <si>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</si>
  <si>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</si>
  <si>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</si>
  <si>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</si>
  <si>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</si>
  <si>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</si>
  <si>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</si>
  <si>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</si>
  <si>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</si>
  <si>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</si>
  <si>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</si>
  <si>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</si>
  <si>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</si>
  <si>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</si>
  <si>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</si>
  <si>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</si>
  <si>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</si>
  <si>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</si>
  <si>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</si>
  <si>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</si>
  <si>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</si>
  <si>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</si>
  <si>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</si>
  <si>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</si>
  <si>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</si>
  <si>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</si>
  <si>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</si>
  <si>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</si>
  <si>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</si>
  <si>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</si>
  <si>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</si>
  <si>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</si>
  <si>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</si>
  <si>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</si>
  <si>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</si>
  <si>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</si>
  <si>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</si>
  <si>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</si>
  <si>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</si>
  <si>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</si>
  <si>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</si>
  <si>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</si>
  <si>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</si>
  <si>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</si>
  <si>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</si>
  <si>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</si>
  <si>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</si>
  <si>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</si>
  <si>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</si>
  <si>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</si>
  <si>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</si>
  <si>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</si>
  <si>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</si>
  <si>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</si>
  <si>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</si>
  <si>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</si>
  <si>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</si>
  <si>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</si>
  <si>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</si>
  <si>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</si>
  <si>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</si>
  <si>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</si>
  <si>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</si>
  <si>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</si>
  <si>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</si>
  <si>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</si>
  <si>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</si>
  <si>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</si>
  <si>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</si>
  <si>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</si>
  <si>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</si>
  <si>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</si>
  <si>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</si>
  <si>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</si>
  <si>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</si>
  <si>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</si>
  <si>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</si>
  <si>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</si>
  <si>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</si>
  <si>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</si>
  <si>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</si>
  <si>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</si>
  <si>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</si>
  <si>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</si>
  <si>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</si>
  <si>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</si>
  <si>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</si>
  <si>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</si>
  <si>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</si>
  <si>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</si>
  <si>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</si>
  <si>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</si>
  <si>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</si>
  <si>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</si>
  <si>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</si>
  <si>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</si>
  <si>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</si>
  <si>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</si>
  <si>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</si>
  <si>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</si>
  <si>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</si>
  <si>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</si>
  <si>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</si>
  <si>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</si>
  <si>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</si>
  <si>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</si>
  <si>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</si>
  <si>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</si>
  <si>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</si>
  <si>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</si>
  <si>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</si>
  <si>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</si>
  <si>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</si>
  <si>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</si>
  <si>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</si>
  <si>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</si>
  <si>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</si>
  <si>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</si>
  <si>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</si>
  <si>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</si>
  <si>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</si>
  <si>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</si>
  <si>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</si>
  <si>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</si>
  <si>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</si>
  <si>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</si>
  <si>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</si>
  <si>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</si>
  <si>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</si>
  <si>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</si>
  <si>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</si>
  <si>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</si>
  <si>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</si>
  <si>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</si>
  <si>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</si>
  <si>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</si>
  <si>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</si>
  <si>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</si>
  <si>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</si>
  <si>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</si>
  <si>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</si>
  <si>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</si>
  <si>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</si>
  <si>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</si>
  <si>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</si>
  <si>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</si>
  <si>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</si>
  <si>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</si>
  <si>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</si>
  <si>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</si>
  <si>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</si>
  <si>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</si>
  <si>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</si>
  <si>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</si>
  <si>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</si>
  <si>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</si>
  <si>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</si>
  <si>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</si>
  <si>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</si>
  <si>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</si>
  <si>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</si>
  <si>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</si>
  <si>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</si>
  <si>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</si>
  <si>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</si>
  <si>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</si>
  <si>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</si>
  <si>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</si>
  <si>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</si>
  <si>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</si>
  <si>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</si>
  <si>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</si>
  <si>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</si>
  <si>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</si>
  <si>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</si>
  <si>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</si>
  <si>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</si>
  <si>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</si>
  <si>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</si>
  <si>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</si>
  <si>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</si>
  <si>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</si>
  <si>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</si>
  <si>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</si>
  <si>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</si>
  <si>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</si>
  <si>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</si>
  <si>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</si>
  <si>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</si>
  <si>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</si>
  <si>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</si>
  <si>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</si>
  <si>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</si>
  <si>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</si>
  <si>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</si>
  <si>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</si>
  <si>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</si>
  <si>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</si>
  <si>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</si>
  <si>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</si>
  <si>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</si>
  <si>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</si>
  <si>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</si>
  <si>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</si>
  <si>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</si>
  <si>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</si>
  <si>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</si>
  <si>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</si>
  <si>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</si>
  <si>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</si>
  <si>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</si>
  <si>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</si>
  <si>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</si>
  <si>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</si>
  <si>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</si>
  <si>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</si>
  <si>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</si>
  <si>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</si>
  <si>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</si>
  <si>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</si>
  <si>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</si>
  <si>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</si>
  <si>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</si>
  <si>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</si>
  <si>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</si>
  <si>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</si>
  <si>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</si>
  <si>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</si>
  <si>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</si>
  <si>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</si>
  <si>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</si>
  <si>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</si>
  <si>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</si>
  <si>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</si>
  <si>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</si>
  <si>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</si>
  <si>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</si>
  <si>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</si>
  <si>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</si>
  <si>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</si>
  <si>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</si>
  <si>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</si>
  <si>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</si>
  <si>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</si>
  <si>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</si>
  <si>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</si>
  <si>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</si>
  <si>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</si>
  <si>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</si>
  <si>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</si>
  <si>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</si>
  <si>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</si>
  <si>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</si>
  <si>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</si>
  <si>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</si>
  <si>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</si>
  <si>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</si>
  <si>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</si>
  <si>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</si>
  <si>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</si>
  <si>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</si>
  <si>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</si>
  <si>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</si>
  <si>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</si>
  <si>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</si>
  <si>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</si>
  <si>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</si>
  <si>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</si>
  <si>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</si>
  <si>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</si>
  <si>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</si>
  <si>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</si>
  <si>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</si>
  <si>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</si>
  <si>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</si>
  <si>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</si>
  <si>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</si>
  <si>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</si>
  <si>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</si>
  <si>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</si>
  <si>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</si>
  <si>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</si>
  <si>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</si>
  <si>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</si>
  <si>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</si>
  <si>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</si>
  <si>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</si>
  <si>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</si>
  <si>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</si>
  <si>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</si>
  <si>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</si>
  <si>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</si>
  <si>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</si>
  <si>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</si>
  <si>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</si>
  <si>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</si>
  <si>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</si>
  <si>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</si>
  <si>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</si>
  <si>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</si>
  <si>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</si>
  <si>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</si>
  <si>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</si>
  <si>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</si>
  <si>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</si>
  <si>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</si>
  <si>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</si>
  <si>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</si>
  <si>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</si>
  <si>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</si>
  <si>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</si>
  <si>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</si>
  <si>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</si>
  <si>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</si>
  <si>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</si>
  <si>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</si>
  <si>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</si>
  <si>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</si>
  <si>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</si>
  <si>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</si>
  <si>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</si>
  <si>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</si>
  <si>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</si>
  <si>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</si>
  <si>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</si>
  <si>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</si>
  <si>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</si>
  <si>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</si>
  <si>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</si>
  <si>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</si>
  <si>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</si>
  <si>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</si>
  <si>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</si>
  <si>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</si>
  <si>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</si>
  <si>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</si>
  <si>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</si>
  <si>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</si>
  <si>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</si>
  <si>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</si>
  <si>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</si>
  <si>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</si>
  <si>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</si>
  <si>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</si>
  <si>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</si>
  <si>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</si>
  <si>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</si>
  <si>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</si>
  <si>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</si>
  <si>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</si>
  <si>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</si>
  <si>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</si>
  <si>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</si>
  <si>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</si>
  <si>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</si>
  <si>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</si>
  <si>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</si>
  <si>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</si>
  <si>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</si>
  <si>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</si>
  <si>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</si>
  <si>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</si>
  <si>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</si>
  <si>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</si>
  <si>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</si>
  <si>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</si>
  <si>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</si>
  <si>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</si>
  <si>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</si>
  <si>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</si>
  <si>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</si>
  <si>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</si>
  <si>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</si>
  <si>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</si>
  <si>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</si>
  <si>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</si>
  <si>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</si>
  <si>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</si>
  <si>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</si>
  <si>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</si>
  <si>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</si>
  <si>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</si>
  <si>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</si>
  <si>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</si>
  <si>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</si>
  <si>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</si>
  <si>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</si>
  <si>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</si>
  <si>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</si>
  <si>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</si>
  <si>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</si>
  <si>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</si>
  <si>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</si>
  <si>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</si>
  <si>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</si>
  <si>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</si>
  <si>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</si>
  <si>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</si>
  <si>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</si>
  <si>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</si>
  <si>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</si>
  <si>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</si>
  <si>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</si>
  <si>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</si>
  <si>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</si>
  <si>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</si>
  <si>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</si>
  <si>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</si>
  <si>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</si>
  <si>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</si>
  <si>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</si>
  <si>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</si>
  <si>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</si>
  <si>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</si>
  <si>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</si>
  <si>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</si>
  <si>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</si>
  <si>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</si>
  <si>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</si>
  <si>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</si>
  <si>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</si>
  <si>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</si>
  <si>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</si>
  <si>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</si>
  <si>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</si>
  <si>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</si>
  <si>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</si>
  <si>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</si>
  <si>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</si>
  <si>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</si>
  <si>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</si>
  <si>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</si>
  <si>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</si>
  <si>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</si>
  <si>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</si>
  <si>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</si>
  <si>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</si>
  <si>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</si>
  <si>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</si>
  <si>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</si>
  <si>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</si>
  <si>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</si>
  <si>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</si>
  <si>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</si>
  <si>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</si>
  <si>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</si>
  <si>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</si>
  <si>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</si>
  <si>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</si>
  <si>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</si>
  <si>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</si>
  <si>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</si>
  <si>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</si>
  <si>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</si>
  <si>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</si>
  <si>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</si>
  <si>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</si>
  <si>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</si>
  <si>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</si>
  <si>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</si>
  <si>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</si>
  <si>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</si>
  <si>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</si>
  <si>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</si>
  <si>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</si>
  <si>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</si>
  <si>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</si>
  <si>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</si>
  <si>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</si>
  <si>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</si>
  <si>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</si>
  <si>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</si>
  <si>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</si>
  <si>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</si>
  <si>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</si>
  <si>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</si>
  <si>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</si>
  <si>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</si>
  <si>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</si>
  <si>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</si>
  <si>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</si>
  <si>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</si>
  <si>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</si>
  <si>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</si>
  <si>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</si>
  <si>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</si>
  <si>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</si>
  <si>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</si>
  <si>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</si>
  <si>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</si>
  <si>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</si>
  <si>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</si>
  <si>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</si>
  <si>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</si>
  <si>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</si>
  <si>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</si>
  <si>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</si>
  <si>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</si>
  <si>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</si>
  <si>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</si>
  <si>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</si>
  <si>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</si>
  <si>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</si>
  <si>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</si>
  <si>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</si>
  <si>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</si>
  <si>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</si>
  <si>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</si>
  <si>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</si>
  <si>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</si>
  <si>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</si>
  <si>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</si>
  <si>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</si>
  <si>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</si>
  <si>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</si>
  <si>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</si>
  <si>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</si>
  <si>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</si>
  <si>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</si>
  <si>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</si>
  <si>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</si>
  <si>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</si>
  <si>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</si>
  <si>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</si>
  <si>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</si>
  <si>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</si>
  <si>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</si>
  <si>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</si>
  <si>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</si>
  <si>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</si>
  <si>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</si>
  <si>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</si>
  <si>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</si>
  <si>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</si>
  <si>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</si>
  <si>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</si>
  <si>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</si>
  <si>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</si>
  <si>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</si>
  <si>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</si>
  <si>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</si>
  <si>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</si>
  <si>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</si>
  <si>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</si>
  <si>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</si>
  <si>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</si>
  <si>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</si>
  <si>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</si>
  <si>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</si>
  <si>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</si>
  <si>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</si>
  <si>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</si>
  <si>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</si>
  <si>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</si>
  <si>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</si>
  <si>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</si>
  <si>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</si>
  <si>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</si>
  <si>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</si>
  <si>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</si>
  <si>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</si>
  <si>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</si>
  <si>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</si>
  <si>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</si>
  <si>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</si>
  <si>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</si>
  <si>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</si>
  <si>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</si>
  <si>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</si>
  <si>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</si>
  <si>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</si>
  <si>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</si>
  <si>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</si>
  <si>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</si>
  <si>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</si>
  <si>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</si>
  <si>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</si>
  <si>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</si>
  <si>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</si>
  <si>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</si>
  <si>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</si>
  <si>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</si>
  <si>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</si>
  <si>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</si>
  <si>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</si>
  <si>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</si>
  <si>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</si>
  <si>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</si>
  <si>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</si>
  <si>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</si>
  <si>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</si>
  <si>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</si>
  <si>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</si>
  <si>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</si>
  <si>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</si>
  <si>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</si>
  <si>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</si>
  <si>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</si>
  <si>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</si>
  <si>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</si>
  <si>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</si>
  <si>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</si>
  <si>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</si>
  <si>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</si>
  <si>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</si>
  <si>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</si>
  <si>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</si>
  <si>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</si>
  <si>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</si>
  <si>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</si>
  <si>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</si>
  <si>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</si>
  <si>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</si>
  <si>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</si>
  <si>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</si>
  <si>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</si>
  <si>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</si>
  <si>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</si>
  <si>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</si>
  <si>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</si>
  <si>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</si>
  <si>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</si>
  <si>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</si>
  <si>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</si>
  <si>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</si>
  <si>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</si>
  <si>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</si>
  <si>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</si>
  <si>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</si>
  <si>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</si>
  <si>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</si>
  <si>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</si>
  <si>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</si>
  <si>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</si>
  <si>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</si>
  <si>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</si>
  <si>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</si>
  <si>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</si>
  <si>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</si>
  <si>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</si>
  <si>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</si>
  <si>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</si>
  <si>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</si>
  <si>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</si>
  <si>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</si>
  <si>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</si>
  <si>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</si>
  <si>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</si>
  <si>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</si>
  <si>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</si>
  <si>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</si>
  <si>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</si>
  <si>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</si>
  <si>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</si>
  <si>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</si>
  <si>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</si>
  <si>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</si>
  <si>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</si>
  <si>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</si>
  <si>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</si>
  <si>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</si>
  <si>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</si>
  <si>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</si>
  <si>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</si>
  <si>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</si>
  <si>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</si>
  <si>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</si>
  <si>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</si>
  <si>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</si>
  <si>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</si>
  <si>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</si>
  <si>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</si>
  <si>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</si>
  <si>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</si>
  <si>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</si>
  <si>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</si>
  <si>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</si>
  <si>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</si>
  <si>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</si>
  <si>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</si>
  <si>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</si>
  <si>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</si>
  <si>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</si>
  <si>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</si>
  <si>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</si>
  <si>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</si>
  <si>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</si>
  <si>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</si>
  <si>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</si>
  <si>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</si>
  <si>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</si>
  <si>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</si>
  <si>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</si>
  <si>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</si>
  <si>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</si>
  <si>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</si>
  <si>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</si>
  <si>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</si>
  <si>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</si>
  <si>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</si>
  <si>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</si>
  <si>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</si>
  <si>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</si>
  <si>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</si>
  <si>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</si>
  <si>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</si>
  <si>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</si>
  <si>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</si>
  <si>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</si>
  <si>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</si>
  <si>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</si>
  <si>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</si>
  <si>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</si>
  <si>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</si>
  <si>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</si>
  <si>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</si>
  <si>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</si>
  <si>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</si>
  <si>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</si>
  <si>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</si>
  <si>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</si>
  <si>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</si>
  <si>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</si>
  <si>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</si>
  <si>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</si>
  <si>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</si>
  <si>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</si>
  <si>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</si>
  <si>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</si>
  <si>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</si>
  <si>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</si>
  <si>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</si>
  <si>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</si>
  <si>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</si>
  <si>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</si>
  <si>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</si>
  <si>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</si>
  <si>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</si>
  <si>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</si>
  <si>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</si>
  <si>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</si>
  <si>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</si>
  <si>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</si>
  <si>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</si>
  <si>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</si>
  <si>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</si>
  <si>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</si>
  <si>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</si>
  <si>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</si>
  <si>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</si>
  <si>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</si>
  <si>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</si>
  <si>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</si>
  <si>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</si>
  <si>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</si>
  <si>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</si>
  <si>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</si>
  <si>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</si>
  <si>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</si>
  <si>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</si>
  <si>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</si>
  <si>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</si>
  <si>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</si>
  <si>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</si>
  <si>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</si>
  <si>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</si>
  <si>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</si>
  <si>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</si>
  <si>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</si>
  <si>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</si>
  <si>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</si>
  <si>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</si>
  <si>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</si>
  <si>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</si>
  <si>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</si>
  <si>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</si>
  <si>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</si>
  <si>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</si>
  <si>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</si>
  <si>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</si>
  <si>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</si>
  <si>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</si>
  <si>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</si>
  <si>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</si>
  <si>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</si>
  <si>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</si>
  <si>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</si>
  <si>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</si>
  <si>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</si>
  <si>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</si>
  <si>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</si>
  <si>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</si>
  <si>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</si>
  <si>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</si>
  <si>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</si>
  <si>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</si>
  <si>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</si>
  <si>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</si>
  <si>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</si>
  <si>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</si>
  <si>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</si>
  <si>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</si>
  <si>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</si>
  <si>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</si>
  <si>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</si>
  <si>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</si>
  <si>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</si>
  <si>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</si>
  <si>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</si>
  <si>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</si>
  <si>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</si>
  <si>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</si>
  <si>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</si>
  <si>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</si>
  <si>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</si>
  <si>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</si>
  <si>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</si>
  <si>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</si>
  <si>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</si>
  <si>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</si>
  <si>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</si>
  <si>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</si>
  <si>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</si>
  <si>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</si>
  <si>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</si>
  <si>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</si>
  <si>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</si>
  <si>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</si>
  <si>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</si>
  <si>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</si>
  <si>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</si>
  <si>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</si>
  <si>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</si>
  <si>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</si>
  <si>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</si>
  <si>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</si>
  <si>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</si>
  <si>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</si>
  <si>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</si>
  <si>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</si>
  <si>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</si>
  <si>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</si>
  <si>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</si>
  <si>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</si>
  <si>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</si>
  <si>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</si>
  <si>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</si>
  <si>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</si>
  <si>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</si>
  <si>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</si>
  <si>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</si>
  <si>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</si>
  <si>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</si>
  <si>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</si>
  <si>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</si>
  <si>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</si>
  <si>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</si>
  <si>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</si>
  <si>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</si>
  <si>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</si>
  <si>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</si>
  <si>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</si>
  <si>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</si>
  <si>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</si>
  <si>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</si>
  <si>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</si>
  <si>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</si>
  <si>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</si>
  <si>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</si>
  <si>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</si>
  <si>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</si>
  <si>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</si>
  <si>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</si>
  <si>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</si>
  <si>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</si>
  <si>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</si>
  <si>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</si>
  <si>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</si>
  <si>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</si>
  <si>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</si>
  <si>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</si>
  <si>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</si>
  <si>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</si>
  <si>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</si>
  <si>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</si>
  <si>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</si>
  <si>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</si>
  <si>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</si>
  <si>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</si>
  <si>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</si>
  <si>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</si>
  <si>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</si>
  <si>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</si>
  <si>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</si>
  <si>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</si>
  <si>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</si>
  <si>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</si>
  <si>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</si>
  <si>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</si>
  <si>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</si>
  <si>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</si>
  <si>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</si>
  <si>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</si>
  <si>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</si>
  <si>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</si>
  <si>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</si>
  <si>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</si>
  <si>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</si>
  <si>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</si>
  <si>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</si>
  <si>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</si>
  <si>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</si>
  <si>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</si>
  <si>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</si>
  <si>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</si>
  <si>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</si>
  <si>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</si>
  <si>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</si>
  <si>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</si>
  <si>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</si>
  <si>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</si>
  <si>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</si>
  <si>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</si>
  <si>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</si>
  <si>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</si>
  <si>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</si>
  <si>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</si>
  <si>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</si>
  <si>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</si>
  <si>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</si>
  <si>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</si>
  <si>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</si>
  <si>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</si>
  <si>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</si>
  <si>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</si>
  <si>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</si>
  <si>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</si>
  <si>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</si>
  <si>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</si>
  <si>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</si>
  <si>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</si>
  <si>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</si>
  <si>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</si>
  <si>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</si>
  <si>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</si>
  <si>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</si>
  <si>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</si>
  <si>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</si>
  <si>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</si>
  <si>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</si>
  <si>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</si>
  <si>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</si>
  <si>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</si>
  <si>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</si>
  <si>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</si>
  <si>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</si>
  <si>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</si>
  <si>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</si>
  <si>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</si>
  <si>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</si>
  <si>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</si>
  <si>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</si>
  <si>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</si>
  <si>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</si>
  <si>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</si>
  <si>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</si>
  <si>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</si>
  <si>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</si>
  <si>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</si>
  <si>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</si>
  <si>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</si>
  <si>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</si>
  <si>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</si>
  <si>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</si>
  <si>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</si>
  <si>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</si>
  <si>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</si>
  <si>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</si>
  <si>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</si>
  <si>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</si>
  <si>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</si>
  <si>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</si>
  <si>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</si>
  <si>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</si>
  <si>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</si>
  <si>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</si>
  <si>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</si>
  <si>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</si>
  <si>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</si>
  <si>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</si>
  <si>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</si>
  <si>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</si>
  <si>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</si>
  <si>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</si>
  <si>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</si>
  <si>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</si>
  <si>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</si>
  <si>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</si>
  <si>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</si>
  <si>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</si>
  <si>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</si>
  <si>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</si>
  <si>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</si>
  <si>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</si>
  <si>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</si>
  <si>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</si>
  <si>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</si>
  <si>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</si>
  <si>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</si>
  <si>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</si>
  <si>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</si>
  <si>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</si>
  <si>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</si>
  <si>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</si>
  <si>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</si>
  <si>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</si>
  <si>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</si>
  <si>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</si>
  <si>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</si>
  <si>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</si>
  <si>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</si>
  <si>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</si>
  <si>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</si>
  <si>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</si>
  <si>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</si>
  <si>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</si>
  <si>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</si>
  <si>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</si>
  <si>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</si>
  <si>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</si>
  <si>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</si>
  <si>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</si>
  <si>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</si>
  <si>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</si>
  <si>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</si>
  <si>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</si>
  <si>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</si>
  <si>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</si>
  <si>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</si>
  <si>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</si>
  <si>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</si>
  <si>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</si>
  <si>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</si>
  <si>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</si>
  <si>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</si>
  <si>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</si>
  <si>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</si>
  <si>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</si>
  <si>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</si>
  <si>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</si>
  <si>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</si>
  <si>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</si>
  <si>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</si>
  <si>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</si>
  <si>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</si>
  <si>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</si>
  <si>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</si>
  <si>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</si>
  <si>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</si>
  <si>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</si>
  <si>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</si>
  <si>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</si>
  <si>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</si>
  <si>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</si>
  <si>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</si>
  <si>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</si>
  <si>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</si>
  <si>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</si>
  <si>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</si>
  <si>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</si>
  <si>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</si>
  <si>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</si>
  <si>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</si>
  <si>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</si>
  <si>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</si>
  <si>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</si>
  <si>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</si>
  <si>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</si>
  <si>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</si>
  <si>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</si>
  <si>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</si>
  <si>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</si>
  <si>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</si>
  <si>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</si>
  <si>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</si>
  <si>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</si>
  <si>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</si>
  <si>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</si>
  <si>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</si>
  <si>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</si>
  <si>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</si>
  <si>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</si>
  <si>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</si>
  <si>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</si>
  <si>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</si>
  <si>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</si>
  <si>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</si>
  <si>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</si>
  <si>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</si>
  <si>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</si>
  <si>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</si>
  <si>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</si>
  <si>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</si>
  <si>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</si>
  <si>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</si>
  <si>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</si>
  <si>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</si>
  <si>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</si>
  <si>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</si>
  <si>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</si>
  <si>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</si>
  <si>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</si>
  <si>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</si>
  <si>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</si>
  <si>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</si>
  <si>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</si>
  <si>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</si>
  <si>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</si>
  <si>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</si>
  <si>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</si>
  <si>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</si>
  <si>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</si>
  <si>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</si>
  <si>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</si>
  <si>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</si>
  <si>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</si>
  <si>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</si>
  <si>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</si>
  <si>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</si>
  <si>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</si>
  <si>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</si>
  <si>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</si>
  <si>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</si>
  <si>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</si>
  <si>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</si>
  <si>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</si>
  <si>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</si>
  <si>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</si>
  <si>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</si>
  <si>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</si>
  <si>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</si>
  <si>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</si>
  <si>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</si>
  <si>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</si>
  <si>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</si>
  <si>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</si>
  <si>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</si>
  <si>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</si>
  <si>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</si>
  <si>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</si>
  <si>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</si>
  <si>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</si>
  <si>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</si>
  <si>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</si>
  <si>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</si>
  <si>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</si>
  <si>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</si>
  <si>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</si>
  <si>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</si>
  <si>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</si>
  <si>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</si>
  <si>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</si>
  <si>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</si>
  <si>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</si>
  <si>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</si>
  <si>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</si>
  <si>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</si>
  <si>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</si>
  <si>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</si>
  <si>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</si>
  <si>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</si>
  <si>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</si>
  <si>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</si>
  <si>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</si>
  <si>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</si>
  <si>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</si>
  <si>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</si>
  <si>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</si>
  <si>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</si>
  <si>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</si>
  <si>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</si>
  <si>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</si>
  <si>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</si>
  <si>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</si>
  <si>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</si>
  <si>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</si>
  <si>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</si>
  <si>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</si>
  <si>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</si>
  <si>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</si>
  <si>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</si>
  <si>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</si>
  <si>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</si>
  <si>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</si>
  <si>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</si>
  <si>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</si>
  <si>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</si>
  <si>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</si>
  <si>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</si>
  <si>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</si>
  <si>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</si>
  <si>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</si>
  <si>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</si>
  <si>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</si>
  <si>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</si>
  <si>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</si>
  <si>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</si>
  <si>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</si>
  <si>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</si>
  <si>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</si>
  <si>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</si>
  <si>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</si>
  <si>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</si>
  <si>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</si>
  <si>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</si>
  <si>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</si>
  <si>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</si>
  <si>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</si>
  <si>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</si>
  <si>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</si>
  <si>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</si>
  <si>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</si>
  <si>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</si>
  <si>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</si>
  <si>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</si>
  <si>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</si>
  <si>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</si>
  <si>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</si>
  <si>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</si>
  <si>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</si>
  <si>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</si>
  <si>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</si>
  <si>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</si>
  <si>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</si>
  <si>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</si>
  <si>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</si>
  <si>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</si>
  <si>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</si>
  <si>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</si>
  <si>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</si>
  <si>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</si>
  <si>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</si>
  <si>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</si>
  <si>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</si>
  <si>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</si>
  <si>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</si>
  <si>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</si>
  <si>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</si>
  <si>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</si>
  <si>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</si>
  <si>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</si>
  <si>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</si>
  <si>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</si>
  <si>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</si>
  <si>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</si>
  <si>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</si>
  <si>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</si>
  <si>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</si>
  <si>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</si>
  <si>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</si>
  <si>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</si>
  <si>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</si>
  <si>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</si>
  <si>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</si>
  <si>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</si>
  <si>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</si>
  <si>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</si>
  <si>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</si>
  <si>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</si>
  <si>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</si>
  <si>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</si>
  <si>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</si>
  <si>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</si>
  <si>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</si>
  <si>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</si>
  <si>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</si>
  <si>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</si>
  <si>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</si>
  <si>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</si>
  <si>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</si>
  <si>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</si>
  <si>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</si>
  <si>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</si>
  <si>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</si>
  <si>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</si>
  <si>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</si>
  <si>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</si>
  <si>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</si>
  <si>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</si>
  <si>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</si>
  <si>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</si>
  <si>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</si>
  <si>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</si>
  <si>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</si>
  <si>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</si>
  <si>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</si>
  <si>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</si>
  <si>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</si>
  <si>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</si>
  <si>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</si>
  <si>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</si>
  <si>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</si>
  <si>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</si>
  <si>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</si>
  <si>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</si>
  <si>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</si>
  <si>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</si>
  <si>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</si>
  <si>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</si>
  <si>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</si>
  <si>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</si>
  <si>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</si>
  <si>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</si>
  <si>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</si>
  <si>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</si>
  <si>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</si>
  <si>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</si>
  <si>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</si>
  <si>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</si>
  <si>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</si>
  <si>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</si>
  <si>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</si>
  <si>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</si>
  <si>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</si>
  <si>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</si>
  <si>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</si>
  <si>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</si>
  <si>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</si>
  <si>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</si>
  <si>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</si>
  <si>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</si>
  <si>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</si>
  <si>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</si>
  <si>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</si>
  <si>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</si>
  <si>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</si>
  <si>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</si>
  <si>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</si>
  <si>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</si>
  <si>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</si>
  <si>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</si>
  <si>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</si>
  <si>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</si>
  <si>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</si>
  <si>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</si>
  <si>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</si>
  <si>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</si>
  <si>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</si>
  <si>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</si>
  <si>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</si>
  <si>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</si>
  <si>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</si>
  <si>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</si>
  <si>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</si>
  <si>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</si>
  <si>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</si>
  <si>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</si>
  <si>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</si>
  <si>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</si>
  <si>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</si>
  <si>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</si>
  <si>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</si>
  <si>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</si>
  <si>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</si>
  <si>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</si>
  <si>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</si>
  <si>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</si>
  <si>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</si>
  <si>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</si>
  <si>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</si>
  <si>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</si>
  <si>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</si>
  <si>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</si>
  <si>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</si>
  <si>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</si>
  <si>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</si>
  <si>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</si>
  <si>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</si>
  <si>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</si>
  <si>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</si>
  <si>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</si>
  <si>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</si>
  <si>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</si>
  <si>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</si>
  <si>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</si>
  <si>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</si>
  <si>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</si>
  <si>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</si>
  <si>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</si>
  <si>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</si>
  <si>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</si>
  <si>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</si>
  <si>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</si>
  <si>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</si>
  <si>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</si>
  <si>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</si>
  <si>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</si>
  <si>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</si>
  <si>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</si>
  <si>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</si>
  <si>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</si>
  <si>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</si>
  <si>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</si>
  <si>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</si>
  <si>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</si>
  <si>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</si>
  <si>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</si>
  <si>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</si>
  <si>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</si>
  <si>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</si>
  <si>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</si>
  <si>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</si>
  <si>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</si>
  <si>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</si>
  <si>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</si>
  <si>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</si>
  <si>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</si>
  <si>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</si>
  <si>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</si>
  <si>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</si>
  <si>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</si>
  <si>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</si>
  <si>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</si>
  <si>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</si>
  <si>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</si>
  <si>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</si>
  <si>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</si>
  <si>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</si>
  <si>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</si>
  <si>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</si>
  <si>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</si>
  <si>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</si>
  <si>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</si>
  <si>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</si>
  <si>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</si>
  <si>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</si>
  <si>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</si>
  <si>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</si>
  <si>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</si>
  <si>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</si>
  <si>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</si>
  <si>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</si>
  <si>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</si>
  <si>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</si>
  <si>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</si>
  <si>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</si>
  <si>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</si>
  <si>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</si>
  <si>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</si>
  <si>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</si>
  <si>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</si>
  <si>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</si>
  <si>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</si>
  <si>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</si>
  <si>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</si>
  <si>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</si>
  <si>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</si>
  <si>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</si>
  <si>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</si>
  <si>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</si>
  <si>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</si>
  <si>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</si>
  <si>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</si>
  <si>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</si>
  <si>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</si>
  <si>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</si>
  <si>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</si>
  <si>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</si>
  <si>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</si>
  <si>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</si>
  <si>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</si>
  <si>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</si>
  <si>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</si>
  <si>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</si>
  <si>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</si>
  <si>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</si>
  <si>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</si>
  <si>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</si>
  <si>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</si>
  <si>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</si>
  <si>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</si>
  <si>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</si>
  <si>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</si>
  <si>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</si>
  <si>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</si>
  <si>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</si>
  <si>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</si>
  <si>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</si>
  <si>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</si>
  <si>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</si>
  <si>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</si>
  <si>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</si>
  <si>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</si>
  <si>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</si>
  <si>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</si>
  <si>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</si>
  <si>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</si>
  <si>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</si>
  <si>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</si>
  <si>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</si>
  <si>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</si>
  <si>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</si>
  <si>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</si>
  <si>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</si>
  <si>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</si>
  <si>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</si>
  <si>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</si>
  <si>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</si>
  <si>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</si>
  <si>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</si>
  <si>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</si>
  <si>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</si>
  <si>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</si>
  <si>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</si>
  <si>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</si>
  <si>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</si>
  <si>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</si>
  <si>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</si>
  <si>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</si>
  <si>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</si>
  <si>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</si>
  <si>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</si>
  <si>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</si>
  <si>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</si>
  <si>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</si>
  <si>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</si>
  <si>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</si>
  <si>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</si>
  <si>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</si>
  <si>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</si>
  <si>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</si>
  <si>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</si>
  <si>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</si>
  <si>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</si>
  <si>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</si>
  <si>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</si>
  <si>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</si>
  <si>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</si>
  <si>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</si>
  <si>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</si>
  <si>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</si>
  <si>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</si>
  <si>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</si>
  <si>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</si>
  <si>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</si>
  <si>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</si>
  <si>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</si>
  <si>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</si>
  <si>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</si>
  <si>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</si>
  <si>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</si>
  <si>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</si>
  <si>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</si>
  <si>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</si>
  <si>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</si>
  <si>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</si>
  <si>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</si>
  <si>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</si>
  <si>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</si>
  <si>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</si>
  <si>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</si>
  <si>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</si>
  <si>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</si>
  <si>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</si>
  <si>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</si>
  <si>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</si>
  <si>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</si>
  <si>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</si>
  <si>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</si>
  <si>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</si>
  <si>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</si>
  <si>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</si>
  <si>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</si>
  <si>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</si>
  <si>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</si>
  <si>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</si>
  <si>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</si>
  <si>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</si>
  <si>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</si>
  <si>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</si>
  <si>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</si>
  <si>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</si>
  <si>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</si>
  <si>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</si>
  <si>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</si>
  <si>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</si>
  <si>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</si>
  <si>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</si>
  <si>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</si>
  <si>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</si>
  <si>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</si>
  <si>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</si>
  <si>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</si>
  <si>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</si>
  <si>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</si>
  <si>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</si>
  <si>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</si>
  <si>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</si>
  <si>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</si>
  <si>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</si>
  <si>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</si>
  <si>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</si>
  <si>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</si>
  <si>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</si>
  <si>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</si>
  <si>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</si>
  <si>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</si>
  <si>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</si>
  <si>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</si>
  <si>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</si>
  <si>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</si>
  <si>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</si>
  <si>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</si>
  <si>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</si>
  <si>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</si>
  <si>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</si>
  <si>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</si>
  <si>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</si>
  <si>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</si>
  <si>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</si>
  <si>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</si>
  <si>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</si>
  <si>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</si>
  <si>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</si>
  <si>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</si>
  <si>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</si>
  <si>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</si>
  <si>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</si>
  <si>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</si>
  <si>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</si>
  <si>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</si>
  <si>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</si>
  <si>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</si>
  <si>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</si>
  <si>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</si>
  <si>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</si>
  <si>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</si>
  <si>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</si>
  <si>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</si>
  <si>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</si>
  <si>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</si>
  <si>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</si>
  <si>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</si>
  <si>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</si>
  <si>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</si>
  <si>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</si>
  <si>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</si>
  <si>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</si>
  <si>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</si>
  <si>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</si>
  <si>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</si>
  <si>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</si>
  <si>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</si>
  <si>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</si>
  <si>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</si>
  <si>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</si>
  <si>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</si>
  <si>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</si>
  <si>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</si>
  <si>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</si>
  <si>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</si>
  <si>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</si>
  <si>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</si>
  <si>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</si>
  <si>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</si>
  <si>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</si>
  <si>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</si>
  <si>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</si>
  <si>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</si>
  <si>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</si>
  <si>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</si>
  <si>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</si>
  <si>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</si>
  <si>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</si>
  <si>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</si>
  <si>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</si>
  <si>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</si>
  <si>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</si>
  <si>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</si>
  <si>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</si>
  <si>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</si>
  <si>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</si>
  <si>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</si>
  <si>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</si>
  <si>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</si>
  <si>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</si>
  <si>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</si>
  <si>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</si>
  <si>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</si>
  <si>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</si>
  <si>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</si>
  <si>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</si>
  <si>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</si>
  <si>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</si>
  <si>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</si>
  <si>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</si>
  <si>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</si>
  <si>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</si>
  <si>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</si>
  <si>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</si>
  <si>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</si>
  <si>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</si>
  <si>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</si>
  <si>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</si>
  <si>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</si>
  <si>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</si>
  <si>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</si>
  <si>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</si>
  <si>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</si>
  <si>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</si>
  <si>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</si>
  <si>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</si>
  <si>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</si>
  <si>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</si>
  <si>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</si>
  <si>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</si>
  <si>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</si>
  <si>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</si>
  <si>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</si>
  <si>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</si>
  <si>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</si>
  <si>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</si>
  <si>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</si>
  <si>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</si>
  <si>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</si>
  <si>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</si>
  <si>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</si>
  <si>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</si>
  <si>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</si>
  <si>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</si>
  <si>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</si>
  <si>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</si>
  <si>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</si>
  <si>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</si>
  <si>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</si>
  <si>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</si>
  <si>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</si>
  <si>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</si>
  <si>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</si>
  <si>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</si>
  <si>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</si>
  <si>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</si>
  <si>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</si>
  <si>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</si>
  <si>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</si>
  <si>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</si>
  <si>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</si>
  <si>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</si>
  <si>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</si>
  <si>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</si>
  <si>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</si>
  <si>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</si>
  <si>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</si>
  <si>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</si>
  <si>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</si>
  <si>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</si>
  <si>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</si>
  <si>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</si>
  <si>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</si>
  <si>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</si>
  <si>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</si>
  <si>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</si>
  <si>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</si>
  <si>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</si>
  <si>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</si>
  <si>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</si>
  <si>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</si>
  <si>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</si>
  <si>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</si>
  <si>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</si>
  <si>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</si>
  <si>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</si>
  <si>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</si>
  <si>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</si>
  <si>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</si>
  <si>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</si>
  <si>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</si>
  <si>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</si>
  <si>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</si>
  <si>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</si>
  <si>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</si>
  <si>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</si>
  <si>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</si>
  <si>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</si>
  <si>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</si>
  <si>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</si>
  <si>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</si>
  <si>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</si>
  <si>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</si>
  <si>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</si>
  <si>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</si>
  <si>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</si>
  <si>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</si>
  <si>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</si>
  <si>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</si>
  <si>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</si>
  <si>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</si>
  <si>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</si>
  <si>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</si>
  <si>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</si>
  <si>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Order ID</t>
  </si>
  <si>
    <t>Order Date</t>
  </si>
  <si>
    <t>Customer ID</t>
  </si>
  <si>
    <t>Product ID</t>
  </si>
  <si>
    <t>Quantity</t>
  </si>
  <si>
    <t>Customer Name</t>
  </si>
  <si>
    <t>Email</t>
  </si>
  <si>
    <t>Country</t>
  </si>
  <si>
    <t>Coffee Type</t>
  </si>
  <si>
    <t>Roast Type</t>
  </si>
  <si>
    <t>Size</t>
  </si>
  <si>
    <t>Unit Price</t>
  </si>
  <si>
    <t>Sales</t>
  </si>
  <si>
    <t>Phone Number</t>
  </si>
  <si>
    <t>Address Line 1</t>
  </si>
  <si>
    <t>City</t>
  </si>
  <si>
    <t>Postcode</t>
  </si>
  <si>
    <t>Loyalty Card</t>
  </si>
  <si>
    <t>Aloisia Allner</t>
  </si>
  <si>
    <t>aallner0@lulu.com</t>
  </si>
  <si>
    <t>+1 (862) 817-0124</t>
  </si>
  <si>
    <t>57999 Pepper Wood Alley</t>
  </si>
  <si>
    <t>Paterson</t>
  </si>
  <si>
    <t>United States</t>
  </si>
  <si>
    <t>Yes</t>
  </si>
  <si>
    <t>73342-18763-UW</t>
  </si>
  <si>
    <t>Piotr Bote</t>
  </si>
  <si>
    <t>pbote1@yelp.com</t>
  </si>
  <si>
    <t>+353 (913) 396-4653</t>
  </si>
  <si>
    <t>2112 Ridgeway Hill</t>
  </si>
  <si>
    <t>Crumlin</t>
  </si>
  <si>
    <t>Ireland</t>
  </si>
  <si>
    <t>D6W</t>
  </si>
  <si>
    <t>No</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</si>
  <si>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</si>
  <si>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</si>
  <si>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</si>
  <si>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</si>
  <si>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</si>
  <si>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</si>
  <si>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</si>
  <si>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</si>
  <si>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</si>
  <si>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</si>
  <si>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</si>
  <si>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</si>
  <si>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</si>
  <si>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</si>
  <si>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</si>
  <si>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</si>
  <si>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</si>
  <si>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</si>
  <si>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</si>
  <si>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</si>
  <si>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</si>
  <si>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</si>
  <si>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</si>
  <si>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</si>
  <si>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</si>
  <si>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</si>
  <si>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</si>
  <si>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</si>
  <si>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</si>
  <si>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</si>
  <si>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</si>
  <si>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</si>
  <si>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</si>
  <si>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</si>
  <si>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</si>
  <si>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</si>
  <si>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</si>
  <si>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</si>
  <si>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</si>
  <si>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</si>
  <si>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</si>
  <si>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</si>
  <si>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</si>
  <si>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</si>
  <si>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</si>
  <si>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</si>
  <si>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</si>
  <si>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</si>
  <si>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</si>
  <si>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</si>
  <si>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</si>
  <si>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</si>
  <si>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</si>
  <si>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</si>
  <si>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</si>
  <si>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</si>
  <si>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</si>
  <si>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</si>
  <si>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</si>
  <si>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</si>
  <si>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</si>
  <si>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</si>
  <si>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</si>
  <si>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</si>
  <si>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</si>
  <si>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</si>
  <si>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</si>
  <si>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</si>
  <si>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</si>
  <si>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</si>
  <si>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</si>
  <si>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</si>
  <si>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</si>
  <si>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</si>
  <si>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</si>
  <si>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</si>
  <si>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</si>
  <si>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</si>
  <si>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</si>
  <si>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</si>
  <si>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</si>
  <si>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</si>
  <si>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</si>
  <si>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</si>
  <si>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</si>
  <si>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</si>
  <si>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</si>
  <si>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</si>
  <si>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</si>
  <si>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</si>
  <si>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</si>
  <si>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</si>
  <si>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</si>
  <si>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</si>
  <si>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</si>
  <si>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</si>
  <si>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</si>
  <si>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</si>
  <si>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</si>
  <si>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</si>
  <si>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</si>
  <si>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</si>
  <si>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</si>
  <si>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</si>
  <si>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</si>
  <si>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</si>
  <si>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</si>
  <si>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</si>
  <si>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</si>
  <si>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</si>
  <si>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</si>
  <si>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</si>
  <si>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</si>
  <si>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</si>
  <si>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</si>
  <si>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</si>
  <si>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</si>
  <si>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</si>
  <si>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</si>
  <si>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</si>
  <si>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</si>
  <si>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</si>
  <si>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</si>
  <si>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</si>
  <si>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</si>
  <si>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</si>
  <si>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</si>
  <si>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</si>
  <si>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</si>
  <si>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</si>
  <si>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</si>
  <si>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</si>
  <si>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</si>
  <si>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</si>
  <si>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</si>
  <si>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</si>
  <si>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</si>
  <si>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</si>
  <si>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</si>
  <si>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</si>
  <si>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</si>
  <si>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</si>
  <si>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</si>
  <si>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</si>
  <si>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</si>
  <si>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</si>
  <si>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</si>
  <si>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</si>
  <si>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</si>
  <si>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</si>
  <si>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</si>
  <si>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</si>
  <si>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</si>
  <si>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</si>
  <si>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</si>
  <si>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</si>
  <si>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</si>
  <si>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</si>
  <si>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</si>
  <si>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</si>
  <si>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</si>
  <si>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</si>
  <si>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</si>
  <si>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</si>
  <si>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United Kingdom</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</si>
  <si>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</si>
  <si>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</si>
  <si>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</si>
  <si>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</si>
  <si>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</si>
  <si>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</si>
  <si>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</si>
  <si>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</si>
  <si>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</si>
  <si>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</si>
  <si>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</si>
  <si>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</si>
  <si>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</si>
  <si>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</si>
  <si>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</si>
  <si>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</si>
  <si>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</si>
  <si>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</si>
  <si>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</si>
  <si>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</si>
  <si>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</si>
  <si>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</si>
  <si>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</si>
  <si>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</si>
  <si>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</si>
  <si>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</si>
  <si>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</si>
  <si>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</si>
  <si>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</si>
  <si>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</si>
  <si>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</si>
  <si>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</si>
  <si>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</si>
  <si>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</si>
  <si>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</si>
  <si>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</si>
  <si>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</si>
  <si>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</si>
  <si>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</si>
  <si>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</si>
  <si>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</si>
  <si>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</si>
  <si>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</si>
  <si>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</si>
  <si>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</si>
  <si>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</si>
  <si>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</si>
  <si>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Petey Kingsbury</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</si>
  <si>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</si>
  <si>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</si>
  <si>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</si>
  <si>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</si>
  <si>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</si>
  <si>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</si>
  <si>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</si>
  <si>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</si>
  <si>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</si>
  <si>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</si>
  <si>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</si>
  <si>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</si>
  <si>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</si>
  <si>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</si>
  <si>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</si>
  <si>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</si>
  <si>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</si>
  <si>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</si>
  <si>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</si>
  <si>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</si>
  <si>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</si>
  <si>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</si>
  <si>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</si>
  <si>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</si>
  <si>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</si>
  <si>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</si>
  <si>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</si>
  <si>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</si>
  <si>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</si>
  <si>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</si>
  <si>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</si>
  <si>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</si>
  <si>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</si>
  <si>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</si>
  <si>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</si>
  <si>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</si>
  <si>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</si>
  <si>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</si>
  <si>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</si>
  <si>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</si>
  <si>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</si>
  <si>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</si>
  <si>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</si>
  <si>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</si>
  <si>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</si>
  <si>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</si>
  <si>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</si>
  <si>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</si>
  <si>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</si>
  <si>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</si>
  <si>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</si>
  <si>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</si>
  <si>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</si>
  <si>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</si>
  <si>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</si>
  <si>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</si>
  <si>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</si>
  <si>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</si>
  <si>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</si>
  <si>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</si>
  <si>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</si>
  <si>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</si>
  <si>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</si>
  <si>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</si>
  <si>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</si>
  <si>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</si>
  <si>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</si>
  <si>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</si>
  <si>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</si>
  <si>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</si>
  <si>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</si>
  <si>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</si>
  <si>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</si>
  <si>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</si>
  <si>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Pammi Endacott</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</si>
  <si>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</si>
  <si>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</si>
  <si>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</si>
  <si>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</si>
  <si>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</si>
  <si>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</si>
  <si>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</si>
  <si>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</si>
  <si>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</si>
  <si>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</si>
  <si>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</si>
  <si>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</si>
  <si>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</si>
  <si>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</si>
  <si>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</si>
  <si>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</si>
  <si>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</si>
  <si>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</si>
  <si>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</si>
  <si>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</si>
  <si>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</si>
  <si>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</si>
  <si>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</si>
  <si>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</si>
  <si>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</si>
  <si>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</si>
  <si>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</si>
  <si>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</si>
  <si>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</si>
  <si>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</si>
  <si>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</si>
  <si>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</si>
  <si>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</si>
  <si>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</si>
  <si>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</si>
  <si>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</si>
  <si>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</si>
  <si>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</si>
  <si>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</si>
  <si>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</si>
  <si>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</si>
  <si>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</si>
  <si>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</si>
  <si>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</si>
  <si>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</si>
  <si>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</si>
  <si>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</si>
  <si>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</si>
  <si>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</si>
  <si>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</si>
  <si>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</si>
  <si>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</si>
  <si>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</si>
  <si>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</si>
  <si>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</si>
  <si>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</si>
  <si>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</si>
  <si>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</si>
  <si>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</si>
  <si>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</si>
  <si>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</si>
  <si>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</si>
  <si>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</si>
  <si>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</si>
  <si>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</si>
  <si>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</si>
  <si>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</si>
  <si>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</si>
  <si>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</si>
  <si>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</si>
  <si>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</si>
  <si>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</si>
  <si>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</si>
  <si>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</si>
  <si>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</si>
  <si>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</si>
  <si>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</si>
  <si>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</si>
  <si>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</si>
  <si>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</si>
  <si>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</si>
  <si>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</si>
  <si>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</si>
  <si>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</si>
  <si>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</si>
  <si>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</si>
  <si>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</si>
  <si>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</si>
  <si>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</si>
  <si>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</si>
  <si>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</si>
  <si>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</si>
  <si>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</si>
  <si>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</si>
  <si>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</si>
  <si>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</si>
  <si>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</si>
  <si>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</si>
  <si>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</si>
  <si>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</si>
  <si>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</si>
  <si>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</si>
  <si>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</si>
  <si>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</si>
  <si>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</si>
  <si>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</si>
  <si>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</si>
  <si>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</si>
  <si>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</si>
  <si>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</si>
  <si>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</si>
  <si>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</si>
  <si>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</si>
  <si>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</si>
  <si>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</si>
  <si>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</si>
  <si>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</si>
  <si>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</si>
  <si>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</si>
  <si>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</si>
  <si>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</si>
  <si>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</si>
  <si>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</si>
  <si>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</si>
  <si>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</si>
  <si>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</si>
  <si>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</si>
  <si>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</si>
  <si>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</si>
  <si>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</si>
  <si>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</si>
  <si>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</si>
  <si>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</si>
  <si>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</si>
  <si>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</si>
  <si>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</si>
  <si>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</si>
  <si>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</si>
  <si>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</si>
  <si>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</si>
  <si>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</si>
  <si>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</si>
  <si>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</si>
  <si>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</si>
  <si>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</si>
  <si>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</si>
  <si>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</si>
  <si>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</si>
  <si>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</si>
  <si>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</si>
  <si>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</si>
  <si>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</si>
  <si>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</si>
  <si>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</si>
  <si>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</si>
  <si>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</si>
  <si>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</si>
  <si>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</si>
  <si>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</si>
  <si>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</si>
  <si>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</si>
  <si>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</si>
  <si>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</si>
  <si>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</si>
  <si>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</si>
  <si>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</si>
  <si>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</si>
  <si>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</si>
  <si>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</si>
  <si>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</si>
  <si>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</si>
  <si>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</si>
  <si>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</si>
  <si>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</si>
  <si>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</si>
  <si>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</si>
  <si>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</si>
  <si>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</si>
  <si>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</si>
  <si>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</si>
  <si>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</si>
  <si>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</si>
  <si>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</si>
  <si>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</si>
  <si>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</si>
  <si>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</si>
  <si>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</si>
  <si>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</si>
  <si>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</si>
  <si>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</si>
  <si>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</si>
  <si>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</si>
  <si>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</si>
  <si>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</si>
  <si>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</si>
  <si>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</si>
  <si>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</si>
  <si>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</si>
  <si>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</si>
  <si>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</si>
  <si>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</si>
  <si>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</si>
  <si>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</si>
  <si>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</si>
  <si>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</si>
  <si>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</si>
  <si>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</si>
  <si>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</si>
  <si>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</si>
  <si>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</si>
  <si>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</si>
  <si>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</si>
  <si>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</si>
  <si>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</si>
  <si>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</si>
  <si>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</si>
  <si>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</si>
  <si>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</si>
  <si>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</si>
  <si>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</si>
  <si>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</si>
  <si>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</si>
  <si>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</si>
  <si>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</si>
  <si>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</si>
  <si>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</si>
  <si>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</si>
  <si>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</si>
  <si>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</si>
  <si>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</si>
  <si>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</si>
  <si>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</si>
  <si>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</si>
  <si>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</si>
  <si>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</si>
  <si>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</si>
  <si>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</si>
  <si>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</si>
  <si>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</si>
  <si>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</si>
  <si>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</si>
  <si>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</si>
  <si>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</si>
  <si>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</si>
  <si>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</si>
  <si>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</si>
  <si>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</si>
  <si>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</si>
  <si>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</si>
  <si>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</si>
  <si>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</si>
  <si>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</si>
  <si>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</si>
  <si>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</si>
  <si>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</si>
  <si>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</si>
  <si>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</si>
  <si>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</si>
  <si>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</si>
  <si>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</si>
  <si>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</si>
  <si>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</si>
  <si>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</si>
  <si>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</si>
  <si>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</si>
  <si>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</si>
  <si>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</si>
  <si>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</si>
  <si>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</si>
  <si>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</si>
  <si>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</si>
  <si>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</si>
  <si>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</si>
  <si>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</si>
  <si>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</si>
  <si>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</si>
  <si>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</si>
  <si>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</si>
  <si>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</si>
  <si>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</si>
  <si>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</si>
  <si>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</si>
  <si>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</si>
  <si>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</si>
  <si>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</si>
  <si>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</si>
  <si>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</si>
  <si>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</si>
  <si>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</si>
  <si>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</si>
  <si>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</si>
  <si>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</si>
  <si>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</si>
  <si>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</si>
  <si>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</si>
  <si>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</si>
  <si>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</si>
  <si>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</si>
  <si>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</si>
  <si>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</si>
  <si>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</si>
  <si>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</si>
  <si>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</si>
  <si>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</si>
  <si>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</si>
  <si>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</si>
  <si>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</si>
  <si>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</si>
  <si>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</si>
  <si>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</si>
  <si>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</si>
  <si>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</si>
  <si>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</si>
  <si>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</si>
  <si>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</si>
  <si>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</si>
  <si>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</si>
  <si>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</si>
  <si>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</si>
  <si>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</si>
  <si>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</si>
  <si>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</si>
  <si>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</si>
  <si>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</si>
  <si>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</si>
  <si>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</si>
  <si>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</si>
  <si>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</si>
  <si>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</si>
  <si>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</si>
  <si>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</si>
  <si>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</si>
  <si>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</si>
  <si>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</si>
  <si>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</si>
  <si>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</si>
  <si>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</si>
  <si>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</si>
  <si>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</si>
  <si>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</si>
  <si>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</si>
  <si>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</si>
  <si>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</si>
  <si>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</si>
  <si>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</si>
  <si>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</si>
  <si>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</si>
  <si>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</si>
  <si>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</si>
  <si>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</si>
  <si>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</si>
  <si>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</si>
  <si>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</si>
  <si>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</si>
  <si>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</si>
  <si>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</si>
  <si>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</si>
  <si>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</si>
  <si>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</si>
  <si>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</si>
  <si>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</si>
  <si>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</si>
  <si>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</si>
  <si>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</si>
  <si>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</si>
  <si>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</si>
  <si>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</si>
  <si>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</si>
  <si>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</si>
  <si>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</si>
  <si>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</si>
  <si>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</si>
  <si>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</si>
  <si>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</si>
  <si>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</si>
  <si>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</si>
  <si>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</si>
  <si>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</si>
  <si>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</si>
  <si>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</si>
  <si>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</si>
  <si>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</si>
  <si>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</si>
  <si>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</si>
  <si>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</si>
  <si>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</si>
  <si>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</si>
  <si>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</si>
  <si>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</si>
  <si>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</si>
  <si>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</si>
  <si>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</si>
  <si>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</si>
  <si>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</si>
  <si>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</si>
  <si>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</si>
  <si>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</si>
  <si>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</si>
  <si>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</si>
  <si>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</si>
  <si>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</si>
  <si>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</si>
  <si>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</si>
  <si>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</si>
  <si>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</si>
  <si>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</si>
  <si>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</si>
  <si>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</si>
  <si>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</si>
  <si>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</si>
  <si>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</si>
  <si>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</si>
  <si>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</si>
  <si>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</si>
  <si>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</si>
  <si>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</si>
  <si>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</si>
  <si>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</si>
  <si>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</si>
  <si>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</si>
  <si>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</si>
  <si>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</si>
  <si>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</si>
  <si>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</si>
  <si>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</si>
  <si>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</si>
  <si>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</si>
  <si>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</si>
  <si>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</si>
  <si>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</si>
  <si>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</si>
  <si>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</si>
  <si>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</si>
  <si>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</si>
  <si>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</si>
  <si>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</si>
  <si>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</si>
  <si>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</si>
  <si>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</si>
  <si>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Alexa Sizey</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</si>
  <si>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</si>
  <si>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</si>
  <si>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</si>
  <si>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</si>
  <si>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</si>
  <si>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</si>
  <si>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</si>
  <si>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</si>
  <si>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</si>
  <si>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</si>
  <si>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</si>
  <si>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</si>
  <si>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</si>
  <si>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</si>
  <si>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</si>
  <si>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</si>
  <si>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</si>
  <si>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</si>
  <si>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</si>
  <si>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</si>
  <si>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</si>
  <si>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</si>
  <si>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</si>
  <si>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</si>
  <si>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</si>
  <si>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</si>
  <si>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</si>
  <si>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</si>
  <si>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</si>
  <si>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</si>
  <si>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</si>
  <si>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</si>
  <si>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</si>
  <si>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</si>
  <si>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</si>
  <si>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</si>
  <si>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</si>
  <si>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</si>
  <si>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</si>
  <si>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</si>
  <si>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</si>
  <si>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</si>
  <si>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</si>
  <si>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</si>
  <si>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</si>
  <si>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</si>
  <si>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</si>
  <si>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</si>
  <si>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</si>
  <si>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</si>
  <si>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</si>
  <si>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</si>
  <si>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</si>
  <si>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</si>
  <si>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</si>
  <si>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</si>
  <si>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</si>
  <si>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</si>
  <si>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</si>
  <si>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</si>
  <si>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</si>
  <si>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</si>
  <si>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</si>
  <si>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</si>
  <si>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</si>
  <si>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Elysee Sketch</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</si>
  <si>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</si>
  <si>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</si>
  <si>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</si>
  <si>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</si>
  <si>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</si>
  <si>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</si>
  <si>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</si>
  <si>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</si>
  <si>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</si>
  <si>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</si>
  <si>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</si>
  <si>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</si>
  <si>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</si>
  <si>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</si>
  <si>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</si>
  <si>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</si>
  <si>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</si>
  <si>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</si>
  <si>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</si>
  <si>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</si>
  <si>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</si>
  <si>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</si>
  <si>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</si>
  <si>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</si>
  <si>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</si>
  <si>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</si>
  <si>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</si>
  <si>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</si>
  <si>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</si>
  <si>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</si>
  <si>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</si>
  <si>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</si>
  <si>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</si>
  <si>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</si>
  <si>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</si>
  <si>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</si>
  <si>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</si>
  <si>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</si>
  <si>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</si>
  <si>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</si>
  <si>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</si>
  <si>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</si>
  <si>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</si>
  <si>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</si>
  <si>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</si>
  <si>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</si>
  <si>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</si>
  <si>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</si>
  <si>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</si>
  <si>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</si>
  <si>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</si>
  <si>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</si>
  <si>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</si>
  <si>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</si>
  <si>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</si>
  <si>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</si>
  <si>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</si>
  <si>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</si>
  <si>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</si>
  <si>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</si>
  <si>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</si>
  <si>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</si>
  <si>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</si>
  <si>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</si>
  <si>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</si>
  <si>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</si>
  <si>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</si>
  <si>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</si>
  <si>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</si>
  <si>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</si>
  <si>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</si>
  <si>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</si>
  <si>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</si>
  <si>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</si>
  <si>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</si>
  <si>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</si>
  <si>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</si>
  <si>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</si>
  <si>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</si>
  <si>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</si>
  <si>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</si>
  <si>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</si>
  <si>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</si>
  <si>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</si>
  <si>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</si>
  <si>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</si>
  <si>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</si>
  <si>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</si>
  <si>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</si>
  <si>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</si>
  <si>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</si>
  <si>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</si>
  <si>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</si>
  <si>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</si>
  <si>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</si>
  <si>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</si>
  <si>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</si>
  <si>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</si>
  <si>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</si>
  <si>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</si>
  <si>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Nealson Cuttler</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</si>
  <si>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</si>
  <si>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</si>
  <si>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</si>
  <si>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</si>
  <si>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</si>
  <si>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</si>
  <si>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</si>
  <si>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</si>
  <si>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</si>
  <si>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</si>
  <si>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</si>
  <si>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</si>
  <si>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</si>
  <si>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</si>
  <si>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</si>
  <si>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</si>
  <si>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</si>
  <si>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</si>
  <si>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</si>
  <si>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</si>
  <si>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</si>
  <si>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</si>
  <si>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</si>
  <si>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</si>
  <si>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</si>
  <si>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</si>
  <si>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</si>
  <si>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</si>
  <si>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</si>
  <si>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</si>
  <si>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</si>
  <si>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</si>
  <si>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</si>
  <si>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</si>
  <si>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</si>
  <si>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</si>
  <si>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</si>
  <si>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</si>
  <si>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</si>
  <si>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</si>
  <si>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</si>
  <si>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</si>
  <si>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</si>
  <si>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</si>
  <si>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</si>
  <si>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</si>
  <si>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</si>
  <si>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</si>
  <si>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</si>
  <si>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</si>
  <si>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</si>
  <si>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</si>
  <si>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</si>
  <si>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</si>
  <si>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</si>
  <si>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</si>
  <si>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</si>
  <si>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</si>
  <si>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</si>
  <si>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</si>
  <si>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</si>
  <si>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</si>
  <si>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</si>
  <si>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</si>
  <si>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</si>
  <si>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</si>
  <si>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</si>
  <si>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</si>
  <si>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</si>
  <si>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</si>
  <si>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</si>
  <si>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</si>
  <si>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</si>
  <si>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</si>
  <si>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</si>
  <si>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</si>
  <si>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</si>
  <si>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</si>
  <si>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</si>
  <si>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</si>
  <si>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</si>
  <si>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</si>
  <si>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</si>
  <si>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</si>
  <si>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</si>
  <si>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</si>
  <si>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</si>
  <si>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</si>
  <si>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</si>
  <si>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</si>
  <si>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</si>
  <si>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</si>
  <si>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</si>
  <si>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</si>
  <si>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</si>
  <si>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</si>
  <si>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</si>
  <si>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</si>
  <si>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</si>
  <si>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</si>
  <si>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</si>
  <si>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</si>
  <si>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</si>
  <si>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</si>
  <si>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</si>
  <si>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</si>
  <si>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</si>
  <si>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</si>
  <si>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</si>
  <si>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</si>
  <si>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</si>
  <si>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</si>
  <si>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</si>
  <si>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</si>
  <si>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</si>
  <si>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</si>
  <si>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</si>
  <si>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</si>
  <si>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</si>
  <si>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</si>
  <si>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</si>
  <si>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</si>
  <si>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</si>
  <si>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</si>
  <si>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</si>
  <si>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</si>
  <si>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</si>
  <si>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</si>
  <si>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</si>
  <si>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</si>
  <si>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</si>
  <si>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</si>
  <si>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</si>
  <si>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</si>
  <si>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</si>
  <si>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</si>
  <si>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</si>
  <si>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</si>
  <si>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</si>
  <si>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</si>
  <si>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</si>
  <si>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</si>
  <si>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</si>
  <si>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</si>
  <si>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</si>
  <si>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</si>
  <si>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</si>
  <si>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</si>
  <si>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</si>
  <si>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</si>
  <si>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</si>
  <si>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</si>
  <si>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</si>
  <si>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</si>
  <si>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</si>
  <si>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</si>
  <si>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</si>
  <si>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</si>
  <si>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</si>
  <si>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</si>
  <si>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</si>
  <si>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</si>
  <si>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</si>
  <si>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</si>
  <si>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</si>
  <si>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</si>
  <si>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</si>
  <si>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</si>
  <si>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</si>
  <si>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</si>
  <si>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</si>
  <si>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</si>
  <si>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</si>
  <si>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</si>
  <si>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</si>
  <si>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</si>
  <si>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</si>
  <si>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</si>
  <si>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</si>
  <si>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</si>
  <si>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</si>
  <si>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</si>
  <si>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</si>
  <si>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</si>
  <si>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</si>
  <si>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</si>
  <si>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</si>
  <si>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</si>
  <si>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</si>
  <si>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</si>
  <si>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</si>
  <si>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</si>
  <si>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</si>
  <si>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</si>
  <si>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</si>
  <si>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</si>
  <si>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</si>
  <si>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</si>
  <si>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</si>
  <si>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</si>
  <si>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</si>
  <si>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</si>
  <si>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</si>
  <si>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</si>
  <si>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</si>
  <si>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</si>
  <si>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</si>
  <si>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</si>
  <si>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</si>
  <si>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</si>
  <si>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</si>
  <si>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</si>
  <si>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</si>
  <si>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</si>
  <si>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</si>
  <si>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</si>
  <si>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</si>
  <si>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</si>
  <si>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</si>
  <si>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</si>
  <si>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</si>
  <si>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</si>
  <si>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</si>
  <si>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</si>
  <si>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</si>
  <si>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</si>
  <si>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</si>
  <si>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</si>
  <si>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</si>
  <si>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</si>
  <si>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</si>
  <si>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</si>
  <si>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</si>
  <si>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</si>
  <si>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</si>
  <si>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</si>
  <si>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</si>
  <si>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</si>
  <si>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</si>
  <si>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</si>
  <si>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</si>
  <si>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</si>
  <si>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</si>
  <si>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</si>
  <si>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</si>
  <si>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</si>
  <si>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</si>
  <si>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</si>
  <si>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</si>
  <si>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</si>
  <si>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</si>
  <si>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</si>
  <si>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</si>
  <si>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</si>
  <si>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</si>
  <si>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</si>
  <si>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</si>
  <si>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</si>
  <si>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</si>
  <si>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</si>
  <si>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</si>
  <si>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</si>
  <si>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</si>
  <si>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</si>
  <si>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</si>
  <si>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</si>
  <si>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</si>
  <si>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</si>
  <si>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</si>
  <si>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</si>
  <si>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</si>
  <si>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</si>
  <si>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</si>
  <si>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</si>
  <si>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</si>
  <si>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</si>
  <si>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</si>
  <si>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</si>
  <si>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</si>
  <si>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</si>
  <si>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</si>
  <si>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</si>
  <si>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</si>
  <si>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</si>
  <si>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</si>
  <si>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</si>
  <si>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</si>
  <si>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</si>
  <si>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</si>
  <si>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</si>
  <si>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</si>
  <si>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</si>
  <si>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</si>
  <si>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</si>
  <si>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</si>
  <si>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</si>
  <si>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</si>
  <si>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</si>
  <si>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</si>
  <si>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</si>
  <si>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</si>
  <si>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</si>
  <si>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</si>
  <si>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</si>
  <si>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</si>
  <si>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</si>
  <si>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</si>
  <si>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</si>
  <si>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</si>
  <si>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</si>
  <si>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</si>
  <si>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</si>
  <si>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</si>
  <si>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</si>
  <si>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</si>
  <si>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</si>
  <si>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</si>
  <si>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</si>
  <si>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</si>
  <si>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</si>
  <si>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</si>
  <si>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</si>
  <si>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</si>
  <si>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</si>
  <si>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</si>
  <si>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</si>
  <si>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</si>
  <si>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</si>
  <si>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</si>
  <si>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</si>
  <si>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</si>
  <si>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</si>
  <si>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</si>
  <si>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</si>
  <si>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</si>
  <si>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</si>
  <si>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</si>
  <si>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</si>
  <si>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</si>
  <si>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</si>
  <si>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</si>
  <si>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</si>
  <si>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</si>
  <si>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</si>
  <si>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</si>
  <si>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</si>
  <si>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</si>
  <si>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</si>
  <si>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</si>
  <si>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</si>
  <si>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</si>
  <si>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</si>
  <si>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</si>
  <si>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</si>
  <si>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</si>
  <si>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</si>
  <si>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Teddi Crowthe</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</si>
  <si>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</si>
  <si>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</si>
  <si>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</si>
  <si>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</si>
  <si>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</si>
  <si>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</si>
  <si>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</si>
  <si>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</si>
  <si>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</si>
  <si>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</si>
  <si>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</si>
  <si>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</si>
  <si>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</si>
  <si>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</si>
  <si>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</si>
  <si>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</si>
  <si>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</si>
  <si>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</si>
  <si>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</si>
  <si>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</si>
  <si>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</si>
  <si>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</si>
  <si>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</si>
  <si>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</si>
  <si>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</si>
  <si>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</si>
  <si>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</si>
  <si>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</si>
  <si>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</si>
  <si>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</si>
  <si>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</si>
  <si>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</si>
  <si>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</si>
  <si>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</si>
  <si>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</si>
  <si>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</si>
  <si>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</si>
  <si>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</si>
  <si>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</si>
  <si>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</si>
  <si>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</si>
  <si>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</si>
  <si>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</si>
  <si>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</si>
  <si>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</si>
  <si>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</si>
  <si>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</si>
  <si>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</si>
  <si>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</si>
  <si>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</si>
  <si>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</si>
  <si>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</si>
  <si>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</si>
  <si>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</si>
  <si>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</si>
  <si>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</si>
  <si>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</si>
  <si>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</si>
  <si>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</si>
  <si>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</si>
  <si>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</si>
  <si>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</si>
  <si>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</si>
  <si>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</si>
  <si>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</si>
  <si>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</si>
  <si>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</si>
  <si>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</si>
  <si>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</si>
  <si>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</si>
  <si>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</si>
  <si>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</si>
  <si>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</si>
  <si>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</si>
  <si>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</si>
  <si>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</si>
  <si>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</si>
  <si>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</si>
  <si>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</si>
  <si>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</si>
  <si>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</si>
  <si>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</si>
  <si>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</si>
  <si>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</si>
  <si>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</si>
  <si>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</si>
  <si>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</si>
  <si>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</si>
  <si>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</si>
  <si>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</si>
  <si>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</si>
  <si>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</si>
  <si>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</si>
  <si>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</si>
  <si>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</si>
  <si>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Lacee Tanti</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</si>
  <si>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</si>
  <si>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</si>
  <si>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</si>
  <si>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</si>
  <si>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</si>
  <si>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</si>
  <si>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</si>
  <si>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</si>
  <si>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</si>
  <si>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</si>
  <si>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</si>
  <si>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</si>
  <si>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</si>
  <si>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</si>
  <si>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</si>
  <si>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</si>
  <si>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</si>
  <si>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</si>
  <si>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</si>
  <si>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</si>
  <si>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</si>
  <si>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</si>
  <si>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</si>
  <si>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</si>
  <si>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</si>
  <si>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</si>
  <si>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</si>
  <si>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</si>
  <si>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</si>
  <si>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</si>
  <si>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</si>
  <si>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</si>
  <si>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</si>
  <si>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</si>
  <si>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</si>
  <si>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</si>
  <si>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</si>
  <si>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</si>
  <si>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</si>
  <si>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</si>
  <si>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</si>
  <si>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</si>
  <si>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</si>
  <si>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</si>
  <si>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</si>
  <si>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</si>
  <si>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</si>
  <si>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</si>
  <si>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</si>
  <si>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</si>
  <si>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</si>
  <si>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</si>
  <si>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</si>
  <si>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</si>
  <si>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</si>
  <si>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</si>
  <si>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</si>
  <si>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</si>
  <si>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</si>
  <si>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</si>
  <si>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</si>
  <si>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</si>
  <si>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</si>
  <si>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</si>
  <si>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</si>
  <si>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</si>
  <si>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</si>
  <si>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</si>
  <si>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</si>
  <si>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</si>
  <si>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</si>
  <si>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</si>
  <si>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</si>
  <si>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</si>
  <si>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</si>
  <si>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Nanny Lush</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</si>
  <si>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</si>
  <si>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</si>
  <si>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</si>
  <si>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</si>
  <si>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</si>
  <si>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</si>
  <si>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</si>
  <si>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</si>
  <si>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</si>
  <si>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</si>
  <si>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</si>
  <si>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</si>
  <si>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</si>
  <si>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</si>
  <si>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</si>
  <si>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</si>
  <si>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</si>
  <si>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</si>
  <si>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</si>
  <si>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</si>
  <si>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</si>
  <si>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</si>
  <si>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</si>
  <si>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</si>
  <si>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</si>
  <si>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</si>
  <si>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</si>
  <si>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</si>
  <si>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</si>
  <si>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</si>
  <si>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</si>
  <si>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</si>
  <si>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</si>
  <si>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</si>
  <si>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</si>
  <si>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</si>
  <si>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</si>
  <si>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</si>
  <si>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</si>
  <si>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</si>
  <si>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</si>
  <si>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</si>
  <si>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</si>
  <si>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</si>
  <si>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</si>
  <si>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</si>
  <si>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</si>
  <si>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</si>
  <si>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</si>
  <si>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</si>
  <si>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</si>
  <si>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</si>
  <si>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</si>
  <si>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</si>
  <si>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</si>
  <si>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</si>
  <si>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</si>
  <si>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</si>
  <si>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</si>
  <si>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</si>
  <si>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</si>
  <si>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</si>
  <si>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</si>
  <si>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</si>
  <si>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</si>
  <si>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</si>
  <si>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</si>
  <si>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</si>
  <si>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</si>
  <si>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</si>
  <si>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</si>
  <si>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</si>
  <si>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</si>
  <si>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</si>
  <si>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</si>
  <si>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</si>
  <si>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</si>
  <si>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</si>
  <si>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</si>
  <si>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</si>
  <si>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</si>
  <si>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</si>
  <si>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</si>
  <si>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</si>
  <si>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</si>
  <si>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</si>
  <si>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</si>
  <si>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</si>
  <si>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</si>
  <si>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</si>
  <si>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</si>
  <si>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</si>
  <si>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</si>
  <si>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</si>
  <si>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</si>
  <si>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</si>
  <si>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</si>
  <si>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</si>
  <si>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</si>
  <si>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</si>
  <si>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</si>
  <si>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</si>
  <si>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</si>
  <si>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</si>
  <si>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</si>
  <si>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</si>
  <si>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</si>
  <si>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</si>
  <si>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</si>
  <si>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</si>
  <si>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</si>
  <si>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</si>
  <si>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</si>
  <si>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</si>
  <si>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</si>
  <si>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</si>
  <si>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</si>
  <si>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</si>
  <si>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</si>
  <si>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</si>
  <si>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</si>
  <si>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</si>
  <si>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</si>
  <si>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</si>
  <si>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</si>
  <si>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</si>
  <si>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</si>
  <si>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</si>
  <si>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</si>
  <si>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</si>
  <si>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</si>
  <si>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</si>
  <si>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</si>
  <si>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</si>
  <si>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</si>
  <si>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Shelli Keynd</t>
  </si>
  <si>
    <t>skeynd9o@narod.ru</t>
  </si>
  <si>
    <t>+1 (903) 299-3053</t>
  </si>
  <si>
    <t>9 Iowa Court</t>
  </si>
  <si>
    <t>Tyler</t>
  </si>
  <si>
    <t>Dell Daveridge</t>
  </si>
  <si>
    <t>ddaveridge9p@arstechnica.com</t>
  </si>
  <si>
    <t>+1 (213) 474-2139</t>
  </si>
  <si>
    <t>09652 Crowley Lane</t>
  </si>
  <si>
    <t>Joshuah Awdry</t>
  </si>
  <si>
    <t>jawdry9q@utexas.edu</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</si>
  <si>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</si>
  <si>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</si>
  <si>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</si>
  <si>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</si>
  <si>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</si>
  <si>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</si>
  <si>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</si>
  <si>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</si>
  <si>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</si>
  <si>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</si>
  <si>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</si>
  <si>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</si>
  <si>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</si>
  <si>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</si>
  <si>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</si>
  <si>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</si>
  <si>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</si>
  <si>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</si>
  <si>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</si>
  <si>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</si>
  <si>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</si>
  <si>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</si>
  <si>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</si>
  <si>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</si>
  <si>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</si>
  <si>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</si>
  <si>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</si>
  <si>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</si>
  <si>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</si>
  <si>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</si>
  <si>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</si>
  <si>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</si>
  <si>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Tomasina Cotmore</t>
  </si>
  <si>
    <t>tcotmore9y@amazonaws.com</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</si>
  <si>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</si>
  <si>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</si>
  <si>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</si>
  <si>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</si>
  <si>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</si>
  <si>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</si>
  <si>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</si>
  <si>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</si>
  <si>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</si>
  <si>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</si>
  <si>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</si>
  <si>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</si>
  <si>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</si>
  <si>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</si>
  <si>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</si>
  <si>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</si>
  <si>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</si>
  <si>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</si>
  <si>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</si>
  <si>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</si>
  <si>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</si>
  <si>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</si>
  <si>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</si>
  <si>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</si>
  <si>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</si>
  <si>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</si>
  <si>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</si>
  <si>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</si>
  <si>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</si>
  <si>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</si>
  <si>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</si>
  <si>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</si>
  <si>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</si>
  <si>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</si>
  <si>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</si>
  <si>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</si>
  <si>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</si>
  <si>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</si>
  <si>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</si>
  <si>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</si>
  <si>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</si>
  <si>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</si>
  <si>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</si>
  <si>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</si>
  <si>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</si>
  <si>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</si>
  <si>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</si>
  <si>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</si>
  <si>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</si>
  <si>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</si>
  <si>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</si>
  <si>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</si>
  <si>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</si>
  <si>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Terri Farra</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</si>
  <si>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</si>
  <si>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</si>
  <si>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</si>
  <si>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</si>
  <si>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</si>
  <si>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</si>
  <si>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</si>
  <si>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</si>
  <si>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</si>
  <si>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</si>
  <si>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</si>
  <si>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</si>
  <si>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</si>
  <si>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</si>
  <si>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</si>
  <si>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</si>
  <si>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</si>
  <si>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</si>
  <si>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</si>
  <si>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</si>
  <si>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</si>
  <si>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</si>
  <si>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</si>
  <si>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</si>
  <si>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</si>
  <si>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</si>
  <si>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</si>
  <si>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</si>
  <si>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</si>
  <si>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</si>
  <si>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</si>
  <si>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</si>
  <si>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</si>
  <si>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</si>
  <si>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</si>
  <si>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</si>
  <si>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</si>
  <si>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</si>
  <si>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</si>
  <si>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</si>
  <si>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</si>
  <si>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</si>
  <si>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</si>
  <si>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</si>
  <si>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</si>
  <si>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</si>
  <si>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</si>
  <si>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</si>
  <si>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</si>
  <si>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</si>
  <si>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</si>
  <si>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</si>
  <si>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</si>
  <si>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</si>
  <si>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</si>
  <si>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</si>
  <si>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</si>
  <si>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</si>
  <si>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</si>
  <si>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</si>
  <si>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</si>
  <si>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</si>
  <si>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</si>
  <si>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</si>
  <si>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</si>
  <si>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</si>
  <si>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</si>
  <si>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</si>
  <si>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</si>
  <si>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</si>
  <si>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</si>
  <si>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</si>
  <si>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</si>
  <si>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</si>
  <si>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</si>
  <si>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</si>
  <si>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</si>
  <si>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</si>
  <si>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</si>
  <si>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</si>
  <si>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</si>
  <si>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</si>
  <si>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</si>
  <si>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</si>
  <si>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</si>
  <si>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</si>
  <si>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</si>
  <si>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</si>
  <si>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</si>
  <si>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</si>
  <si>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</si>
  <si>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</si>
  <si>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</si>
  <si>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</si>
  <si>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</si>
  <si>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</si>
  <si>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</si>
  <si>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</si>
  <si>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</si>
  <si>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</si>
  <si>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</si>
  <si>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</si>
  <si>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</si>
  <si>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</si>
  <si>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</si>
  <si>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</si>
  <si>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</si>
  <si>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</si>
  <si>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</si>
  <si>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</si>
  <si>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</si>
  <si>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</si>
  <si>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</si>
  <si>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Ingelbert Hotchkin</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</si>
  <si>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</si>
  <si>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</si>
  <si>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</si>
  <si>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</si>
  <si>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</si>
  <si>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</si>
  <si>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</si>
  <si>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</si>
  <si>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</si>
  <si>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</si>
  <si>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</si>
  <si>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</si>
  <si>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</si>
  <si>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Gale Croysdale</t>
  </si>
  <si>
    <t>gcroysdaleb6@nih.gov</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</si>
  <si>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</si>
  <si>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</si>
  <si>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</si>
  <si>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</si>
  <si>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</si>
  <si>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</si>
  <si>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</si>
  <si>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</si>
  <si>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</si>
  <si>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</si>
  <si>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</si>
  <si>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</si>
  <si>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</si>
  <si>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</si>
  <si>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</si>
  <si>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</si>
  <si>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</si>
  <si>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</si>
  <si>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</si>
  <si>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</si>
  <si>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</si>
  <si>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</si>
  <si>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</si>
  <si>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</si>
  <si>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</si>
  <si>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</si>
  <si>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</si>
  <si>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</si>
  <si>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</si>
  <si>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</si>
  <si>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</si>
  <si>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</si>
  <si>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</si>
  <si>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</si>
  <si>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</si>
  <si>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</si>
  <si>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</si>
  <si>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</si>
  <si>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</si>
  <si>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</si>
  <si>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</si>
  <si>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</si>
  <si>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</si>
  <si>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</si>
  <si>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</si>
  <si>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</si>
  <si>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</si>
  <si>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</si>
  <si>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</si>
  <si>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</si>
  <si>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</si>
  <si>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</si>
  <si>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</si>
  <si>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</si>
  <si>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</si>
  <si>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</si>
  <si>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</si>
  <si>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</si>
  <si>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</si>
  <si>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</si>
  <si>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</si>
  <si>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</si>
  <si>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</si>
  <si>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</si>
  <si>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</si>
  <si>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</si>
  <si>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</si>
  <si>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</si>
  <si>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</si>
  <si>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</si>
  <si>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</si>
  <si>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</si>
  <si>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</si>
  <si>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</si>
  <si>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</si>
  <si>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</si>
  <si>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</si>
  <si>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</si>
  <si>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</si>
  <si>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</si>
  <si>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</si>
  <si>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</si>
  <si>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</si>
  <si>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</si>
  <si>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</si>
  <si>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</si>
  <si>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</si>
  <si>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</si>
  <si>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</si>
  <si>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</si>
  <si>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</si>
  <si>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</si>
  <si>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</si>
  <si>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</si>
  <si>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</si>
  <si>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</si>
  <si>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</si>
  <si>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</si>
  <si>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</si>
  <si>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</si>
  <si>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</si>
  <si>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</si>
  <si>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</si>
  <si>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</si>
  <si>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</si>
  <si>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</si>
  <si>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</si>
  <si>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</si>
  <si>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</si>
  <si>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</si>
  <si>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</si>
  <si>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</si>
  <si>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</si>
  <si>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</si>
  <si>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</si>
  <si>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</si>
  <si>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</si>
  <si>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</si>
  <si>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</si>
  <si>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</si>
  <si>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</si>
  <si>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</si>
  <si>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</si>
  <si>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</si>
  <si>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</si>
  <si>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</si>
  <si>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</si>
  <si>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</si>
  <si>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</si>
  <si>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</si>
  <si>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</si>
  <si>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</si>
  <si>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</si>
  <si>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</si>
  <si>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</si>
  <si>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</si>
  <si>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</si>
  <si>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</si>
  <si>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</si>
  <si>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</si>
  <si>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</si>
  <si>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</si>
  <si>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</si>
  <si>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</si>
  <si>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</si>
  <si>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</si>
  <si>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</si>
  <si>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</si>
  <si>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</si>
  <si>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</si>
  <si>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</si>
  <si>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</si>
  <si>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</si>
  <si>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</si>
  <si>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</si>
  <si>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</si>
  <si>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</si>
  <si>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</si>
  <si>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</si>
  <si>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</si>
  <si>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</si>
  <si>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</si>
  <si>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</si>
  <si>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</si>
  <si>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</si>
  <si>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</si>
  <si>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</si>
  <si>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</si>
  <si>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</si>
  <si>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</si>
  <si>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</si>
  <si>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</si>
  <si>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</si>
  <si>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</si>
  <si>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</si>
  <si>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</si>
  <si>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</si>
  <si>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</si>
  <si>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</si>
  <si>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</si>
  <si>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</si>
  <si>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</si>
  <si>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</si>
  <si>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</si>
  <si>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</si>
  <si>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</si>
  <si>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</si>
  <si>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</si>
  <si>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</si>
  <si>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</si>
  <si>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</si>
  <si>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</si>
  <si>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</si>
  <si>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</si>
  <si>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</si>
  <si>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</si>
  <si>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</si>
  <si>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</si>
  <si>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</si>
  <si>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</si>
  <si>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</si>
  <si>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</si>
  <si>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</si>
  <si>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</si>
  <si>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</si>
  <si>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</si>
  <si>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</si>
  <si>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</si>
  <si>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</si>
  <si>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</si>
  <si>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</si>
  <si>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</si>
  <si>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</si>
  <si>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</si>
  <si>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</si>
  <si>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</si>
  <si>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</si>
  <si>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</si>
  <si>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</si>
  <si>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</si>
  <si>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</si>
  <si>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</si>
  <si>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</si>
  <si>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</si>
  <si>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</si>
  <si>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</si>
  <si>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</si>
  <si>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</si>
  <si>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</si>
  <si>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</si>
  <si>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</si>
  <si>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</si>
  <si>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</si>
  <si>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</si>
  <si>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</si>
  <si>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</si>
  <si>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</si>
  <si>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</si>
  <si>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</si>
  <si>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</si>
  <si>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</si>
  <si>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</si>
  <si>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</si>
  <si>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</si>
  <si>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</si>
  <si>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</si>
  <si>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</si>
  <si>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</si>
  <si>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</si>
  <si>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</si>
  <si>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</si>
  <si>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</si>
  <si>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</si>
  <si>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</si>
  <si>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</si>
  <si>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</si>
  <si>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</si>
  <si>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</si>
  <si>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</si>
  <si>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</si>
  <si>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</si>
  <si>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</si>
  <si>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</si>
  <si>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</si>
  <si>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</si>
  <si>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</si>
  <si>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</si>
  <si>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</si>
  <si>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</si>
  <si>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</si>
  <si>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</si>
  <si>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</si>
  <si>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</si>
  <si>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</si>
  <si>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</si>
  <si>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</si>
  <si>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</si>
  <si>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</si>
  <si>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</si>
  <si>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</si>
  <si>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</si>
  <si>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</si>
  <si>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</si>
  <si>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</si>
  <si>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</si>
  <si>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</si>
  <si>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</si>
  <si>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</si>
  <si>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</si>
  <si>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</si>
  <si>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</si>
  <si>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</si>
  <si>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</si>
  <si>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</si>
  <si>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</si>
  <si>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</si>
  <si>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</si>
  <si>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</si>
  <si>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</si>
  <si>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</si>
  <si>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</si>
  <si>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</si>
  <si>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</si>
  <si>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</si>
  <si>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</si>
  <si>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</si>
  <si>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</si>
  <si>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</si>
  <si>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</si>
  <si>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</si>
  <si>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</si>
  <si>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</si>
  <si>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</si>
  <si>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</si>
  <si>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</si>
  <si>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</si>
  <si>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</si>
  <si>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</si>
  <si>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</si>
  <si>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</si>
  <si>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</si>
  <si>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</si>
  <si>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</si>
  <si>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</si>
  <si>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</si>
  <si>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</si>
  <si>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</si>
  <si>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</si>
  <si>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</si>
  <si>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</si>
  <si>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</si>
  <si>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</si>
  <si>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</si>
  <si>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</si>
  <si>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</si>
  <si>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</si>
  <si>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</si>
  <si>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</si>
  <si>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</si>
  <si>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</si>
  <si>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</si>
  <si>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</si>
  <si>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</si>
  <si>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</si>
  <si>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</si>
  <si>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</si>
  <si>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</si>
  <si>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</si>
  <si>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</si>
  <si>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</si>
  <si>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</si>
  <si>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</si>
  <si>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</si>
  <si>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</si>
  <si>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</si>
  <si>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</si>
  <si>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</si>
  <si>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</si>
  <si>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</si>
  <si>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</si>
  <si>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</si>
  <si>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</si>
  <si>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</si>
  <si>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</si>
  <si>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</si>
  <si>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</si>
  <si>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</si>
  <si>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</si>
  <si>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</si>
  <si>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</si>
  <si>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</si>
  <si>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</si>
  <si>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</si>
  <si>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</si>
  <si>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</si>
  <si>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</si>
  <si>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</si>
  <si>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</si>
  <si>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</si>
  <si>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</si>
  <si>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</si>
  <si>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</si>
  <si>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</si>
  <si>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</si>
  <si>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</si>
  <si>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</si>
  <si>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</si>
  <si>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</si>
  <si>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</si>
  <si>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</si>
  <si>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</si>
  <si>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</si>
  <si>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</si>
  <si>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</si>
  <si>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</si>
  <si>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</si>
  <si>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</si>
  <si>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</si>
  <si>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</si>
  <si>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</si>
  <si>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</si>
  <si>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</si>
  <si>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</si>
  <si>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</si>
  <si>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</si>
  <si>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</si>
  <si>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</si>
  <si>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</si>
  <si>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</si>
  <si>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</si>
  <si>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</si>
  <si>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</si>
  <si>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</si>
  <si>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</si>
  <si>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</si>
  <si>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</si>
  <si>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</si>
  <si>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</si>
  <si>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</si>
  <si>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</si>
  <si>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</si>
  <si>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</si>
  <si>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</si>
  <si>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</si>
  <si>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</si>
  <si>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</si>
  <si>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</si>
  <si>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</si>
  <si>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</si>
  <si>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</si>
  <si>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</si>
  <si>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</si>
  <si>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</si>
  <si>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</si>
  <si>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</si>
  <si>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</si>
  <si>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</si>
  <si>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</si>
  <si>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</si>
  <si>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</si>
  <si>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</si>
  <si>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</si>
  <si>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</si>
  <si>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</si>
  <si>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</si>
  <si>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</si>
  <si>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</si>
  <si>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</si>
  <si>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</si>
  <si>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</si>
  <si>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</si>
  <si>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</si>
  <si>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</si>
  <si>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</si>
  <si>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</si>
  <si>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</si>
  <si>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</si>
  <si>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</si>
  <si>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</si>
  <si>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</si>
  <si>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</si>
  <si>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</si>
  <si>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</si>
  <si>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</si>
  <si>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</si>
  <si>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</si>
  <si>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</si>
  <si>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</si>
  <si>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</si>
  <si>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</si>
  <si>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</si>
  <si>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</si>
  <si>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</si>
  <si>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</si>
  <si>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</si>
  <si>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</si>
  <si>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</si>
  <si>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</si>
  <si>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</si>
  <si>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</si>
  <si>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</si>
  <si>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</si>
  <si>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</si>
  <si>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</si>
  <si>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</si>
  <si>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</si>
  <si>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</si>
  <si>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</si>
  <si>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</si>
  <si>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</si>
  <si>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</si>
  <si>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</si>
  <si>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</si>
  <si>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</si>
  <si>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</si>
  <si>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</si>
  <si>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</si>
  <si>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</si>
  <si>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</si>
  <si>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</si>
  <si>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</si>
  <si>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</si>
  <si>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</si>
  <si>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</si>
  <si>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</si>
  <si>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</si>
  <si>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</si>
  <si>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</si>
  <si>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</si>
  <si>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</si>
  <si>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</si>
  <si>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</si>
  <si>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</si>
  <si>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</si>
  <si>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</si>
  <si>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</si>
  <si>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</si>
  <si>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</si>
  <si>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</si>
  <si>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</si>
  <si>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</si>
  <si>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</si>
  <si>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</si>
  <si>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</si>
  <si>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</si>
  <si>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</si>
  <si>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</si>
  <si>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</si>
  <si>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</si>
  <si>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</si>
  <si>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</si>
  <si>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</si>
  <si>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</si>
  <si>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</si>
  <si>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</si>
  <si>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</si>
  <si>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</si>
  <si>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</si>
  <si>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</si>
  <si>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</si>
  <si>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</si>
  <si>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</si>
  <si>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</si>
  <si>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</si>
  <si>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</si>
  <si>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</si>
  <si>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</si>
  <si>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</si>
  <si>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</si>
  <si>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</si>
  <si>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</si>
  <si>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</si>
  <si>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</si>
  <si>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</si>
  <si>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</si>
  <si>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</si>
  <si>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</si>
  <si>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</si>
  <si>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</si>
  <si>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</si>
  <si>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</si>
  <si>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</si>
  <si>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</si>
  <si>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</si>
  <si>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</si>
  <si>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</si>
  <si>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</si>
  <si>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</si>
  <si>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</si>
  <si>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</si>
  <si>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</si>
  <si>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</si>
  <si>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</si>
  <si>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</si>
  <si>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</si>
  <si>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</si>
  <si>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</si>
  <si>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</si>
  <si>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</si>
  <si>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</si>
  <si>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</si>
  <si>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</si>
  <si>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</si>
  <si>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</si>
  <si>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</si>
  <si>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</si>
  <si>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</si>
  <si>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</si>
  <si>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</si>
  <si>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</si>
  <si>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</si>
  <si>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</si>
  <si>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</si>
  <si>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</si>
  <si>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</si>
  <si>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</si>
  <si>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</si>
  <si>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</si>
  <si>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</si>
  <si>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</si>
  <si>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</si>
  <si>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</si>
  <si>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</si>
  <si>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</si>
  <si>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</si>
  <si>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</si>
  <si>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</si>
  <si>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</si>
  <si>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</si>
  <si>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</si>
  <si>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</si>
  <si>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</si>
  <si>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</si>
  <si>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</si>
  <si>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</si>
  <si>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</si>
  <si>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</si>
  <si>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</si>
  <si>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</si>
  <si>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</si>
  <si>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</si>
  <si>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</si>
  <si>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</si>
  <si>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</si>
  <si>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</si>
  <si>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</si>
  <si>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</si>
  <si>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</si>
  <si>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</si>
  <si>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</si>
  <si>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</si>
  <si>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</si>
  <si>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</si>
  <si>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</si>
  <si>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</si>
  <si>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</si>
  <si>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</si>
  <si>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</si>
  <si>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</si>
  <si>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</si>
  <si>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</si>
  <si>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</si>
  <si>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</si>
  <si>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</si>
  <si>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</si>
  <si>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</si>
  <si>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</si>
  <si>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</si>
  <si>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</si>
  <si>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</si>
  <si>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</si>
  <si>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</si>
  <si>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</si>
  <si>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</si>
  <si>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</si>
  <si>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</si>
  <si>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</si>
  <si>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</si>
  <si>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</si>
  <si>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</si>
  <si>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</si>
  <si>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</si>
  <si>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</si>
  <si>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</si>
  <si>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</si>
  <si>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</si>
  <si>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</si>
  <si>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</si>
  <si>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</si>
  <si>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</si>
  <si>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</si>
  <si>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</si>
  <si>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</si>
  <si>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</si>
  <si>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</si>
  <si>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</si>
  <si>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</si>
  <si>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</si>
  <si>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</si>
  <si>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</si>
  <si>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</si>
  <si>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</si>
  <si>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</si>
  <si>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</si>
  <si>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</si>
  <si>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</si>
  <si>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</si>
  <si>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</si>
  <si>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</si>
  <si>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</si>
  <si>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</si>
  <si>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</si>
  <si>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</si>
  <si>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</si>
  <si>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</si>
  <si>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</si>
  <si>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</si>
  <si>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</si>
  <si>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</si>
  <si>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</si>
  <si>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</si>
  <si>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</si>
  <si>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</si>
  <si>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</si>
  <si>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</si>
  <si>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</si>
  <si>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</si>
  <si>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</si>
  <si>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</si>
  <si>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</si>
  <si>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</si>
  <si>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</si>
  <si>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</si>
  <si>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</si>
  <si>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</si>
  <si>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</si>
  <si>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</si>
  <si>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</si>
  <si>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</si>
  <si>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</si>
  <si>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</si>
  <si>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</si>
  <si>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</si>
  <si>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</si>
  <si>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</si>
  <si>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</si>
  <si>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</si>
  <si>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</si>
  <si>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</si>
  <si>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</si>
  <si>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</si>
  <si>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</si>
  <si>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</si>
  <si>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</si>
  <si>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</si>
  <si>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</si>
  <si>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</si>
  <si>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</si>
  <si>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</si>
  <si>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</si>
  <si>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</si>
  <si>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</si>
  <si>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</si>
  <si>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Don Flintiff</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</si>
  <si>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</si>
  <si>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</si>
  <si>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</si>
  <si>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</si>
  <si>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</si>
  <si>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</si>
  <si>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</si>
  <si>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</si>
  <si>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</si>
  <si>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</si>
  <si>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</si>
  <si>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</si>
  <si>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</si>
  <si>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</si>
  <si>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</si>
  <si>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</si>
  <si>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</si>
  <si>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</si>
  <si>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</si>
  <si>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</si>
  <si>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</si>
  <si>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</si>
  <si>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</si>
  <si>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</si>
  <si>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</si>
  <si>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</si>
  <si>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</si>
  <si>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</si>
  <si>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</si>
  <si>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</si>
  <si>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</si>
  <si>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</si>
  <si>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</si>
  <si>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</si>
  <si>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</si>
  <si>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</si>
  <si>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</si>
  <si>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</si>
  <si>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</si>
  <si>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</si>
  <si>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</si>
  <si>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</si>
  <si>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</si>
  <si>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</si>
  <si>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</si>
  <si>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</si>
  <si>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</si>
  <si>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</si>
  <si>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</si>
  <si>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Daniel Heinonen</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</si>
  <si>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</si>
  <si>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</si>
  <si>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</si>
  <si>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</si>
  <si>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</si>
  <si>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</si>
  <si>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</si>
  <si>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</si>
  <si>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</si>
  <si>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</si>
  <si>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</si>
  <si>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</si>
  <si>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</si>
  <si>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</si>
  <si>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</si>
  <si>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</si>
  <si>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</si>
  <si>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</si>
  <si>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</si>
  <si>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</si>
  <si>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</si>
  <si>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</si>
  <si>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</si>
  <si>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</si>
  <si>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</si>
  <si>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</si>
  <si>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</si>
  <si>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</si>
  <si>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</si>
  <si>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</si>
  <si>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</si>
  <si>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</si>
  <si>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</si>
  <si>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</si>
  <si>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</si>
  <si>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</si>
  <si>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</si>
  <si>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</si>
  <si>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</si>
  <si>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</si>
  <si>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</si>
  <si>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</si>
  <si>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</si>
  <si>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</si>
  <si>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</si>
  <si>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</si>
  <si>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</si>
  <si>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</si>
  <si>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</si>
  <si>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</si>
  <si>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</si>
  <si>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</si>
  <si>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</si>
  <si>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</si>
  <si>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</si>
  <si>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</si>
  <si>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</si>
  <si>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</si>
  <si>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</si>
  <si>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</si>
  <si>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</si>
  <si>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</si>
  <si>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</si>
  <si>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</si>
  <si>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</si>
  <si>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</si>
  <si>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</si>
  <si>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</si>
  <si>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</si>
  <si>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</si>
  <si>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</si>
  <si>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</si>
  <si>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</si>
  <si>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</si>
  <si>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</si>
  <si>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</si>
  <si>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</si>
  <si>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</si>
  <si>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</si>
  <si>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</si>
  <si>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</si>
  <si>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</si>
  <si>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</si>
  <si>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</si>
  <si>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</si>
  <si>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</si>
  <si>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</si>
  <si>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</si>
  <si>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</si>
  <si>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</si>
  <si>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</si>
  <si>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</si>
  <si>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</si>
  <si>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</si>
  <si>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</si>
  <si>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</si>
  <si>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</si>
  <si>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</si>
  <si>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</si>
  <si>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</si>
  <si>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</si>
  <si>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</si>
  <si>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</si>
  <si>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</si>
  <si>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</si>
  <si>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</si>
  <si>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</si>
  <si>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</si>
  <si>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</si>
  <si>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</si>
  <si>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</si>
  <si>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</si>
  <si>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</si>
  <si>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</si>
  <si>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</si>
  <si>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</si>
  <si>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</si>
  <si>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</si>
  <si>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</si>
  <si>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</si>
  <si>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</si>
  <si>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</si>
  <si>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</si>
  <si>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</si>
  <si>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</si>
  <si>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</si>
  <si>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</si>
  <si>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</si>
  <si>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</si>
  <si>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</si>
  <si>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</si>
  <si>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</si>
  <si>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</si>
  <si>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</si>
  <si>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</si>
  <si>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</si>
  <si>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</si>
  <si>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</si>
  <si>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</si>
  <si>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</si>
  <si>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</si>
  <si>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</si>
  <si>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</si>
  <si>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</si>
  <si>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</si>
  <si>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</si>
  <si>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</si>
  <si>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</si>
  <si>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</si>
  <si>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</si>
  <si>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</si>
  <si>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</si>
  <si>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</si>
  <si>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</si>
  <si>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</si>
  <si>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</si>
  <si>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</si>
  <si>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</si>
  <si>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</si>
  <si>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</si>
  <si>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</si>
  <si>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</si>
  <si>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</si>
  <si>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</si>
  <si>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</si>
  <si>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</si>
  <si>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</si>
  <si>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</si>
  <si>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</si>
  <si>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</si>
  <si>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</si>
  <si>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</si>
  <si>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</si>
  <si>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</si>
  <si>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</si>
  <si>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</si>
  <si>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</si>
  <si>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</si>
  <si>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</si>
  <si>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</si>
  <si>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</si>
  <si>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</si>
  <si>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</si>
  <si>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</si>
  <si>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</si>
  <si>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</si>
  <si>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</si>
  <si>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</si>
  <si>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</si>
  <si>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</si>
  <si>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</si>
  <si>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</si>
  <si>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</si>
  <si>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</si>
  <si>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</si>
  <si>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</si>
  <si>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</si>
  <si>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</si>
  <si>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</si>
  <si>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</si>
  <si>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</si>
  <si>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</si>
  <si>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</si>
  <si>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</si>
  <si>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</si>
  <si>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</si>
  <si>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</si>
  <si>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</si>
  <si>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</si>
  <si>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</si>
  <si>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</si>
  <si>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</si>
  <si>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</si>
  <si>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</si>
  <si>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</si>
  <si>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</si>
  <si>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</si>
  <si>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</si>
  <si>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</si>
  <si>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</si>
  <si>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</si>
  <si>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</si>
  <si>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</si>
  <si>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</si>
  <si>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</si>
  <si>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</si>
  <si>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</si>
  <si>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</si>
  <si>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</si>
  <si>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</si>
  <si>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</si>
  <si>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</si>
  <si>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</si>
  <si>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</si>
  <si>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</si>
  <si>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</si>
  <si>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</si>
  <si>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</si>
  <si>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</si>
  <si>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</si>
  <si>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</si>
  <si>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</si>
  <si>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</si>
  <si>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</si>
  <si>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</si>
  <si>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</si>
  <si>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</si>
  <si>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</si>
  <si>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</si>
  <si>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</si>
  <si>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</si>
  <si>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</si>
  <si>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</si>
  <si>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</si>
  <si>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</si>
  <si>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</si>
  <si>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</si>
  <si>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</si>
  <si>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</si>
  <si>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</si>
  <si>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</si>
  <si>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</si>
  <si>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</si>
  <si>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</si>
  <si>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</si>
  <si>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</si>
  <si>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</si>
  <si>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</si>
  <si>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</si>
  <si>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</si>
  <si>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</si>
  <si>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</si>
  <si>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</si>
  <si>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</si>
  <si>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</si>
  <si>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</si>
  <si>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</si>
  <si>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</si>
  <si>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</si>
  <si>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</si>
  <si>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</si>
  <si>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</si>
  <si>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</si>
  <si>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</si>
  <si>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</si>
  <si>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</si>
  <si>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</si>
  <si>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</si>
  <si>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</si>
  <si>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</si>
  <si>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</si>
  <si>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</si>
  <si>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</si>
  <si>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</si>
  <si>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</si>
  <si>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</si>
  <si>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</si>
  <si>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</si>
  <si>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</si>
  <si>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</si>
  <si>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</si>
  <si>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</si>
  <si>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</si>
  <si>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</si>
  <si>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</si>
  <si>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</si>
  <si>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</si>
  <si>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</si>
  <si>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</si>
  <si>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</si>
  <si>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</si>
  <si>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</si>
  <si>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</si>
  <si>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</si>
  <si>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</si>
  <si>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</si>
  <si>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</si>
  <si>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</si>
  <si>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</si>
  <si>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</si>
  <si>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</si>
  <si>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</si>
  <si>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</si>
  <si>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</si>
  <si>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</si>
  <si>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</si>
  <si>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</si>
  <si>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</si>
  <si>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</si>
  <si>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</si>
  <si>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</si>
  <si>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</si>
  <si>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</si>
  <si>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</si>
  <si>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</si>
  <si>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</si>
  <si>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</si>
  <si>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</si>
  <si>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</si>
  <si>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</si>
  <si>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</si>
  <si>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</si>
  <si>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</si>
  <si>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</si>
  <si>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</si>
  <si>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</si>
  <si>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</si>
  <si>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</si>
  <si>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</si>
  <si>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</si>
  <si>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</si>
  <si>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</si>
  <si>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</si>
  <si>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</si>
  <si>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</si>
  <si>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</si>
  <si>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</si>
  <si>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</si>
  <si>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</si>
  <si>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</si>
  <si>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</si>
  <si>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</si>
  <si>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</si>
  <si>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</si>
  <si>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</si>
  <si>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</si>
  <si>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</si>
  <si>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</si>
  <si>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</si>
  <si>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</si>
  <si>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</si>
  <si>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</si>
  <si>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</si>
  <si>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</si>
  <si>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</si>
  <si>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</si>
  <si>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</si>
  <si>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</si>
  <si>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</si>
  <si>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</si>
  <si>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</si>
  <si>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</si>
  <si>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</si>
  <si>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</si>
  <si>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</si>
  <si>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</si>
  <si>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Becca Ableson</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</si>
  <si>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</si>
  <si>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</si>
  <si>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</si>
  <si>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</si>
  <si>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</si>
  <si>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</si>
  <si>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</si>
  <si>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</si>
  <si>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</si>
  <si>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</si>
  <si>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</si>
  <si>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</si>
  <si>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</si>
  <si>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</si>
  <si>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</si>
  <si>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</si>
  <si>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</si>
  <si>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</si>
  <si>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</si>
  <si>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</si>
  <si>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</si>
  <si>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</si>
  <si>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</si>
  <si>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</si>
  <si>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</si>
  <si>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</si>
  <si>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</si>
  <si>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</si>
  <si>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</si>
  <si>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</si>
  <si>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</si>
  <si>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</si>
  <si>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</si>
  <si>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</si>
  <si>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</si>
  <si>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</si>
  <si>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</si>
  <si>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</si>
  <si>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</si>
  <si>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</si>
  <si>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</si>
  <si>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</si>
  <si>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</si>
  <si>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</si>
  <si>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</si>
  <si>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</si>
  <si>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</si>
  <si>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</si>
  <si>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</si>
  <si>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</si>
  <si>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</si>
  <si>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</si>
  <si>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</si>
  <si>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</si>
  <si>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</si>
  <si>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</si>
  <si>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</si>
  <si>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</si>
  <si>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</si>
  <si>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</si>
  <si>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</si>
  <si>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</si>
  <si>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</si>
  <si>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</si>
  <si>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</si>
  <si>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</si>
  <si>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</si>
  <si>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</si>
  <si>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</si>
  <si>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</si>
  <si>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</si>
  <si>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</si>
  <si>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</si>
  <si>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</si>
  <si>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</si>
  <si>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</si>
  <si>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</si>
  <si>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</si>
  <si>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</si>
  <si>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</si>
  <si>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</si>
  <si>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</si>
  <si>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</si>
  <si>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</si>
  <si>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</si>
  <si>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</si>
  <si>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</si>
  <si>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</si>
  <si>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</si>
  <si>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</si>
  <si>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</si>
  <si>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</si>
  <si>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</si>
  <si>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</si>
  <si>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</si>
  <si>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</si>
  <si>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</si>
  <si>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</si>
  <si>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</si>
  <si>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</si>
  <si>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</si>
  <si>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</si>
  <si>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</si>
  <si>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</si>
  <si>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</si>
  <si>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</si>
  <si>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</si>
  <si>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</si>
  <si>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</si>
  <si>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</si>
  <si>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</si>
  <si>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</si>
  <si>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</si>
  <si>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</si>
  <si>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</si>
  <si>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</si>
  <si>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</si>
  <si>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</si>
  <si>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</si>
  <si>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</si>
  <si>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</si>
  <si>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</si>
  <si>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</si>
  <si>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</si>
  <si>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</si>
  <si>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</si>
  <si>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</si>
  <si>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</si>
  <si>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</si>
  <si>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</si>
  <si>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</si>
  <si>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</si>
  <si>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</si>
  <si>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</si>
  <si>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</si>
  <si>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</si>
  <si>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</si>
  <si>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</si>
  <si>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</si>
  <si>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</si>
  <si>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</si>
  <si>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</si>
  <si>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</si>
  <si>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</si>
  <si>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</si>
  <si>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</si>
  <si>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</si>
  <si>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</si>
  <si>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</si>
  <si>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</si>
  <si>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</si>
  <si>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</si>
  <si>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</si>
  <si>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</si>
  <si>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</si>
  <si>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</si>
  <si>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</si>
  <si>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</si>
  <si>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</si>
  <si>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</si>
  <si>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</si>
  <si>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</si>
  <si>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</si>
  <si>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</si>
  <si>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</si>
  <si>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</si>
  <si>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</si>
  <si>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</si>
  <si>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</si>
  <si>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</si>
  <si>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</si>
  <si>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</si>
  <si>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</si>
  <si>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</si>
  <si>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</si>
  <si>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</si>
  <si>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</si>
  <si>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</si>
  <si>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</si>
  <si>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</si>
  <si>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</si>
  <si>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</si>
  <si>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</si>
  <si>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</si>
  <si>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</si>
  <si>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</si>
  <si>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</si>
  <si>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</si>
  <si>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</si>
  <si>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</si>
  <si>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</si>
  <si>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</si>
  <si>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</si>
  <si>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</si>
  <si>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</si>
  <si>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</si>
  <si>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</si>
  <si>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</si>
  <si>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</si>
  <si>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</si>
  <si>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</si>
  <si>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</si>
  <si>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</si>
  <si>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</si>
  <si>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</si>
  <si>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</si>
  <si>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</si>
  <si>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</si>
  <si>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</si>
  <si>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</si>
  <si>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</si>
  <si>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</si>
  <si>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</si>
  <si>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</si>
  <si>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</si>
  <si>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</si>
  <si>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</si>
  <si>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</si>
  <si>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</si>
  <si>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</si>
  <si>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</si>
  <si>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</si>
  <si>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</si>
  <si>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</si>
  <si>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</si>
  <si>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</si>
  <si>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</si>
  <si>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</si>
  <si>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</si>
  <si>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</si>
  <si>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</si>
  <si>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</si>
  <si>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</si>
  <si>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</si>
  <si>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</si>
  <si>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</si>
  <si>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</si>
  <si>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</si>
  <si>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</si>
  <si>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</si>
  <si>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</si>
  <si>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</si>
  <si>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</si>
  <si>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</si>
  <si>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</si>
  <si>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</si>
  <si>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</si>
  <si>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</si>
  <si>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</si>
  <si>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</si>
  <si>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</si>
  <si>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</si>
  <si>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</si>
  <si>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</si>
  <si>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</si>
  <si>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</si>
  <si>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</si>
  <si>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</si>
  <si>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</si>
  <si>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</si>
  <si>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</si>
  <si>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</si>
  <si>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</si>
  <si>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</si>
  <si>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</si>
  <si>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</si>
  <si>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</si>
  <si>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</si>
  <si>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</si>
  <si>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</si>
  <si>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</si>
  <si>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</si>
  <si>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</si>
  <si>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</si>
  <si>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</si>
  <si>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</si>
  <si>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</si>
  <si>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</si>
  <si>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</si>
  <si>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</si>
  <si>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</si>
  <si>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</si>
  <si>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</si>
  <si>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</si>
  <si>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</si>
  <si>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</si>
  <si>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</si>
  <si>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</si>
  <si>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</si>
  <si>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</si>
  <si>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</si>
  <si>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</si>
  <si>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</si>
  <si>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</si>
  <si>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</si>
  <si>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</si>
  <si>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</si>
  <si>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</si>
  <si>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</si>
  <si>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</si>
  <si>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</si>
  <si>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</si>
  <si>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</si>
  <si>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</si>
  <si>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</si>
  <si>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</si>
  <si>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</si>
  <si>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</si>
  <si>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</si>
  <si>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</si>
  <si>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</si>
  <si>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</si>
  <si>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</si>
  <si>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</si>
  <si>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</si>
  <si>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</si>
  <si>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</si>
  <si>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</si>
  <si>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</si>
  <si>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</si>
  <si>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</si>
  <si>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</si>
  <si>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</si>
  <si>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</si>
  <si>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</si>
  <si>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</si>
  <si>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</si>
  <si>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</si>
  <si>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</si>
  <si>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</si>
  <si>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</si>
  <si>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</si>
  <si>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</si>
  <si>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</si>
  <si>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</si>
  <si>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</si>
  <si>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</si>
  <si>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</si>
  <si>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</si>
  <si>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</si>
  <si>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</si>
  <si>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</si>
  <si>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</si>
  <si>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</si>
  <si>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</si>
  <si>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</si>
  <si>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</si>
  <si>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</si>
  <si>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</si>
  <si>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</si>
  <si>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</si>
  <si>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</si>
  <si>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</si>
  <si>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</si>
  <si>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</si>
  <si>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</si>
  <si>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</si>
  <si>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</si>
  <si>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</si>
  <si>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</si>
  <si>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</si>
  <si>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</si>
  <si>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</si>
  <si>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</si>
  <si>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</si>
  <si>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</si>
  <si>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</si>
  <si>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</si>
  <si>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</si>
  <si>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</si>
  <si>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</si>
  <si>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</si>
  <si>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</si>
  <si>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</si>
  <si>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</si>
  <si>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</si>
  <si>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</si>
  <si>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</si>
  <si>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</si>
  <si>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</si>
  <si>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</si>
  <si>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</si>
  <si>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</si>
  <si>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</si>
  <si>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</si>
  <si>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</si>
  <si>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</si>
  <si>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</si>
  <si>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</si>
  <si>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</si>
  <si>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</si>
  <si>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</si>
  <si>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</si>
  <si>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</si>
  <si>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</si>
  <si>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</si>
  <si>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</si>
  <si>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</si>
  <si>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</si>
  <si>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</si>
  <si>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</si>
  <si>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</si>
  <si>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</si>
  <si>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</si>
  <si>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</si>
  <si>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</si>
  <si>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</si>
  <si>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</si>
  <si>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</si>
  <si>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</si>
  <si>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</si>
  <si>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</si>
  <si>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</si>
  <si>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</si>
  <si>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</si>
  <si>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</si>
  <si>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</si>
  <si>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</si>
  <si>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</si>
  <si>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</si>
  <si>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</si>
  <si>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</si>
  <si>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</si>
  <si>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</si>
  <si>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</si>
  <si>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</si>
  <si>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</si>
  <si>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</si>
  <si>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</si>
  <si>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</si>
  <si>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</si>
  <si>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</si>
  <si>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</si>
  <si>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</si>
  <si>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</si>
  <si>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</si>
  <si>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</si>
  <si>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</si>
  <si>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</si>
  <si>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</si>
  <si>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</si>
  <si>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</si>
  <si>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</si>
  <si>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</si>
  <si>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</si>
  <si>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</si>
  <si>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</si>
  <si>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</si>
  <si>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</si>
  <si>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</si>
  <si>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</si>
  <si>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</si>
  <si>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</si>
  <si>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</si>
  <si>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</si>
  <si>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</si>
  <si>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</si>
  <si>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</si>
  <si>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</si>
  <si>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</si>
  <si>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</si>
  <si>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</si>
  <si>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</si>
  <si>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</si>
  <si>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</si>
  <si>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</si>
  <si>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</si>
  <si>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</si>
  <si>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</si>
  <si>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</si>
  <si>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</si>
  <si>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</si>
  <si>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</si>
  <si>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</si>
  <si>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</si>
  <si>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</si>
  <si>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</si>
  <si>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</si>
  <si>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</si>
  <si>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</si>
  <si>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</si>
  <si>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</si>
  <si>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</si>
  <si>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</si>
  <si>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</si>
  <si>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</si>
  <si>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</si>
  <si>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</si>
  <si>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</si>
  <si>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</si>
  <si>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</si>
  <si>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</si>
  <si>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</si>
  <si>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</si>
  <si>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</si>
  <si>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</si>
  <si>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</si>
  <si>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</si>
  <si>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</si>
  <si>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</si>
  <si>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</si>
  <si>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</si>
  <si>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</si>
  <si>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</si>
  <si>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</si>
  <si>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</si>
  <si>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Brice Romera</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</si>
  <si>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</si>
  <si>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</si>
  <si>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</si>
  <si>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</si>
  <si>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</si>
  <si>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</si>
  <si>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</si>
  <si>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</si>
  <si>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</si>
  <si>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</si>
  <si>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</si>
  <si>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</si>
  <si>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</si>
  <si>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</si>
  <si>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</si>
  <si>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</si>
  <si>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</si>
  <si>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</si>
  <si>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</si>
  <si>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</si>
  <si>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</si>
  <si>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</si>
  <si>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</si>
  <si>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</si>
  <si>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</si>
  <si>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</si>
  <si>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</si>
  <si>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</si>
  <si>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</si>
  <si>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</si>
  <si>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Allis Wilmore</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</si>
  <si>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</si>
  <si>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</si>
  <si>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</si>
  <si>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</si>
  <si>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</si>
  <si>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</si>
  <si>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</si>
  <si>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</si>
  <si>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</si>
  <si>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</si>
  <si>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</si>
  <si>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</si>
  <si>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</si>
  <si>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</si>
  <si>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</si>
  <si>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</si>
  <si>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</si>
  <si>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</si>
  <si>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</si>
  <si>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</si>
  <si>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</si>
  <si>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</si>
  <si>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</si>
  <si>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</si>
  <si>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</si>
  <si>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</si>
  <si>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</si>
  <si>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</si>
  <si>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</si>
  <si>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</si>
  <si>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</si>
  <si>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</si>
  <si>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</si>
  <si>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</si>
  <si>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</si>
  <si>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</si>
  <si>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</si>
  <si>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</si>
  <si>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</si>
  <si>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</si>
  <si>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</si>
  <si>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</si>
  <si>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</si>
  <si>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</si>
  <si>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</si>
  <si>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</si>
  <si>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</si>
  <si>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</si>
  <si>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</si>
  <si>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</si>
  <si>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</si>
  <si>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</si>
  <si>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</si>
  <si>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</si>
  <si>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</si>
  <si>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</si>
  <si>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</si>
  <si>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</si>
  <si>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</si>
  <si>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</si>
  <si>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</si>
  <si>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</si>
  <si>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</si>
  <si>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</si>
  <si>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</si>
  <si>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</si>
  <si>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</si>
  <si>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</si>
  <si>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</si>
  <si>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</si>
  <si>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</si>
  <si>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</si>
  <si>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</si>
  <si>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</si>
  <si>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</si>
  <si>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</si>
  <si>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</si>
  <si>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</si>
  <si>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</si>
  <si>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</si>
  <si>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</si>
  <si>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</si>
  <si>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</si>
  <si>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</si>
  <si>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</si>
  <si>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</si>
  <si>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</si>
  <si>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</si>
  <si>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</si>
  <si>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</si>
  <si>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</si>
  <si>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</si>
  <si>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</si>
  <si>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</si>
  <si>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</si>
  <si>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</si>
  <si>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</si>
  <si>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</si>
  <si>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</si>
  <si>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</si>
  <si>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</si>
  <si>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</si>
  <si>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</si>
  <si>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</si>
  <si>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</si>
  <si>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</si>
  <si>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</si>
  <si>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</si>
  <si>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</si>
  <si>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</si>
  <si>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</si>
  <si>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</si>
  <si>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</si>
  <si>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</si>
  <si>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</si>
  <si>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</si>
  <si>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</si>
  <si>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</si>
  <si>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</si>
  <si>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</si>
  <si>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</si>
  <si>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</si>
  <si>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</si>
  <si>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</si>
  <si>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</si>
  <si>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</si>
  <si>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</si>
  <si>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</si>
  <si>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</si>
  <si>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</si>
  <si>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</si>
  <si>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</si>
  <si>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</si>
  <si>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</si>
  <si>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</si>
  <si>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</si>
  <si>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</si>
  <si>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</si>
  <si>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</si>
  <si>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</si>
  <si>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</si>
  <si>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</si>
  <si>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</si>
  <si>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</si>
  <si>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</si>
  <si>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</si>
  <si>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</si>
  <si>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</si>
  <si>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</si>
  <si>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</si>
  <si>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</si>
  <si>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</si>
  <si>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</si>
  <si>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</si>
  <si>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</si>
  <si>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</si>
  <si>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</si>
  <si>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</si>
  <si>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</si>
  <si>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</si>
  <si>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</si>
  <si>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</si>
  <si>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</si>
  <si>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</si>
  <si>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</si>
  <si>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</si>
  <si>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</si>
  <si>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</si>
  <si>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</si>
  <si>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</si>
  <si>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</si>
  <si>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</si>
  <si>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</si>
  <si>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</si>
  <si>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</si>
  <si>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</si>
  <si>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</si>
  <si>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</si>
  <si>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</si>
  <si>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</si>
  <si>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</si>
  <si>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</si>
  <si>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</si>
  <si>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</si>
  <si>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</si>
  <si>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</si>
  <si>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</si>
  <si>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</si>
  <si>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</si>
  <si>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</si>
  <si>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</si>
  <si>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</si>
  <si>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</si>
  <si>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</si>
  <si>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</si>
  <si>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</si>
  <si>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</si>
  <si>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</si>
  <si>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</si>
  <si>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</si>
  <si>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</si>
  <si>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</si>
  <si>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</si>
  <si>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</si>
  <si>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</si>
  <si>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</si>
  <si>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</si>
  <si>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</si>
  <si>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</si>
  <si>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</si>
  <si>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</si>
  <si>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</si>
  <si>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</si>
  <si>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</si>
  <si>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</si>
  <si>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</si>
  <si>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</si>
  <si>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</si>
  <si>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</si>
  <si>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</si>
  <si>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</si>
  <si>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</si>
  <si>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</si>
  <si>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</si>
  <si>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</si>
  <si>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</si>
  <si>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</si>
  <si>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</si>
  <si>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</si>
  <si>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</si>
  <si>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</si>
  <si>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</si>
  <si>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</si>
  <si>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</si>
  <si>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</si>
  <si>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</si>
  <si>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</si>
  <si>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</si>
  <si>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</si>
  <si>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</si>
  <si>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</si>
  <si>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</si>
  <si>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</si>
  <si>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</si>
  <si>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</si>
  <si>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</si>
  <si>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</si>
  <si>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</si>
  <si>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</si>
  <si>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</si>
  <si>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</si>
  <si>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</si>
  <si>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</si>
  <si>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</si>
  <si>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</si>
  <si>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</si>
  <si>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</si>
  <si>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</si>
  <si>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</si>
  <si>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</si>
  <si>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</si>
  <si>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</si>
  <si>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</si>
  <si>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</si>
  <si>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</si>
  <si>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</si>
  <si>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</si>
  <si>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</si>
  <si>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</si>
  <si>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</si>
  <si>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</si>
  <si>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</si>
  <si>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</si>
  <si>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</si>
  <si>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</si>
  <si>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</si>
  <si>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</si>
  <si>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</si>
  <si>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</si>
  <si>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</si>
  <si>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</si>
  <si>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</si>
  <si>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</si>
  <si>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</si>
  <si>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</si>
  <si>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</si>
  <si>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</si>
  <si>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</si>
  <si>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</si>
  <si>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</si>
  <si>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</si>
  <si>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</si>
  <si>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</si>
  <si>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</si>
  <si>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</si>
  <si>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</si>
  <si>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</si>
  <si>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</si>
  <si>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</si>
  <si>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</si>
  <si>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</si>
  <si>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</si>
  <si>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</si>
  <si>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</si>
  <si>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</si>
  <si>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</si>
  <si>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</si>
  <si>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</si>
  <si>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</si>
  <si>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</si>
  <si>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</si>
  <si>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</si>
  <si>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Derick Snow</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</si>
  <si>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</si>
  <si>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</si>
  <si>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</si>
  <si>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</si>
  <si>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</si>
  <si>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</si>
  <si>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</si>
  <si>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</si>
  <si>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</si>
  <si>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</si>
  <si>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</si>
  <si>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</si>
  <si>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</si>
  <si>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</si>
  <si>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</si>
  <si>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</si>
  <si>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</si>
  <si>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</si>
  <si>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</si>
  <si>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</si>
  <si>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</si>
  <si>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</si>
  <si>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</si>
  <si>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</si>
  <si>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</si>
  <si>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</si>
  <si>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</si>
  <si>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</si>
  <si>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</si>
  <si>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</si>
  <si>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</si>
  <si>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</si>
  <si>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</si>
  <si>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</si>
  <si>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</si>
  <si>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</si>
  <si>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</si>
  <si>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</si>
  <si>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</si>
  <si>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</si>
  <si>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</si>
  <si>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</si>
  <si>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</si>
  <si>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</si>
  <si>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</si>
  <si>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</si>
  <si>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</si>
  <si>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</si>
  <si>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</si>
  <si>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</si>
  <si>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</si>
  <si>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</si>
  <si>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</si>
  <si>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</si>
  <si>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</si>
  <si>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</si>
  <si>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</si>
  <si>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</si>
  <si>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</si>
  <si>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</si>
  <si>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</si>
  <si>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</si>
  <si>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</si>
  <si>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</si>
  <si>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</si>
  <si>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</si>
  <si>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</si>
  <si>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</si>
  <si>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</si>
  <si>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</si>
  <si>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</si>
  <si>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</si>
  <si>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</si>
  <si>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</si>
  <si>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</si>
  <si>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</si>
  <si>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</si>
  <si>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</si>
  <si>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</si>
  <si>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</si>
  <si>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</si>
  <si>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</si>
  <si>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</si>
  <si>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</si>
  <si>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</si>
  <si>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</si>
  <si>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</si>
  <si>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</si>
  <si>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</si>
  <si>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</si>
  <si>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</si>
  <si>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</si>
  <si>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</si>
  <si>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</si>
  <si>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</si>
  <si>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</si>
  <si>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</si>
  <si>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</si>
  <si>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</si>
  <si>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</si>
  <si>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</si>
  <si>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</si>
  <si>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</si>
  <si>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</si>
  <si>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</si>
  <si>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</si>
  <si>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</si>
  <si>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</si>
  <si>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</si>
  <si>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</si>
  <si>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</si>
  <si>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</si>
  <si>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</si>
  <si>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</si>
  <si>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</si>
  <si>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</si>
  <si>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</si>
  <si>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</si>
  <si>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</si>
  <si>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</si>
  <si>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</si>
  <si>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</si>
  <si>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</si>
  <si>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</si>
  <si>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</si>
  <si>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</si>
  <si>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</si>
  <si>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</si>
  <si>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</si>
  <si>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</si>
  <si>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</si>
  <si>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</si>
  <si>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</si>
  <si>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</si>
  <si>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</si>
  <si>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</si>
  <si>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</si>
  <si>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</si>
  <si>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</si>
  <si>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</si>
  <si>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</si>
  <si>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Brenn Dundredge</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</si>
  <si>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</si>
  <si>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</si>
  <si>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</si>
  <si>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</si>
  <si>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</si>
  <si>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</si>
  <si>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</si>
  <si>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</si>
  <si>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</si>
  <si>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</si>
  <si>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</si>
  <si>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</si>
  <si>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</si>
  <si>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</si>
  <si>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</si>
  <si>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</si>
  <si>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</si>
  <si>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</si>
  <si>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</si>
  <si>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</si>
  <si>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</si>
  <si>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</si>
  <si>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</si>
  <si>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</si>
  <si>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</si>
  <si>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</si>
  <si>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</si>
  <si>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</si>
  <si>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</si>
  <si>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</si>
  <si>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</si>
  <si>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</si>
  <si>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</si>
  <si>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</si>
  <si>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</si>
  <si>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</si>
  <si>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</si>
  <si>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</si>
  <si>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</si>
  <si>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</si>
  <si>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</si>
  <si>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</si>
  <si>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</si>
  <si>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</si>
  <si>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</si>
  <si>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</si>
  <si>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</si>
  <si>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</si>
  <si>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</si>
  <si>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</si>
  <si>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</si>
  <si>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</si>
  <si>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</si>
  <si>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</si>
  <si>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</si>
  <si>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</si>
  <si>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</si>
  <si>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</si>
  <si>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</si>
  <si>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</si>
  <si>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</si>
  <si>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</si>
  <si>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</si>
  <si>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</si>
  <si>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</si>
  <si>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</si>
  <si>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</si>
  <si>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</si>
  <si>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</si>
  <si>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</si>
  <si>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</si>
  <si>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</si>
  <si>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</si>
  <si>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</si>
  <si>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</si>
  <si>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</si>
  <si>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</si>
  <si>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</si>
  <si>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</si>
  <si>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</si>
  <si>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</si>
  <si>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</si>
  <si>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</si>
  <si>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</si>
  <si>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</si>
  <si>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</si>
  <si>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</si>
  <si>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</si>
  <si>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</si>
  <si>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</si>
  <si>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</si>
  <si>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</si>
  <si>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</si>
  <si>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</si>
  <si>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</si>
  <si>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</si>
  <si>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</si>
  <si>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</si>
  <si>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</si>
  <si>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</si>
  <si>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</si>
  <si>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</si>
  <si>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</si>
  <si>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</si>
  <si>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</si>
  <si>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</si>
  <si>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</si>
  <si>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</si>
  <si>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</si>
  <si>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</si>
  <si>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</si>
  <si>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</si>
  <si>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</si>
  <si>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</si>
  <si>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</si>
  <si>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</si>
  <si>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</si>
  <si>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</si>
  <si>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</si>
  <si>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</si>
  <si>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</si>
  <si>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</si>
  <si>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</si>
  <si>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</si>
  <si>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</si>
  <si>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</si>
  <si>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</si>
  <si>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</si>
  <si>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</si>
  <si>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</si>
  <si>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</si>
  <si>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</si>
  <si>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</si>
  <si>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</si>
  <si>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</si>
  <si>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</si>
  <si>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</si>
  <si>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</si>
  <si>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</si>
  <si>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</si>
  <si>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</si>
  <si>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</si>
  <si>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</si>
  <si>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</si>
  <si>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</si>
  <si>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</si>
  <si>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</si>
  <si>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</si>
  <si>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</si>
  <si>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</si>
  <si>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</si>
  <si>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</si>
  <si>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</si>
  <si>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</si>
  <si>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</si>
  <si>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</si>
  <si>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</si>
  <si>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</si>
  <si>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</si>
  <si>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</si>
  <si>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</si>
  <si>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</si>
  <si>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</si>
  <si>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</si>
  <si>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</si>
  <si>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</si>
  <si>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</si>
  <si>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</si>
  <si>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</si>
  <si>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</si>
  <si>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</si>
  <si>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</si>
  <si>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</si>
  <si>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</si>
  <si>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</si>
  <si>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</si>
  <si>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</si>
  <si>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</si>
  <si>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</si>
  <si>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</si>
  <si>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</si>
  <si>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</si>
  <si>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</si>
  <si>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</si>
  <si>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</si>
  <si>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</si>
  <si>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</si>
  <si>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</si>
  <si>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</si>
  <si>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</si>
  <si>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</si>
  <si>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</si>
  <si>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</si>
  <si>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</si>
  <si>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</si>
  <si>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</si>
  <si>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</si>
  <si>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</si>
  <si>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</si>
  <si>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</si>
  <si>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</si>
  <si>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</si>
  <si>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</si>
  <si>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</si>
  <si>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</si>
  <si>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</si>
  <si>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</si>
  <si>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</si>
  <si>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</si>
  <si>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</si>
  <si>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</si>
  <si>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</si>
  <si>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</si>
  <si>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</si>
  <si>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</si>
  <si>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</si>
  <si>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</si>
  <si>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</si>
  <si>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</si>
  <si>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</si>
  <si>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</si>
  <si>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</si>
  <si>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</si>
  <si>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</si>
  <si>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</si>
  <si>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</si>
  <si>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</si>
  <si>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</si>
  <si>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</si>
  <si>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</si>
  <si>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</si>
  <si>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</si>
  <si>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</si>
  <si>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</si>
  <si>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</si>
  <si>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</si>
  <si>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</si>
  <si>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</si>
  <si>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</si>
  <si>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</si>
  <si>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</si>
  <si>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</si>
  <si>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</si>
  <si>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</si>
  <si>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</si>
  <si>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</si>
  <si>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</si>
  <si>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</si>
  <si>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</si>
  <si>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</si>
  <si>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</si>
  <si>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</si>
  <si>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</si>
  <si>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</si>
  <si>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</si>
  <si>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</si>
  <si>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</si>
  <si>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</si>
  <si>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</si>
  <si>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</si>
  <si>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</si>
  <si>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</si>
  <si>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</si>
  <si>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</si>
  <si>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</si>
  <si>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</si>
  <si>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</si>
  <si>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</si>
  <si>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</si>
  <si>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</si>
  <si>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</si>
  <si>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</si>
  <si>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</si>
  <si>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</si>
  <si>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Price per 100g</t>
  </si>
  <si>
    <t>Profit</t>
  </si>
  <si>
    <t>Ara</t>
  </si>
  <si>
    <t>L</t>
  </si>
  <si>
    <t>M</t>
  </si>
  <si>
    <t>D</t>
  </si>
  <si>
    <t>Rob</t>
  </si>
  <si>
    <t>Lib</t>
  </si>
  <si>
    <t>Exc</t>
  </si>
  <si>
    <t>Arabica</t>
  </si>
  <si>
    <t>Robusta</t>
  </si>
  <si>
    <t>Liberica</t>
  </si>
  <si>
    <t>Excelsa</t>
  </si>
  <si>
    <t>Light</t>
  </si>
  <si>
    <t>Medium</t>
  </si>
  <si>
    <t>Dark</t>
  </si>
  <si>
    <t>YEAR</t>
  </si>
  <si>
    <t>MONTH</t>
  </si>
  <si>
    <t>DAY</t>
  </si>
  <si>
    <t>CUSTOMER NAME</t>
  </si>
  <si>
    <t>EMAIL</t>
  </si>
  <si>
    <t>PHONE NUMBER</t>
  </si>
  <si>
    <t>CITY</t>
  </si>
  <si>
    <t>COUNTRY</t>
  </si>
  <si>
    <t>LOYALTY CARD</t>
  </si>
  <si>
    <t>COFFEE TYPE</t>
  </si>
  <si>
    <t>ROAST  TYPE</t>
  </si>
  <si>
    <t>PROFIT</t>
  </si>
  <si>
    <t>TOTAL PROFIT</t>
  </si>
  <si>
    <t>PROFIT MARGINE</t>
  </si>
  <si>
    <t>Row Labels</t>
  </si>
  <si>
    <t>Grand Total</t>
  </si>
  <si>
    <t>Column Labels</t>
  </si>
  <si>
    <t>Sum of Quantity</t>
  </si>
  <si>
    <t>Sum of Sales</t>
  </si>
  <si>
    <t>2019</t>
  </si>
  <si>
    <t>May</t>
  </si>
  <si>
    <t>2020</t>
  </si>
  <si>
    <t>2021</t>
  </si>
  <si>
    <t>2022</t>
  </si>
  <si>
    <t>Count of Customer ID</t>
  </si>
  <si>
    <t>Count of CUSTOMER NAME</t>
  </si>
  <si>
    <t>January</t>
  </si>
  <si>
    <t>February</t>
  </si>
  <si>
    <t>March</t>
  </si>
  <si>
    <t>April</t>
  </si>
  <si>
    <t>June</t>
  </si>
  <si>
    <t>July</t>
  </si>
  <si>
    <t>August</t>
  </si>
  <si>
    <t>September</t>
  </si>
  <si>
    <t>October</t>
  </si>
  <si>
    <t>November</t>
  </si>
  <si>
    <t>December</t>
  </si>
  <si>
    <t>(blank)</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</si>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</sst>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d/mmm/yyyy"/>
    <numFmt numFmtId="165" formatCode="0.00\ &quot;Kg&quot;"/>
    <numFmt numFmtId="166" formatCode="&quot;$&quot;#,##0.00"/>
    <numFmt numFmtId="167" formatCode="0.0"/>
  </numFmts>
  <fonts count="4" x14ac:knownFonts="1">
    <font>
      <sz val="11"/>
      <color theme="1"/>
      <name val="Calibri"/>
      <family val="2"/>
      <scheme val="minor"/>
    </font>
    <font>
      <sz val="11"/>
      <color indexed="8"/>
      <name val="Calibri"/>
      <family val="2"/>
    </font>
    <font>
      <b/>
      <sz val="11"/>
      <color indexed="8"/>
      <name val="Calibri"/>
      <family val="2"/>
    </font>
    <font>
      <b/>
      <sz val="11"/>
      <color theme="1"/>
      <name val="Calibri"/>
      <family val="2"/>
      <scheme val="minor"/>
    </font>
  </fonts>
  <fills count="5">
    <fill>
      <patternFill patternType="none"/>
    </fill>
    <fill>
      <patternFill patternType="gray125"/>
    </fill>
    <fill>
      <patternFill patternType="solid">
        <fgColor theme="4"/>
        <bgColor theme="4"/>
      </patternFill>
    </fill>
    <fill>
      <patternFill patternType="solid">
        <fgColor theme="4" tint="-0.249977111117893"/>
        <bgColor indexed="64"/>
      </patternFill>
    </fill>
    <fill>
      <patternFill patternType="solid">
        <fgColor theme="0" tint="-0.34998626667073579"/>
        <bgColor indexed="64"/>
      </patternFill>
    </fill>
  </fills>
  <borders count="5">
    <border>
      <left/>
      <right/>
      <top/>
      <bottom/>
      <diagonal/>
    </border>
    <border>
      <left style="thin">
        <color theme="4"/>
      </left>
      <right/>
      <top style="thin">
        <color theme="4"/>
      </top>
      <bottom/>
      <diagonal/>
    </border>
    <border>
      <left/>
      <right/>
      <top style="thin">
        <color theme="4"/>
      </top>
      <bottom/>
      <diagonal/>
    </border>
    <border>
      <left style="thin">
        <color theme="4"/>
      </left>
      <right/>
      <top style="thin">
        <color theme="4"/>
      </top>
      <bottom style="thin">
        <color theme="4"/>
      </bottom>
      <diagonal/>
    </border>
    <border>
      <left/>
      <right/>
      <top style="thin">
        <color theme="4"/>
      </top>
      <bottom style="thin">
        <color theme="4"/>
      </bottom>
      <diagonal/>
    </border>
  </borders>
  <cellStyleXfs count="1">
    <xf numFmtId="0" fontId="0" fillId="0" borderId="0"/>
  </cellStyleXfs>
  <cellXfs count="28">
    <xf numFmtId="0" fontId="0" fillId="0" borderId="0" xfId="0"/>
    <xf numFmtId="0" fontId="1" fillId="0" borderId="1" xfId="0" applyFont="1" applyBorder="1" applyAlignment="1">
      <alignment vertical="center"/>
    </xf>
    <xf numFmtId="164" fontId="1" fillId="0" borderId="2" xfId="0" applyNumberFormat="1" applyFont="1" applyBorder="1" applyAlignment="1">
      <alignment vertical="center"/>
    </xf>
    <xf numFmtId="0" fontId="1" fillId="0" borderId="2" xfId="0" applyFont="1" applyBorder="1" applyAlignment="1">
      <alignment vertical="center"/>
    </xf>
    <xf numFmtId="0" fontId="0" fillId="0" borderId="2" xfId="0" applyBorder="1"/>
    <xf numFmtId="165" fontId="0" fillId="0" borderId="2" xfId="0" applyNumberFormat="1" applyBorder="1"/>
    <xf numFmtId="166" fontId="0" fillId="0" borderId="2" xfId="0" applyNumberFormat="1" applyBorder="1"/>
    <xf numFmtId="0" fontId="1" fillId="0" borderId="3" xfId="0" applyFont="1" applyBorder="1" applyAlignment="1">
      <alignment vertical="center"/>
    </xf>
    <xf numFmtId="164" fontId="1" fillId="0" borderId="4" xfId="0" applyNumberFormat="1" applyFont="1" applyBorder="1" applyAlignment="1">
      <alignment vertical="center"/>
    </xf>
    <xf numFmtId="0" fontId="1" fillId="0" borderId="4" xfId="0" applyFont="1" applyBorder="1" applyAlignment="1">
      <alignment vertical="center"/>
    </xf>
    <xf numFmtId="0" fontId="0" fillId="0" borderId="4" xfId="0" applyBorder="1"/>
    <xf numFmtId="165" fontId="0" fillId="0" borderId="4" xfId="0" applyNumberFormat="1" applyBorder="1"/>
    <xf numFmtId="166" fontId="0" fillId="0" borderId="4" xfId="0" applyNumberFormat="1" applyBorder="1"/>
    <xf numFmtId="0" fontId="2" fillId="2" borderId="1" xfId="0" applyFont="1" applyFill="1" applyBorder="1" applyAlignment="1">
      <alignment vertical="center"/>
    </xf>
    <xf numFmtId="164" fontId="2" fillId="2" borderId="2" xfId="0" applyNumberFormat="1" applyFont="1" applyFill="1" applyBorder="1" applyAlignment="1">
      <alignment vertical="center"/>
    </xf>
    <xf numFmtId="0" fontId="2" fillId="2" borderId="2" xfId="0" applyFont="1" applyFill="1" applyBorder="1" applyAlignment="1">
      <alignment vertical="center"/>
    </xf>
    <xf numFmtId="4" fontId="2" fillId="2" borderId="2" xfId="0" applyNumberFormat="1" applyFont="1" applyFill="1" applyBorder="1" applyAlignment="1">
      <alignment vertical="center"/>
    </xf>
    <xf numFmtId="0" fontId="1" fillId="0" borderId="0" xfId="0" applyFont="1" applyAlignment="1">
      <alignment vertical="center"/>
    </xf>
    <xf numFmtId="167" fontId="0" fillId="0" borderId="0" xfId="0" applyNumberFormat="1"/>
    <xf numFmtId="0" fontId="1" fillId="3" borderId="2" xfId="0" applyFont="1" applyFill="1" applyBorder="1" applyAlignment="1">
      <alignment vertical="center"/>
    </xf>
    <xf numFmtId="0" fontId="3" fillId="0" borderId="0" xfId="0" applyFont="1"/>
    <xf numFmtId="0" fontId="2" fillId="2" borderId="0" xfId="0" applyFont="1" applyFill="1" applyAlignment="1">
      <alignment vertical="center"/>
    </xf>
    <xf numFmtId="166"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4" borderId="0" xfId="0" applyFill="1"/>
    <xf numFmtId="0" fontId="0" fillId="0" borderId="0" xfId="0" applyNumberFormat="1"/>
  </cellXfs>
  <cellStyles count="1">
    <cellStyle name="Normal" xfId="0" builtinId="0"/>
  </cellStyles>
  <dxfs count="2">
    <dxf>
      <fill>
        <patternFill>
          <bgColor theme="0" tint="-0.14996795556505021"/>
        </patternFill>
      </fill>
    </dxf>
    <dxf>
      <fill>
        <patternFill>
          <bgColor theme="0" tint="-0.24994659260841701"/>
        </patternFill>
      </fill>
    </dxf>
  </dxfs>
  <tableStyles count="1" defaultTableStyle="TableStyleMedium2" defaultPivotStyle="PivotStyleLight16">
    <tableStyle name="Slicer Style 1" pivot="0" table="0" count="6" xr9:uid="{EA178C47-0468-4F60-B9D1-8CD3E116F0ED}">
      <tableStyleElement type="wholeTable" dxfId="1"/>
      <tableStyleElement type="headerRow" dxfId="0"/>
    </tableStyle>
  </tableStyles>
  <colors>
    <mruColors>
      <color rgb="FF0D74B3"/>
    </mruColors>
  </colors>
  <extLst>
    <ext xmlns:x14="http://schemas.microsoft.com/office/spreadsheetml/2009/9/main" uri="{46F421CA-312F-682f-3DD2-61675219B42D}">
      <x14:dxfs count="4">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(Recovered).xlsx]Sheet2!PivotTable2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Sheet2!$B$3:$B$4</c:f>
              <c:strCache>
                <c:ptCount val="1"/>
                <c:pt idx="0">
                  <c:v>2019</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Sheet2!$A$5:$A$10</c:f>
              <c:strCache>
                <c:ptCount val="5"/>
                <c:pt idx="0">
                  <c:v>Arabica</c:v>
                </c:pt>
                <c:pt idx="1">
                  <c:v>Excelsa</c:v>
                </c:pt>
                <c:pt idx="2">
                  <c:v>Liberica</c:v>
                </c:pt>
                <c:pt idx="3">
                  <c:v>Robusta</c:v>
                </c:pt>
                <c:pt idx="4">
                  <c:v>(blank)</c:v>
                </c:pt>
              </c:strCache>
            </c:strRef>
          </c:cat>
          <c:val>
            <c:numRef>
              <c:f>Sheet2!$B$5:$B$10</c:f>
              <c:numCache>
                <c:formatCode>General</c:formatCode>
                <c:ptCount val="5"/>
                <c:pt idx="0">
                  <c:v>2926.63</c:v>
                </c:pt>
                <c:pt idx="1">
                  <c:v>3481.46</c:v>
                </c:pt>
                <c:pt idx="2">
                  <c:v>3378.0049999999987</c:v>
                </c:pt>
                <c:pt idx="3">
                  <c:v>2401.0700000000006</c:v>
                </c:pt>
              </c:numCache>
            </c:numRef>
          </c:val>
          <c:extLst>
            <c:ext xmlns:c16="http://schemas.microsoft.com/office/drawing/2014/chart" uri="{C3380CC4-5D6E-409C-BE32-E72D297353CC}">
              <c16:uniqueId val="{00000000-406C-44A4-9EA2-CBDCA921A77F}"/>
            </c:ext>
          </c:extLst>
        </c:ser>
        <c:ser>
          <c:idx val="1"/>
          <c:order val="1"/>
          <c:tx>
            <c:strRef>
              <c:f>Sheet2!$C$3:$C$4</c:f>
              <c:strCache>
                <c:ptCount val="1"/>
                <c:pt idx="0">
                  <c:v>2020</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Sheet2!$A$5:$A$10</c:f>
              <c:strCache>
                <c:ptCount val="5"/>
                <c:pt idx="0">
                  <c:v>Arabica</c:v>
                </c:pt>
                <c:pt idx="1">
                  <c:v>Excelsa</c:v>
                </c:pt>
                <c:pt idx="2">
                  <c:v>Liberica</c:v>
                </c:pt>
                <c:pt idx="3">
                  <c:v>Robusta</c:v>
                </c:pt>
                <c:pt idx="4">
                  <c:v>(blank)</c:v>
                </c:pt>
              </c:strCache>
            </c:strRef>
          </c:cat>
          <c:val>
            <c:numRef>
              <c:f>Sheet2!$C$5:$C$10</c:f>
              <c:numCache>
                <c:formatCode>General</c:formatCode>
                <c:ptCount val="5"/>
                <c:pt idx="0">
                  <c:v>3356.415</c:v>
                </c:pt>
                <c:pt idx="1">
                  <c:v>3663.4100000000008</c:v>
                </c:pt>
                <c:pt idx="2">
                  <c:v>2604.4550000000004</c:v>
                </c:pt>
                <c:pt idx="3">
                  <c:v>2493.2649999999994</c:v>
                </c:pt>
              </c:numCache>
            </c:numRef>
          </c:val>
          <c:extLst>
            <c:ext xmlns:c16="http://schemas.microsoft.com/office/drawing/2014/chart" uri="{C3380CC4-5D6E-409C-BE32-E72D297353CC}">
              <c16:uniqueId val="{00000000-CD6F-43C3-8AEE-9ACDC02F5B74}"/>
            </c:ext>
          </c:extLst>
        </c:ser>
        <c:ser>
          <c:idx val="2"/>
          <c:order val="2"/>
          <c:tx>
            <c:strRef>
              <c:f>Sheet2!$D$3:$D$4</c:f>
              <c:strCache>
                <c:ptCount val="1"/>
                <c:pt idx="0">
                  <c:v>2021</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Sheet2!$A$5:$A$10</c:f>
              <c:strCache>
                <c:ptCount val="5"/>
                <c:pt idx="0">
                  <c:v>Arabica</c:v>
                </c:pt>
                <c:pt idx="1">
                  <c:v>Excelsa</c:v>
                </c:pt>
                <c:pt idx="2">
                  <c:v>Liberica</c:v>
                </c:pt>
                <c:pt idx="3">
                  <c:v>Robusta</c:v>
                </c:pt>
                <c:pt idx="4">
                  <c:v>(blank)</c:v>
                </c:pt>
              </c:strCache>
            </c:strRef>
          </c:cat>
          <c:val>
            <c:numRef>
              <c:f>Sheet2!$D$5:$D$10</c:f>
              <c:numCache>
                <c:formatCode>General</c:formatCode>
                <c:ptCount val="5"/>
                <c:pt idx="0">
                  <c:v>4045.6299999999992</c:v>
                </c:pt>
                <c:pt idx="1">
                  <c:v>3469.6399999999994</c:v>
                </c:pt>
                <c:pt idx="2">
                  <c:v>3836.6950000000011</c:v>
                </c:pt>
                <c:pt idx="3">
                  <c:v>2414.1449999999995</c:v>
                </c:pt>
              </c:numCache>
            </c:numRef>
          </c:val>
          <c:extLst>
            <c:ext xmlns:c16="http://schemas.microsoft.com/office/drawing/2014/chart" uri="{C3380CC4-5D6E-409C-BE32-E72D297353CC}">
              <c16:uniqueId val="{00000001-CD6F-43C3-8AEE-9ACDC02F5B74}"/>
            </c:ext>
          </c:extLst>
        </c:ser>
        <c:ser>
          <c:idx val="3"/>
          <c:order val="3"/>
          <c:tx>
            <c:strRef>
              <c:f>Sheet2!$E$3:$E$4</c:f>
              <c:strCache>
                <c:ptCount val="1"/>
                <c:pt idx="0">
                  <c:v>2022</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Sheet2!$A$5:$A$10</c:f>
              <c:strCache>
                <c:ptCount val="5"/>
                <c:pt idx="0">
                  <c:v>Arabica</c:v>
                </c:pt>
                <c:pt idx="1">
                  <c:v>Excelsa</c:v>
                </c:pt>
                <c:pt idx="2">
                  <c:v>Liberica</c:v>
                </c:pt>
                <c:pt idx="3">
                  <c:v>Robusta</c:v>
                </c:pt>
                <c:pt idx="4">
                  <c:v>(blank)</c:v>
                </c:pt>
              </c:strCache>
            </c:strRef>
          </c:cat>
          <c:val>
            <c:numRef>
              <c:f>Sheet2!$E$5:$E$10</c:f>
              <c:numCache>
                <c:formatCode>General</c:formatCode>
                <c:ptCount val="5"/>
                <c:pt idx="0">
                  <c:v>1439.82</c:v>
                </c:pt>
                <c:pt idx="1">
                  <c:v>1691.9299999999996</c:v>
                </c:pt>
                <c:pt idx="2">
                  <c:v>2234.92</c:v>
                </c:pt>
                <c:pt idx="3">
                  <c:v>1696.7650000000001</c:v>
                </c:pt>
              </c:numCache>
            </c:numRef>
          </c:val>
          <c:extLst>
            <c:ext xmlns:c16="http://schemas.microsoft.com/office/drawing/2014/chart" uri="{C3380CC4-5D6E-409C-BE32-E72D297353CC}">
              <c16:uniqueId val="{00000002-CD6F-43C3-8AEE-9ACDC02F5B74}"/>
            </c:ext>
          </c:extLst>
        </c:ser>
        <c:ser>
          <c:idx val="4"/>
          <c:order val="4"/>
          <c:tx>
            <c:strRef>
              <c:f>Sheet2!$F$3:$F$4</c:f>
              <c:strCache>
                <c:ptCount val="1"/>
                <c:pt idx="0">
                  <c:v>(blank)</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Sheet2!$A$5:$A$10</c:f>
              <c:strCache>
                <c:ptCount val="5"/>
                <c:pt idx="0">
                  <c:v>Arabica</c:v>
                </c:pt>
                <c:pt idx="1">
                  <c:v>Excelsa</c:v>
                </c:pt>
                <c:pt idx="2">
                  <c:v>Liberica</c:v>
                </c:pt>
                <c:pt idx="3">
                  <c:v>Robusta</c:v>
                </c:pt>
                <c:pt idx="4">
                  <c:v>(blank)</c:v>
                </c:pt>
              </c:strCache>
            </c:strRef>
          </c:cat>
          <c:val>
            <c:numRef>
              <c:f>Sheet2!$F$5:$F$10</c:f>
              <c:numCache>
                <c:formatCode>General</c:formatCode>
                <c:ptCount val="5"/>
              </c:numCache>
            </c:numRef>
          </c:val>
          <c:extLst>
            <c:ext xmlns:c16="http://schemas.microsoft.com/office/drawing/2014/chart" uri="{C3380CC4-5D6E-409C-BE32-E72D297353CC}">
              <c16:uniqueId val="{00000004-CD6F-43C3-8AEE-9ACDC02F5B74}"/>
            </c:ext>
          </c:extLst>
        </c:ser>
        <c:dLbls>
          <c:showLegendKey val="0"/>
          <c:showVal val="0"/>
          <c:showCatName val="0"/>
          <c:showSerName val="0"/>
          <c:showPercent val="0"/>
          <c:showBubbleSize val="0"/>
        </c:dLbls>
        <c:gapWidth val="150"/>
        <c:shape val="box"/>
        <c:axId val="554221072"/>
        <c:axId val="554225648"/>
        <c:axId val="0"/>
      </c:bar3DChart>
      <c:catAx>
        <c:axId val="5542210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4225648"/>
        <c:crosses val="autoZero"/>
        <c:auto val="1"/>
        <c:lblAlgn val="ctr"/>
        <c:lblOffset val="100"/>
        <c:noMultiLvlLbl val="0"/>
      </c:catAx>
      <c:valAx>
        <c:axId val="55422564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4221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(Recovered).xlsx]Sheet2!PivotTable3</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5366022429014554"/>
          <c:y val="0.16564596092155148"/>
          <c:w val="0.47992563429571305"/>
          <c:h val="0.75010279965004378"/>
        </c:manualLayout>
      </c:layout>
      <c:bar3DChart>
        <c:barDir val="bar"/>
        <c:grouping val="clustered"/>
        <c:varyColors val="0"/>
        <c:ser>
          <c:idx val="0"/>
          <c:order val="0"/>
          <c:tx>
            <c:strRef>
              <c:f>Sheet2!$B$13:$B$14</c:f>
              <c:strCache>
                <c:ptCount val="1"/>
                <c:pt idx="0">
                  <c:v>2019</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Sheet2!$A$15:$A$18</c:f>
              <c:strCache>
                <c:ptCount val="3"/>
                <c:pt idx="0">
                  <c:v>Ireland</c:v>
                </c:pt>
                <c:pt idx="1">
                  <c:v>United Kingdom</c:v>
                </c:pt>
                <c:pt idx="2">
                  <c:v>United States</c:v>
                </c:pt>
              </c:strCache>
            </c:strRef>
          </c:cat>
          <c:val>
            <c:numRef>
              <c:f>Sheet2!$B$15:$B$18</c:f>
              <c:numCache>
                <c:formatCode>General</c:formatCode>
                <c:ptCount val="3"/>
                <c:pt idx="0">
                  <c:v>1781.0750000000003</c:v>
                </c:pt>
                <c:pt idx="1">
                  <c:v>951.28</c:v>
                </c:pt>
                <c:pt idx="2">
                  <c:v>9454.8099999999977</c:v>
                </c:pt>
              </c:numCache>
            </c:numRef>
          </c:val>
          <c:extLst>
            <c:ext xmlns:c16="http://schemas.microsoft.com/office/drawing/2014/chart" uri="{C3380CC4-5D6E-409C-BE32-E72D297353CC}">
              <c16:uniqueId val="{00000000-E6D5-4224-A5DD-F6D01987B92B}"/>
            </c:ext>
          </c:extLst>
        </c:ser>
        <c:ser>
          <c:idx val="1"/>
          <c:order val="1"/>
          <c:tx>
            <c:strRef>
              <c:f>Sheet2!$C$13:$C$14</c:f>
              <c:strCache>
                <c:ptCount val="1"/>
                <c:pt idx="0">
                  <c:v>2020</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Sheet2!$A$15:$A$18</c:f>
              <c:strCache>
                <c:ptCount val="3"/>
                <c:pt idx="0">
                  <c:v>Ireland</c:v>
                </c:pt>
                <c:pt idx="1">
                  <c:v>United Kingdom</c:v>
                </c:pt>
                <c:pt idx="2">
                  <c:v>United States</c:v>
                </c:pt>
              </c:strCache>
            </c:strRef>
          </c:cat>
          <c:val>
            <c:numRef>
              <c:f>Sheet2!$C$15:$C$18</c:f>
              <c:numCache>
                <c:formatCode>General</c:formatCode>
                <c:ptCount val="3"/>
                <c:pt idx="0">
                  <c:v>1674.8649999999996</c:v>
                </c:pt>
                <c:pt idx="1">
                  <c:v>1074.32</c:v>
                </c:pt>
                <c:pt idx="2">
                  <c:v>9368.3599999999988</c:v>
                </c:pt>
              </c:numCache>
            </c:numRef>
          </c:val>
          <c:extLst>
            <c:ext xmlns:c16="http://schemas.microsoft.com/office/drawing/2014/chart" uri="{C3380CC4-5D6E-409C-BE32-E72D297353CC}">
              <c16:uniqueId val="{00000001-E6D5-4224-A5DD-F6D01987B92B}"/>
            </c:ext>
          </c:extLst>
        </c:ser>
        <c:ser>
          <c:idx val="2"/>
          <c:order val="2"/>
          <c:tx>
            <c:strRef>
              <c:f>Sheet2!$D$13:$D$14</c:f>
              <c:strCache>
                <c:ptCount val="1"/>
                <c:pt idx="0">
                  <c:v>2021</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Sheet2!$A$15:$A$18</c:f>
              <c:strCache>
                <c:ptCount val="3"/>
                <c:pt idx="0">
                  <c:v>Ireland</c:v>
                </c:pt>
                <c:pt idx="1">
                  <c:v>United Kingdom</c:v>
                </c:pt>
                <c:pt idx="2">
                  <c:v>United States</c:v>
                </c:pt>
              </c:strCache>
            </c:strRef>
          </c:cat>
          <c:val>
            <c:numRef>
              <c:f>Sheet2!$D$15:$D$18</c:f>
              <c:numCache>
                <c:formatCode>General</c:formatCode>
                <c:ptCount val="3"/>
                <c:pt idx="0">
                  <c:v>2032.4549999999995</c:v>
                </c:pt>
                <c:pt idx="1">
                  <c:v>643.04499999999996</c:v>
                </c:pt>
                <c:pt idx="2">
                  <c:v>11090.61</c:v>
                </c:pt>
              </c:numCache>
            </c:numRef>
          </c:val>
          <c:extLst>
            <c:ext xmlns:c16="http://schemas.microsoft.com/office/drawing/2014/chart" uri="{C3380CC4-5D6E-409C-BE32-E72D297353CC}">
              <c16:uniqueId val="{00000002-E6D5-4224-A5DD-F6D01987B92B}"/>
            </c:ext>
          </c:extLst>
        </c:ser>
        <c:ser>
          <c:idx val="3"/>
          <c:order val="3"/>
          <c:tx>
            <c:strRef>
              <c:f>Sheet2!$E$13:$E$14</c:f>
              <c:strCache>
                <c:ptCount val="1"/>
                <c:pt idx="0">
                  <c:v>2022</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Sheet2!$A$15:$A$18</c:f>
              <c:strCache>
                <c:ptCount val="3"/>
                <c:pt idx="0">
                  <c:v>Ireland</c:v>
                </c:pt>
                <c:pt idx="1">
                  <c:v>United Kingdom</c:v>
                </c:pt>
                <c:pt idx="2">
                  <c:v>United States</c:v>
                </c:pt>
              </c:strCache>
            </c:strRef>
          </c:cat>
          <c:val>
            <c:numRef>
              <c:f>Sheet2!$E$15:$E$18</c:f>
              <c:numCache>
                <c:formatCode>General</c:formatCode>
                <c:ptCount val="3"/>
                <c:pt idx="0">
                  <c:v>1208.47</c:v>
                </c:pt>
                <c:pt idx="1">
                  <c:v>129.85999999999999</c:v>
                </c:pt>
                <c:pt idx="2">
                  <c:v>5725.1050000000041</c:v>
                </c:pt>
              </c:numCache>
            </c:numRef>
          </c:val>
          <c:extLst>
            <c:ext xmlns:c16="http://schemas.microsoft.com/office/drawing/2014/chart" uri="{C3380CC4-5D6E-409C-BE32-E72D297353CC}">
              <c16:uniqueId val="{00000003-E6D5-4224-A5DD-F6D01987B92B}"/>
            </c:ext>
          </c:extLst>
        </c:ser>
        <c:dLbls>
          <c:showLegendKey val="0"/>
          <c:showVal val="0"/>
          <c:showCatName val="0"/>
          <c:showSerName val="0"/>
          <c:showPercent val="0"/>
          <c:showBubbleSize val="0"/>
        </c:dLbls>
        <c:gapWidth val="150"/>
        <c:shape val="box"/>
        <c:axId val="556967040"/>
        <c:axId val="556958304"/>
        <c:axId val="0"/>
      </c:bar3DChart>
      <c:catAx>
        <c:axId val="5569670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6958304"/>
        <c:crosses val="autoZero"/>
        <c:auto val="1"/>
        <c:lblAlgn val="ctr"/>
        <c:lblOffset val="100"/>
        <c:noMultiLvlLbl val="0"/>
      </c:catAx>
      <c:valAx>
        <c:axId val="556958304"/>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6967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(Recovered).xlsx]Sheet2!PivotTable4</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Sheet2!$B$24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Sheet2!$A$25:$A$40</c:f>
              <c:strCache>
                <c:ptCount val="15"/>
                <c:pt idx="0">
                  <c:v>Albany</c:v>
                </c:pt>
                <c:pt idx="1">
                  <c:v>Ballivor</c:v>
                </c:pt>
                <c:pt idx="2">
                  <c:v>Birmingham</c:v>
                </c:pt>
                <c:pt idx="3">
                  <c:v>Dallas</c:v>
                </c:pt>
                <c:pt idx="4">
                  <c:v>El Paso</c:v>
                </c:pt>
                <c:pt idx="5">
                  <c:v>Fort Worth</c:v>
                </c:pt>
                <c:pt idx="6">
                  <c:v>Houston</c:v>
                </c:pt>
                <c:pt idx="7">
                  <c:v>New York City</c:v>
                </c:pt>
                <c:pt idx="8">
                  <c:v>Oklahoma City</c:v>
                </c:pt>
                <c:pt idx="9">
                  <c:v>Philadelphia</c:v>
                </c:pt>
                <c:pt idx="10">
                  <c:v>Portland</c:v>
                </c:pt>
                <c:pt idx="11">
                  <c:v>Richmond</c:v>
                </c:pt>
                <c:pt idx="12">
                  <c:v>Sacramento</c:v>
                </c:pt>
                <c:pt idx="13">
                  <c:v>Toledo</c:v>
                </c:pt>
                <c:pt idx="14">
                  <c:v>Washington</c:v>
                </c:pt>
              </c:strCache>
            </c:strRef>
          </c:cat>
          <c:val>
            <c:numRef>
              <c:f>Sheet2!$B$25:$B$40</c:f>
              <c:numCache>
                <c:formatCode>General</c:formatCode>
                <c:ptCount val="15"/>
                <c:pt idx="0">
                  <c:v>399.23999999999995</c:v>
                </c:pt>
                <c:pt idx="1">
                  <c:v>389.26499999999987</c:v>
                </c:pt>
                <c:pt idx="2">
                  <c:v>509.11</c:v>
                </c:pt>
                <c:pt idx="3">
                  <c:v>505.92499999999995</c:v>
                </c:pt>
                <c:pt idx="4">
                  <c:v>404.70000000000005</c:v>
                </c:pt>
                <c:pt idx="5">
                  <c:v>396.51</c:v>
                </c:pt>
                <c:pt idx="6">
                  <c:v>819.77</c:v>
                </c:pt>
                <c:pt idx="7">
                  <c:v>772.7349999999999</c:v>
                </c:pt>
                <c:pt idx="8">
                  <c:v>475.1699999999999</c:v>
                </c:pt>
                <c:pt idx="9">
                  <c:v>511.23499999999996</c:v>
                </c:pt>
                <c:pt idx="10">
                  <c:v>580.26</c:v>
                </c:pt>
                <c:pt idx="11">
                  <c:v>407.58999999999992</c:v>
                </c:pt>
                <c:pt idx="12">
                  <c:v>627.74999999999989</c:v>
                </c:pt>
                <c:pt idx="13">
                  <c:v>774.18499999999995</c:v>
                </c:pt>
                <c:pt idx="14">
                  <c:v>1066.92</c:v>
                </c:pt>
              </c:numCache>
            </c:numRef>
          </c:val>
          <c:extLst>
            <c:ext xmlns:c16="http://schemas.microsoft.com/office/drawing/2014/chart" uri="{C3380CC4-5D6E-409C-BE32-E72D297353CC}">
              <c16:uniqueId val="{00000000-8B7F-41E0-9474-CD839303876F}"/>
            </c:ext>
          </c:extLst>
        </c:ser>
        <c:dLbls>
          <c:showLegendKey val="0"/>
          <c:showVal val="1"/>
          <c:showCatName val="0"/>
          <c:showSerName val="0"/>
          <c:showPercent val="0"/>
          <c:showBubbleSize val="0"/>
        </c:dLbls>
        <c:gapWidth val="150"/>
        <c:shape val="box"/>
        <c:axId val="698235648"/>
        <c:axId val="698221504"/>
        <c:axId val="0"/>
      </c:bar3DChart>
      <c:catAx>
        <c:axId val="6982356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8221504"/>
        <c:crosses val="autoZero"/>
        <c:auto val="1"/>
        <c:lblAlgn val="ctr"/>
        <c:lblOffset val="100"/>
        <c:noMultiLvlLbl val="0"/>
      </c:catAx>
      <c:valAx>
        <c:axId val="698221504"/>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8235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(Recovered).xlsx]Sheet2!PivotTable5</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Sheet2!$N$30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Sheet2!$M$31:$M$34</c:f>
              <c:strCache>
                <c:ptCount val="3"/>
                <c:pt idx="0">
                  <c:v>Dark</c:v>
                </c:pt>
                <c:pt idx="1">
                  <c:v>Light</c:v>
                </c:pt>
                <c:pt idx="2">
                  <c:v>Medium</c:v>
                </c:pt>
              </c:strCache>
            </c:strRef>
          </c:cat>
          <c:val>
            <c:numRef>
              <c:f>Sheet2!$N$31:$N$34</c:f>
              <c:numCache>
                <c:formatCode>General</c:formatCode>
                <c:ptCount val="3"/>
                <c:pt idx="0">
                  <c:v>13179.315000000013</c:v>
                </c:pt>
                <c:pt idx="1">
                  <c:v>17354.464999999993</c:v>
                </c:pt>
                <c:pt idx="2">
                  <c:v>14600.474999999995</c:v>
                </c:pt>
              </c:numCache>
            </c:numRef>
          </c:val>
          <c:extLst>
            <c:ext xmlns:c16="http://schemas.microsoft.com/office/drawing/2014/chart" uri="{C3380CC4-5D6E-409C-BE32-E72D297353CC}">
              <c16:uniqueId val="{00000000-E6C5-4D8E-8410-0A0766CE1F74}"/>
            </c:ext>
          </c:extLst>
        </c:ser>
        <c:dLbls>
          <c:showLegendKey val="0"/>
          <c:showVal val="0"/>
          <c:showCatName val="0"/>
          <c:showSerName val="0"/>
          <c:showPercent val="0"/>
          <c:showBubbleSize val="0"/>
        </c:dLbls>
        <c:gapWidth val="150"/>
        <c:shape val="box"/>
        <c:axId val="651662496"/>
        <c:axId val="651660832"/>
        <c:axId val="0"/>
      </c:bar3DChart>
      <c:catAx>
        <c:axId val="6516624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1660832"/>
        <c:crosses val="autoZero"/>
        <c:auto val="1"/>
        <c:lblAlgn val="ctr"/>
        <c:lblOffset val="100"/>
        <c:noMultiLvlLbl val="0"/>
      </c:catAx>
      <c:valAx>
        <c:axId val="65166083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1662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(Recovered).xlsx]Sheet2!PivotTable8</c:name>
    <c:fmtId val="0"/>
  </c:pivotSource>
  <c:chart>
    <c:autoTitleDeleted val="1"/>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321920384951881"/>
          <c:y val="0.14249781277340332"/>
          <c:w val="0.62362270341207349"/>
          <c:h val="0.80657626130067073"/>
        </c:manualLayout>
      </c:layout>
      <c:bar3DChart>
        <c:barDir val="bar"/>
        <c:grouping val="clustered"/>
        <c:varyColors val="0"/>
        <c:ser>
          <c:idx val="0"/>
          <c:order val="0"/>
          <c:tx>
            <c:strRef>
              <c:f>Sheet2!$E$39</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Sheet2!$D$40:$D$44</c:f>
              <c:strCache>
                <c:ptCount val="4"/>
                <c:pt idx="0">
                  <c:v>2019</c:v>
                </c:pt>
                <c:pt idx="1">
                  <c:v>2020</c:v>
                </c:pt>
                <c:pt idx="2">
                  <c:v>2021</c:v>
                </c:pt>
                <c:pt idx="3">
                  <c:v>2022</c:v>
                </c:pt>
              </c:strCache>
            </c:strRef>
          </c:cat>
          <c:val>
            <c:numRef>
              <c:f>Sheet2!$E$40:$E$44</c:f>
              <c:numCache>
                <c:formatCode>General</c:formatCode>
                <c:ptCount val="4"/>
                <c:pt idx="0">
                  <c:v>259</c:v>
                </c:pt>
                <c:pt idx="1">
                  <c:v>263</c:v>
                </c:pt>
                <c:pt idx="2">
                  <c:v>312</c:v>
                </c:pt>
                <c:pt idx="3">
                  <c:v>166</c:v>
                </c:pt>
              </c:numCache>
            </c:numRef>
          </c:val>
          <c:extLst>
            <c:ext xmlns:c16="http://schemas.microsoft.com/office/drawing/2014/chart" uri="{C3380CC4-5D6E-409C-BE32-E72D297353CC}">
              <c16:uniqueId val="{00000000-7EF5-4953-BD4F-984F92EBB973}"/>
            </c:ext>
          </c:extLst>
        </c:ser>
        <c:dLbls>
          <c:showLegendKey val="0"/>
          <c:showVal val="1"/>
          <c:showCatName val="0"/>
          <c:showSerName val="0"/>
          <c:showPercent val="0"/>
          <c:showBubbleSize val="0"/>
        </c:dLbls>
        <c:gapWidth val="84"/>
        <c:gapDepth val="53"/>
        <c:shape val="box"/>
        <c:axId val="875820320"/>
        <c:axId val="875812832"/>
        <c:axId val="0"/>
      </c:bar3DChart>
      <c:catAx>
        <c:axId val="8758203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75812832"/>
        <c:crosses val="autoZero"/>
        <c:auto val="1"/>
        <c:lblAlgn val="ctr"/>
        <c:lblOffset val="100"/>
        <c:noMultiLvlLbl val="0"/>
      </c:catAx>
      <c:valAx>
        <c:axId val="875812832"/>
        <c:scaling>
          <c:orientation val="minMax"/>
        </c:scaling>
        <c:delete val="1"/>
        <c:axPos val="b"/>
        <c:numFmt formatCode="General" sourceLinked="1"/>
        <c:majorTickMark val="out"/>
        <c:minorTickMark val="none"/>
        <c:tickLblPos val="nextTo"/>
        <c:crossAx val="875820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(Recovered).xlsx]Sheet2!PivotTable6</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Sheet2!$B$43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47F9-49CA-9647-D78653846524}"/>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47F9-49CA-9647-D78653846524}"/>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47F9-49CA-9647-D78653846524}"/>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Sheet2!$A$44:$A$48</c:f>
              <c:strCache>
                <c:ptCount val="4"/>
                <c:pt idx="0">
                  <c:v>Ireland</c:v>
                </c:pt>
                <c:pt idx="1">
                  <c:v>United Kingdom</c:v>
                </c:pt>
                <c:pt idx="2">
                  <c:v>United States</c:v>
                </c:pt>
                <c:pt idx="3">
                  <c:v>(blank)</c:v>
                </c:pt>
              </c:strCache>
            </c:strRef>
          </c:cat>
          <c:val>
            <c:numRef>
              <c:f>Sheet2!$B$44:$B$48</c:f>
              <c:numCache>
                <c:formatCode>General</c:formatCode>
                <c:ptCount val="4"/>
                <c:pt idx="0">
                  <c:v>153</c:v>
                </c:pt>
                <c:pt idx="1">
                  <c:v>73</c:v>
                </c:pt>
                <c:pt idx="2">
                  <c:v>774</c:v>
                </c:pt>
              </c:numCache>
            </c:numRef>
          </c:val>
          <c:extLst>
            <c:ext xmlns:c16="http://schemas.microsoft.com/office/drawing/2014/chart" uri="{C3380CC4-5D6E-409C-BE32-E72D297353CC}">
              <c16:uniqueId val="{00000000-DA5D-4CC1-B1F7-C73D986C704E}"/>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(Recovered).xlsx]Sheet2!PivotTable9</c:name>
    <c:fmtId val="0"/>
  </c:pivotSource>
  <c:chart>
    <c:autoTitleDeleted val="1"/>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555555555555555E-2"/>
          <c:y val="0.14712744240303297"/>
          <c:w val="0.82248140857392826"/>
          <c:h val="0.6076742490522018"/>
        </c:manualLayout>
      </c:layout>
      <c:bar3DChart>
        <c:barDir val="col"/>
        <c:grouping val="clustered"/>
        <c:varyColors val="0"/>
        <c:ser>
          <c:idx val="0"/>
          <c:order val="0"/>
          <c:tx>
            <c:strRef>
              <c:f>Sheet2!$E$49</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Sheet2!$D$50:$D$55</c:f>
              <c:strCache>
                <c:ptCount val="5"/>
                <c:pt idx="0">
                  <c:v>Ailey Brash</c:v>
                </c:pt>
                <c:pt idx="1">
                  <c:v>Jimmy Dymoke</c:v>
                </c:pt>
                <c:pt idx="2">
                  <c:v>Marguerite Graves</c:v>
                </c:pt>
                <c:pt idx="3">
                  <c:v>Marja Urion</c:v>
                </c:pt>
                <c:pt idx="4">
                  <c:v>Nealson Cuttler</c:v>
                </c:pt>
              </c:strCache>
            </c:strRef>
          </c:cat>
          <c:val>
            <c:numRef>
              <c:f>Sheet2!$E$50:$E$55</c:f>
              <c:numCache>
                <c:formatCode>General</c:formatCode>
                <c:ptCount val="5"/>
                <c:pt idx="0">
                  <c:v>19</c:v>
                </c:pt>
                <c:pt idx="1">
                  <c:v>23</c:v>
                </c:pt>
                <c:pt idx="2">
                  <c:v>17</c:v>
                </c:pt>
                <c:pt idx="3">
                  <c:v>19</c:v>
                </c:pt>
                <c:pt idx="4">
                  <c:v>18</c:v>
                </c:pt>
              </c:numCache>
            </c:numRef>
          </c:val>
          <c:extLst>
            <c:ext xmlns:c16="http://schemas.microsoft.com/office/drawing/2014/chart" uri="{C3380CC4-5D6E-409C-BE32-E72D297353CC}">
              <c16:uniqueId val="{00000000-7250-484C-AB7B-6B35F014C453}"/>
            </c:ext>
          </c:extLst>
        </c:ser>
        <c:dLbls>
          <c:showLegendKey val="0"/>
          <c:showVal val="1"/>
          <c:showCatName val="0"/>
          <c:showSerName val="0"/>
          <c:showPercent val="0"/>
          <c:showBubbleSize val="0"/>
        </c:dLbls>
        <c:gapWidth val="84"/>
        <c:gapDepth val="53"/>
        <c:shape val="box"/>
        <c:axId val="875825312"/>
        <c:axId val="875827392"/>
        <c:axId val="0"/>
      </c:bar3DChart>
      <c:catAx>
        <c:axId val="8758253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75827392"/>
        <c:crosses val="autoZero"/>
        <c:auto val="1"/>
        <c:lblAlgn val="ctr"/>
        <c:lblOffset val="100"/>
        <c:noMultiLvlLbl val="0"/>
      </c:catAx>
      <c:valAx>
        <c:axId val="875827392"/>
        <c:scaling>
          <c:orientation val="minMax"/>
        </c:scaling>
        <c:delete val="1"/>
        <c:axPos val="l"/>
        <c:numFmt formatCode="General" sourceLinked="1"/>
        <c:majorTickMark val="out"/>
        <c:minorTickMark val="none"/>
        <c:tickLblPos val="nextTo"/>
        <c:crossAx val="875825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[CoffeeOrdersData (Recovered).xlsx]Sheet2!PivotTable4</c:name>
    <c:fmtId val="3"/>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903330386012113"/>
          <c:y val="0.11662210600540605"/>
          <c:w val="0.63694674241669158"/>
          <c:h val="0.47846593802640341"/>
        </c:manualLayout>
      </c:layout>
      <c:bar3DChart>
        <c:barDir val="col"/>
        <c:grouping val="clustered"/>
        <c:varyColors val="0"/>
        <c:ser>
          <c:idx val="0"/>
          <c:order val="0"/>
          <c:tx>
            <c:strRef>
              <c:f>Sheet2!$B$24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Sheet2!$A$25:$A$40</c:f>
              <c:strCache>
                <c:ptCount val="15"/>
                <c:pt idx="0">
                  <c:v>Albany</c:v>
                </c:pt>
                <c:pt idx="1">
                  <c:v>Ballivor</c:v>
                </c:pt>
                <c:pt idx="2">
                  <c:v>Birmingham</c:v>
                </c:pt>
                <c:pt idx="3">
                  <c:v>Dallas</c:v>
                </c:pt>
                <c:pt idx="4">
                  <c:v>El Paso</c:v>
                </c:pt>
                <c:pt idx="5">
                  <c:v>Fort Worth</c:v>
                </c:pt>
                <c:pt idx="6">
                  <c:v>Houston</c:v>
                </c:pt>
                <c:pt idx="7">
                  <c:v>New York City</c:v>
                </c:pt>
                <c:pt idx="8">
                  <c:v>Oklahoma City</c:v>
                </c:pt>
                <c:pt idx="9">
                  <c:v>Philadelphia</c:v>
                </c:pt>
                <c:pt idx="10">
                  <c:v>Portland</c:v>
                </c:pt>
                <c:pt idx="11">
                  <c:v>Richmond</c:v>
                </c:pt>
                <c:pt idx="12">
                  <c:v>Sacramento</c:v>
                </c:pt>
                <c:pt idx="13">
                  <c:v>Toledo</c:v>
                </c:pt>
                <c:pt idx="14">
                  <c:v>Washington</c:v>
                </c:pt>
              </c:strCache>
            </c:strRef>
          </c:cat>
          <c:val>
            <c:numRef>
              <c:f>Sheet2!$B$25:$B$40</c:f>
              <c:numCache>
                <c:formatCode>General</c:formatCode>
                <c:ptCount val="15"/>
                <c:pt idx="0">
                  <c:v>399.23999999999995</c:v>
                </c:pt>
                <c:pt idx="1">
                  <c:v>389.26499999999987</c:v>
                </c:pt>
                <c:pt idx="2">
                  <c:v>509.11</c:v>
                </c:pt>
                <c:pt idx="3">
                  <c:v>505.92499999999995</c:v>
                </c:pt>
                <c:pt idx="4">
                  <c:v>404.70000000000005</c:v>
                </c:pt>
                <c:pt idx="5">
                  <c:v>396.51</c:v>
                </c:pt>
                <c:pt idx="6">
                  <c:v>819.77</c:v>
                </c:pt>
                <c:pt idx="7">
                  <c:v>772.7349999999999</c:v>
                </c:pt>
                <c:pt idx="8">
                  <c:v>475.1699999999999</c:v>
                </c:pt>
                <c:pt idx="9">
                  <c:v>511.23499999999996</c:v>
                </c:pt>
                <c:pt idx="10">
                  <c:v>580.26</c:v>
                </c:pt>
                <c:pt idx="11">
                  <c:v>407.58999999999992</c:v>
                </c:pt>
                <c:pt idx="12">
                  <c:v>627.74999999999989</c:v>
                </c:pt>
                <c:pt idx="13">
                  <c:v>774.18499999999995</c:v>
                </c:pt>
                <c:pt idx="14">
                  <c:v>1066.92</c:v>
                </c:pt>
              </c:numCache>
            </c:numRef>
          </c:val>
          <c:extLst>
            <c:ext xmlns:c16="http://schemas.microsoft.com/office/drawing/2014/chart" uri="{C3380CC4-5D6E-409C-BE32-E72D297353CC}">
              <c16:uniqueId val="{00000000-A339-43EC-AA1A-F53D525BB13C}"/>
            </c:ext>
          </c:extLst>
        </c:ser>
        <c:dLbls>
          <c:showLegendKey val="0"/>
          <c:showVal val="0"/>
          <c:showCatName val="0"/>
          <c:showSerName val="0"/>
          <c:showPercent val="0"/>
          <c:showBubbleSize val="0"/>
        </c:dLbls>
        <c:gapWidth val="150"/>
        <c:shape val="box"/>
        <c:axId val="698235648"/>
        <c:axId val="698221504"/>
        <c:axId val="0"/>
      </c:bar3DChart>
      <c:catAx>
        <c:axId val="6982356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8221504"/>
        <c:crosses val="autoZero"/>
        <c:auto val="1"/>
        <c:lblAlgn val="ctr"/>
        <c:lblOffset val="100"/>
        <c:noMultiLvlLbl val="0"/>
      </c:catAx>
      <c:valAx>
        <c:axId val="698221504"/>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8235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[CoffeeOrdersData (Recovered).xlsx]Sheet2!PivotTable2</c:name>
    <c:fmtId val="2"/>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373780742341602"/>
          <c:y val="0.12037037037037036"/>
          <c:w val="0.66481336159725413"/>
          <c:h val="0.68334937299504228"/>
        </c:manualLayout>
      </c:layout>
      <c:bar3DChart>
        <c:barDir val="col"/>
        <c:grouping val="clustered"/>
        <c:varyColors val="0"/>
        <c:ser>
          <c:idx val="0"/>
          <c:order val="0"/>
          <c:tx>
            <c:strRef>
              <c:f>Sheet2!$B$3:$B$4</c:f>
              <c:strCache>
                <c:ptCount val="1"/>
                <c:pt idx="0">
                  <c:v>2019</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Sheet2!$A$5:$A$10</c:f>
              <c:strCache>
                <c:ptCount val="5"/>
                <c:pt idx="0">
                  <c:v>Arabica</c:v>
                </c:pt>
                <c:pt idx="1">
                  <c:v>Excelsa</c:v>
                </c:pt>
                <c:pt idx="2">
                  <c:v>Liberica</c:v>
                </c:pt>
                <c:pt idx="3">
                  <c:v>Robusta</c:v>
                </c:pt>
                <c:pt idx="4">
                  <c:v>(blank)</c:v>
                </c:pt>
              </c:strCache>
            </c:strRef>
          </c:cat>
          <c:val>
            <c:numRef>
              <c:f>Sheet2!$B$5:$B$10</c:f>
              <c:numCache>
                <c:formatCode>General</c:formatCode>
                <c:ptCount val="5"/>
                <c:pt idx="0">
                  <c:v>2926.63</c:v>
                </c:pt>
                <c:pt idx="1">
                  <c:v>3481.46</c:v>
                </c:pt>
                <c:pt idx="2">
                  <c:v>3378.0049999999987</c:v>
                </c:pt>
                <c:pt idx="3">
                  <c:v>2401.0700000000006</c:v>
                </c:pt>
              </c:numCache>
            </c:numRef>
          </c:val>
          <c:extLst>
            <c:ext xmlns:c16="http://schemas.microsoft.com/office/drawing/2014/chart" uri="{C3380CC4-5D6E-409C-BE32-E72D297353CC}">
              <c16:uniqueId val="{00000000-10AB-4F04-BA43-C36AC42D0588}"/>
            </c:ext>
          </c:extLst>
        </c:ser>
        <c:ser>
          <c:idx val="1"/>
          <c:order val="1"/>
          <c:tx>
            <c:strRef>
              <c:f>Sheet2!$C$3:$C$4</c:f>
              <c:strCache>
                <c:ptCount val="1"/>
                <c:pt idx="0">
                  <c:v>2020</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Sheet2!$A$5:$A$10</c:f>
              <c:strCache>
                <c:ptCount val="5"/>
                <c:pt idx="0">
                  <c:v>Arabica</c:v>
                </c:pt>
                <c:pt idx="1">
                  <c:v>Excelsa</c:v>
                </c:pt>
                <c:pt idx="2">
                  <c:v>Liberica</c:v>
                </c:pt>
                <c:pt idx="3">
                  <c:v>Robusta</c:v>
                </c:pt>
                <c:pt idx="4">
                  <c:v>(blank)</c:v>
                </c:pt>
              </c:strCache>
            </c:strRef>
          </c:cat>
          <c:val>
            <c:numRef>
              <c:f>Sheet2!$C$5:$C$10</c:f>
              <c:numCache>
                <c:formatCode>General</c:formatCode>
                <c:ptCount val="5"/>
                <c:pt idx="0">
                  <c:v>3356.415</c:v>
                </c:pt>
                <c:pt idx="1">
                  <c:v>3663.4100000000008</c:v>
                </c:pt>
                <c:pt idx="2">
                  <c:v>2604.4550000000004</c:v>
                </c:pt>
                <c:pt idx="3">
                  <c:v>2493.2649999999994</c:v>
                </c:pt>
              </c:numCache>
            </c:numRef>
          </c:val>
          <c:extLst>
            <c:ext xmlns:c16="http://schemas.microsoft.com/office/drawing/2014/chart" uri="{C3380CC4-5D6E-409C-BE32-E72D297353CC}">
              <c16:uniqueId val="{00000000-AF9D-47BE-A824-2FBCF0DF5456}"/>
            </c:ext>
          </c:extLst>
        </c:ser>
        <c:ser>
          <c:idx val="2"/>
          <c:order val="2"/>
          <c:tx>
            <c:strRef>
              <c:f>Sheet2!$D$3:$D$4</c:f>
              <c:strCache>
                <c:ptCount val="1"/>
                <c:pt idx="0">
                  <c:v>2021</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Sheet2!$A$5:$A$10</c:f>
              <c:strCache>
                <c:ptCount val="5"/>
                <c:pt idx="0">
                  <c:v>Arabica</c:v>
                </c:pt>
                <c:pt idx="1">
                  <c:v>Excelsa</c:v>
                </c:pt>
                <c:pt idx="2">
                  <c:v>Liberica</c:v>
                </c:pt>
                <c:pt idx="3">
                  <c:v>Robusta</c:v>
                </c:pt>
                <c:pt idx="4">
                  <c:v>(blank)</c:v>
                </c:pt>
              </c:strCache>
            </c:strRef>
          </c:cat>
          <c:val>
            <c:numRef>
              <c:f>Sheet2!$D$5:$D$10</c:f>
              <c:numCache>
                <c:formatCode>General</c:formatCode>
                <c:ptCount val="5"/>
                <c:pt idx="0">
                  <c:v>4045.6299999999992</c:v>
                </c:pt>
                <c:pt idx="1">
                  <c:v>3469.6399999999994</c:v>
                </c:pt>
                <c:pt idx="2">
                  <c:v>3836.6950000000011</c:v>
                </c:pt>
                <c:pt idx="3">
                  <c:v>2414.1449999999995</c:v>
                </c:pt>
              </c:numCache>
            </c:numRef>
          </c:val>
          <c:extLst>
            <c:ext xmlns:c16="http://schemas.microsoft.com/office/drawing/2014/chart" uri="{C3380CC4-5D6E-409C-BE32-E72D297353CC}">
              <c16:uniqueId val="{00000001-AF9D-47BE-A824-2FBCF0DF5456}"/>
            </c:ext>
          </c:extLst>
        </c:ser>
        <c:ser>
          <c:idx val="3"/>
          <c:order val="3"/>
          <c:tx>
            <c:strRef>
              <c:f>Sheet2!$E$3:$E$4</c:f>
              <c:strCache>
                <c:ptCount val="1"/>
                <c:pt idx="0">
                  <c:v>2022</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Sheet2!$A$5:$A$10</c:f>
              <c:strCache>
                <c:ptCount val="5"/>
                <c:pt idx="0">
                  <c:v>Arabica</c:v>
                </c:pt>
                <c:pt idx="1">
                  <c:v>Excelsa</c:v>
                </c:pt>
                <c:pt idx="2">
                  <c:v>Liberica</c:v>
                </c:pt>
                <c:pt idx="3">
                  <c:v>Robusta</c:v>
                </c:pt>
                <c:pt idx="4">
                  <c:v>(blank)</c:v>
                </c:pt>
              </c:strCache>
            </c:strRef>
          </c:cat>
          <c:val>
            <c:numRef>
              <c:f>Sheet2!$E$5:$E$10</c:f>
              <c:numCache>
                <c:formatCode>General</c:formatCode>
                <c:ptCount val="5"/>
                <c:pt idx="0">
                  <c:v>1439.82</c:v>
                </c:pt>
                <c:pt idx="1">
                  <c:v>1691.9299999999996</c:v>
                </c:pt>
                <c:pt idx="2">
                  <c:v>2234.92</c:v>
                </c:pt>
                <c:pt idx="3">
                  <c:v>1696.7650000000001</c:v>
                </c:pt>
              </c:numCache>
            </c:numRef>
          </c:val>
          <c:extLst>
            <c:ext xmlns:c16="http://schemas.microsoft.com/office/drawing/2014/chart" uri="{C3380CC4-5D6E-409C-BE32-E72D297353CC}">
              <c16:uniqueId val="{00000002-AF9D-47BE-A824-2FBCF0DF5456}"/>
            </c:ext>
          </c:extLst>
        </c:ser>
        <c:ser>
          <c:idx val="4"/>
          <c:order val="4"/>
          <c:tx>
            <c:strRef>
              <c:f>Sheet2!$F$3:$F$4</c:f>
              <c:strCache>
                <c:ptCount val="1"/>
                <c:pt idx="0">
                  <c:v>(blank)</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Sheet2!$A$5:$A$10</c:f>
              <c:strCache>
                <c:ptCount val="5"/>
                <c:pt idx="0">
                  <c:v>Arabica</c:v>
                </c:pt>
                <c:pt idx="1">
                  <c:v>Excelsa</c:v>
                </c:pt>
                <c:pt idx="2">
                  <c:v>Liberica</c:v>
                </c:pt>
                <c:pt idx="3">
                  <c:v>Robusta</c:v>
                </c:pt>
                <c:pt idx="4">
                  <c:v>(blank)</c:v>
                </c:pt>
              </c:strCache>
            </c:strRef>
          </c:cat>
          <c:val>
            <c:numRef>
              <c:f>Sheet2!$F$5:$F$10</c:f>
              <c:numCache>
                <c:formatCode>General</c:formatCode>
                <c:ptCount val="5"/>
              </c:numCache>
            </c:numRef>
          </c:val>
          <c:extLst>
            <c:ext xmlns:c16="http://schemas.microsoft.com/office/drawing/2014/chart" uri="{C3380CC4-5D6E-409C-BE32-E72D297353CC}">
              <c16:uniqueId val="{00000003-AF9D-47BE-A824-2FBCF0DF5456}"/>
            </c:ext>
          </c:extLst>
        </c:ser>
        <c:dLbls>
          <c:showLegendKey val="0"/>
          <c:showVal val="0"/>
          <c:showCatName val="0"/>
          <c:showSerName val="0"/>
          <c:showPercent val="0"/>
          <c:showBubbleSize val="0"/>
        </c:dLbls>
        <c:gapWidth val="150"/>
        <c:shape val="box"/>
        <c:axId val="554221072"/>
        <c:axId val="554225648"/>
        <c:axId val="0"/>
      </c:bar3DChart>
      <c:catAx>
        <c:axId val="5542210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4225648"/>
        <c:crosses val="autoZero"/>
        <c:auto val="1"/>
        <c:lblAlgn val="ctr"/>
        <c:lblOffset val="100"/>
        <c:noMultiLvlLbl val="0"/>
      </c:catAx>
      <c:valAx>
        <c:axId val="55422564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4221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[CoffeeOrdersData (Recovered).xlsx]Sheet2!PivotTable6</c:name>
    <c:fmtId val="2"/>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291827387973265"/>
          <c:y val="9.8695900460141234E-2"/>
          <c:w val="0.5581663204151599"/>
          <c:h val="0.82436758696302204"/>
        </c:manualLayout>
      </c:layout>
      <c:pie3DChart>
        <c:varyColors val="1"/>
        <c:ser>
          <c:idx val="0"/>
          <c:order val="0"/>
          <c:tx>
            <c:strRef>
              <c:f>Sheet2!$B$43</c:f>
              <c:strCache>
                <c:ptCount val="1"/>
                <c:pt idx="0">
                  <c:v>Total</c:v>
                </c:pt>
              </c:strCache>
            </c:strRef>
          </c:tx>
          <c:explosion val="13"/>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06B9-4DEC-992D-2AEC2928D8A4}"/>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06B9-4DEC-992D-2AEC2928D8A4}"/>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06B9-4DEC-992D-2AEC2928D8A4}"/>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Sheet2!$A$44:$A$48</c:f>
              <c:strCache>
                <c:ptCount val="4"/>
                <c:pt idx="0">
                  <c:v>Ireland</c:v>
                </c:pt>
                <c:pt idx="1">
                  <c:v>United Kingdom</c:v>
                </c:pt>
                <c:pt idx="2">
                  <c:v>United States</c:v>
                </c:pt>
                <c:pt idx="3">
                  <c:v>(blank)</c:v>
                </c:pt>
              </c:strCache>
            </c:strRef>
          </c:cat>
          <c:val>
            <c:numRef>
              <c:f>Sheet2!$B$44:$B$48</c:f>
              <c:numCache>
                <c:formatCode>General</c:formatCode>
                <c:ptCount val="4"/>
                <c:pt idx="0">
                  <c:v>153</c:v>
                </c:pt>
                <c:pt idx="1">
                  <c:v>73</c:v>
                </c:pt>
                <c:pt idx="2">
                  <c:v>774</c:v>
                </c:pt>
              </c:numCache>
            </c:numRef>
          </c:val>
          <c:extLst>
            <c:ext xmlns:c16="http://schemas.microsoft.com/office/drawing/2014/chart" uri="{C3380CC4-5D6E-409C-BE32-E72D297353CC}">
              <c16:uniqueId val="{00000006-06B9-4DEC-992D-2AEC2928D8A4}"/>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[CoffeeOrdersData (Recovered).xlsx]Sheet2!PivotTable5</c:name>
    <c:fmtId val="3"/>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Sheet2!$N$30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Sheet2!$M$31:$M$34</c:f>
              <c:strCache>
                <c:ptCount val="3"/>
                <c:pt idx="0">
                  <c:v>Dark</c:v>
                </c:pt>
                <c:pt idx="1">
                  <c:v>Light</c:v>
                </c:pt>
                <c:pt idx="2">
                  <c:v>Medium</c:v>
                </c:pt>
              </c:strCache>
            </c:strRef>
          </c:cat>
          <c:val>
            <c:numRef>
              <c:f>Sheet2!$N$31:$N$34</c:f>
              <c:numCache>
                <c:formatCode>General</c:formatCode>
                <c:ptCount val="3"/>
                <c:pt idx="0">
                  <c:v>13179.315000000013</c:v>
                </c:pt>
                <c:pt idx="1">
                  <c:v>17354.464999999993</c:v>
                </c:pt>
                <c:pt idx="2">
                  <c:v>14600.474999999995</c:v>
                </c:pt>
              </c:numCache>
            </c:numRef>
          </c:val>
          <c:extLst>
            <c:ext xmlns:c16="http://schemas.microsoft.com/office/drawing/2014/chart" uri="{C3380CC4-5D6E-409C-BE32-E72D297353CC}">
              <c16:uniqueId val="{00000000-DDAD-4E90-AE33-AC220FAA3AA6}"/>
            </c:ext>
          </c:extLst>
        </c:ser>
        <c:dLbls>
          <c:showLegendKey val="0"/>
          <c:showVal val="0"/>
          <c:showCatName val="0"/>
          <c:showSerName val="0"/>
          <c:showPercent val="0"/>
          <c:showBubbleSize val="0"/>
        </c:dLbls>
        <c:gapWidth val="150"/>
        <c:shape val="box"/>
        <c:axId val="651662496"/>
        <c:axId val="651660832"/>
        <c:axId val="0"/>
      </c:bar3DChart>
      <c:catAx>
        <c:axId val="6516624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1660832"/>
        <c:crosses val="autoZero"/>
        <c:auto val="1"/>
        <c:lblAlgn val="ctr"/>
        <c:lblOffset val="100"/>
        <c:noMultiLvlLbl val="0"/>
      </c:catAx>
      <c:valAx>
        <c:axId val="65166083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1662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10</xdr:col>
      <xdr:colOff>257175</xdr:colOff>
      <xdr:row>1</xdr:row>
      <xdr:rowOff>128587</xdr:rowOff>
    </xdr:from>
    <xdr:to>
      <xdr:col>17</xdr:col>
      <xdr:colOff>171450</xdr:colOff>
      <xdr:row>16</xdr:row>
      <xdr:rowOff>14287</xdr:rowOff>
    </xdr:to>
    <xdr:graphicFrame macro="">
      <xdr:nvGraphicFramePr>
        <xdr:cNvPr id="2" name="Chart 1">
          <a:extLst>
            <a:ext uri="{FF2B5EF4-FFF2-40B4-BE49-F238E27FC236}">
              <a16:creationId xmlns:a16="http://schemas.microsoft.com/office/drawing/2014/main" id="{7318FB0B-CA6B-3CAA-B8A9-1153629B1B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200025</xdr:colOff>
      <xdr:row>25</xdr:row>
      <xdr:rowOff>185737</xdr:rowOff>
    </xdr:from>
    <xdr:to>
      <xdr:col>14</xdr:col>
      <xdr:colOff>47625</xdr:colOff>
      <xdr:row>40</xdr:row>
      <xdr:rowOff>71437</xdr:rowOff>
    </xdr:to>
    <xdr:graphicFrame macro="">
      <xdr:nvGraphicFramePr>
        <xdr:cNvPr id="3" name="Chart 2">
          <a:extLst>
            <a:ext uri="{FF2B5EF4-FFF2-40B4-BE49-F238E27FC236}">
              <a16:creationId xmlns:a16="http://schemas.microsoft.com/office/drawing/2014/main" id="{AC35CB49-9FF2-8B54-FD16-12A088A0EE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257175</xdr:colOff>
      <xdr:row>6</xdr:row>
      <xdr:rowOff>14286</xdr:rowOff>
    </xdr:from>
    <xdr:to>
      <xdr:col>14</xdr:col>
      <xdr:colOff>0</xdr:colOff>
      <xdr:row>24</xdr:row>
      <xdr:rowOff>38099</xdr:rowOff>
    </xdr:to>
    <xdr:graphicFrame macro="">
      <xdr:nvGraphicFramePr>
        <xdr:cNvPr id="4" name="Chart 3">
          <a:extLst>
            <a:ext uri="{FF2B5EF4-FFF2-40B4-BE49-F238E27FC236}">
              <a16:creationId xmlns:a16="http://schemas.microsoft.com/office/drawing/2014/main" id="{5F0B615D-099D-1F91-CA62-07FF7C8054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9525</xdr:colOff>
      <xdr:row>6</xdr:row>
      <xdr:rowOff>71437</xdr:rowOff>
    </xdr:from>
    <xdr:to>
      <xdr:col>23</xdr:col>
      <xdr:colOff>609600</xdr:colOff>
      <xdr:row>20</xdr:row>
      <xdr:rowOff>147637</xdr:rowOff>
    </xdr:to>
    <xdr:graphicFrame macro="">
      <xdr:nvGraphicFramePr>
        <xdr:cNvPr id="5" name="Chart 4">
          <a:extLst>
            <a:ext uri="{FF2B5EF4-FFF2-40B4-BE49-F238E27FC236}">
              <a16:creationId xmlns:a16="http://schemas.microsoft.com/office/drawing/2014/main" id="{8DC24C5F-0009-1561-B3CD-7344F16F46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161925</xdr:colOff>
      <xdr:row>22</xdr:row>
      <xdr:rowOff>109537</xdr:rowOff>
    </xdr:from>
    <xdr:to>
      <xdr:col>22</xdr:col>
      <xdr:colOff>0</xdr:colOff>
      <xdr:row>36</xdr:row>
      <xdr:rowOff>185737</xdr:rowOff>
    </xdr:to>
    <xdr:graphicFrame macro="">
      <xdr:nvGraphicFramePr>
        <xdr:cNvPr id="6" name="Chart 5">
          <a:extLst>
            <a:ext uri="{FF2B5EF4-FFF2-40B4-BE49-F238E27FC236}">
              <a16:creationId xmlns:a16="http://schemas.microsoft.com/office/drawing/2014/main" id="{31E5819D-D469-88A5-6A72-800168AFFC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123825</xdr:colOff>
      <xdr:row>13</xdr:row>
      <xdr:rowOff>119062</xdr:rowOff>
    </xdr:from>
    <xdr:to>
      <xdr:col>17</xdr:col>
      <xdr:colOff>104775</xdr:colOff>
      <xdr:row>28</xdr:row>
      <xdr:rowOff>4762</xdr:rowOff>
    </xdr:to>
    <xdr:graphicFrame macro="">
      <xdr:nvGraphicFramePr>
        <xdr:cNvPr id="7" name="Chart 6">
          <a:extLst>
            <a:ext uri="{FF2B5EF4-FFF2-40B4-BE49-F238E27FC236}">
              <a16:creationId xmlns:a16="http://schemas.microsoft.com/office/drawing/2014/main" id="{A041B3BB-8C70-D5B2-B960-F81F6C8173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552450</xdr:colOff>
      <xdr:row>37</xdr:row>
      <xdr:rowOff>42862</xdr:rowOff>
    </xdr:from>
    <xdr:to>
      <xdr:col>20</xdr:col>
      <xdr:colOff>428625</xdr:colOff>
      <xdr:row>51</xdr:row>
      <xdr:rowOff>119062</xdr:rowOff>
    </xdr:to>
    <xdr:graphicFrame macro="">
      <xdr:nvGraphicFramePr>
        <xdr:cNvPr id="8" name="Chart 7">
          <a:extLst>
            <a:ext uri="{FF2B5EF4-FFF2-40B4-BE49-F238E27FC236}">
              <a16:creationId xmlns:a16="http://schemas.microsoft.com/office/drawing/2014/main" id="{7F1D1284-6409-0433-0C22-B5E4EB6C88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9</xdr:col>
      <xdr:colOff>66675</xdr:colOff>
      <xdr:row>8</xdr:row>
      <xdr:rowOff>28575</xdr:rowOff>
    </xdr:from>
    <xdr:to>
      <xdr:col>11</xdr:col>
      <xdr:colOff>628650</xdr:colOff>
      <xdr:row>14</xdr:row>
      <xdr:rowOff>133350</xdr:rowOff>
    </xdr:to>
    <mc:AlternateContent xmlns:mc="http://schemas.openxmlformats.org/markup-compatibility/2006" xmlns:a14="http://schemas.microsoft.com/office/drawing/2010/main">
      <mc:Choice Requires="a14">
        <xdr:graphicFrame macro="">
          <xdr:nvGraphicFramePr>
            <xdr:cNvPr id="9" name="COFFEE TYPE">
              <a:extLst>
                <a:ext uri="{FF2B5EF4-FFF2-40B4-BE49-F238E27FC236}">
                  <a16:creationId xmlns:a16="http://schemas.microsoft.com/office/drawing/2014/main" id="{83D9AAF2-CFD8-6CAB-95F5-8F897A2A1C53}"/>
                </a:ext>
              </a:extLst>
            </xdr:cNvPr>
            <xdr:cNvGraphicFramePr/>
          </xdr:nvGraphicFramePr>
          <xdr:xfrm>
            <a:off x="0" y="0"/>
            <a:ext cx="0" cy="0"/>
          </xdr:xfrm>
          <a:graphic>
            <a:graphicData uri="http://schemas.microsoft.com/office/drawing/2010/slicer">
              <sle:slicer xmlns:sle="http://schemas.microsoft.com/office/drawing/2010/slicer" name="COFFEE TYPE"/>
            </a:graphicData>
          </a:graphic>
        </xdr:graphicFrame>
      </mc:Choice>
      <mc:Fallback xmlns="">
        <xdr:sp macro="" textlink="">
          <xdr:nvSpPr>
            <xdr:cNvPr id="0" name=""/>
            <xdr:cNvSpPr>
              <a:spLocks noTextEdit="1"/>
            </xdr:cNvSpPr>
          </xdr:nvSpPr>
          <xdr:spPr>
            <a:xfrm>
              <a:off x="7591425" y="1552575"/>
              <a:ext cx="1828800" cy="1238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514350</xdr:colOff>
      <xdr:row>84</xdr:row>
      <xdr:rowOff>9525</xdr:rowOff>
    </xdr:from>
    <xdr:to>
      <xdr:col>18</xdr:col>
      <xdr:colOff>476250</xdr:colOff>
      <xdr:row>90</xdr:row>
      <xdr:rowOff>171450</xdr:rowOff>
    </xdr:to>
    <mc:AlternateContent xmlns:mc="http://schemas.openxmlformats.org/markup-compatibility/2006" xmlns:a14="http://schemas.microsoft.com/office/drawing/2010/main">
      <mc:Choice Requires="a14">
        <xdr:graphicFrame macro="">
          <xdr:nvGraphicFramePr>
            <xdr:cNvPr id="10" name="YEAR">
              <a:extLst>
                <a:ext uri="{FF2B5EF4-FFF2-40B4-BE49-F238E27FC236}">
                  <a16:creationId xmlns:a16="http://schemas.microsoft.com/office/drawing/2014/main" id="{143B8783-074D-0F03-6EC7-9E59B84E2A8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3496925" y="16002000"/>
              <a:ext cx="1828800" cy="1304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44</xdr:row>
      <xdr:rowOff>28576</xdr:rowOff>
    </xdr:from>
    <xdr:to>
      <xdr:col>11</xdr:col>
      <xdr:colOff>85725</xdr:colOff>
      <xdr:row>49</xdr:row>
      <xdr:rowOff>57150</xdr:rowOff>
    </xdr:to>
    <mc:AlternateContent xmlns:mc="http://schemas.openxmlformats.org/markup-compatibility/2006" xmlns:a14="http://schemas.microsoft.com/office/drawing/2010/main">
      <mc:Choice Requires="a14">
        <xdr:graphicFrame macro="">
          <xdr:nvGraphicFramePr>
            <xdr:cNvPr id="11" name="COUNTRY">
              <a:extLst>
                <a:ext uri="{FF2B5EF4-FFF2-40B4-BE49-F238E27FC236}">
                  <a16:creationId xmlns:a16="http://schemas.microsoft.com/office/drawing/2014/main" id="{3E2ABC0E-9574-EDCC-A6C3-1C7645C90E6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886575" y="8401051"/>
              <a:ext cx="1828800" cy="9810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502920</xdr:colOff>
      <xdr:row>2</xdr:row>
      <xdr:rowOff>161924</xdr:rowOff>
    </xdr:from>
    <xdr:to>
      <xdr:col>16</xdr:col>
      <xdr:colOff>541019</xdr:colOff>
      <xdr:row>29</xdr:row>
      <xdr:rowOff>152399</xdr:rowOff>
    </xdr:to>
    <xdr:sp macro="" textlink="">
      <xdr:nvSpPr>
        <xdr:cNvPr id="2" name="Rectangle 1">
          <a:extLst>
            <a:ext uri="{FF2B5EF4-FFF2-40B4-BE49-F238E27FC236}">
              <a16:creationId xmlns:a16="http://schemas.microsoft.com/office/drawing/2014/main" id="{585D5FE0-0533-A897-5C02-D86BBBE6FBC0}"/>
            </a:ext>
          </a:extLst>
        </xdr:cNvPr>
        <xdr:cNvSpPr/>
      </xdr:nvSpPr>
      <xdr:spPr>
        <a:xfrm>
          <a:off x="1127760" y="527684"/>
          <a:ext cx="9410699" cy="4928235"/>
        </a:xfrm>
        <a:prstGeom prst="rect">
          <a:avLst/>
        </a:prstGeom>
        <a:solidFill>
          <a:schemeClr val="tx1">
            <a:lumMod val="50000"/>
            <a:lumOff val="50000"/>
          </a:schemeClr>
        </a:solidFill>
        <a:ln>
          <a:solidFill>
            <a:schemeClr val="tx1"/>
          </a:solid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586740</xdr:colOff>
      <xdr:row>18</xdr:row>
      <xdr:rowOff>83820</xdr:rowOff>
    </xdr:from>
    <xdr:to>
      <xdr:col>8</xdr:col>
      <xdr:colOff>45719</xdr:colOff>
      <xdr:row>29</xdr:row>
      <xdr:rowOff>114300</xdr:rowOff>
    </xdr:to>
    <xdr:graphicFrame macro="">
      <xdr:nvGraphicFramePr>
        <xdr:cNvPr id="4" name="Chart 3">
          <a:extLst>
            <a:ext uri="{FF2B5EF4-FFF2-40B4-BE49-F238E27FC236}">
              <a16:creationId xmlns:a16="http://schemas.microsoft.com/office/drawing/2014/main" id="{5CBCFE04-4196-47AE-9C81-A2452E98BE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106681</xdr:colOff>
      <xdr:row>18</xdr:row>
      <xdr:rowOff>99060</xdr:rowOff>
    </xdr:from>
    <xdr:to>
      <xdr:col>13</xdr:col>
      <xdr:colOff>495301</xdr:colOff>
      <xdr:row>29</xdr:row>
      <xdr:rowOff>91440</xdr:rowOff>
    </xdr:to>
    <xdr:graphicFrame macro="">
      <xdr:nvGraphicFramePr>
        <xdr:cNvPr id="5" name="Chart 4">
          <a:extLst>
            <a:ext uri="{FF2B5EF4-FFF2-40B4-BE49-F238E27FC236}">
              <a16:creationId xmlns:a16="http://schemas.microsoft.com/office/drawing/2014/main" id="{AF3E9D9C-0D64-48AC-BF07-904D6918CC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594360</xdr:colOff>
      <xdr:row>8</xdr:row>
      <xdr:rowOff>22860</xdr:rowOff>
    </xdr:from>
    <xdr:to>
      <xdr:col>7</xdr:col>
      <xdr:colOff>609600</xdr:colOff>
      <xdr:row>18</xdr:row>
      <xdr:rowOff>15240</xdr:rowOff>
    </xdr:to>
    <xdr:graphicFrame macro="">
      <xdr:nvGraphicFramePr>
        <xdr:cNvPr id="6" name="Chart 5">
          <a:extLst>
            <a:ext uri="{FF2B5EF4-FFF2-40B4-BE49-F238E27FC236}">
              <a16:creationId xmlns:a16="http://schemas.microsoft.com/office/drawing/2014/main" id="{5D9C3BD2-3E13-4C0E-9A57-5194350F80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129540</xdr:colOff>
      <xdr:row>8</xdr:row>
      <xdr:rowOff>7620</xdr:rowOff>
    </xdr:from>
    <xdr:to>
      <xdr:col>13</xdr:col>
      <xdr:colOff>541020</xdr:colOff>
      <xdr:row>17</xdr:row>
      <xdr:rowOff>152401</xdr:rowOff>
    </xdr:to>
    <xdr:graphicFrame macro="">
      <xdr:nvGraphicFramePr>
        <xdr:cNvPr id="9" name="Chart 8">
          <a:extLst>
            <a:ext uri="{FF2B5EF4-FFF2-40B4-BE49-F238E27FC236}">
              <a16:creationId xmlns:a16="http://schemas.microsoft.com/office/drawing/2014/main" id="{1045B0C2-1AF0-40F1-8D58-A497B77675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579120</xdr:colOff>
      <xdr:row>8</xdr:row>
      <xdr:rowOff>30480</xdr:rowOff>
    </xdr:from>
    <xdr:to>
      <xdr:col>16</xdr:col>
      <xdr:colOff>434340</xdr:colOff>
      <xdr:row>15</xdr:row>
      <xdr:rowOff>152399</xdr:rowOff>
    </xdr:to>
    <mc:AlternateContent xmlns:mc="http://schemas.openxmlformats.org/markup-compatibility/2006" xmlns:a14="http://schemas.microsoft.com/office/drawing/2010/main">
      <mc:Choice Requires="a14">
        <xdr:graphicFrame macro="">
          <xdr:nvGraphicFramePr>
            <xdr:cNvPr id="11" name="COFFEE TYPE 1">
              <a:extLst>
                <a:ext uri="{FF2B5EF4-FFF2-40B4-BE49-F238E27FC236}">
                  <a16:creationId xmlns:a16="http://schemas.microsoft.com/office/drawing/2014/main" id="{C7989E39-6AF6-40C1-B736-225218D4E439}"/>
                </a:ext>
              </a:extLst>
            </xdr:cNvPr>
            <xdr:cNvGraphicFramePr/>
          </xdr:nvGraphicFramePr>
          <xdr:xfrm>
            <a:off x="0" y="0"/>
            <a:ext cx="0" cy="0"/>
          </xdr:xfrm>
          <a:graphic>
            <a:graphicData uri="http://schemas.microsoft.com/office/drawing/2010/slicer">
              <sle:slicer xmlns:sle="http://schemas.microsoft.com/office/drawing/2010/slicer" name="COFFEE TYPE 1"/>
            </a:graphicData>
          </a:graphic>
        </xdr:graphicFrame>
      </mc:Choice>
      <mc:Fallback xmlns="">
        <xdr:sp macro="" textlink="">
          <xdr:nvSpPr>
            <xdr:cNvPr id="0" name=""/>
            <xdr:cNvSpPr>
              <a:spLocks noTextEdit="1"/>
            </xdr:cNvSpPr>
          </xdr:nvSpPr>
          <xdr:spPr>
            <a:xfrm>
              <a:off x="8702040" y="1493520"/>
              <a:ext cx="1729740" cy="1402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594360</xdr:colOff>
      <xdr:row>22</xdr:row>
      <xdr:rowOff>74295</xdr:rowOff>
    </xdr:from>
    <xdr:to>
      <xdr:col>16</xdr:col>
      <xdr:colOff>449580</xdr:colOff>
      <xdr:row>29</xdr:row>
      <xdr:rowOff>45720</xdr:rowOff>
    </xdr:to>
    <mc:AlternateContent xmlns:mc="http://schemas.openxmlformats.org/markup-compatibility/2006" xmlns:a14="http://schemas.microsoft.com/office/drawing/2010/main">
      <mc:Choice Requires="a14">
        <xdr:graphicFrame macro="">
          <xdr:nvGraphicFramePr>
            <xdr:cNvPr id="7" name="YEAR 1">
              <a:extLst>
                <a:ext uri="{FF2B5EF4-FFF2-40B4-BE49-F238E27FC236}">
                  <a16:creationId xmlns:a16="http://schemas.microsoft.com/office/drawing/2014/main" id="{71BD6A49-5507-4402-B533-CA655E61A4F3}"/>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717280" y="4097655"/>
              <a:ext cx="1729740" cy="12515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609600</xdr:colOff>
      <xdr:row>16</xdr:row>
      <xdr:rowOff>34290</xdr:rowOff>
    </xdr:from>
    <xdr:to>
      <xdr:col>16</xdr:col>
      <xdr:colOff>449580</xdr:colOff>
      <xdr:row>22</xdr:row>
      <xdr:rowOff>15240</xdr:rowOff>
    </xdr:to>
    <mc:AlternateContent xmlns:mc="http://schemas.openxmlformats.org/markup-compatibility/2006" xmlns:a14="http://schemas.microsoft.com/office/drawing/2010/main">
      <mc:Choice Requires="a14">
        <xdr:graphicFrame macro="">
          <xdr:nvGraphicFramePr>
            <xdr:cNvPr id="10" name="COUNTRY 1">
              <a:extLst>
                <a:ext uri="{FF2B5EF4-FFF2-40B4-BE49-F238E27FC236}">
                  <a16:creationId xmlns:a16="http://schemas.microsoft.com/office/drawing/2014/main" id="{1AA8A6F0-BB14-4C41-B36D-F31D91F1D4D4}"/>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8732520" y="2960370"/>
              <a:ext cx="1714500" cy="10782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45720</xdr:colOff>
      <xdr:row>3</xdr:row>
      <xdr:rowOff>38100</xdr:rowOff>
    </xdr:from>
    <xdr:to>
      <xdr:col>6</xdr:col>
      <xdr:colOff>396239</xdr:colOff>
      <xdr:row>7</xdr:row>
      <xdr:rowOff>160020</xdr:rowOff>
    </xdr:to>
    <xdr:sp macro="" textlink="">
      <xdr:nvSpPr>
        <xdr:cNvPr id="12" name="Rectangle: Rounded Corners 11">
          <a:extLst>
            <a:ext uri="{FF2B5EF4-FFF2-40B4-BE49-F238E27FC236}">
              <a16:creationId xmlns:a16="http://schemas.microsoft.com/office/drawing/2014/main" id="{FB8E096D-10F2-576A-4121-20C4BF53390B}"/>
            </a:ext>
          </a:extLst>
        </xdr:cNvPr>
        <xdr:cNvSpPr/>
      </xdr:nvSpPr>
      <xdr:spPr>
        <a:xfrm>
          <a:off x="1295400" y="586740"/>
          <a:ext cx="2849879" cy="853440"/>
        </a:xfrm>
        <a:prstGeom prst="roundRect">
          <a:avLst/>
        </a:prstGeom>
        <a:no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scene3d>
            <a:camera prst="orthographicFront">
              <a:rot lat="20999999" lon="20399980" rev="300000"/>
            </a:camera>
            <a:lightRig rig="threePt" dir="t">
              <a:rot lat="0" lon="0" rev="600000"/>
            </a:lightRig>
          </a:scene3d>
          <a:sp3d extrusionH="57150" prstMaterial="metal">
            <a:bevelT w="38100" h="38100" prst="relaxedInset"/>
            <a:bevelB w="50800" h="38100" prst="angle"/>
            <a:extrusionClr>
              <a:schemeClr val="accent1">
                <a:lumMod val="60000"/>
                <a:lumOff val="40000"/>
              </a:schemeClr>
            </a:extrusionClr>
          </a:sp3d>
        </a:bodyPr>
        <a:lstStyle/>
        <a:p>
          <a:pPr lvl="0" algn="ctr"/>
          <a:r>
            <a:rPr lang="en-US" sz="1800" b="1">
              <a:solidFill>
                <a:schemeClr val="accent5">
                  <a:lumMod val="75000"/>
                </a:schemeClr>
              </a:solidFill>
              <a:effectLst>
                <a:reflection blurRad="279400" endPos="68000" dir="5400000" sy="-100000" algn="bl" rotWithShape="0"/>
              </a:effectLst>
              <a:latin typeface="Arial Black" panose="020B0A04020102020204" pitchFamily="34" charset="0"/>
            </a:rPr>
            <a:t>SALES </a:t>
          </a:r>
          <a:r>
            <a:rPr lang="en-US" sz="1600" b="1">
              <a:solidFill>
                <a:schemeClr val="accent5">
                  <a:lumMod val="75000"/>
                </a:schemeClr>
              </a:solidFill>
              <a:effectLst>
                <a:reflection blurRad="279400" endPos="68000" dir="5400000" sy="-100000" algn="bl" rotWithShape="0"/>
              </a:effectLst>
              <a:latin typeface="Arial Black" panose="020B0A04020102020204" pitchFamily="34" charset="0"/>
            </a:rPr>
            <a:t>OVER</a:t>
          </a:r>
          <a:r>
            <a:rPr lang="en-US" sz="1800" b="1">
              <a:solidFill>
                <a:schemeClr val="accent5">
                  <a:lumMod val="75000"/>
                </a:schemeClr>
              </a:solidFill>
              <a:effectLst>
                <a:reflection blurRad="279400" endPos="68000" dir="5400000" sy="-100000" algn="bl" rotWithShape="0"/>
              </a:effectLst>
              <a:latin typeface="Arial Black" panose="020B0A04020102020204" pitchFamily="34" charset="0"/>
            </a:rPr>
            <a:t> VIEW</a:t>
          </a:r>
        </a:p>
      </xdr:txBody>
    </xdr:sp>
    <xdr:clientData/>
  </xdr:twoCellAnchor>
  <xdr:twoCellAnchor>
    <xdr:from>
      <xdr:col>6</xdr:col>
      <xdr:colOff>352425</xdr:colOff>
      <xdr:row>5</xdr:row>
      <xdr:rowOff>85725</xdr:rowOff>
    </xdr:from>
    <xdr:to>
      <xdr:col>8</xdr:col>
      <xdr:colOff>419100</xdr:colOff>
      <xdr:row>9</xdr:row>
      <xdr:rowOff>57150</xdr:rowOff>
    </xdr:to>
    <xdr:sp macro="" textlink="">
      <xdr:nvSpPr>
        <xdr:cNvPr id="15" name="Rectangle: Rounded Corners 14">
          <a:extLst>
            <a:ext uri="{FF2B5EF4-FFF2-40B4-BE49-F238E27FC236}">
              <a16:creationId xmlns:a16="http://schemas.microsoft.com/office/drawing/2014/main" id="{AA15DBBB-2425-EB05-9FA7-632DA246B502}"/>
            </a:ext>
          </a:extLst>
        </xdr:cNvPr>
        <xdr:cNvSpPr/>
      </xdr:nvSpPr>
      <xdr:spPr>
        <a:xfrm>
          <a:off x="4101465" y="1000125"/>
          <a:ext cx="1316355" cy="70294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000" b="1">
            <a:solidFill>
              <a:schemeClr val="tx1">
                <a:lumMod val="85000"/>
                <a:lumOff val="15000"/>
              </a:schemeClr>
            </a:solidFill>
            <a:latin typeface="Arial Black" panose="020B0A04020102020204" pitchFamily="34" charset="0"/>
          </a:endParaRPr>
        </a:p>
      </xdr:txBody>
    </xdr:sp>
    <xdr:clientData/>
  </xdr:twoCellAnchor>
  <xdr:twoCellAnchor>
    <xdr:from>
      <xdr:col>11</xdr:col>
      <xdr:colOff>152399</xdr:colOff>
      <xdr:row>5</xdr:row>
      <xdr:rowOff>142875</xdr:rowOff>
    </xdr:from>
    <xdr:to>
      <xdr:col>13</xdr:col>
      <xdr:colOff>320040</xdr:colOff>
      <xdr:row>9</xdr:row>
      <xdr:rowOff>76200</xdr:rowOff>
    </xdr:to>
    <xdr:sp macro="" textlink="">
      <xdr:nvSpPr>
        <xdr:cNvPr id="19" name="Rectangle: Rounded Corners 18">
          <a:extLst>
            <a:ext uri="{FF2B5EF4-FFF2-40B4-BE49-F238E27FC236}">
              <a16:creationId xmlns:a16="http://schemas.microsoft.com/office/drawing/2014/main" id="{F0D7CD6E-E15E-1C7C-2396-F456FA310185}"/>
            </a:ext>
          </a:extLst>
        </xdr:cNvPr>
        <xdr:cNvSpPr/>
      </xdr:nvSpPr>
      <xdr:spPr>
        <a:xfrm>
          <a:off x="7025639" y="1057275"/>
          <a:ext cx="1417321" cy="664845"/>
        </a:xfrm>
        <a:prstGeom prst="roundRect">
          <a:avLst>
            <a:gd name="adj" fmla="val 22398"/>
          </a:avLst>
        </a:prstGeom>
        <a:noFill/>
        <a:ln>
          <a:no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ctr"/>
          <a:endParaRPr lang="en-US" sz="1400" b="1">
            <a:solidFill>
              <a:schemeClr val="tx1">
                <a:lumMod val="85000"/>
                <a:lumOff val="15000"/>
              </a:schemeClr>
            </a:solidFill>
          </a:endParaRPr>
        </a:p>
      </xdr:txBody>
    </xdr:sp>
    <xdr:clientData/>
  </xdr:twoCellAnchor>
  <xdr:twoCellAnchor>
    <xdr:from>
      <xdr:col>14</xdr:col>
      <xdr:colOff>457200</xdr:colOff>
      <xdr:row>3</xdr:row>
      <xdr:rowOff>19050</xdr:rowOff>
    </xdr:from>
    <xdr:to>
      <xdr:col>16</xdr:col>
      <xdr:colOff>285750</xdr:colOff>
      <xdr:row>7</xdr:row>
      <xdr:rowOff>19050</xdr:rowOff>
    </xdr:to>
    <xdr:sp macro="" textlink="">
      <xdr:nvSpPr>
        <xdr:cNvPr id="22" name="Rectangle: Rounded Corners 21">
          <a:extLst>
            <a:ext uri="{FF2B5EF4-FFF2-40B4-BE49-F238E27FC236}">
              <a16:creationId xmlns:a16="http://schemas.microsoft.com/office/drawing/2014/main" id="{7B9F4D6E-B3C5-D843-3626-E93B3C6DC0B5}"/>
            </a:ext>
          </a:extLst>
        </xdr:cNvPr>
        <xdr:cNvSpPr/>
      </xdr:nvSpPr>
      <xdr:spPr>
        <a:xfrm>
          <a:off x="8991600" y="590550"/>
          <a:ext cx="1047750" cy="762000"/>
        </a:xfrm>
        <a:prstGeom prst="roundRect">
          <a:avLst/>
        </a:prstGeom>
        <a:noFill/>
        <a:ln>
          <a:no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ctr"/>
          <a:endParaRPr lang="en-US" sz="1100" b="1">
            <a:solidFill>
              <a:schemeClr val="tx1">
                <a:lumMod val="85000"/>
                <a:lumOff val="15000"/>
              </a:schemeClr>
            </a:solidFill>
            <a:latin typeface="Arial Black" panose="020B0A04020102020204" pitchFamily="34" charset="0"/>
          </a:endParaRPr>
        </a:p>
      </xdr:txBody>
    </xdr:sp>
    <xdr:clientData/>
  </xdr:twoCellAnchor>
  <xdr:twoCellAnchor>
    <xdr:from>
      <xdr:col>6</xdr:col>
      <xdr:colOff>472440</xdr:colOff>
      <xdr:row>3</xdr:row>
      <xdr:rowOff>68580</xdr:rowOff>
    </xdr:from>
    <xdr:to>
      <xdr:col>8</xdr:col>
      <xdr:colOff>609600</xdr:colOff>
      <xdr:row>7</xdr:row>
      <xdr:rowOff>99060</xdr:rowOff>
    </xdr:to>
    <xdr:sp macro="" textlink="">
      <xdr:nvSpPr>
        <xdr:cNvPr id="8" name="Rectangle: Rounded Corners 7">
          <a:extLst>
            <a:ext uri="{FF2B5EF4-FFF2-40B4-BE49-F238E27FC236}">
              <a16:creationId xmlns:a16="http://schemas.microsoft.com/office/drawing/2014/main" id="{5734F844-33F9-8C75-8BF7-226ABFB02E56}"/>
            </a:ext>
          </a:extLst>
        </xdr:cNvPr>
        <xdr:cNvSpPr/>
      </xdr:nvSpPr>
      <xdr:spPr>
        <a:xfrm>
          <a:off x="4221480" y="617220"/>
          <a:ext cx="1386840" cy="762000"/>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i="1">
              <a:solidFill>
                <a:schemeClr val="lt1"/>
              </a:solidFill>
              <a:effectLst/>
              <a:latin typeface="Times New Roman" panose="02020603050405020304" pitchFamily="18" charset="0"/>
              <a:ea typeface="+mn-ea"/>
              <a:cs typeface="Times New Roman" panose="02020603050405020304" pitchFamily="18" charset="0"/>
            </a:rPr>
            <a:t>TOTAL SALES</a:t>
          </a:r>
          <a:endParaRPr lang="en-IN" sz="1200" b="1" i="1">
            <a:effectLst/>
            <a:latin typeface="Times New Roman" panose="02020603050405020304" pitchFamily="18" charset="0"/>
            <a:cs typeface="Times New Roman" panose="02020603050405020304" pitchFamily="18" charset="0"/>
          </a:endParaRPr>
        </a:p>
        <a:p>
          <a:pPr algn="l"/>
          <a:endParaRPr lang="en-IN" sz="1100"/>
        </a:p>
      </xdr:txBody>
    </xdr:sp>
    <xdr:clientData/>
  </xdr:twoCellAnchor>
  <xdr:twoCellAnchor>
    <xdr:from>
      <xdr:col>14</xdr:col>
      <xdr:colOff>60960</xdr:colOff>
      <xdr:row>3</xdr:row>
      <xdr:rowOff>47625</xdr:rowOff>
    </xdr:from>
    <xdr:to>
      <xdr:col>16</xdr:col>
      <xdr:colOff>487680</xdr:colOff>
      <xdr:row>7</xdr:row>
      <xdr:rowOff>78105</xdr:rowOff>
    </xdr:to>
    <xdr:sp macro="" textlink="">
      <xdr:nvSpPr>
        <xdr:cNvPr id="13" name="Rectangle: Rounded Corners 12">
          <a:extLst>
            <a:ext uri="{FF2B5EF4-FFF2-40B4-BE49-F238E27FC236}">
              <a16:creationId xmlns:a16="http://schemas.microsoft.com/office/drawing/2014/main" id="{FDC2A4FD-20D1-4BA1-84FC-71772923BAD2}"/>
            </a:ext>
          </a:extLst>
        </xdr:cNvPr>
        <xdr:cNvSpPr/>
      </xdr:nvSpPr>
      <xdr:spPr>
        <a:xfrm>
          <a:off x="8808720" y="596265"/>
          <a:ext cx="1676400" cy="762000"/>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latin typeface="Times New Roman" panose="02020603050405020304" pitchFamily="18" charset="0"/>
              <a:cs typeface="Times New Roman" panose="02020603050405020304" pitchFamily="18" charset="0"/>
            </a:rPr>
            <a:t>Total quantity</a:t>
          </a:r>
        </a:p>
      </xdr:txBody>
    </xdr:sp>
    <xdr:clientData/>
  </xdr:twoCellAnchor>
  <xdr:twoCellAnchor>
    <xdr:from>
      <xdr:col>9</xdr:col>
      <xdr:colOff>89534</xdr:colOff>
      <xdr:row>3</xdr:row>
      <xdr:rowOff>70485</xdr:rowOff>
    </xdr:from>
    <xdr:to>
      <xdr:col>11</xdr:col>
      <xdr:colOff>226694</xdr:colOff>
      <xdr:row>7</xdr:row>
      <xdr:rowOff>100965</xdr:rowOff>
    </xdr:to>
    <xdr:sp macro="" textlink="">
      <xdr:nvSpPr>
        <xdr:cNvPr id="23" name="Rectangle: Rounded Corners 22">
          <a:extLst>
            <a:ext uri="{FF2B5EF4-FFF2-40B4-BE49-F238E27FC236}">
              <a16:creationId xmlns:a16="http://schemas.microsoft.com/office/drawing/2014/main" id="{8D71B3BF-32B1-42DA-8CBA-0A3D3346FE05}"/>
            </a:ext>
          </a:extLst>
        </xdr:cNvPr>
        <xdr:cNvSpPr/>
      </xdr:nvSpPr>
      <xdr:spPr>
        <a:xfrm>
          <a:off x="5713094" y="619125"/>
          <a:ext cx="1386840" cy="762000"/>
        </a:xfrm>
        <a:prstGeom prst="roundRect">
          <a:avLst/>
        </a:prstGeom>
        <a:solidFill>
          <a:schemeClr val="bg2">
            <a:lumMod val="7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bg1"/>
              </a:solidFill>
              <a:latin typeface="Times New Roman" panose="02020603050405020304" pitchFamily="18" charset="0"/>
              <a:cs typeface="Times New Roman" panose="02020603050405020304" pitchFamily="18" charset="0"/>
            </a:rPr>
            <a:t>Total customers</a:t>
          </a:r>
        </a:p>
      </xdr:txBody>
    </xdr:sp>
    <xdr:clientData/>
  </xdr:twoCellAnchor>
  <xdr:twoCellAnchor>
    <xdr:from>
      <xdr:col>7</xdr:col>
      <xdr:colOff>228600</xdr:colOff>
      <xdr:row>5</xdr:row>
      <xdr:rowOff>1</xdr:rowOff>
    </xdr:from>
    <xdr:to>
      <xdr:col>8</xdr:col>
      <xdr:colOff>371475</xdr:colOff>
      <xdr:row>6</xdr:row>
      <xdr:rowOff>76201</xdr:rowOff>
    </xdr:to>
    <xdr:sp macro="" textlink="Sheet2!N92">
      <xdr:nvSpPr>
        <xdr:cNvPr id="14" name="Rectangle: Rounded Corners 13">
          <a:extLst>
            <a:ext uri="{FF2B5EF4-FFF2-40B4-BE49-F238E27FC236}">
              <a16:creationId xmlns:a16="http://schemas.microsoft.com/office/drawing/2014/main" id="{B8FC414B-A654-D678-7C91-FAC096F84C4B}"/>
            </a:ext>
          </a:extLst>
        </xdr:cNvPr>
        <xdr:cNvSpPr/>
      </xdr:nvSpPr>
      <xdr:spPr>
        <a:xfrm>
          <a:off x="4602480" y="914401"/>
          <a:ext cx="767715" cy="25908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3A93E92A-2FFC-4BED-B9A0-AE7DD5AC0B15}" type="TxLink">
            <a:rPr lang="en-US" sz="1100" b="0" i="0" u="none" strike="noStrike">
              <a:solidFill>
                <a:srgbClr val="000000"/>
              </a:solidFill>
              <a:latin typeface="Calibri"/>
              <a:cs typeface="Calibri"/>
            </a:rPr>
            <a:pPr algn="l"/>
            <a:t>45134.255</a:t>
          </a:fld>
          <a:endParaRPr lang="en-US" sz="1100"/>
        </a:p>
      </xdr:txBody>
    </xdr:sp>
    <xdr:clientData/>
  </xdr:twoCellAnchor>
  <xdr:twoCellAnchor>
    <xdr:from>
      <xdr:col>9</xdr:col>
      <xdr:colOff>480060</xdr:colOff>
      <xdr:row>5</xdr:row>
      <xdr:rowOff>60960</xdr:rowOff>
    </xdr:from>
    <xdr:to>
      <xdr:col>10</xdr:col>
      <xdr:colOff>518160</xdr:colOff>
      <xdr:row>7</xdr:row>
      <xdr:rowOff>68580</xdr:rowOff>
    </xdr:to>
    <xdr:sp macro="" textlink="Sheet2!M106">
      <xdr:nvSpPr>
        <xdr:cNvPr id="16" name="Rectangle: Rounded Corners 15">
          <a:extLst>
            <a:ext uri="{FF2B5EF4-FFF2-40B4-BE49-F238E27FC236}">
              <a16:creationId xmlns:a16="http://schemas.microsoft.com/office/drawing/2014/main" id="{C1D6B774-118D-8B96-E3FD-4CAD582DAEF8}"/>
            </a:ext>
          </a:extLst>
        </xdr:cNvPr>
        <xdr:cNvSpPr/>
      </xdr:nvSpPr>
      <xdr:spPr>
        <a:xfrm>
          <a:off x="6103620" y="975360"/>
          <a:ext cx="662940" cy="373380"/>
        </a:xfrm>
        <a:prstGeom prst="roundRect">
          <a:avLst>
            <a:gd name="adj" fmla="val 50000"/>
          </a:avLst>
        </a:prstGeom>
        <a:noFill/>
        <a:ln>
          <a:no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fld id="{94CA6582-11C4-4FAA-988F-FCCC7C1348D4}" type="TxLink">
            <a:rPr lang="en-US" sz="1100" b="0" i="0" u="none" strike="noStrike">
              <a:solidFill>
                <a:srgbClr val="000000"/>
              </a:solidFill>
              <a:latin typeface="Calibri"/>
              <a:cs typeface="Calibri"/>
            </a:rPr>
            <a:pPr algn="l"/>
            <a:t>1000</a:t>
          </a:fld>
          <a:endParaRPr lang="en-US" sz="1100"/>
        </a:p>
      </xdr:txBody>
    </xdr:sp>
    <xdr:clientData/>
  </xdr:twoCellAnchor>
  <xdr:twoCellAnchor>
    <xdr:from>
      <xdr:col>11</xdr:col>
      <xdr:colOff>310514</xdr:colOff>
      <xdr:row>3</xdr:row>
      <xdr:rowOff>55245</xdr:rowOff>
    </xdr:from>
    <xdr:to>
      <xdr:col>14</xdr:col>
      <xdr:colOff>22860</xdr:colOff>
      <xdr:row>7</xdr:row>
      <xdr:rowOff>85725</xdr:rowOff>
    </xdr:to>
    <xdr:sp macro="" textlink="">
      <xdr:nvSpPr>
        <xdr:cNvPr id="21" name="Rectangle: Rounded Corners 20">
          <a:extLst>
            <a:ext uri="{FF2B5EF4-FFF2-40B4-BE49-F238E27FC236}">
              <a16:creationId xmlns:a16="http://schemas.microsoft.com/office/drawing/2014/main" id="{5B108DE9-3153-4AB3-A9D5-4B16E189D7AB}"/>
            </a:ext>
          </a:extLst>
        </xdr:cNvPr>
        <xdr:cNvSpPr/>
      </xdr:nvSpPr>
      <xdr:spPr>
        <a:xfrm>
          <a:off x="7183754" y="603885"/>
          <a:ext cx="1586866" cy="762000"/>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latin typeface="Times New Roman" panose="02020603050405020304" pitchFamily="18" charset="0"/>
              <a:cs typeface="Times New Roman" panose="02020603050405020304" pitchFamily="18" charset="0"/>
            </a:rPr>
            <a:t>Total profit</a:t>
          </a:r>
        </a:p>
      </xdr:txBody>
    </xdr:sp>
    <xdr:clientData/>
  </xdr:twoCellAnchor>
  <xdr:twoCellAnchor>
    <xdr:from>
      <xdr:col>11</xdr:col>
      <xdr:colOff>594360</xdr:colOff>
      <xdr:row>5</xdr:row>
      <xdr:rowOff>121921</xdr:rowOff>
    </xdr:from>
    <xdr:to>
      <xdr:col>13</xdr:col>
      <xdr:colOff>15240</xdr:colOff>
      <xdr:row>7</xdr:row>
      <xdr:rowOff>38101</xdr:rowOff>
    </xdr:to>
    <xdr:sp macro="" textlink="Sheet2!$P$103">
      <xdr:nvSpPr>
        <xdr:cNvPr id="18" name="Rectangle: Rounded Corners 17">
          <a:extLst>
            <a:ext uri="{FF2B5EF4-FFF2-40B4-BE49-F238E27FC236}">
              <a16:creationId xmlns:a16="http://schemas.microsoft.com/office/drawing/2014/main" id="{4C9945CD-DEF7-98AC-A243-6B284FC4FCCF}"/>
            </a:ext>
          </a:extLst>
        </xdr:cNvPr>
        <xdr:cNvSpPr/>
      </xdr:nvSpPr>
      <xdr:spPr>
        <a:xfrm>
          <a:off x="7467600" y="1036321"/>
          <a:ext cx="670560" cy="281940"/>
        </a:xfrm>
        <a:prstGeom prst="roundRect">
          <a:avLst/>
        </a:prstGeom>
        <a:noFill/>
        <a:ln>
          <a:no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fld id="{F4B0DE5F-5663-404E-B5DC-647691B3FC98}" type="TxLink">
            <a:rPr lang="en-US" sz="1100" b="0" i="0" u="none" strike="noStrike">
              <a:solidFill>
                <a:srgbClr val="000000"/>
              </a:solidFill>
              <a:latin typeface="Calibri"/>
              <a:cs typeface="Calibri"/>
            </a:rPr>
            <a:pPr algn="l"/>
            <a:t>1301.37505</a:t>
          </a:fld>
          <a:endParaRPr lang="en-US" sz="1100"/>
        </a:p>
      </xdr:txBody>
    </xdr:sp>
    <xdr:clientData/>
  </xdr:twoCellAnchor>
  <xdr:twoCellAnchor>
    <xdr:from>
      <xdr:col>15</xdr:col>
      <xdr:colOff>32386</xdr:colOff>
      <xdr:row>5</xdr:row>
      <xdr:rowOff>59055</xdr:rowOff>
    </xdr:from>
    <xdr:to>
      <xdr:col>15</xdr:col>
      <xdr:colOff>394336</xdr:colOff>
      <xdr:row>6</xdr:row>
      <xdr:rowOff>137160</xdr:rowOff>
    </xdr:to>
    <xdr:sp macro="" textlink="Sheet2!P111">
      <xdr:nvSpPr>
        <xdr:cNvPr id="20" name="Rectangle: Rounded Corners 19">
          <a:extLst>
            <a:ext uri="{FF2B5EF4-FFF2-40B4-BE49-F238E27FC236}">
              <a16:creationId xmlns:a16="http://schemas.microsoft.com/office/drawing/2014/main" id="{DADA217C-EE15-8B2C-47B4-507B6A899A5F}"/>
            </a:ext>
          </a:extLst>
        </xdr:cNvPr>
        <xdr:cNvSpPr/>
      </xdr:nvSpPr>
      <xdr:spPr>
        <a:xfrm>
          <a:off x="9404986" y="973455"/>
          <a:ext cx="361950" cy="260985"/>
        </a:xfrm>
        <a:prstGeom prst="roundRect">
          <a:avLst/>
        </a:prstGeom>
        <a:noFill/>
        <a:ln>
          <a:no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fld id="{1142B293-F425-42AC-B16E-512A511091CC}" type="TxLink">
            <a:rPr lang="en-US" sz="1100" b="0" i="0" u="none" strike="noStrike">
              <a:solidFill>
                <a:srgbClr val="000000"/>
              </a:solidFill>
              <a:latin typeface="Calibri"/>
              <a:cs typeface="Calibri"/>
            </a:rPr>
            <a:pPr algn="l"/>
            <a:t>3551</a:t>
          </a:fld>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ser\Desktop\intern-codeme\coffeeOrdersData%20(Final%20Report).xls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board"/>
      <sheetName val="Total Sales"/>
      <sheetName val="Total Sales by Country"/>
      <sheetName val="Top 5 Customers"/>
      <sheetName val="orders"/>
      <sheetName val="customers"/>
      <sheetName val="products"/>
    </sheetNames>
    <sheetDataSet>
      <sheetData sheetId="0"/>
      <sheetData sheetId="1"/>
      <sheetData sheetId="2"/>
      <sheetData sheetId="3"/>
      <sheetData sheetId="4">
        <row r="1">
          <cell r="K1" t="str">
            <v>Size</v>
          </cell>
          <cell r="L1" t="str">
            <v>Unit Price</v>
          </cell>
        </row>
        <row r="2">
          <cell r="D2" t="str">
            <v>R-M-1</v>
          </cell>
        </row>
        <row r="3">
          <cell r="D3" t="str">
            <v>E-M-0.5</v>
          </cell>
        </row>
        <row r="4">
          <cell r="D4" t="str">
            <v>A-L-1</v>
          </cell>
        </row>
        <row r="5">
          <cell r="D5" t="str">
            <v>E-M-1</v>
          </cell>
        </row>
        <row r="6">
          <cell r="D6" t="str">
            <v>R-L-2.5</v>
          </cell>
        </row>
        <row r="7">
          <cell r="D7" t="str">
            <v>L-D-1</v>
          </cell>
        </row>
        <row r="8">
          <cell r="D8" t="str">
            <v>E-D-0.5</v>
          </cell>
        </row>
        <row r="9">
          <cell r="D9" t="str">
            <v>L-L-0.2</v>
          </cell>
        </row>
        <row r="10">
          <cell r="D10" t="str">
            <v>R-M-0.5</v>
          </cell>
        </row>
        <row r="11">
          <cell r="D11" t="str">
            <v>R-M-0.5</v>
          </cell>
        </row>
        <row r="12">
          <cell r="D12" t="str">
            <v>A-D-1</v>
          </cell>
        </row>
        <row r="13">
          <cell r="D13" t="str">
            <v>E-L-2.5</v>
          </cell>
        </row>
        <row r="14">
          <cell r="D14" t="str">
            <v>R-M-1</v>
          </cell>
        </row>
        <row r="15">
          <cell r="D15" t="str">
            <v>R-D-2.5</v>
          </cell>
        </row>
        <row r="16">
          <cell r="D16" t="str">
            <v>L-D-0.2</v>
          </cell>
        </row>
        <row r="17">
          <cell r="D17" t="str">
            <v>R-M-2.5</v>
          </cell>
        </row>
        <row r="18">
          <cell r="D18" t="str">
            <v>A-M-0.2</v>
          </cell>
        </row>
        <row r="19">
          <cell r="D19" t="str">
            <v>A-L-1</v>
          </cell>
        </row>
        <row r="20">
          <cell r="D20" t="str">
            <v>R-D-2.5</v>
          </cell>
        </row>
        <row r="21">
          <cell r="D21" t="str">
            <v>A-M-0.2</v>
          </cell>
        </row>
        <row r="22">
          <cell r="D22" t="str">
            <v>E-D-0.2</v>
          </cell>
        </row>
        <row r="23">
          <cell r="D23" t="str">
            <v>A-D-0.2</v>
          </cell>
        </row>
        <row r="24">
          <cell r="D24" t="str">
            <v>R-M-2.5</v>
          </cell>
        </row>
        <row r="25">
          <cell r="D25" t="str">
            <v>A-D-0.2</v>
          </cell>
        </row>
        <row r="26">
          <cell r="D26" t="str">
            <v>A-M-1</v>
          </cell>
        </row>
        <row r="27">
          <cell r="D27" t="str">
            <v>E-M-0.2</v>
          </cell>
        </row>
        <row r="28">
          <cell r="D28" t="str">
            <v>A-M-0.5</v>
          </cell>
        </row>
        <row r="29">
          <cell r="D29" t="str">
            <v>A-M-0.2</v>
          </cell>
        </row>
        <row r="30">
          <cell r="D30" t="str">
            <v>A-D-0.5</v>
          </cell>
        </row>
        <row r="31">
          <cell r="D31" t="str">
            <v>A-D-1</v>
          </cell>
        </row>
        <row r="32">
          <cell r="D32" t="str">
            <v>L-M-0.2</v>
          </cell>
        </row>
        <row r="33">
          <cell r="D33" t="str">
            <v>A-D-0.5</v>
          </cell>
        </row>
        <row r="34">
          <cell r="D34" t="str">
            <v>L-M-0.5</v>
          </cell>
        </row>
        <row r="35">
          <cell r="D35" t="str">
            <v>L-L-0.2</v>
          </cell>
        </row>
        <row r="36">
          <cell r="D36" t="str">
            <v>L-L-0.5</v>
          </cell>
        </row>
        <row r="37">
          <cell r="D37" t="str">
            <v>A-D-0.5</v>
          </cell>
        </row>
        <row r="38">
          <cell r="D38" t="str">
            <v>L-M-0.2</v>
          </cell>
        </row>
        <row r="39">
          <cell r="D39" t="str">
            <v>L-L-0.5</v>
          </cell>
        </row>
        <row r="40">
          <cell r="D40" t="str">
            <v>R-M-2.5</v>
          </cell>
        </row>
        <row r="41">
          <cell r="D41" t="str">
            <v>R-M-1</v>
          </cell>
        </row>
        <row r="42">
          <cell r="D42" t="str">
            <v>L-M-1</v>
          </cell>
        </row>
        <row r="43">
          <cell r="D43" t="str">
            <v>E-D-0.2</v>
          </cell>
        </row>
        <row r="44">
          <cell r="D44" t="str">
            <v>R-D-0.2</v>
          </cell>
        </row>
        <row r="45">
          <cell r="D45" t="str">
            <v>L-L-2.5</v>
          </cell>
        </row>
        <row r="46">
          <cell r="D46" t="str">
            <v>E-M-0.5</v>
          </cell>
        </row>
        <row r="47">
          <cell r="D47" t="str">
            <v>L-D-2.5</v>
          </cell>
        </row>
        <row r="48">
          <cell r="D48" t="str">
            <v>E-M-2.5</v>
          </cell>
        </row>
        <row r="49">
          <cell r="D49" t="str">
            <v>A-L-0.2</v>
          </cell>
        </row>
        <row r="50">
          <cell r="D50" t="str">
            <v>A-D-2.5</v>
          </cell>
        </row>
        <row r="51">
          <cell r="D51" t="str">
            <v>A-L-1</v>
          </cell>
        </row>
        <row r="52">
          <cell r="D52" t="str">
            <v>L-D-0.5</v>
          </cell>
        </row>
        <row r="53">
          <cell r="D53" t="str">
            <v>L-L-2.5</v>
          </cell>
        </row>
        <row r="54">
          <cell r="D54" t="str">
            <v>R-M-0.5</v>
          </cell>
        </row>
        <row r="55">
          <cell r="D55" t="str">
            <v>L-L-2.5</v>
          </cell>
        </row>
        <row r="56">
          <cell r="D56" t="str">
            <v>L-M-1</v>
          </cell>
        </row>
        <row r="57">
          <cell r="D57" t="str">
            <v>L-L-1</v>
          </cell>
        </row>
        <row r="58">
          <cell r="D58" t="str">
            <v>E-D-0.2</v>
          </cell>
        </row>
        <row r="59">
          <cell r="D59" t="str">
            <v>E-L-1</v>
          </cell>
        </row>
        <row r="60">
          <cell r="D60" t="str">
            <v>L-D-2.5</v>
          </cell>
        </row>
        <row r="61">
          <cell r="D61" t="str">
            <v>L-M-0.5</v>
          </cell>
        </row>
        <row r="62">
          <cell r="D62" t="str">
            <v>A-D-2.5</v>
          </cell>
        </row>
        <row r="63">
          <cell r="D63" t="str">
            <v>R-D-0.5</v>
          </cell>
        </row>
        <row r="64">
          <cell r="D64" t="str">
            <v>L-L-0.2</v>
          </cell>
        </row>
        <row r="65">
          <cell r="D65" t="str">
            <v>A-M-0.5</v>
          </cell>
        </row>
        <row r="66">
          <cell r="D66" t="str">
            <v>R-M-0.5</v>
          </cell>
        </row>
        <row r="67">
          <cell r="D67" t="str">
            <v>R-D-2.5</v>
          </cell>
        </row>
        <row r="68">
          <cell r="D68" t="str">
            <v>R-L-0.5</v>
          </cell>
        </row>
        <row r="69">
          <cell r="D69" t="str">
            <v>L-L-0.2</v>
          </cell>
        </row>
        <row r="70">
          <cell r="D70" t="str">
            <v>R-M-0.2</v>
          </cell>
        </row>
        <row r="71">
          <cell r="D71" t="str">
            <v>R-M-1</v>
          </cell>
        </row>
        <row r="72">
          <cell r="D72" t="str">
            <v>E-L-2.5</v>
          </cell>
        </row>
        <row r="73">
          <cell r="D73" t="str">
            <v>L-L-0.2</v>
          </cell>
        </row>
        <row r="74">
          <cell r="D74" t="str">
            <v>A-M-2.5</v>
          </cell>
        </row>
        <row r="75">
          <cell r="D75" t="str">
            <v>L-M-0.2</v>
          </cell>
        </row>
        <row r="76">
          <cell r="D76" t="str">
            <v>E-L-0.5</v>
          </cell>
        </row>
        <row r="77">
          <cell r="D77" t="str">
            <v>R-D-1</v>
          </cell>
        </row>
        <row r="78">
          <cell r="D78" t="str">
            <v>R-L-0.2</v>
          </cell>
        </row>
        <row r="79">
          <cell r="D79" t="str">
            <v>E-D-0.2</v>
          </cell>
        </row>
        <row r="80">
          <cell r="D80" t="str">
            <v>A-M-0.5</v>
          </cell>
        </row>
        <row r="81">
          <cell r="D81" t="str">
            <v>R-L-1</v>
          </cell>
        </row>
        <row r="82">
          <cell r="D82" t="str">
            <v>A-L-0.5</v>
          </cell>
        </row>
        <row r="83">
          <cell r="D83" t="str">
            <v>L-L-2.5</v>
          </cell>
        </row>
        <row r="84">
          <cell r="D84" t="str">
            <v>L-M-2.5</v>
          </cell>
        </row>
        <row r="85">
          <cell r="D85" t="str">
            <v>R-D-2.5</v>
          </cell>
        </row>
        <row r="86">
          <cell r="D86" t="str">
            <v>L-L-0.5</v>
          </cell>
        </row>
        <row r="87">
          <cell r="D87" t="str">
            <v>A-L-2.5</v>
          </cell>
        </row>
        <row r="88">
          <cell r="D88" t="str">
            <v>A-D-0.2</v>
          </cell>
        </row>
        <row r="89">
          <cell r="D89" t="str">
            <v>A-M-1</v>
          </cell>
        </row>
        <row r="90">
          <cell r="D90" t="str">
            <v>R-L-1</v>
          </cell>
        </row>
        <row r="91">
          <cell r="D91" t="str">
            <v>A-L-1</v>
          </cell>
        </row>
        <row r="92">
          <cell r="D92" t="str">
            <v>A-L-1</v>
          </cell>
        </row>
        <row r="93">
          <cell r="D93" t="str">
            <v>A-M-2.5</v>
          </cell>
        </row>
        <row r="94">
          <cell r="D94" t="str">
            <v>E-L-1</v>
          </cell>
        </row>
        <row r="95">
          <cell r="D95" t="str">
            <v>E-L-0.5</v>
          </cell>
        </row>
        <row r="96">
          <cell r="D96" t="str">
            <v>A-D-0.2</v>
          </cell>
        </row>
        <row r="97">
          <cell r="D97" t="str">
            <v>A-M-2.5</v>
          </cell>
        </row>
        <row r="98">
          <cell r="D98" t="str">
            <v>A-D-0.2</v>
          </cell>
        </row>
        <row r="99">
          <cell r="D99" t="str">
            <v>A-M-0.5</v>
          </cell>
        </row>
        <row r="100">
          <cell r="D100" t="str">
            <v>A-D-0.2</v>
          </cell>
        </row>
        <row r="101">
          <cell r="D101" t="str">
            <v>L-M-0.2</v>
          </cell>
        </row>
        <row r="102">
          <cell r="D102" t="str">
            <v>A-L-0.2</v>
          </cell>
        </row>
        <row r="103">
          <cell r="D103" t="str">
            <v>L-D-2.5</v>
          </cell>
        </row>
        <row r="104">
          <cell r="D104" t="str">
            <v>L-D-1</v>
          </cell>
        </row>
        <row r="105">
          <cell r="D105" t="str">
            <v>R-M-0.2</v>
          </cell>
        </row>
        <row r="106">
          <cell r="D106" t="str">
            <v>L-M-1</v>
          </cell>
        </row>
        <row r="107">
          <cell r="D107" t="str">
            <v>A-M-0.5</v>
          </cell>
        </row>
        <row r="108">
          <cell r="D108" t="str">
            <v>E-D-1</v>
          </cell>
        </row>
        <row r="109">
          <cell r="D109" t="str">
            <v>R-M-0.5</v>
          </cell>
        </row>
        <row r="110">
          <cell r="D110" t="str">
            <v>A-M-0.5</v>
          </cell>
        </row>
        <row r="111">
          <cell r="D111" t="str">
            <v>L-D-0.5</v>
          </cell>
        </row>
        <row r="112">
          <cell r="D112" t="str">
            <v>E-L-0.2</v>
          </cell>
        </row>
        <row r="113">
          <cell r="D113" t="str">
            <v>R-D-0.5</v>
          </cell>
        </row>
        <row r="114">
          <cell r="D114" t="str">
            <v>A-M-1</v>
          </cell>
        </row>
        <row r="115">
          <cell r="D115" t="str">
            <v>L-M-1</v>
          </cell>
        </row>
        <row r="116">
          <cell r="D116" t="str">
            <v>R-L-0.2</v>
          </cell>
        </row>
        <row r="117">
          <cell r="D117" t="str">
            <v>L-L-1</v>
          </cell>
        </row>
        <row r="118">
          <cell r="D118" t="str">
            <v>L-L-0.2</v>
          </cell>
        </row>
        <row r="119">
          <cell r="D119" t="str">
            <v>L-L-0.5</v>
          </cell>
        </row>
        <row r="120">
          <cell r="D120" t="str">
            <v>E-D-0.5</v>
          </cell>
        </row>
        <row r="121">
          <cell r="D121" t="str">
            <v>E-M-0.2</v>
          </cell>
        </row>
        <row r="122">
          <cell r="D122" t="str">
            <v>A-L-0.2</v>
          </cell>
        </row>
        <row r="123">
          <cell r="D123" t="str">
            <v>E-M-1</v>
          </cell>
        </row>
        <row r="124">
          <cell r="D124" t="str">
            <v>A-D-0.5</v>
          </cell>
        </row>
        <row r="125">
          <cell r="D125" t="str">
            <v>L-L-2.5</v>
          </cell>
        </row>
        <row r="126">
          <cell r="D126" t="str">
            <v>L-M-0.2</v>
          </cell>
        </row>
        <row r="127">
          <cell r="D127" t="str">
            <v>L-M-0.5</v>
          </cell>
        </row>
        <row r="128">
          <cell r="D128" t="str">
            <v>A-M-1</v>
          </cell>
        </row>
        <row r="129">
          <cell r="D129" t="str">
            <v>L-D-1</v>
          </cell>
        </row>
        <row r="130">
          <cell r="D130" t="str">
            <v>A-M-0.5</v>
          </cell>
        </row>
        <row r="131">
          <cell r="D131" t="str">
            <v>E-D-1</v>
          </cell>
        </row>
        <row r="132">
          <cell r="D132" t="str">
            <v>A-L-2.5</v>
          </cell>
        </row>
        <row r="133">
          <cell r="D133" t="str">
            <v>E-D-0.5</v>
          </cell>
        </row>
        <row r="134">
          <cell r="D134" t="str">
            <v>A-L-2.5</v>
          </cell>
        </row>
        <row r="135">
          <cell r="D135" t="str">
            <v>L-D-1</v>
          </cell>
        </row>
        <row r="136">
          <cell r="D136" t="str">
            <v>E-M-2.5</v>
          </cell>
        </row>
        <row r="137">
          <cell r="D137" t="str">
            <v>A-L-0.5</v>
          </cell>
        </row>
        <row r="138">
          <cell r="D138" t="str">
            <v>A-D-0.2</v>
          </cell>
        </row>
        <row r="139">
          <cell r="D139" t="str">
            <v>E-L-2.5</v>
          </cell>
        </row>
        <row r="140">
          <cell r="D140" t="str">
            <v>E-D-1</v>
          </cell>
        </row>
        <row r="141">
          <cell r="D141" t="str">
            <v>L-D-1</v>
          </cell>
        </row>
        <row r="142">
          <cell r="D142" t="str">
            <v>L-D-2.5</v>
          </cell>
        </row>
        <row r="143">
          <cell r="D143" t="str">
            <v>A-L-0.2</v>
          </cell>
        </row>
        <row r="144">
          <cell r="D144" t="str">
            <v>E-L-2.5</v>
          </cell>
        </row>
        <row r="145">
          <cell r="D145" t="str">
            <v>L-M-0.5</v>
          </cell>
        </row>
        <row r="146">
          <cell r="D146" t="str">
            <v>E-L-2.5</v>
          </cell>
        </row>
        <row r="147">
          <cell r="D147" t="str">
            <v>L-M-0.2</v>
          </cell>
        </row>
        <row r="148">
          <cell r="D148" t="str">
            <v>L-M-1</v>
          </cell>
        </row>
        <row r="149">
          <cell r="D149" t="str">
            <v>E-M-1</v>
          </cell>
        </row>
        <row r="150">
          <cell r="D150" t="str">
            <v>E-D-0.2</v>
          </cell>
        </row>
        <row r="151">
          <cell r="D151" t="str">
            <v>A-M-2.5</v>
          </cell>
        </row>
        <row r="152">
          <cell r="D152" t="str">
            <v>L-D-1</v>
          </cell>
        </row>
        <row r="153">
          <cell r="D153" t="str">
            <v>A-M-1</v>
          </cell>
        </row>
        <row r="154">
          <cell r="D154" t="str">
            <v>R-M-2.5</v>
          </cell>
        </row>
        <row r="155">
          <cell r="D155" t="str">
            <v>R-D-0.2</v>
          </cell>
        </row>
        <row r="156">
          <cell r="D156" t="str">
            <v>A-D-2.5</v>
          </cell>
        </row>
        <row r="157">
          <cell r="D157" t="str">
            <v>A-M-2.5</v>
          </cell>
        </row>
        <row r="158">
          <cell r="D158" t="str">
            <v>A-M-2.5</v>
          </cell>
        </row>
        <row r="159">
          <cell r="D159" t="str">
            <v>R-D-2.5</v>
          </cell>
        </row>
        <row r="160">
          <cell r="D160" t="str">
            <v>R-D-2.5</v>
          </cell>
        </row>
        <row r="161">
          <cell r="D161" t="str">
            <v>L-L-2.5</v>
          </cell>
        </row>
        <row r="162">
          <cell r="D162" t="str">
            <v>E-M-0.5</v>
          </cell>
        </row>
        <row r="163">
          <cell r="D163" t="str">
            <v>A-L-0.5</v>
          </cell>
        </row>
        <row r="164">
          <cell r="D164" t="str">
            <v>E-D-0.5</v>
          </cell>
        </row>
        <row r="165">
          <cell r="D165" t="str">
            <v>R-D-0.2</v>
          </cell>
        </row>
        <row r="166">
          <cell r="D166" t="str">
            <v>E-D-0.5</v>
          </cell>
        </row>
        <row r="167">
          <cell r="D167" t="str">
            <v>R-D-1</v>
          </cell>
        </row>
        <row r="168">
          <cell r="D168" t="str">
            <v>R-D-0.5</v>
          </cell>
        </row>
        <row r="169">
          <cell r="D169" t="str">
            <v>E-M-0.5</v>
          </cell>
        </row>
        <row r="170">
          <cell r="D170" t="str">
            <v>A-M-0.5</v>
          </cell>
        </row>
        <row r="171">
          <cell r="D171" t="str">
            <v>R-D-1</v>
          </cell>
        </row>
        <row r="172">
          <cell r="D172" t="str">
            <v>E-L-2.5</v>
          </cell>
        </row>
        <row r="173">
          <cell r="D173" t="str">
            <v>E-M-2.5</v>
          </cell>
        </row>
        <row r="174">
          <cell r="D174" t="str">
            <v>E-D-0.5</v>
          </cell>
        </row>
        <row r="175">
          <cell r="D175" t="str">
            <v>R-M-2.5</v>
          </cell>
        </row>
        <row r="176">
          <cell r="D176" t="str">
            <v>E-L-2.5</v>
          </cell>
        </row>
        <row r="177">
          <cell r="D177" t="str">
            <v>E-M-2.5</v>
          </cell>
        </row>
        <row r="178">
          <cell r="D178" t="str">
            <v>E-L-2.5</v>
          </cell>
        </row>
        <row r="179">
          <cell r="D179" t="str">
            <v>R-L-2.5</v>
          </cell>
        </row>
        <row r="180">
          <cell r="D180" t="str">
            <v>A-L-1</v>
          </cell>
        </row>
        <row r="181">
          <cell r="D181" t="str">
            <v>A-D-0.2</v>
          </cell>
        </row>
        <row r="182">
          <cell r="D182" t="str">
            <v>E-L-0.2</v>
          </cell>
        </row>
        <row r="183">
          <cell r="D183" t="str">
            <v>A-D-0.5</v>
          </cell>
        </row>
        <row r="184">
          <cell r="D184" t="str">
            <v>R-D-0.5</v>
          </cell>
        </row>
        <row r="185">
          <cell r="D185" t="str">
            <v>E-M-0.2</v>
          </cell>
        </row>
        <row r="186">
          <cell r="D186" t="str">
            <v>A-L-0.5</v>
          </cell>
        </row>
        <row r="187">
          <cell r="D187" t="str">
            <v>E-D-0.5</v>
          </cell>
        </row>
        <row r="188">
          <cell r="D188" t="str">
            <v>R-M-2.5</v>
          </cell>
        </row>
        <row r="189">
          <cell r="D189" t="str">
            <v>L-M-0.5</v>
          </cell>
        </row>
        <row r="190">
          <cell r="D190" t="str">
            <v>E-L-0.2</v>
          </cell>
        </row>
        <row r="191">
          <cell r="D191" t="str">
            <v>L-M-1</v>
          </cell>
        </row>
        <row r="192">
          <cell r="D192" t="str">
            <v>L-M-2.5</v>
          </cell>
        </row>
        <row r="193">
          <cell r="D193" t="str">
            <v>L-D-0.2</v>
          </cell>
        </row>
        <row r="194">
          <cell r="D194" t="str">
            <v>E-D-1</v>
          </cell>
        </row>
        <row r="195">
          <cell r="D195" t="str">
            <v>E-L-1</v>
          </cell>
        </row>
        <row r="196">
          <cell r="D196" t="str">
            <v>E-D-0.5</v>
          </cell>
        </row>
        <row r="197">
          <cell r="D197" t="str">
            <v>A-L-1</v>
          </cell>
        </row>
        <row r="198">
          <cell r="D198" t="str">
            <v>E-L-0.5</v>
          </cell>
        </row>
        <row r="199">
          <cell r="D199" t="str">
            <v>L-D-2.5</v>
          </cell>
        </row>
        <row r="200">
          <cell r="D200" t="str">
            <v>L-D-2.5</v>
          </cell>
        </row>
        <row r="201">
          <cell r="D201" t="str">
            <v>L-L-0.5</v>
          </cell>
        </row>
        <row r="202">
          <cell r="D202" t="str">
            <v>E-M-1</v>
          </cell>
        </row>
        <row r="203">
          <cell r="D203" t="str">
            <v>L-L-0.5</v>
          </cell>
        </row>
        <row r="204">
          <cell r="D204" t="str">
            <v>L-D-2.5</v>
          </cell>
        </row>
        <row r="205">
          <cell r="D205" t="str">
            <v>L-L-0.2</v>
          </cell>
        </row>
        <row r="206">
          <cell r="D206" t="str">
            <v>E-M-1</v>
          </cell>
        </row>
        <row r="207">
          <cell r="D207" t="str">
            <v>R-D-0.2</v>
          </cell>
        </row>
        <row r="208">
          <cell r="D208" t="str">
            <v>A-M-1</v>
          </cell>
        </row>
        <row r="209">
          <cell r="D209" t="str">
            <v>A-M-0.5</v>
          </cell>
        </row>
        <row r="210">
          <cell r="D210" t="str">
            <v>E-D-0.5</v>
          </cell>
        </row>
        <row r="211">
          <cell r="D211" t="str">
            <v>A-M-0.5</v>
          </cell>
        </row>
        <row r="212">
          <cell r="D212" t="str">
            <v>L-D-1</v>
          </cell>
        </row>
        <row r="213">
          <cell r="D213" t="str">
            <v>E-L-0.5</v>
          </cell>
        </row>
        <row r="214">
          <cell r="D214" t="str">
            <v>E-D-0.2</v>
          </cell>
        </row>
        <row r="215">
          <cell r="D215" t="str">
            <v>R-D-2.5</v>
          </cell>
        </row>
        <row r="216">
          <cell r="D216" t="str">
            <v>L-L-1</v>
          </cell>
        </row>
        <row r="217">
          <cell r="D217" t="str">
            <v>L-D-0.2</v>
          </cell>
        </row>
        <row r="218">
          <cell r="D218" t="str">
            <v>L-M-1</v>
          </cell>
        </row>
        <row r="219">
          <cell r="D219" t="str">
            <v>E-L-0.5</v>
          </cell>
        </row>
        <row r="220">
          <cell r="D220" t="str">
            <v>A-M-1</v>
          </cell>
        </row>
        <row r="221">
          <cell r="D221" t="str">
            <v>R-L-0.2</v>
          </cell>
        </row>
        <row r="222">
          <cell r="D222" t="str">
            <v>R-M-0.2</v>
          </cell>
        </row>
        <row r="223">
          <cell r="D223" t="str">
            <v>A-L-1</v>
          </cell>
        </row>
        <row r="224">
          <cell r="D224" t="str">
            <v>L-D-0.5</v>
          </cell>
        </row>
        <row r="225">
          <cell r="D225" t="str">
            <v>E-L-1</v>
          </cell>
        </row>
        <row r="226">
          <cell r="D226" t="str">
            <v>L-D-2.5</v>
          </cell>
        </row>
        <row r="227">
          <cell r="D227" t="str">
            <v>R-L-0.2</v>
          </cell>
        </row>
        <row r="228">
          <cell r="D228" t="str">
            <v>A-M-2.5</v>
          </cell>
        </row>
        <row r="229">
          <cell r="D229" t="str">
            <v>R-D-0.2</v>
          </cell>
        </row>
        <row r="230">
          <cell r="D230" t="str">
            <v>R-L-0.2</v>
          </cell>
        </row>
        <row r="231">
          <cell r="D231" t="str">
            <v>L-M-0.2</v>
          </cell>
        </row>
        <row r="232">
          <cell r="D232" t="str">
            <v>A-M-2.5</v>
          </cell>
        </row>
        <row r="233">
          <cell r="D233" t="str">
            <v>L-M-0.2</v>
          </cell>
        </row>
        <row r="234">
          <cell r="D234" t="str">
            <v>L-L-0.2</v>
          </cell>
        </row>
        <row r="235">
          <cell r="D235" t="str">
            <v>E-M-0.2</v>
          </cell>
        </row>
        <row r="236">
          <cell r="D236" t="str">
            <v>L-L-2.5</v>
          </cell>
        </row>
        <row r="237">
          <cell r="D237" t="str">
            <v>L-L-2.5</v>
          </cell>
        </row>
        <row r="238">
          <cell r="D238" t="str">
            <v>L-D-2.5</v>
          </cell>
        </row>
        <row r="239">
          <cell r="D239" t="str">
            <v>R-L-0.2</v>
          </cell>
        </row>
        <row r="240">
          <cell r="D240" t="str">
            <v>R-M-2.5</v>
          </cell>
        </row>
        <row r="241">
          <cell r="D241" t="str">
            <v>E-L-1</v>
          </cell>
        </row>
        <row r="242">
          <cell r="D242" t="str">
            <v>A-M-2.5</v>
          </cell>
        </row>
        <row r="243">
          <cell r="D243" t="str">
            <v>R-M-2.5</v>
          </cell>
        </row>
        <row r="244">
          <cell r="D244" t="str">
            <v>E-D-1</v>
          </cell>
        </row>
        <row r="245">
          <cell r="D245" t="str">
            <v>E-D-0.5</v>
          </cell>
        </row>
        <row r="246">
          <cell r="D246" t="str">
            <v>L-M-2.5</v>
          </cell>
        </row>
        <row r="247">
          <cell r="D247" t="str">
            <v>L-L-0.2</v>
          </cell>
        </row>
        <row r="248">
          <cell r="D248" t="str">
            <v>L-D-1</v>
          </cell>
        </row>
        <row r="249">
          <cell r="D249" t="str">
            <v>R-L-0.2</v>
          </cell>
        </row>
        <row r="250">
          <cell r="D250" t="str">
            <v>A-D-1</v>
          </cell>
        </row>
        <row r="251">
          <cell r="D251" t="str">
            <v>L-L-1</v>
          </cell>
        </row>
        <row r="252">
          <cell r="D252" t="str">
            <v>R-M-0.2</v>
          </cell>
        </row>
        <row r="253">
          <cell r="D253" t="str">
            <v>E-M-1</v>
          </cell>
        </row>
        <row r="254">
          <cell r="D254" t="str">
            <v>A-D-1</v>
          </cell>
        </row>
        <row r="255">
          <cell r="D255" t="str">
            <v>L-M-1</v>
          </cell>
        </row>
        <row r="256">
          <cell r="D256" t="str">
            <v>R-L-0.5</v>
          </cell>
        </row>
        <row r="257">
          <cell r="D257" t="str">
            <v>R-L-0.5</v>
          </cell>
        </row>
        <row r="258">
          <cell r="D258" t="str">
            <v>L-M-0.5</v>
          </cell>
        </row>
        <row r="259">
          <cell r="D259" t="str">
            <v>E-D-2.5</v>
          </cell>
        </row>
        <row r="260">
          <cell r="D260" t="str">
            <v>E-D-2.5</v>
          </cell>
        </row>
        <row r="261">
          <cell r="D261" t="str">
            <v>R-M-0.2</v>
          </cell>
        </row>
        <row r="262">
          <cell r="D262" t="str">
            <v>R-L-2.5</v>
          </cell>
        </row>
        <row r="263">
          <cell r="D263" t="str">
            <v>R-L-1</v>
          </cell>
        </row>
        <row r="264">
          <cell r="D264" t="str">
            <v>E-M-1</v>
          </cell>
        </row>
        <row r="265">
          <cell r="D265" t="str">
            <v>L-M-2.5</v>
          </cell>
        </row>
        <row r="266">
          <cell r="D266" t="str">
            <v>R-L-1</v>
          </cell>
        </row>
        <row r="267">
          <cell r="D267" t="str">
            <v>A-D-0.5</v>
          </cell>
        </row>
        <row r="268">
          <cell r="D268" t="str">
            <v>E-D-1</v>
          </cell>
        </row>
        <row r="269">
          <cell r="D269" t="str">
            <v>E-D-0.2</v>
          </cell>
        </row>
        <row r="270">
          <cell r="D270" t="str">
            <v>A-D-1</v>
          </cell>
        </row>
        <row r="271">
          <cell r="D271" t="str">
            <v>A-D-0.2</v>
          </cell>
        </row>
        <row r="272">
          <cell r="D272" t="str">
            <v>E-D-0.5</v>
          </cell>
        </row>
        <row r="273">
          <cell r="D273" t="str">
            <v>A-D-0.2</v>
          </cell>
        </row>
        <row r="274">
          <cell r="D274" t="str">
            <v>R-L-1</v>
          </cell>
        </row>
        <row r="275">
          <cell r="D275" t="str">
            <v>A-L-0.2</v>
          </cell>
        </row>
        <row r="276">
          <cell r="D276" t="str">
            <v>A-M-2.5</v>
          </cell>
        </row>
        <row r="277">
          <cell r="D277" t="str">
            <v>E-L-2.5</v>
          </cell>
        </row>
        <row r="278">
          <cell r="D278" t="str">
            <v>R-L-2.5</v>
          </cell>
        </row>
        <row r="279">
          <cell r="D279" t="str">
            <v>E-L-1</v>
          </cell>
        </row>
        <row r="280">
          <cell r="D280" t="str">
            <v>A-L-0.2</v>
          </cell>
        </row>
        <row r="281">
          <cell r="D281" t="str">
            <v>L-M-2.5</v>
          </cell>
        </row>
        <row r="282">
          <cell r="D282" t="str">
            <v>E-M-0.5</v>
          </cell>
        </row>
        <row r="283">
          <cell r="D283" t="str">
            <v>E-L-1</v>
          </cell>
        </row>
        <row r="284">
          <cell r="D284" t="str">
            <v>A-L-0.5</v>
          </cell>
        </row>
        <row r="285">
          <cell r="D285" t="str">
            <v>R-D-0.5</v>
          </cell>
        </row>
        <row r="286">
          <cell r="D286" t="str">
            <v>E-M-2.5</v>
          </cell>
        </row>
        <row r="287">
          <cell r="D287" t="str">
            <v>L-L-2.5</v>
          </cell>
        </row>
        <row r="288">
          <cell r="D288" t="str">
            <v>A-M-0.2</v>
          </cell>
        </row>
        <row r="289">
          <cell r="D289" t="str">
            <v>R-L-0.2</v>
          </cell>
        </row>
        <row r="290">
          <cell r="D290" t="str">
            <v>E-M-0.5</v>
          </cell>
        </row>
        <row r="291">
          <cell r="D291" t="str">
            <v>R-D-0.2</v>
          </cell>
        </row>
        <row r="292">
          <cell r="D292" t="str">
            <v>A-D-1</v>
          </cell>
        </row>
        <row r="293">
          <cell r="D293" t="str">
            <v>E-M-0.5</v>
          </cell>
        </row>
        <row r="294">
          <cell r="D294" t="str">
            <v>A-D-0.5</v>
          </cell>
        </row>
        <row r="295">
          <cell r="D295" t="str">
            <v>A-D-0.5</v>
          </cell>
        </row>
        <row r="296">
          <cell r="D296" t="str">
            <v>E-L-1</v>
          </cell>
        </row>
        <row r="297">
          <cell r="D297" t="str">
            <v>E-M-1</v>
          </cell>
        </row>
        <row r="298">
          <cell r="D298" t="str">
            <v>R-M-0.5</v>
          </cell>
        </row>
        <row r="299">
          <cell r="D299" t="str">
            <v>R-D-0.5</v>
          </cell>
        </row>
        <row r="300">
          <cell r="D300" t="str">
            <v>E-L-0.2</v>
          </cell>
        </row>
        <row r="301">
          <cell r="D301" t="str">
            <v>E-L-2.5</v>
          </cell>
        </row>
        <row r="302">
          <cell r="D302" t="str">
            <v>A-L-1</v>
          </cell>
        </row>
        <row r="303">
          <cell r="D303" t="str">
            <v>L-D-0.2</v>
          </cell>
        </row>
        <row r="304">
          <cell r="D304" t="str">
            <v>A-M-0.5</v>
          </cell>
        </row>
        <row r="305">
          <cell r="D305" t="str">
            <v>E-D-2.5</v>
          </cell>
        </row>
        <row r="306">
          <cell r="D306" t="str">
            <v>A-L-0.2</v>
          </cell>
        </row>
        <row r="307">
          <cell r="D307" t="str">
            <v>L-M-0.2</v>
          </cell>
        </row>
        <row r="308">
          <cell r="D308" t="str">
            <v>R-M-0.2</v>
          </cell>
        </row>
        <row r="309">
          <cell r="D309" t="str">
            <v>A-M-1</v>
          </cell>
        </row>
        <row r="310">
          <cell r="D310" t="str">
            <v>A-M-1</v>
          </cell>
        </row>
        <row r="311">
          <cell r="D311" t="str">
            <v>L-M-0.2</v>
          </cell>
        </row>
        <row r="312">
          <cell r="D312" t="str">
            <v>E-L-1</v>
          </cell>
        </row>
        <row r="313">
          <cell r="D313" t="str">
            <v>E-M-2.5</v>
          </cell>
        </row>
        <row r="314">
          <cell r="D314" t="str">
            <v>R-M-0.5</v>
          </cell>
        </row>
        <row r="315">
          <cell r="D315" t="str">
            <v>R-M-1</v>
          </cell>
        </row>
        <row r="316">
          <cell r="D316" t="str">
            <v>R-D-1</v>
          </cell>
        </row>
        <row r="317">
          <cell r="D317" t="str">
            <v>E-L-2.5</v>
          </cell>
        </row>
        <row r="318">
          <cell r="D318" t="str">
            <v>E-L-2.5</v>
          </cell>
        </row>
        <row r="319">
          <cell r="D319" t="str">
            <v>E-D-0.5</v>
          </cell>
        </row>
        <row r="320">
          <cell r="D320" t="str">
            <v>A-M-2.5</v>
          </cell>
        </row>
        <row r="321">
          <cell r="D321" t="str">
            <v>E-M-0.2</v>
          </cell>
        </row>
        <row r="322">
          <cell r="D322" t="str">
            <v>A-L-0.2</v>
          </cell>
        </row>
        <row r="323">
          <cell r="D323" t="str">
            <v>A-M-0.2</v>
          </cell>
        </row>
        <row r="324">
          <cell r="D324" t="str">
            <v>L-D-0.5</v>
          </cell>
        </row>
        <row r="325">
          <cell r="D325" t="str">
            <v>E-D-0.2</v>
          </cell>
        </row>
        <row r="326">
          <cell r="D326" t="str">
            <v>E-M-1</v>
          </cell>
        </row>
        <row r="327">
          <cell r="D327" t="str">
            <v>A-L-2.5</v>
          </cell>
        </row>
        <row r="328">
          <cell r="D328" t="str">
            <v>R-D-1</v>
          </cell>
        </row>
        <row r="329">
          <cell r="D329" t="str">
            <v>R-D-1</v>
          </cell>
        </row>
        <row r="330">
          <cell r="D330" t="str">
            <v>L-L-0.5</v>
          </cell>
        </row>
        <row r="331">
          <cell r="D331" t="str">
            <v>R-D-0.5</v>
          </cell>
        </row>
        <row r="332">
          <cell r="D332" t="str">
            <v>R-D-0.5</v>
          </cell>
        </row>
        <row r="333">
          <cell r="D333" t="str">
            <v>R-M-2.5</v>
          </cell>
        </row>
        <row r="334">
          <cell r="D334" t="str">
            <v>A-D-0.5</v>
          </cell>
        </row>
        <row r="335">
          <cell r="D335" t="str">
            <v>R-M-0.5</v>
          </cell>
        </row>
        <row r="336">
          <cell r="D336" t="str">
            <v>R-L-1</v>
          </cell>
        </row>
        <row r="337">
          <cell r="D337" t="str">
            <v>L-L-0.2</v>
          </cell>
        </row>
        <row r="338">
          <cell r="D338" t="str">
            <v>A-M-1</v>
          </cell>
        </row>
        <row r="339">
          <cell r="D339" t="str">
            <v>E-D-2.5</v>
          </cell>
        </row>
        <row r="340">
          <cell r="D340" t="str">
            <v>E-L-1</v>
          </cell>
        </row>
        <row r="341">
          <cell r="D341" t="str">
            <v>E-D-0.2</v>
          </cell>
        </row>
        <row r="342">
          <cell r="D342" t="str">
            <v>E-D-0.5</v>
          </cell>
        </row>
        <row r="343">
          <cell r="D343" t="str">
            <v>E-L-0.5</v>
          </cell>
        </row>
        <row r="344">
          <cell r="D344" t="str">
            <v>L-D-0.5</v>
          </cell>
        </row>
        <row r="345">
          <cell r="D345" t="str">
            <v>R-D-0.5</v>
          </cell>
        </row>
        <row r="346">
          <cell r="D346" t="str">
            <v>R-M-1</v>
          </cell>
        </row>
        <row r="347">
          <cell r="D347" t="str">
            <v>R-L-1</v>
          </cell>
        </row>
        <row r="348">
          <cell r="D348" t="str">
            <v>A-L-0.5</v>
          </cell>
        </row>
        <row r="349">
          <cell r="D349" t="str">
            <v>L-M-1</v>
          </cell>
        </row>
        <row r="350">
          <cell r="D350" t="str">
            <v>E-L-2.5</v>
          </cell>
        </row>
        <row r="351">
          <cell r="D351" t="str">
            <v>R-L-0.2</v>
          </cell>
        </row>
        <row r="352">
          <cell r="D352" t="str">
            <v>A-D-0.5</v>
          </cell>
        </row>
        <row r="353">
          <cell r="D353" t="str">
            <v>A-M-1</v>
          </cell>
        </row>
        <row r="354">
          <cell r="D354" t="str">
            <v>E-D-0.5</v>
          </cell>
        </row>
        <row r="355">
          <cell r="D355" t="str">
            <v>A-M-0.5</v>
          </cell>
        </row>
        <row r="356">
          <cell r="D356" t="str">
            <v>A-M-2.5</v>
          </cell>
        </row>
        <row r="357">
          <cell r="D357" t="str">
            <v>A-D-2.5</v>
          </cell>
        </row>
        <row r="358">
          <cell r="D358" t="str">
            <v>L-D-1</v>
          </cell>
        </row>
        <row r="359">
          <cell r="D359" t="str">
            <v>A-M-2.5</v>
          </cell>
        </row>
        <row r="360">
          <cell r="D360" t="str">
            <v>A-L-2.5</v>
          </cell>
        </row>
        <row r="361">
          <cell r="D361" t="str">
            <v>R-L-0.2</v>
          </cell>
        </row>
        <row r="362">
          <cell r="D362" t="str">
            <v>R-D-2.5</v>
          </cell>
        </row>
        <row r="363">
          <cell r="D363" t="str">
            <v>R-M-0.5</v>
          </cell>
        </row>
        <row r="364">
          <cell r="D364" t="str">
            <v>E-L-1</v>
          </cell>
        </row>
        <row r="365">
          <cell r="D365" t="str">
            <v>L-M-1</v>
          </cell>
        </row>
        <row r="366">
          <cell r="D366" t="str">
            <v>E-D-1</v>
          </cell>
        </row>
        <row r="367">
          <cell r="D367" t="str">
            <v>L-D-0.5</v>
          </cell>
        </row>
        <row r="368">
          <cell r="D368" t="str">
            <v>E-D-0.5</v>
          </cell>
        </row>
        <row r="369">
          <cell r="D369" t="str">
            <v>L-M-0.2</v>
          </cell>
        </row>
        <row r="370">
          <cell r="D370" t="str">
            <v>E-M-2.5</v>
          </cell>
        </row>
        <row r="371">
          <cell r="D371" t="str">
            <v>E-L-0.5</v>
          </cell>
        </row>
        <row r="372">
          <cell r="D372" t="str">
            <v>E-D-1</v>
          </cell>
        </row>
        <row r="373">
          <cell r="D373" t="str">
            <v>A-L-0.5</v>
          </cell>
        </row>
        <row r="374">
          <cell r="D374" t="str">
            <v>R-L-0.5</v>
          </cell>
        </row>
        <row r="375">
          <cell r="D375" t="str">
            <v>A-D-0.5</v>
          </cell>
        </row>
        <row r="376">
          <cell r="D376" t="str">
            <v>L-L-0.5</v>
          </cell>
        </row>
        <row r="377">
          <cell r="D377" t="str">
            <v>A-M-0.2</v>
          </cell>
        </row>
        <row r="378">
          <cell r="D378" t="str">
            <v>R-M-0.5</v>
          </cell>
        </row>
        <row r="379">
          <cell r="D379" t="str">
            <v>R-D-0.2</v>
          </cell>
        </row>
        <row r="380">
          <cell r="D380" t="str">
            <v>A-L-0.5</v>
          </cell>
        </row>
        <row r="381">
          <cell r="D381" t="str">
            <v>R-L-0.5</v>
          </cell>
        </row>
        <row r="382">
          <cell r="D382" t="str">
            <v>L-D-0.5</v>
          </cell>
        </row>
        <row r="383">
          <cell r="D383" t="str">
            <v>A-D-0.2</v>
          </cell>
        </row>
        <row r="384">
          <cell r="D384" t="str">
            <v>E-D-0.5</v>
          </cell>
        </row>
        <row r="385">
          <cell r="D385" t="str">
            <v>E-L-0.5</v>
          </cell>
        </row>
        <row r="386">
          <cell r="D386" t="str">
            <v>A-L-2.5</v>
          </cell>
        </row>
        <row r="387">
          <cell r="D387" t="str">
            <v>L-M-0.5</v>
          </cell>
        </row>
        <row r="388">
          <cell r="D388" t="str">
            <v>A-D-0.2</v>
          </cell>
        </row>
        <row r="389">
          <cell r="D389" t="str">
            <v>E-L-1</v>
          </cell>
        </row>
        <row r="390">
          <cell r="D390" t="str">
            <v>L-D-0.2</v>
          </cell>
        </row>
        <row r="391">
          <cell r="D391" t="str">
            <v>L-D-0.5</v>
          </cell>
        </row>
        <row r="392">
          <cell r="D392" t="str">
            <v>E-D-0.5</v>
          </cell>
        </row>
        <row r="393">
          <cell r="D393" t="str">
            <v>A-M-0.5</v>
          </cell>
        </row>
        <row r="394">
          <cell r="D394" t="str">
            <v>E-L-1</v>
          </cell>
        </row>
        <row r="395">
          <cell r="D395" t="str">
            <v>A-L-0.2</v>
          </cell>
        </row>
        <row r="396">
          <cell r="D396" t="str">
            <v>R-L-2.5</v>
          </cell>
        </row>
        <row r="397">
          <cell r="D397" t="str">
            <v>L-D-0.5</v>
          </cell>
        </row>
        <row r="398">
          <cell r="D398" t="str">
            <v>A-L-0.5</v>
          </cell>
        </row>
        <row r="399">
          <cell r="D399" t="str">
            <v>L-D-0.5</v>
          </cell>
        </row>
        <row r="400">
          <cell r="D400" t="str">
            <v>A-D-0.2</v>
          </cell>
        </row>
        <row r="401">
          <cell r="D401" t="str">
            <v>E-D-2.5</v>
          </cell>
        </row>
        <row r="402">
          <cell r="D402" t="str">
            <v>L-L-1</v>
          </cell>
        </row>
        <row r="403">
          <cell r="D403" t="str">
            <v>L-M-0.2</v>
          </cell>
        </row>
        <row r="404">
          <cell r="D404" t="str">
            <v>R-D-1</v>
          </cell>
        </row>
        <row r="405">
          <cell r="D405" t="str">
            <v>L-L-0.2</v>
          </cell>
        </row>
        <row r="406">
          <cell r="D406" t="str">
            <v>A-D-1</v>
          </cell>
        </row>
        <row r="407">
          <cell r="D407" t="str">
            <v>E-M-0.5</v>
          </cell>
        </row>
        <row r="408">
          <cell r="D408" t="str">
            <v>E-M-1</v>
          </cell>
        </row>
        <row r="409">
          <cell r="D409" t="str">
            <v>E-M-0.5</v>
          </cell>
        </row>
        <row r="410">
          <cell r="D410" t="str">
            <v>A-M-2.5</v>
          </cell>
        </row>
        <row r="411">
          <cell r="D411" t="str">
            <v>L-L-1</v>
          </cell>
        </row>
        <row r="412">
          <cell r="D412" t="str">
            <v>A-L-0.2</v>
          </cell>
        </row>
        <row r="413">
          <cell r="D413" t="str">
            <v>L-M-1</v>
          </cell>
        </row>
        <row r="414">
          <cell r="D414" t="str">
            <v>A-M-1</v>
          </cell>
        </row>
        <row r="415">
          <cell r="D415" t="str">
            <v>L-L-2.5</v>
          </cell>
        </row>
        <row r="416">
          <cell r="D416" t="str">
            <v>R-L-0.2</v>
          </cell>
        </row>
        <row r="417">
          <cell r="D417" t="str">
            <v>R-M-0.2</v>
          </cell>
        </row>
        <row r="418">
          <cell r="D418" t="str">
            <v>A-L-0.5</v>
          </cell>
        </row>
        <row r="419">
          <cell r="D419" t="str">
            <v>A-L-2.5</v>
          </cell>
        </row>
        <row r="420">
          <cell r="D420" t="str">
            <v>A-L-2.5</v>
          </cell>
        </row>
        <row r="421">
          <cell r="D421" t="str">
            <v>L-M-0.5</v>
          </cell>
        </row>
        <row r="422">
          <cell r="D422" t="str">
            <v>L-D-0.5</v>
          </cell>
        </row>
        <row r="423">
          <cell r="D423" t="str">
            <v>A-D-2.5</v>
          </cell>
        </row>
        <row r="424">
          <cell r="D424" t="str">
            <v>A-D-0.5</v>
          </cell>
        </row>
        <row r="425">
          <cell r="D425" t="str">
            <v>R-M-0.5</v>
          </cell>
        </row>
        <row r="426">
          <cell r="D426" t="str">
            <v>E-L-0.5</v>
          </cell>
        </row>
        <row r="427">
          <cell r="D427" t="str">
            <v>R-D-1</v>
          </cell>
        </row>
        <row r="428">
          <cell r="D428" t="str">
            <v>R-L-0.2</v>
          </cell>
        </row>
        <row r="429">
          <cell r="D429" t="str">
            <v>A-M-2.5</v>
          </cell>
        </row>
        <row r="430">
          <cell r="D430" t="str">
            <v>R-L-1</v>
          </cell>
        </row>
        <row r="431">
          <cell r="D431" t="str">
            <v>A-L-1</v>
          </cell>
        </row>
        <row r="432">
          <cell r="D432" t="str">
            <v>R-D-0.2</v>
          </cell>
        </row>
        <row r="433">
          <cell r="D433" t="str">
            <v>E-D-2.5</v>
          </cell>
        </row>
        <row r="434">
          <cell r="D434" t="str">
            <v>A-M-1</v>
          </cell>
        </row>
        <row r="435">
          <cell r="D435" t="str">
            <v>L-M-2.5</v>
          </cell>
        </row>
        <row r="436">
          <cell r="D436" t="str">
            <v>A-M-1</v>
          </cell>
        </row>
        <row r="437">
          <cell r="D437" t="str">
            <v>E-M-0.5</v>
          </cell>
        </row>
        <row r="438">
          <cell r="D438" t="str">
            <v>L-L-0.2</v>
          </cell>
        </row>
        <row r="439">
          <cell r="D439" t="str">
            <v>L-D-2.5</v>
          </cell>
        </row>
        <row r="440">
          <cell r="D440" t="str">
            <v>L-D-0.5</v>
          </cell>
        </row>
        <row r="441">
          <cell r="D441" t="str">
            <v>E-L-0.5</v>
          </cell>
        </row>
        <row r="442">
          <cell r="D442" t="str">
            <v>A-M-2.5</v>
          </cell>
        </row>
        <row r="443">
          <cell r="D443" t="str">
            <v>E-D-1</v>
          </cell>
        </row>
        <row r="444">
          <cell r="D444" t="str">
            <v>R-L-0.5</v>
          </cell>
        </row>
        <row r="445">
          <cell r="D445" t="str">
            <v>E-L-0.2</v>
          </cell>
        </row>
        <row r="446">
          <cell r="D446" t="str">
            <v>E-M-0.2</v>
          </cell>
        </row>
        <row r="447">
          <cell r="D447" t="str">
            <v>L-M-2.5</v>
          </cell>
        </row>
        <row r="448">
          <cell r="D448" t="str">
            <v>L-M-0.5</v>
          </cell>
        </row>
        <row r="449">
          <cell r="D449" t="str">
            <v>R-M-0.5</v>
          </cell>
        </row>
        <row r="450">
          <cell r="D450" t="str">
            <v>R-L-0.5</v>
          </cell>
        </row>
        <row r="451">
          <cell r="D451" t="str">
            <v>R-D-0.2</v>
          </cell>
        </row>
        <row r="452">
          <cell r="D452" t="str">
            <v>L-L-0.2</v>
          </cell>
        </row>
        <row r="453">
          <cell r="D453" t="str">
            <v>R-D-2.5</v>
          </cell>
        </row>
        <row r="454">
          <cell r="D454" t="str">
            <v>A-L-0.2</v>
          </cell>
        </row>
        <row r="455">
          <cell r="D455" t="str">
            <v>L-L-0.5</v>
          </cell>
        </row>
        <row r="456">
          <cell r="D456" t="str">
            <v>R-D-2.5</v>
          </cell>
        </row>
        <row r="457">
          <cell r="D457" t="str">
            <v>L-L-0.2</v>
          </cell>
        </row>
        <row r="458">
          <cell r="D458" t="str">
            <v>R-D-2.5</v>
          </cell>
        </row>
        <row r="459">
          <cell r="D459" t="str">
            <v>L-L-0.5</v>
          </cell>
        </row>
        <row r="460">
          <cell r="D460" t="str">
            <v>A-M-1</v>
          </cell>
        </row>
        <row r="461">
          <cell r="D461" t="str">
            <v>L-L-0.2</v>
          </cell>
        </row>
        <row r="462">
          <cell r="D462" t="str">
            <v>R-D-0.5</v>
          </cell>
        </row>
        <row r="463">
          <cell r="D463" t="str">
            <v>R-D-0.2</v>
          </cell>
        </row>
        <row r="464">
          <cell r="D464" t="str">
            <v>A-D-1</v>
          </cell>
        </row>
        <row r="465">
          <cell r="D465" t="str">
            <v>E-M-1</v>
          </cell>
        </row>
        <row r="466">
          <cell r="D466" t="str">
            <v>L-D-2.5</v>
          </cell>
        </row>
        <row r="467">
          <cell r="D467" t="str">
            <v>R-D-2.5</v>
          </cell>
        </row>
        <row r="468">
          <cell r="D468" t="str">
            <v>A-D-0.2</v>
          </cell>
        </row>
        <row r="469">
          <cell r="D469" t="str">
            <v>A-D-0.5</v>
          </cell>
        </row>
        <row r="470">
          <cell r="D470" t="str">
            <v>E-M-1</v>
          </cell>
        </row>
        <row r="471">
          <cell r="D471" t="str">
            <v>E-L-0.2</v>
          </cell>
        </row>
        <row r="472">
          <cell r="D472" t="str">
            <v>A-M-0.5</v>
          </cell>
        </row>
        <row r="473">
          <cell r="D473" t="str">
            <v>L-M-2.5</v>
          </cell>
        </row>
        <row r="474">
          <cell r="D474" t="str">
            <v>A-D-0.2</v>
          </cell>
        </row>
        <row r="475">
          <cell r="D475" t="str">
            <v>A-L-1</v>
          </cell>
        </row>
        <row r="476">
          <cell r="D476" t="str">
            <v>E-M-2.5</v>
          </cell>
        </row>
        <row r="477">
          <cell r="D477" t="str">
            <v>L-M-0.2</v>
          </cell>
        </row>
        <row r="478">
          <cell r="D478" t="str">
            <v>E-L-0.2</v>
          </cell>
        </row>
        <row r="479">
          <cell r="D479" t="str">
            <v>L-M-0.2</v>
          </cell>
        </row>
        <row r="480">
          <cell r="D480" t="str">
            <v>R-D-1</v>
          </cell>
        </row>
        <row r="481">
          <cell r="D481" t="str">
            <v>E-M-2.5</v>
          </cell>
        </row>
        <row r="482">
          <cell r="D482" t="str">
            <v>E-M-0.2</v>
          </cell>
        </row>
        <row r="483">
          <cell r="D483" t="str">
            <v>R-L-1</v>
          </cell>
        </row>
        <row r="484">
          <cell r="D484" t="str">
            <v>E-D-2.5</v>
          </cell>
        </row>
        <row r="485">
          <cell r="D485" t="str">
            <v>L-D-2.5</v>
          </cell>
        </row>
        <row r="486">
          <cell r="D486" t="str">
            <v>L-L-0.5</v>
          </cell>
        </row>
        <row r="487">
          <cell r="D487" t="str">
            <v>R-L-0.2</v>
          </cell>
        </row>
        <row r="488">
          <cell r="D488" t="str">
            <v>L-M-0.5</v>
          </cell>
        </row>
        <row r="489">
          <cell r="D489" t="str">
            <v>E-D-1</v>
          </cell>
        </row>
        <row r="490">
          <cell r="D490" t="str">
            <v>R-M-0.2</v>
          </cell>
        </row>
        <row r="491">
          <cell r="D491" t="str">
            <v>L-L-1</v>
          </cell>
        </row>
        <row r="492">
          <cell r="D492" t="str">
            <v>L-D-0.5</v>
          </cell>
        </row>
        <row r="493">
          <cell r="D493" t="str">
            <v>L-D-0.2</v>
          </cell>
        </row>
        <row r="494">
          <cell r="D494" t="str">
            <v>E-M-0.2</v>
          </cell>
        </row>
        <row r="495">
          <cell r="D495" t="str">
            <v>R-M-0.5</v>
          </cell>
        </row>
        <row r="496">
          <cell r="D496" t="str">
            <v>L-L-1</v>
          </cell>
        </row>
        <row r="497">
          <cell r="D497" t="str">
            <v>L-L-1</v>
          </cell>
        </row>
        <row r="498">
          <cell r="D498" t="str">
            <v>E-D-0.2</v>
          </cell>
        </row>
        <row r="499">
          <cell r="D499" t="str">
            <v>A-D-1</v>
          </cell>
        </row>
        <row r="500">
          <cell r="D500" t="str">
            <v>R-M-1</v>
          </cell>
        </row>
        <row r="501">
          <cell r="D501" t="str">
            <v>R-D-0.2</v>
          </cell>
        </row>
        <row r="502">
          <cell r="D502" t="str">
            <v>R-L-1</v>
          </cell>
        </row>
        <row r="503">
          <cell r="D503" t="str">
            <v>R-M-0.2</v>
          </cell>
        </row>
        <row r="504">
          <cell r="D504" t="str">
            <v>E-M-0.2</v>
          </cell>
        </row>
        <row r="505">
          <cell r="D505" t="str">
            <v>L-D-1</v>
          </cell>
        </row>
        <row r="506">
          <cell r="D506" t="str">
            <v>L-L-0.2</v>
          </cell>
        </row>
        <row r="507">
          <cell r="D507" t="str">
            <v>L-M-0.2</v>
          </cell>
        </row>
        <row r="508">
          <cell r="D508" t="str">
            <v>A-L-1</v>
          </cell>
        </row>
        <row r="509">
          <cell r="D509" t="str">
            <v>A-L-2.5</v>
          </cell>
        </row>
        <row r="510">
          <cell r="D510" t="str">
            <v>L-D-0.5</v>
          </cell>
        </row>
        <row r="511">
          <cell r="D511" t="str">
            <v>A-D-1</v>
          </cell>
        </row>
        <row r="512">
          <cell r="D512" t="str">
            <v>R-L-0.2</v>
          </cell>
        </row>
        <row r="513">
          <cell r="D513" t="str">
            <v>A-M-0.2</v>
          </cell>
        </row>
        <row r="514">
          <cell r="D514" t="str">
            <v>L-L-1</v>
          </cell>
        </row>
        <row r="515">
          <cell r="D515" t="str">
            <v>L-L-1</v>
          </cell>
        </row>
        <row r="516">
          <cell r="D516" t="str">
            <v>L-M-0.2</v>
          </cell>
        </row>
        <row r="517">
          <cell r="D517" t="str">
            <v>R-L-0.5</v>
          </cell>
        </row>
        <row r="518">
          <cell r="D518" t="str">
            <v>R-D-2.5</v>
          </cell>
        </row>
        <row r="519">
          <cell r="D519" t="str">
            <v>L-D-0.2</v>
          </cell>
        </row>
        <row r="520">
          <cell r="D520" t="str">
            <v>E-D-2.5</v>
          </cell>
        </row>
        <row r="521">
          <cell r="D521" t="str">
            <v>A-D-0.5</v>
          </cell>
        </row>
        <row r="522">
          <cell r="D522" t="str">
            <v>L-D-0.2</v>
          </cell>
        </row>
        <row r="523">
          <cell r="D523" t="str">
            <v>R-M-1</v>
          </cell>
        </row>
        <row r="524">
          <cell r="D524" t="str">
            <v>R-M-0.5</v>
          </cell>
        </row>
        <row r="525">
          <cell r="D525" t="str">
            <v>L-D-2.5</v>
          </cell>
        </row>
        <row r="526">
          <cell r="D526" t="str">
            <v>L-L-2.5</v>
          </cell>
        </row>
        <row r="527">
          <cell r="D527" t="str">
            <v>R-D-0.2</v>
          </cell>
        </row>
        <row r="528">
          <cell r="D528" t="str">
            <v>E-M-2.5</v>
          </cell>
        </row>
        <row r="529">
          <cell r="D529" t="str">
            <v>E-M-0.5</v>
          </cell>
        </row>
        <row r="530">
          <cell r="D530" t="str">
            <v>E-L-0.5</v>
          </cell>
        </row>
        <row r="531">
          <cell r="D531" t="str">
            <v>R-M-1</v>
          </cell>
        </row>
        <row r="532">
          <cell r="D532" t="str">
            <v>R-M-1</v>
          </cell>
        </row>
        <row r="533">
          <cell r="D533" t="str">
            <v>R-D-1</v>
          </cell>
        </row>
        <row r="534">
          <cell r="D534" t="str">
            <v>E-M-0.5</v>
          </cell>
        </row>
        <row r="535">
          <cell r="D535" t="str">
            <v>R-D-0.5</v>
          </cell>
        </row>
        <row r="536">
          <cell r="D536" t="str">
            <v>R-M-2.5</v>
          </cell>
        </row>
        <row r="537">
          <cell r="D537" t="str">
            <v>L-L-0.2</v>
          </cell>
        </row>
        <row r="538">
          <cell r="D538" t="str">
            <v>R-D-0.2</v>
          </cell>
        </row>
        <row r="539">
          <cell r="D539" t="str">
            <v>E-D-2.5</v>
          </cell>
        </row>
        <row r="540">
          <cell r="D540" t="str">
            <v>R-D-0.2</v>
          </cell>
        </row>
        <row r="541">
          <cell r="D541" t="str">
            <v>R-D-0.5</v>
          </cell>
        </row>
        <row r="542">
          <cell r="D542" t="str">
            <v>L-L-1</v>
          </cell>
        </row>
        <row r="543">
          <cell r="D543" t="str">
            <v>A-D-2.5</v>
          </cell>
        </row>
        <row r="544">
          <cell r="D544" t="str">
            <v>A-M-2.5</v>
          </cell>
        </row>
        <row r="545">
          <cell r="D545" t="str">
            <v>R-L-2.5</v>
          </cell>
        </row>
        <row r="546">
          <cell r="D546" t="str">
            <v>A-L-0.5</v>
          </cell>
        </row>
        <row r="547">
          <cell r="D547" t="str">
            <v>L-D-0.2</v>
          </cell>
        </row>
        <row r="548">
          <cell r="D548" t="str">
            <v>E-D-2.5</v>
          </cell>
        </row>
        <row r="549">
          <cell r="D549" t="str">
            <v>R-L-0.2</v>
          </cell>
        </row>
        <row r="550">
          <cell r="D550" t="str">
            <v>E-L-0.2</v>
          </cell>
        </row>
        <row r="551">
          <cell r="D551" t="str">
            <v>E-L-0.2</v>
          </cell>
        </row>
        <row r="552">
          <cell r="D552" t="str">
            <v>L-D-0.2</v>
          </cell>
        </row>
        <row r="553">
          <cell r="D553" t="str">
            <v>E-D-0.2</v>
          </cell>
        </row>
        <row r="554">
          <cell r="D554" t="str">
            <v>E-L-0.2</v>
          </cell>
        </row>
        <row r="555">
          <cell r="D555" t="str">
            <v>E-M-1</v>
          </cell>
        </row>
        <row r="556">
          <cell r="D556" t="str">
            <v>R-L-2.5</v>
          </cell>
        </row>
        <row r="557">
          <cell r="D557" t="str">
            <v>E-M-1</v>
          </cell>
        </row>
        <row r="558">
          <cell r="D558" t="str">
            <v>L-M-0.2</v>
          </cell>
        </row>
        <row r="559">
          <cell r="D559" t="str">
            <v>E-L-1</v>
          </cell>
        </row>
        <row r="560">
          <cell r="D560" t="str">
            <v>L-D-0.2</v>
          </cell>
        </row>
        <row r="561">
          <cell r="D561" t="str">
            <v>A-L-1</v>
          </cell>
        </row>
        <row r="562">
          <cell r="D562" t="str">
            <v>E-M-2.5</v>
          </cell>
        </row>
        <row r="563">
          <cell r="D563" t="str">
            <v>A-D-0.2</v>
          </cell>
        </row>
        <row r="564">
          <cell r="D564" t="str">
            <v>L-L-0.2</v>
          </cell>
        </row>
        <row r="565">
          <cell r="D565" t="str">
            <v>E-M-1</v>
          </cell>
        </row>
        <row r="566">
          <cell r="D566" t="str">
            <v>R-L-0.5</v>
          </cell>
        </row>
        <row r="567">
          <cell r="D567" t="str">
            <v>R-D-2.5</v>
          </cell>
        </row>
        <row r="568">
          <cell r="D568" t="str">
            <v>A-M-0.2</v>
          </cell>
        </row>
        <row r="569">
          <cell r="D569" t="str">
            <v>R-L-2.5</v>
          </cell>
        </row>
        <row r="570">
          <cell r="D570" t="str">
            <v>L-L-0.2</v>
          </cell>
        </row>
        <row r="571">
          <cell r="D571" t="str">
            <v>A-D-2.5</v>
          </cell>
        </row>
        <row r="572">
          <cell r="D572" t="str">
            <v>A-M-0.5</v>
          </cell>
        </row>
        <row r="573">
          <cell r="D573" t="str">
            <v>E-L-0.5</v>
          </cell>
        </row>
        <row r="574">
          <cell r="D574" t="str">
            <v>A-D-0.2</v>
          </cell>
        </row>
        <row r="575">
          <cell r="D575" t="str">
            <v>A-M-1</v>
          </cell>
        </row>
        <row r="576">
          <cell r="D576" t="str">
            <v>R-L-0.2</v>
          </cell>
        </row>
        <row r="577">
          <cell r="D577" t="str">
            <v>L-M-2.5</v>
          </cell>
        </row>
        <row r="578">
          <cell r="D578" t="str">
            <v>A-D-0.2</v>
          </cell>
        </row>
        <row r="579">
          <cell r="D579" t="str">
            <v>L-M-1</v>
          </cell>
        </row>
        <row r="580">
          <cell r="D580" t="str">
            <v>E-L-0.2</v>
          </cell>
        </row>
        <row r="581">
          <cell r="D581" t="str">
            <v>A-M-0.5</v>
          </cell>
        </row>
        <row r="582">
          <cell r="D582" t="str">
            <v>E-L-1</v>
          </cell>
        </row>
        <row r="583">
          <cell r="D583" t="str">
            <v>E-L-0.5</v>
          </cell>
        </row>
        <row r="584">
          <cell r="D584" t="str">
            <v>E-D-1</v>
          </cell>
        </row>
        <row r="585">
          <cell r="D585" t="str">
            <v>R-L-0.2</v>
          </cell>
        </row>
        <row r="586">
          <cell r="D586" t="str">
            <v>R-L-0.2</v>
          </cell>
        </row>
        <row r="587">
          <cell r="D587" t="str">
            <v>E-M-0.5</v>
          </cell>
        </row>
        <row r="588">
          <cell r="D588" t="str">
            <v>R-L-2.5</v>
          </cell>
        </row>
        <row r="589">
          <cell r="D589" t="str">
            <v>L-D-0.5</v>
          </cell>
        </row>
        <row r="590">
          <cell r="D590" t="str">
            <v>R-M-0.5</v>
          </cell>
        </row>
        <row r="591">
          <cell r="D591" t="str">
            <v>E-L-2.5</v>
          </cell>
        </row>
        <row r="592">
          <cell r="D592" t="str">
            <v>E-M-2.5</v>
          </cell>
        </row>
        <row r="593">
          <cell r="D593" t="str">
            <v>R-D-0.2</v>
          </cell>
        </row>
        <row r="594">
          <cell r="D594" t="str">
            <v>A-M-2.5</v>
          </cell>
        </row>
        <row r="595">
          <cell r="D595" t="str">
            <v>E-D-2.5</v>
          </cell>
        </row>
        <row r="596">
          <cell r="D596" t="str">
            <v>A-L-2.5</v>
          </cell>
        </row>
        <row r="597">
          <cell r="D597" t="str">
            <v>E-L-1</v>
          </cell>
        </row>
        <row r="598">
          <cell r="D598" t="str">
            <v>A-M-0.5</v>
          </cell>
        </row>
        <row r="599">
          <cell r="D599" t="str">
            <v>L-L-2.5</v>
          </cell>
        </row>
        <row r="600">
          <cell r="D600" t="str">
            <v>R-M-0.2</v>
          </cell>
        </row>
        <row r="601">
          <cell r="D601" t="str">
            <v>A-D-0.2</v>
          </cell>
        </row>
        <row r="602">
          <cell r="D602" t="str">
            <v>L-D-0.5</v>
          </cell>
        </row>
        <row r="603">
          <cell r="D603" t="str">
            <v>R-L-2.5</v>
          </cell>
        </row>
        <row r="604">
          <cell r="D604" t="str">
            <v>E-L-0.2</v>
          </cell>
        </row>
        <row r="605">
          <cell r="D605" t="str">
            <v>R-M-0.2</v>
          </cell>
        </row>
        <row r="606">
          <cell r="D606" t="str">
            <v>L-D-2.5</v>
          </cell>
        </row>
        <row r="607">
          <cell r="D607" t="str">
            <v>A-L-2.5</v>
          </cell>
        </row>
        <row r="608">
          <cell r="D608" t="str">
            <v>L-L-2.5</v>
          </cell>
        </row>
        <row r="609">
          <cell r="D609" t="str">
            <v>E-D-0.2</v>
          </cell>
        </row>
        <row r="610">
          <cell r="D610" t="str">
            <v>E-D-2.5</v>
          </cell>
        </row>
        <row r="611">
          <cell r="D611" t="str">
            <v>L-M-0.2</v>
          </cell>
        </row>
        <row r="612">
          <cell r="D612" t="str">
            <v>R-M-1</v>
          </cell>
        </row>
        <row r="613">
          <cell r="D613" t="str">
            <v>E-L-2.5</v>
          </cell>
        </row>
        <row r="614">
          <cell r="D614" t="str">
            <v>A-M-0.2</v>
          </cell>
        </row>
        <row r="615">
          <cell r="D615" t="str">
            <v>R-M-0.5</v>
          </cell>
        </row>
        <row r="616">
          <cell r="D616" t="str">
            <v>R-M-0.5</v>
          </cell>
        </row>
        <row r="617">
          <cell r="D617" t="str">
            <v>L-L-2.5</v>
          </cell>
        </row>
        <row r="618">
          <cell r="D618" t="str">
            <v>E-M-2.5</v>
          </cell>
        </row>
        <row r="619">
          <cell r="D619" t="str">
            <v>L-M-2.5</v>
          </cell>
        </row>
        <row r="620">
          <cell r="D620" t="str">
            <v>E-D-1</v>
          </cell>
        </row>
        <row r="621">
          <cell r="D621" t="str">
            <v>L-D-0.5</v>
          </cell>
        </row>
        <row r="622">
          <cell r="D622" t="str">
            <v>A-M-0.2</v>
          </cell>
        </row>
        <row r="623">
          <cell r="D623" t="str">
            <v>A-L-1</v>
          </cell>
        </row>
        <row r="624">
          <cell r="D624" t="str">
            <v>L-M-2.5</v>
          </cell>
        </row>
        <row r="625">
          <cell r="D625" t="str">
            <v>E-D-1</v>
          </cell>
        </row>
        <row r="626">
          <cell r="D626" t="str">
            <v>E-M-2.5</v>
          </cell>
        </row>
        <row r="627">
          <cell r="D627" t="str">
            <v>R-L-0.5</v>
          </cell>
        </row>
        <row r="628">
          <cell r="D628" t="str">
            <v>A-M-2.5</v>
          </cell>
        </row>
        <row r="629">
          <cell r="D629" t="str">
            <v>E-M-2.5</v>
          </cell>
        </row>
        <row r="630">
          <cell r="D630" t="str">
            <v>E-L-0.2</v>
          </cell>
        </row>
        <row r="631">
          <cell r="D631" t="str">
            <v>L-D-0.5</v>
          </cell>
        </row>
        <row r="632">
          <cell r="D632" t="str">
            <v>A-D-0.2</v>
          </cell>
        </row>
        <row r="633">
          <cell r="D633" t="str">
            <v>R-D-2.5</v>
          </cell>
        </row>
        <row r="634">
          <cell r="D634" t="str">
            <v>E-L-0.5</v>
          </cell>
        </row>
        <row r="635">
          <cell r="D635" t="str">
            <v>R-L-1</v>
          </cell>
        </row>
        <row r="636">
          <cell r="D636" t="str">
            <v>L-M-1</v>
          </cell>
        </row>
        <row r="637">
          <cell r="D637" t="str">
            <v>E-L-0.5</v>
          </cell>
        </row>
        <row r="638">
          <cell r="D638" t="str">
            <v>L-L-1</v>
          </cell>
        </row>
        <row r="639">
          <cell r="D639" t="str">
            <v>E-M-2.5</v>
          </cell>
        </row>
        <row r="640">
          <cell r="D640" t="str">
            <v>A-M-2.5</v>
          </cell>
        </row>
        <row r="641">
          <cell r="D641" t="str">
            <v>L-D-0.2</v>
          </cell>
        </row>
        <row r="642">
          <cell r="D642" t="str">
            <v>R-L-2.5</v>
          </cell>
        </row>
        <row r="643">
          <cell r="D643" t="str">
            <v>R-L-1</v>
          </cell>
        </row>
        <row r="644">
          <cell r="D644" t="str">
            <v>E-M-0.2</v>
          </cell>
        </row>
        <row r="645">
          <cell r="D645" t="str">
            <v>E-L-2.5</v>
          </cell>
        </row>
        <row r="646">
          <cell r="D646" t="str">
            <v>R-D-2.5</v>
          </cell>
        </row>
        <row r="647">
          <cell r="D647" t="str">
            <v>A-D-2.5</v>
          </cell>
        </row>
        <row r="648">
          <cell r="D648" t="str">
            <v>A-D-1</v>
          </cell>
        </row>
        <row r="649">
          <cell r="D649" t="str">
            <v>L-L-0.5</v>
          </cell>
        </row>
        <row r="650">
          <cell r="D650" t="str">
            <v>R-D-0.2</v>
          </cell>
        </row>
        <row r="651">
          <cell r="D651" t="str">
            <v>L-L-1</v>
          </cell>
        </row>
        <row r="652">
          <cell r="D652" t="str">
            <v>R-D-0.5</v>
          </cell>
        </row>
        <row r="653">
          <cell r="D653" t="str">
            <v>R-L-1</v>
          </cell>
        </row>
        <row r="654">
          <cell r="D654" t="str">
            <v>L-L-1</v>
          </cell>
        </row>
        <row r="655">
          <cell r="D655" t="str">
            <v>A-M-2.5</v>
          </cell>
        </row>
        <row r="656">
          <cell r="D656" t="str">
            <v>A-D-2.5</v>
          </cell>
        </row>
        <row r="657">
          <cell r="D657" t="str">
            <v>R-M-2.5</v>
          </cell>
        </row>
        <row r="658">
          <cell r="D658" t="str">
            <v>L-D-1</v>
          </cell>
        </row>
        <row r="659">
          <cell r="D659" t="str">
            <v>A-M-0.5</v>
          </cell>
        </row>
        <row r="660">
          <cell r="D660" t="str">
            <v>E-M-0.5</v>
          </cell>
        </row>
        <row r="661">
          <cell r="D661" t="str">
            <v>A-D-2.5</v>
          </cell>
        </row>
        <row r="662">
          <cell r="D662" t="str">
            <v>E-L-0.5</v>
          </cell>
        </row>
        <row r="663">
          <cell r="D663" t="str">
            <v>A-M-0.2</v>
          </cell>
        </row>
        <row r="664">
          <cell r="D664" t="str">
            <v>L-D-2.5</v>
          </cell>
        </row>
        <row r="665">
          <cell r="D665" t="str">
            <v>A-M-1</v>
          </cell>
        </row>
        <row r="666">
          <cell r="D666" t="str">
            <v>E-D-1</v>
          </cell>
        </row>
        <row r="667">
          <cell r="D667" t="str">
            <v>L-D-0.2</v>
          </cell>
        </row>
        <row r="668">
          <cell r="D668" t="str">
            <v>A-D-2.5</v>
          </cell>
        </row>
        <row r="669">
          <cell r="D669" t="str">
            <v>A-D-1</v>
          </cell>
        </row>
        <row r="670">
          <cell r="D670" t="str">
            <v>R-L-2.5</v>
          </cell>
        </row>
        <row r="671">
          <cell r="D671" t="str">
            <v>L-M-2.5</v>
          </cell>
        </row>
        <row r="672">
          <cell r="D672" t="str">
            <v>L-M-0.2</v>
          </cell>
        </row>
        <row r="673">
          <cell r="D673" t="str">
            <v>R-L-1</v>
          </cell>
        </row>
        <row r="674">
          <cell r="D674" t="str">
            <v>L-M-0.5</v>
          </cell>
        </row>
        <row r="675">
          <cell r="D675" t="str">
            <v>E-M-1</v>
          </cell>
        </row>
        <row r="676">
          <cell r="D676" t="str">
            <v>A-L-2.5</v>
          </cell>
        </row>
        <row r="677">
          <cell r="D677" t="str">
            <v>L-D-2.5</v>
          </cell>
        </row>
        <row r="678">
          <cell r="D678" t="str">
            <v>L-L-0.5</v>
          </cell>
        </row>
        <row r="679">
          <cell r="D679" t="str">
            <v>L-M-0.5</v>
          </cell>
        </row>
        <row r="680">
          <cell r="D680" t="str">
            <v>A-L-2.5</v>
          </cell>
        </row>
        <row r="681">
          <cell r="D681" t="str">
            <v>R-L-2.5</v>
          </cell>
        </row>
        <row r="682">
          <cell r="D682" t="str">
            <v>A-M-1</v>
          </cell>
        </row>
        <row r="683">
          <cell r="D683" t="str">
            <v>L-L-0.2</v>
          </cell>
        </row>
        <row r="684">
          <cell r="D684" t="str">
            <v>E-M-0.2</v>
          </cell>
        </row>
        <row r="685">
          <cell r="D685" t="str">
            <v>L-D-0.5</v>
          </cell>
        </row>
        <row r="686">
          <cell r="D686" t="str">
            <v>R-L-1</v>
          </cell>
        </row>
        <row r="687">
          <cell r="D687" t="str">
            <v>L-L-2.5</v>
          </cell>
        </row>
        <row r="688">
          <cell r="D688" t="str">
            <v>R-D-0.2</v>
          </cell>
        </row>
        <row r="689">
          <cell r="D689" t="str">
            <v>E-M-0.5</v>
          </cell>
        </row>
        <row r="690">
          <cell r="D690" t="str">
            <v>A-L-1</v>
          </cell>
        </row>
        <row r="691">
          <cell r="D691" t="str">
            <v>A-M-0.5</v>
          </cell>
        </row>
        <row r="692">
          <cell r="D692" t="str">
            <v>L-D-2.5</v>
          </cell>
        </row>
        <row r="693">
          <cell r="D693" t="str">
            <v>A-M-1</v>
          </cell>
        </row>
        <row r="694">
          <cell r="D694" t="str">
            <v>L-D-1</v>
          </cell>
        </row>
        <row r="695">
          <cell r="D695" t="str">
            <v>A-M-2.5</v>
          </cell>
        </row>
        <row r="696">
          <cell r="D696" t="str">
            <v>E-D-0.5</v>
          </cell>
        </row>
        <row r="697">
          <cell r="D697" t="str">
            <v>L-L-2.5</v>
          </cell>
        </row>
        <row r="698">
          <cell r="D698" t="str">
            <v>L-D-0.5</v>
          </cell>
        </row>
        <row r="699">
          <cell r="D699" t="str">
            <v>A-M-0.5</v>
          </cell>
        </row>
        <row r="700">
          <cell r="D700" t="str">
            <v>L-D-1</v>
          </cell>
        </row>
        <row r="701">
          <cell r="D701" t="str">
            <v>A-D-0.5</v>
          </cell>
        </row>
        <row r="702">
          <cell r="D702" t="str">
            <v>L-L-0.5</v>
          </cell>
        </row>
        <row r="703">
          <cell r="D703" t="str">
            <v>A-D-0.5</v>
          </cell>
        </row>
        <row r="704">
          <cell r="D704" t="str">
            <v>A-L-0.5</v>
          </cell>
        </row>
        <row r="705">
          <cell r="D705" t="str">
            <v>L-D-2.5</v>
          </cell>
        </row>
        <row r="706">
          <cell r="D706" t="str">
            <v>E-D-0.2</v>
          </cell>
        </row>
        <row r="707">
          <cell r="D707" t="str">
            <v>E-L-0.5</v>
          </cell>
        </row>
        <row r="708">
          <cell r="D708" t="str">
            <v>E-M-0.2</v>
          </cell>
        </row>
        <row r="709">
          <cell r="D709" t="str">
            <v>L-D-1</v>
          </cell>
        </row>
        <row r="710">
          <cell r="D710" t="str">
            <v>A-M-0.5</v>
          </cell>
        </row>
        <row r="711">
          <cell r="D711" t="str">
            <v>E-L-0.5</v>
          </cell>
        </row>
        <row r="712">
          <cell r="D712" t="str">
            <v>E-M-0.5</v>
          </cell>
        </row>
        <row r="713">
          <cell r="D713" t="str">
            <v>R-M-0.2</v>
          </cell>
        </row>
        <row r="714">
          <cell r="D714" t="str">
            <v>E-M-0.5</v>
          </cell>
        </row>
        <row r="715">
          <cell r="D715" t="str">
            <v>R-M-0.2</v>
          </cell>
        </row>
        <row r="716">
          <cell r="D716" t="str">
            <v>E-D-0.2</v>
          </cell>
        </row>
        <row r="717">
          <cell r="D717" t="str">
            <v>E-L-1</v>
          </cell>
        </row>
        <row r="718">
          <cell r="D718" t="str">
            <v>R-L-1</v>
          </cell>
        </row>
        <row r="719">
          <cell r="D719" t="str">
            <v>A-D-2.5</v>
          </cell>
        </row>
        <row r="720">
          <cell r="D720" t="str">
            <v>L-D-1</v>
          </cell>
        </row>
        <row r="721">
          <cell r="D721" t="str">
            <v>L-L-1</v>
          </cell>
        </row>
        <row r="722">
          <cell r="D722" t="str">
            <v>E-D-0.5</v>
          </cell>
        </row>
        <row r="723">
          <cell r="D723" t="str">
            <v>R-M-0.2</v>
          </cell>
        </row>
        <row r="724">
          <cell r="D724" t="str">
            <v>E-D-1</v>
          </cell>
        </row>
        <row r="725">
          <cell r="D725" t="str">
            <v>E-M-2.5</v>
          </cell>
        </row>
        <row r="726">
          <cell r="D726" t="str">
            <v>A-M-0.2</v>
          </cell>
        </row>
        <row r="727">
          <cell r="D727" t="str">
            <v>A-L-0.2</v>
          </cell>
        </row>
        <row r="728">
          <cell r="D728" t="str">
            <v>L-L-2.5</v>
          </cell>
        </row>
        <row r="729">
          <cell r="D729" t="str">
            <v>R-M-0.5</v>
          </cell>
        </row>
        <row r="730">
          <cell r="D730" t="str">
            <v>E-D-0.5</v>
          </cell>
        </row>
        <row r="731">
          <cell r="D731" t="str">
            <v>L-M-0.2</v>
          </cell>
        </row>
        <row r="732">
          <cell r="D732" t="str">
            <v>L-L-2.5</v>
          </cell>
        </row>
        <row r="733">
          <cell r="D733" t="str">
            <v>L-D-0.2</v>
          </cell>
        </row>
        <row r="734">
          <cell r="D734" t="str">
            <v>E-L-0.2</v>
          </cell>
        </row>
        <row r="735">
          <cell r="D735" t="str">
            <v>L-M-2.5</v>
          </cell>
        </row>
        <row r="736">
          <cell r="D736" t="str">
            <v>R-D-0.2</v>
          </cell>
        </row>
        <row r="737">
          <cell r="D737" t="str">
            <v>E-D-0.2</v>
          </cell>
        </row>
        <row r="738">
          <cell r="D738" t="str">
            <v>L-D-1</v>
          </cell>
        </row>
        <row r="739">
          <cell r="D739" t="str">
            <v>A-M-1</v>
          </cell>
        </row>
        <row r="740">
          <cell r="D740" t="str">
            <v>R-L-0.2</v>
          </cell>
        </row>
        <row r="741">
          <cell r="D741" t="str">
            <v>E-D-0.2</v>
          </cell>
        </row>
        <row r="742">
          <cell r="D742" t="str">
            <v>R-L-0.5</v>
          </cell>
        </row>
        <row r="743">
          <cell r="D743" t="str">
            <v>L-M-0.2</v>
          </cell>
        </row>
        <row r="744">
          <cell r="D744" t="str">
            <v>L-M-1</v>
          </cell>
        </row>
        <row r="745">
          <cell r="D745" t="str">
            <v>A-D-0.5</v>
          </cell>
        </row>
        <row r="746">
          <cell r="D746" t="str">
            <v>R-M-0.2</v>
          </cell>
        </row>
        <row r="747">
          <cell r="D747" t="str">
            <v>E-D-0.5</v>
          </cell>
        </row>
        <row r="748">
          <cell r="D748" t="str">
            <v>A-M-1</v>
          </cell>
        </row>
        <row r="749">
          <cell r="D749" t="str">
            <v>L-M-0.5</v>
          </cell>
        </row>
        <row r="750">
          <cell r="D750" t="str">
            <v>E-D-0.5</v>
          </cell>
        </row>
        <row r="751">
          <cell r="D751" t="str">
            <v>R-D-0.2</v>
          </cell>
        </row>
        <row r="752">
          <cell r="D752" t="str">
            <v>R-M-0.5</v>
          </cell>
        </row>
        <row r="753">
          <cell r="D753" t="str">
            <v>L-L-0.5</v>
          </cell>
        </row>
        <row r="754">
          <cell r="D754" t="str">
            <v>E-M-1</v>
          </cell>
        </row>
        <row r="755">
          <cell r="D755" t="str">
            <v>A-D-0.5</v>
          </cell>
        </row>
        <row r="756">
          <cell r="D756" t="str">
            <v>A-D-0.2</v>
          </cell>
        </row>
        <row r="757">
          <cell r="D757" t="str">
            <v>L-L-0.2</v>
          </cell>
        </row>
        <row r="758">
          <cell r="D758" t="str">
            <v>R-D-1</v>
          </cell>
        </row>
        <row r="759">
          <cell r="D759" t="str">
            <v>A-D-0.5</v>
          </cell>
        </row>
        <row r="760">
          <cell r="D760" t="str">
            <v>R-D-1</v>
          </cell>
        </row>
        <row r="761">
          <cell r="D761" t="str">
            <v>L-D-2.5</v>
          </cell>
        </row>
        <row r="762">
          <cell r="D762" t="str">
            <v>E-L-0.5</v>
          </cell>
        </row>
        <row r="763">
          <cell r="D763" t="str">
            <v>E-L-1</v>
          </cell>
        </row>
        <row r="764">
          <cell r="D764" t="str">
            <v>L-M-0.5</v>
          </cell>
        </row>
        <row r="765">
          <cell r="D765" t="str">
            <v>A-L-0.5</v>
          </cell>
        </row>
        <row r="766">
          <cell r="D766" t="str">
            <v>A-L-2.5</v>
          </cell>
        </row>
        <row r="767">
          <cell r="D767" t="str">
            <v>R-M-1</v>
          </cell>
        </row>
        <row r="768">
          <cell r="D768" t="str">
            <v>A-L-0.5</v>
          </cell>
        </row>
        <row r="769">
          <cell r="D769" t="str">
            <v>A-L-2.5</v>
          </cell>
        </row>
        <row r="770">
          <cell r="D770" t="str">
            <v>R-L-1</v>
          </cell>
        </row>
        <row r="771">
          <cell r="D771" t="str">
            <v>R-M-2.5</v>
          </cell>
        </row>
        <row r="772">
          <cell r="D772" t="str">
            <v>A-D-1</v>
          </cell>
        </row>
        <row r="773">
          <cell r="D773" t="str">
            <v>R-L-0.5</v>
          </cell>
        </row>
        <row r="774">
          <cell r="D774" t="str">
            <v>E-M-1</v>
          </cell>
        </row>
        <row r="775">
          <cell r="D775" t="str">
            <v>L-M-0.2</v>
          </cell>
        </row>
        <row r="776">
          <cell r="D776" t="str">
            <v>R-M-1</v>
          </cell>
        </row>
        <row r="777">
          <cell r="D777" t="str">
            <v>E-L-0.5</v>
          </cell>
        </row>
        <row r="778">
          <cell r="D778" t="str">
            <v>A-M-0.5</v>
          </cell>
        </row>
        <row r="779">
          <cell r="D779" t="str">
            <v>A-L-2.5</v>
          </cell>
        </row>
        <row r="780">
          <cell r="D780" t="str">
            <v>L-L-0.5</v>
          </cell>
        </row>
        <row r="781">
          <cell r="D781" t="str">
            <v>L-D-1</v>
          </cell>
        </row>
        <row r="782">
          <cell r="D782" t="str">
            <v>E-M-1</v>
          </cell>
        </row>
        <row r="783">
          <cell r="D783" t="str">
            <v>L-L-2.5</v>
          </cell>
        </row>
        <row r="784">
          <cell r="D784" t="str">
            <v>E-L-0.2</v>
          </cell>
        </row>
        <row r="785">
          <cell r="D785" t="str">
            <v>L-M-0.5</v>
          </cell>
        </row>
        <row r="786">
          <cell r="D786" t="str">
            <v>L-L-1</v>
          </cell>
        </row>
        <row r="787">
          <cell r="D787" t="str">
            <v>A-D-2.5</v>
          </cell>
        </row>
        <row r="788">
          <cell r="D788" t="str">
            <v>E-D-2.5</v>
          </cell>
        </row>
        <row r="789">
          <cell r="D789" t="str">
            <v>E-M-1</v>
          </cell>
        </row>
        <row r="790">
          <cell r="D790" t="str">
            <v>R-M-2.5</v>
          </cell>
        </row>
        <row r="791">
          <cell r="D791" t="str">
            <v>A-L-1</v>
          </cell>
        </row>
        <row r="792">
          <cell r="D792" t="str">
            <v>A-L-0.5</v>
          </cell>
        </row>
        <row r="793">
          <cell r="D793" t="str">
            <v>L-L-0.2</v>
          </cell>
        </row>
        <row r="794">
          <cell r="D794" t="str">
            <v>L-M-0.5</v>
          </cell>
        </row>
        <row r="795">
          <cell r="D795" t="str">
            <v>R-L-0.2</v>
          </cell>
        </row>
        <row r="796">
          <cell r="D796" t="str">
            <v>A-L-2.5</v>
          </cell>
        </row>
        <row r="797">
          <cell r="D797" t="str">
            <v>R-L-0.5</v>
          </cell>
        </row>
        <row r="798">
          <cell r="D798" t="str">
            <v>L-L-0.5</v>
          </cell>
        </row>
        <row r="799">
          <cell r="D799" t="str">
            <v>A-L-0.5</v>
          </cell>
        </row>
        <row r="800">
          <cell r="D800" t="str">
            <v>R-D-0.2</v>
          </cell>
        </row>
        <row r="801">
          <cell r="D801" t="str">
            <v>E-D-1</v>
          </cell>
        </row>
        <row r="802">
          <cell r="D802" t="str">
            <v>R-D-0.2</v>
          </cell>
        </row>
        <row r="803">
          <cell r="D803" t="str">
            <v>R-D-2.5</v>
          </cell>
        </row>
        <row r="804">
          <cell r="D804" t="str">
            <v>R-D-0.2</v>
          </cell>
        </row>
        <row r="805">
          <cell r="D805" t="str">
            <v>E-M-2.5</v>
          </cell>
        </row>
        <row r="806">
          <cell r="D806" t="str">
            <v>R-L-1</v>
          </cell>
        </row>
        <row r="807">
          <cell r="D807" t="str">
            <v>R-M-0.5</v>
          </cell>
        </row>
        <row r="808">
          <cell r="D808" t="str">
            <v>L-D-0.2</v>
          </cell>
        </row>
        <row r="809">
          <cell r="D809" t="str">
            <v>L-D-0.5</v>
          </cell>
        </row>
        <row r="810">
          <cell r="D810" t="str">
            <v>R-L-2.5</v>
          </cell>
        </row>
        <row r="811">
          <cell r="D811" t="str">
            <v>R-D-0.2</v>
          </cell>
        </row>
        <row r="812">
          <cell r="D812" t="str">
            <v>L-L-0.5</v>
          </cell>
        </row>
        <row r="813">
          <cell r="D813" t="str">
            <v>A-M-1</v>
          </cell>
        </row>
        <row r="814">
          <cell r="D814" t="str">
            <v>L-D-2.5</v>
          </cell>
        </row>
        <row r="815">
          <cell r="D815" t="str">
            <v>E-M-2.5</v>
          </cell>
        </row>
        <row r="816">
          <cell r="D816" t="str">
            <v>E-L-0.2</v>
          </cell>
        </row>
        <row r="817">
          <cell r="D817" t="str">
            <v>R-M-0.5</v>
          </cell>
        </row>
        <row r="818">
          <cell r="D818" t="str">
            <v>L-L-0.5</v>
          </cell>
        </row>
        <row r="819">
          <cell r="D819" t="str">
            <v>L-D-0.5</v>
          </cell>
        </row>
        <row r="820">
          <cell r="D820" t="str">
            <v>L-L-1</v>
          </cell>
        </row>
        <row r="821">
          <cell r="D821" t="str">
            <v>L-L-0.2</v>
          </cell>
        </row>
        <row r="822">
          <cell r="D822" t="str">
            <v>E-M-1</v>
          </cell>
        </row>
        <row r="823">
          <cell r="D823" t="str">
            <v>R-D-0.5</v>
          </cell>
        </row>
        <row r="824">
          <cell r="D824" t="str">
            <v>E-L-2.5</v>
          </cell>
        </row>
        <row r="825">
          <cell r="D825" t="str">
            <v>L-L-1</v>
          </cell>
        </row>
        <row r="826">
          <cell r="D826" t="str">
            <v>A-M-0.2</v>
          </cell>
        </row>
        <row r="827">
          <cell r="D827" t="str">
            <v>A-D-1</v>
          </cell>
        </row>
        <row r="828">
          <cell r="D828" t="str">
            <v>E-M-0.5</v>
          </cell>
        </row>
        <row r="829">
          <cell r="D829" t="str">
            <v>E-M-0.2</v>
          </cell>
        </row>
        <row r="830">
          <cell r="D830" t="str">
            <v>A-D-2.5</v>
          </cell>
        </row>
        <row r="831">
          <cell r="D831" t="str">
            <v>A-D-0.2</v>
          </cell>
        </row>
        <row r="832">
          <cell r="D832" t="str">
            <v>E-M-1</v>
          </cell>
        </row>
        <row r="833">
          <cell r="D833" t="str">
            <v>A-D-0.2</v>
          </cell>
        </row>
        <row r="834">
          <cell r="D834" t="str">
            <v>R-M-1</v>
          </cell>
        </row>
        <row r="835">
          <cell r="D835" t="str">
            <v>R-D-2.5</v>
          </cell>
        </row>
        <row r="836">
          <cell r="D836" t="str">
            <v>A-D-2.5</v>
          </cell>
        </row>
        <row r="837">
          <cell r="D837" t="str">
            <v>E-L-0.5</v>
          </cell>
        </row>
        <row r="838">
          <cell r="D838" t="str">
            <v>A-D-0.2</v>
          </cell>
        </row>
        <row r="839">
          <cell r="D839" t="str">
            <v>L-M-2.5</v>
          </cell>
        </row>
        <row r="840">
          <cell r="D840" t="str">
            <v>A-D-2.5</v>
          </cell>
        </row>
        <row r="841">
          <cell r="D841" t="str">
            <v>E-M-0.5</v>
          </cell>
        </row>
        <row r="842">
          <cell r="D842" t="str">
            <v>R-L-0.5</v>
          </cell>
        </row>
        <row r="843">
          <cell r="D843" t="str">
            <v>L-M-0.2</v>
          </cell>
        </row>
        <row r="844">
          <cell r="D844" t="str">
            <v>E-M-0.2</v>
          </cell>
        </row>
        <row r="845">
          <cell r="D845" t="str">
            <v>E-M-0.2</v>
          </cell>
        </row>
        <row r="846">
          <cell r="D846" t="str">
            <v>A-D-0.5</v>
          </cell>
        </row>
        <row r="847">
          <cell r="D847" t="str">
            <v>E-D-2.5</v>
          </cell>
        </row>
        <row r="848">
          <cell r="D848" t="str">
            <v>A-M-2.5</v>
          </cell>
        </row>
        <row r="849">
          <cell r="D849" t="str">
            <v>A-D-0.2</v>
          </cell>
        </row>
        <row r="850">
          <cell r="D850" t="str">
            <v>E-L-0.5</v>
          </cell>
        </row>
        <row r="851">
          <cell r="D851" t="str">
            <v>A-L-0.2</v>
          </cell>
        </row>
        <row r="852">
          <cell r="D852" t="str">
            <v>A-M-0.2</v>
          </cell>
        </row>
        <row r="853">
          <cell r="D853" t="str">
            <v>L-D-0.5</v>
          </cell>
        </row>
        <row r="854">
          <cell r="D854" t="str">
            <v>L-D-2.5</v>
          </cell>
        </row>
        <row r="855">
          <cell r="D855" t="str">
            <v>A-D-1</v>
          </cell>
        </row>
        <row r="856">
          <cell r="D856" t="str">
            <v>R-L-0.5</v>
          </cell>
        </row>
        <row r="857">
          <cell r="D857" t="str">
            <v>L-D-2.5</v>
          </cell>
        </row>
        <row r="858">
          <cell r="D858" t="str">
            <v>L-M-0.2</v>
          </cell>
        </row>
        <row r="859">
          <cell r="D859" t="str">
            <v>R-L-2.5</v>
          </cell>
        </row>
        <row r="860">
          <cell r="D860" t="str">
            <v>L-M-0.5</v>
          </cell>
        </row>
        <row r="861">
          <cell r="D861" t="str">
            <v>A-L-2.5</v>
          </cell>
        </row>
        <row r="862">
          <cell r="D862" t="str">
            <v>A-M-2.5</v>
          </cell>
        </row>
        <row r="863">
          <cell r="D863" t="str">
            <v>L-D-1</v>
          </cell>
        </row>
        <row r="864">
          <cell r="D864" t="str">
            <v>R-M-1</v>
          </cell>
        </row>
        <row r="865">
          <cell r="D865" t="str">
            <v>L-M-1</v>
          </cell>
        </row>
        <row r="866">
          <cell r="D866" t="str">
            <v>R-L-0.2</v>
          </cell>
        </row>
        <row r="867">
          <cell r="D867" t="str">
            <v>A-M-0.5</v>
          </cell>
        </row>
        <row r="868">
          <cell r="D868" t="str">
            <v>A-D-0.5</v>
          </cell>
        </row>
        <row r="869">
          <cell r="D869" t="str">
            <v>A-L-2.5</v>
          </cell>
        </row>
        <row r="870">
          <cell r="D870" t="str">
            <v>E-M-0.5</v>
          </cell>
        </row>
        <row r="871">
          <cell r="D871" t="str">
            <v>R-M-0.5</v>
          </cell>
        </row>
        <row r="872">
          <cell r="D872" t="str">
            <v>E-D-0.5</v>
          </cell>
        </row>
        <row r="873">
          <cell r="D873" t="str">
            <v>E-L-1</v>
          </cell>
        </row>
        <row r="874">
          <cell r="D874" t="str">
            <v>A-M-1</v>
          </cell>
        </row>
        <row r="875">
          <cell r="D875" t="str">
            <v>R-M-0.2</v>
          </cell>
        </row>
        <row r="876">
          <cell r="D876" t="str">
            <v>A-L-1</v>
          </cell>
        </row>
        <row r="877">
          <cell r="D877" t="str">
            <v>L-M-0.5</v>
          </cell>
        </row>
        <row r="878">
          <cell r="D878" t="str">
            <v>A-L-0.5</v>
          </cell>
        </row>
        <row r="879">
          <cell r="D879" t="str">
            <v>L-L-0.5</v>
          </cell>
        </row>
        <row r="880">
          <cell r="D880" t="str">
            <v>R-L-2.5</v>
          </cell>
        </row>
        <row r="881">
          <cell r="D881" t="str">
            <v>E-D-0.2</v>
          </cell>
        </row>
        <row r="882">
          <cell r="D882" t="str">
            <v>R-L-0.2</v>
          </cell>
        </row>
        <row r="883">
          <cell r="D883" t="str">
            <v>A-L-0.2</v>
          </cell>
        </row>
        <row r="884">
          <cell r="D884" t="str">
            <v>A-D-2.5</v>
          </cell>
        </row>
        <row r="885">
          <cell r="D885" t="str">
            <v>A-M-2.5</v>
          </cell>
        </row>
        <row r="886">
          <cell r="D886" t="str">
            <v>R-D-0.5</v>
          </cell>
        </row>
        <row r="887">
          <cell r="D887" t="str">
            <v>R-D-2.5</v>
          </cell>
        </row>
        <row r="888">
          <cell r="D888" t="str">
            <v>L-M-0.5</v>
          </cell>
        </row>
        <row r="889">
          <cell r="D889" t="str">
            <v>E-L-0.2</v>
          </cell>
        </row>
        <row r="890">
          <cell r="D890" t="str">
            <v>A-L-0.2</v>
          </cell>
        </row>
        <row r="891">
          <cell r="D891" t="str">
            <v>R-D-0.2</v>
          </cell>
        </row>
        <row r="892">
          <cell r="D892" t="str">
            <v>R-D-2.5</v>
          </cell>
        </row>
        <row r="893">
          <cell r="D893" t="str">
            <v>A-D-2.5</v>
          </cell>
        </row>
        <row r="894">
          <cell r="D894" t="str">
            <v>E-M-0.2</v>
          </cell>
        </row>
        <row r="895">
          <cell r="D895" t="str">
            <v>L-L-0.5</v>
          </cell>
        </row>
        <row r="896">
          <cell r="D896" t="str">
            <v>R-D-2.5</v>
          </cell>
        </row>
        <row r="897">
          <cell r="D897" t="str">
            <v>E-M-2.5</v>
          </cell>
        </row>
        <row r="898">
          <cell r="D898" t="str">
            <v>R-D-0.5</v>
          </cell>
        </row>
        <row r="899">
          <cell r="D899" t="str">
            <v>E-D-1</v>
          </cell>
        </row>
        <row r="900">
          <cell r="D900" t="str">
            <v>R-L-0.5</v>
          </cell>
        </row>
        <row r="901">
          <cell r="D901" t="str">
            <v>L-M-1</v>
          </cell>
        </row>
        <row r="902">
          <cell r="D902" t="str">
            <v>L-L-1</v>
          </cell>
        </row>
        <row r="903">
          <cell r="D903" t="str">
            <v>R-L-0.2</v>
          </cell>
        </row>
        <row r="904">
          <cell r="D904" t="str">
            <v>E-M-2.5</v>
          </cell>
        </row>
        <row r="905">
          <cell r="D905" t="str">
            <v>L-M-0.5</v>
          </cell>
        </row>
        <row r="906">
          <cell r="D906" t="str">
            <v>A-L-2.5</v>
          </cell>
        </row>
        <row r="907">
          <cell r="D907" t="str">
            <v>A-M-0.5</v>
          </cell>
        </row>
        <row r="908">
          <cell r="D908" t="str">
            <v>A-M-0.5</v>
          </cell>
        </row>
        <row r="909">
          <cell r="D909" t="str">
            <v>L-D-1</v>
          </cell>
        </row>
        <row r="910">
          <cell r="D910" t="str">
            <v>R-L-1</v>
          </cell>
        </row>
        <row r="911">
          <cell r="D911" t="str">
            <v>R-L-0.2</v>
          </cell>
        </row>
        <row r="912">
          <cell r="D912" t="str">
            <v>A-D-2.5</v>
          </cell>
        </row>
        <row r="913">
          <cell r="D913" t="str">
            <v>A-M-1</v>
          </cell>
        </row>
        <row r="914">
          <cell r="D914" t="str">
            <v>R-M-2.5</v>
          </cell>
        </row>
        <row r="915">
          <cell r="D915" t="str">
            <v>A-M-0.5</v>
          </cell>
        </row>
        <row r="916">
          <cell r="D916" t="str">
            <v>A-M-1</v>
          </cell>
        </row>
        <row r="917">
          <cell r="D917" t="str">
            <v>E-D-2.5</v>
          </cell>
        </row>
        <row r="918">
          <cell r="D918" t="str">
            <v>E-D-0.2</v>
          </cell>
        </row>
        <row r="919">
          <cell r="D919" t="str">
            <v>A-M-0.5</v>
          </cell>
        </row>
        <row r="920">
          <cell r="D920" t="str">
            <v>E-D-0.5</v>
          </cell>
        </row>
        <row r="921">
          <cell r="D921" t="str">
            <v>R-D-0.2</v>
          </cell>
        </row>
        <row r="922">
          <cell r="D922" t="str">
            <v>R-D-2.5</v>
          </cell>
        </row>
        <row r="923">
          <cell r="D923" t="str">
            <v>L-D-0.2</v>
          </cell>
        </row>
        <row r="924">
          <cell r="D924" t="str">
            <v>A-M-1</v>
          </cell>
        </row>
        <row r="925">
          <cell r="D925" t="str">
            <v>E-D-2.5</v>
          </cell>
        </row>
        <row r="926">
          <cell r="D926" t="str">
            <v>A-L-2.5</v>
          </cell>
        </row>
        <row r="927">
          <cell r="D927" t="str">
            <v>A-M-0.5</v>
          </cell>
        </row>
        <row r="928">
          <cell r="D928" t="str">
            <v>A-M-0.5</v>
          </cell>
        </row>
        <row r="929">
          <cell r="D929" t="str">
            <v>E-D-2.5</v>
          </cell>
        </row>
        <row r="930">
          <cell r="D930" t="str">
            <v>E-M-2.5</v>
          </cell>
        </row>
        <row r="931">
          <cell r="D931" t="str">
            <v>E-L-0.2</v>
          </cell>
        </row>
        <row r="932">
          <cell r="D932" t="str">
            <v>E-D-1</v>
          </cell>
        </row>
        <row r="933">
          <cell r="D933" t="str">
            <v>A-D-0.5</v>
          </cell>
        </row>
        <row r="934">
          <cell r="D934" t="str">
            <v>E-M-1</v>
          </cell>
        </row>
        <row r="935">
          <cell r="D935" t="str">
            <v>R-D-1</v>
          </cell>
        </row>
        <row r="936">
          <cell r="D936" t="str">
            <v>R-M-2.5</v>
          </cell>
        </row>
        <row r="937">
          <cell r="D937" t="str">
            <v>A-M-2.5</v>
          </cell>
        </row>
        <row r="938">
          <cell r="D938" t="str">
            <v>L-D-0.5</v>
          </cell>
        </row>
        <row r="939">
          <cell r="D939" t="str">
            <v>R-M-2.5</v>
          </cell>
        </row>
        <row r="940">
          <cell r="D940" t="str">
            <v>E-L-1</v>
          </cell>
        </row>
        <row r="941">
          <cell r="D941" t="str">
            <v>L-L-0.2</v>
          </cell>
        </row>
        <row r="942">
          <cell r="D942" t="str">
            <v>R-L-0.5</v>
          </cell>
        </row>
        <row r="943">
          <cell r="D943" t="str">
            <v>A-L-0.5</v>
          </cell>
        </row>
        <row r="944">
          <cell r="D944" t="str">
            <v>R-L-1</v>
          </cell>
        </row>
        <row r="945">
          <cell r="D945" t="str">
            <v>A-L-0.5</v>
          </cell>
        </row>
        <row r="946">
          <cell r="D946" t="str">
            <v>R-L-0.5</v>
          </cell>
        </row>
        <row r="947">
          <cell r="D947" t="str">
            <v>L-D-2.5</v>
          </cell>
        </row>
        <row r="948">
          <cell r="D948" t="str">
            <v>L-D-0.5</v>
          </cell>
        </row>
        <row r="949">
          <cell r="D949" t="str">
            <v>A-M-1</v>
          </cell>
        </row>
        <row r="950">
          <cell r="D950" t="str">
            <v>E-D-2.5</v>
          </cell>
        </row>
        <row r="951">
          <cell r="D951" t="str">
            <v>R-L-2.5</v>
          </cell>
        </row>
        <row r="952">
          <cell r="D952" t="str">
            <v>R-L-0.2</v>
          </cell>
        </row>
        <row r="953">
          <cell r="D953" t="str">
            <v>R-L-0.2</v>
          </cell>
        </row>
        <row r="954">
          <cell r="D954" t="str">
            <v>A-M-1</v>
          </cell>
        </row>
        <row r="955">
          <cell r="D955" t="str">
            <v>A-L-0.2</v>
          </cell>
        </row>
        <row r="956">
          <cell r="D956" t="str">
            <v>E-D-2.5</v>
          </cell>
        </row>
        <row r="957">
          <cell r="D957" t="str">
            <v>E-L-2.5</v>
          </cell>
        </row>
        <row r="958">
          <cell r="D958" t="str">
            <v>R-L-2.5</v>
          </cell>
        </row>
        <row r="959">
          <cell r="D959" t="str">
            <v>E-L-1</v>
          </cell>
        </row>
        <row r="960">
          <cell r="D960" t="str">
            <v>A-L-0.2</v>
          </cell>
        </row>
        <row r="961">
          <cell r="D961" t="str">
            <v>L-L-0.2</v>
          </cell>
        </row>
        <row r="962">
          <cell r="D962" t="str">
            <v>L-L-1</v>
          </cell>
        </row>
        <row r="963">
          <cell r="D963" t="str">
            <v>A-D-2.5</v>
          </cell>
        </row>
        <row r="964">
          <cell r="D964" t="str">
            <v>R-D-1</v>
          </cell>
        </row>
        <row r="965">
          <cell r="D965" t="str">
            <v>R-M-0.5</v>
          </cell>
        </row>
        <row r="966">
          <cell r="D966" t="str">
            <v>E-L-0.2</v>
          </cell>
        </row>
        <row r="967">
          <cell r="D967" t="str">
            <v>R-M-1</v>
          </cell>
        </row>
        <row r="968">
          <cell r="D968" t="str">
            <v>E-L-0.5</v>
          </cell>
        </row>
        <row r="969">
          <cell r="D969" t="str">
            <v>R-D-0.2</v>
          </cell>
        </row>
        <row r="970">
          <cell r="D970" t="str">
            <v>R-M-0.2</v>
          </cell>
        </row>
        <row r="971">
          <cell r="D971" t="str">
            <v>L-D-1</v>
          </cell>
        </row>
        <row r="972">
          <cell r="D972" t="str">
            <v>E-M-0.5</v>
          </cell>
        </row>
        <row r="973">
          <cell r="D973" t="str">
            <v>A-L-2.5</v>
          </cell>
        </row>
        <row r="974">
          <cell r="D974" t="str">
            <v>A-L-2.5</v>
          </cell>
        </row>
        <row r="975">
          <cell r="D975" t="str">
            <v>L-M-1</v>
          </cell>
        </row>
        <row r="976">
          <cell r="D976" t="str">
            <v>R-D-0.5</v>
          </cell>
        </row>
        <row r="977">
          <cell r="D977" t="str">
            <v>A-D-0.2</v>
          </cell>
        </row>
        <row r="978">
          <cell r="D978" t="str">
            <v>R-L-2.5</v>
          </cell>
        </row>
        <row r="979">
          <cell r="D979" t="str">
            <v>R-L-1</v>
          </cell>
        </row>
        <row r="980">
          <cell r="D980" t="str">
            <v>A-L-0.5</v>
          </cell>
        </row>
        <row r="981">
          <cell r="D981" t="str">
            <v>R-D-0.5</v>
          </cell>
        </row>
        <row r="982">
          <cell r="D982" t="str">
            <v>E-D-2.5</v>
          </cell>
        </row>
        <row r="983">
          <cell r="D983" t="str">
            <v>E-D-0.2</v>
          </cell>
        </row>
        <row r="984">
          <cell r="D984" t="str">
            <v>R-L-1</v>
          </cell>
        </row>
        <row r="985">
          <cell r="D985" t="str">
            <v>A-M-0.2</v>
          </cell>
        </row>
        <row r="986">
          <cell r="D986" t="str">
            <v>E-M-2.5</v>
          </cell>
        </row>
        <row r="987">
          <cell r="D987" t="str">
            <v>R-L-1</v>
          </cell>
        </row>
        <row r="988">
          <cell r="D988" t="str">
            <v>L-M-2.5</v>
          </cell>
        </row>
        <row r="989">
          <cell r="D989" t="str">
            <v>A-D-0.5</v>
          </cell>
        </row>
        <row r="990">
          <cell r="D990" t="str">
            <v>R-M-1</v>
          </cell>
        </row>
        <row r="991">
          <cell r="D991" t="str">
            <v>A-M-2.5</v>
          </cell>
        </row>
        <row r="992">
          <cell r="D992" t="str">
            <v>E-D-0.2</v>
          </cell>
        </row>
        <row r="993">
          <cell r="D993" t="str">
            <v>L-D-0.5</v>
          </cell>
        </row>
        <row r="994">
          <cell r="D994" t="str">
            <v>L-L-2.5</v>
          </cell>
        </row>
        <row r="995">
          <cell r="D995" t="str">
            <v>A-L-1</v>
          </cell>
        </row>
        <row r="996">
          <cell r="D996" t="str">
            <v>A-D-0.2</v>
          </cell>
        </row>
        <row r="997">
          <cell r="D997" t="str">
            <v>R-L-2.5</v>
          </cell>
        </row>
        <row r="998">
          <cell r="D998" t="str">
            <v>R-M-0.5</v>
          </cell>
        </row>
        <row r="999">
          <cell r="D999" t="str">
            <v>A-M-0.5</v>
          </cell>
        </row>
        <row r="1000">
          <cell r="D1000" t="str">
            <v>A-D-1</v>
          </cell>
        </row>
        <row r="1001">
          <cell r="D1001" t="str">
            <v>E-M-0.2</v>
          </cell>
        </row>
      </sheetData>
      <sheetData sheetId="5"/>
      <sheetData sheetId="6">
        <row r="1">
          <cell r="A1" t="str">
            <v>Product ID</v>
          </cell>
          <cell r="B1" t="str">
            <v>Coffee Type</v>
          </cell>
          <cell r="C1" t="str">
            <v>Roast Type</v>
          </cell>
          <cell r="D1" t="str">
            <v>Size</v>
          </cell>
          <cell r="E1" t="str">
            <v>Unit Price</v>
          </cell>
          <cell r="F1" t="str">
            <v>Price per 100g</v>
          </cell>
          <cell r="G1" t="str">
            <v>Profit</v>
          </cell>
        </row>
        <row r="2">
          <cell r="A2" t="str">
            <v>A-L-0.2</v>
          </cell>
          <cell r="B2" t="str">
            <v>Ara</v>
          </cell>
          <cell r="C2" t="str">
            <v>L</v>
          </cell>
          <cell r="D2">
            <v>0.2</v>
          </cell>
          <cell r="E2">
            <v>3.8849999999999998</v>
          </cell>
          <cell r="F2">
            <v>1.9424999999999999</v>
          </cell>
          <cell r="G2">
            <v>0.34964999999999996</v>
          </cell>
        </row>
        <row r="3">
          <cell r="A3" t="str">
            <v>A-L-0.5</v>
          </cell>
          <cell r="B3" t="str">
            <v>Ara</v>
          </cell>
          <cell r="C3" t="str">
            <v>L</v>
          </cell>
          <cell r="D3">
            <v>0.5</v>
          </cell>
          <cell r="E3">
            <v>7.77</v>
          </cell>
          <cell r="F3">
            <v>1.5539999999999998</v>
          </cell>
          <cell r="G3">
            <v>0.69929999999999992</v>
          </cell>
        </row>
        <row r="4">
          <cell r="A4" t="str">
            <v>A-L-1</v>
          </cell>
          <cell r="B4" t="str">
            <v>Ara</v>
          </cell>
          <cell r="C4" t="str">
            <v>L</v>
          </cell>
          <cell r="D4">
            <v>1</v>
          </cell>
          <cell r="E4">
            <v>12.95</v>
          </cell>
          <cell r="F4">
            <v>1.2949999999999999</v>
          </cell>
          <cell r="G4">
            <v>1.1655</v>
          </cell>
        </row>
        <row r="5">
          <cell r="A5" t="str">
            <v>A-L-2.5</v>
          </cell>
          <cell r="B5" t="str">
            <v>Ara</v>
          </cell>
          <cell r="C5" t="str">
            <v>L</v>
          </cell>
          <cell r="D5">
            <v>2.5</v>
          </cell>
          <cell r="E5">
            <v>29.784999999999997</v>
          </cell>
          <cell r="F5">
            <v>1.1913999999999998</v>
          </cell>
          <cell r="G5">
            <v>2.6806499999999995</v>
          </cell>
        </row>
        <row r="6">
          <cell r="A6" t="str">
            <v>A-M-0.2</v>
          </cell>
          <cell r="B6" t="str">
            <v>Ara</v>
          </cell>
          <cell r="C6" t="str">
            <v>M</v>
          </cell>
          <cell r="D6">
            <v>0.2</v>
          </cell>
          <cell r="E6">
            <v>3.375</v>
          </cell>
          <cell r="F6">
            <v>1.6875</v>
          </cell>
          <cell r="G6">
            <v>0.30374999999999996</v>
          </cell>
        </row>
        <row r="7">
          <cell r="A7" t="str">
            <v>A-M-0.5</v>
          </cell>
          <cell r="B7" t="str">
            <v>Ara</v>
          </cell>
          <cell r="C7" t="str">
            <v>M</v>
          </cell>
          <cell r="D7">
            <v>0.5</v>
          </cell>
          <cell r="E7">
            <v>6.75</v>
          </cell>
          <cell r="F7">
            <v>1.35</v>
          </cell>
          <cell r="G7">
            <v>0.60749999999999993</v>
          </cell>
        </row>
        <row r="8">
          <cell r="A8" t="str">
            <v>A-M-1</v>
          </cell>
          <cell r="B8" t="str">
            <v>Ara</v>
          </cell>
          <cell r="C8" t="str">
            <v>M</v>
          </cell>
          <cell r="D8">
            <v>1</v>
          </cell>
          <cell r="E8">
            <v>11.25</v>
          </cell>
          <cell r="F8">
            <v>1.125</v>
          </cell>
          <cell r="G8">
            <v>1.0125</v>
          </cell>
        </row>
        <row r="9">
          <cell r="A9" t="str">
            <v>A-M-2.5</v>
          </cell>
          <cell r="B9" t="str">
            <v>Ara</v>
          </cell>
          <cell r="C9" t="str">
            <v>M</v>
          </cell>
          <cell r="D9">
            <v>2.5</v>
          </cell>
          <cell r="E9">
            <v>25.874999999999996</v>
          </cell>
          <cell r="F9">
            <v>1.0349999999999999</v>
          </cell>
          <cell r="G9">
            <v>2.3287499999999994</v>
          </cell>
        </row>
        <row r="10">
          <cell r="A10" t="str">
            <v>A-D-0.2</v>
          </cell>
          <cell r="B10" t="str">
            <v>Ara</v>
          </cell>
          <cell r="C10" t="str">
            <v>D</v>
          </cell>
          <cell r="D10">
            <v>0.2</v>
          </cell>
          <cell r="E10">
            <v>2.9849999999999999</v>
          </cell>
          <cell r="F10">
            <v>1.4924999999999999</v>
          </cell>
          <cell r="G10">
            <v>0.26865</v>
          </cell>
        </row>
        <row r="11">
          <cell r="A11" t="str">
            <v>A-D-0.5</v>
          </cell>
          <cell r="B11" t="str">
            <v>Ara</v>
          </cell>
          <cell r="C11" t="str">
            <v>D</v>
          </cell>
          <cell r="D11">
            <v>0.5</v>
          </cell>
          <cell r="E11">
            <v>5.97</v>
          </cell>
          <cell r="F11">
            <v>1.194</v>
          </cell>
          <cell r="G11">
            <v>0.5373</v>
          </cell>
        </row>
        <row r="12">
          <cell r="A12" t="str">
            <v>A-D-1</v>
          </cell>
          <cell r="B12" t="str">
            <v>Ara</v>
          </cell>
          <cell r="C12" t="str">
            <v>D</v>
          </cell>
          <cell r="D12">
            <v>1</v>
          </cell>
          <cell r="E12">
            <v>9.9499999999999993</v>
          </cell>
          <cell r="F12">
            <v>0.99499999999999988</v>
          </cell>
          <cell r="G12">
            <v>0.89549999999999985</v>
          </cell>
        </row>
        <row r="13">
          <cell r="A13" t="str">
            <v>A-D-2.5</v>
          </cell>
          <cell r="B13" t="str">
            <v>Ara</v>
          </cell>
          <cell r="C13" t="str">
            <v>D</v>
          </cell>
          <cell r="D13">
            <v>2.5</v>
          </cell>
          <cell r="E13">
            <v>22.884999999999998</v>
          </cell>
          <cell r="F13">
            <v>0.91539999999999988</v>
          </cell>
          <cell r="G13">
            <v>2.0596499999999995</v>
          </cell>
        </row>
        <row r="14">
          <cell r="A14" t="str">
            <v>R-L-0.2</v>
          </cell>
          <cell r="B14" t="str">
            <v>Rob</v>
          </cell>
          <cell r="C14" t="str">
            <v>L</v>
          </cell>
          <cell r="D14">
            <v>0.2</v>
          </cell>
          <cell r="E14">
            <v>3.5849999999999995</v>
          </cell>
          <cell r="F14">
            <v>1.7924999999999998</v>
          </cell>
          <cell r="G14">
            <v>0.21509999999999996</v>
          </cell>
        </row>
        <row r="15">
          <cell r="A15" t="str">
            <v>R-L-0.5</v>
          </cell>
          <cell r="B15" t="str">
            <v>Rob</v>
          </cell>
          <cell r="C15" t="str">
            <v>L</v>
          </cell>
          <cell r="D15">
            <v>0.5</v>
          </cell>
          <cell r="E15">
            <v>7.169999999999999</v>
          </cell>
          <cell r="F15">
            <v>1.4339999999999997</v>
          </cell>
          <cell r="G15">
            <v>0.43019999999999992</v>
          </cell>
        </row>
        <row r="16">
          <cell r="A16" t="str">
            <v>R-L-1</v>
          </cell>
          <cell r="B16" t="str">
            <v>Rob</v>
          </cell>
          <cell r="C16" t="str">
            <v>L</v>
          </cell>
          <cell r="D16">
            <v>1</v>
          </cell>
          <cell r="E16">
            <v>11.95</v>
          </cell>
          <cell r="F16">
            <v>1.1949999999999998</v>
          </cell>
          <cell r="G16">
            <v>0.71699999999999997</v>
          </cell>
        </row>
        <row r="17">
          <cell r="A17" t="str">
            <v>R-L-2.5</v>
          </cell>
          <cell r="B17" t="str">
            <v>Rob</v>
          </cell>
          <cell r="C17" t="str">
            <v>L</v>
          </cell>
          <cell r="D17">
            <v>2.5</v>
          </cell>
          <cell r="E17">
            <v>27.484999999999996</v>
          </cell>
          <cell r="F17">
            <v>1.0993999999999999</v>
          </cell>
          <cell r="G17">
            <v>1.6490999999999998</v>
          </cell>
        </row>
        <row r="18">
          <cell r="A18" t="str">
            <v>R-M-0.2</v>
          </cell>
          <cell r="B18" t="str">
            <v>Rob</v>
          </cell>
          <cell r="C18" t="str">
            <v>M</v>
          </cell>
          <cell r="D18">
            <v>0.2</v>
          </cell>
          <cell r="E18">
            <v>2.9849999999999999</v>
          </cell>
          <cell r="F18">
            <v>1.4924999999999999</v>
          </cell>
          <cell r="G18">
            <v>0.17909999999999998</v>
          </cell>
        </row>
        <row r="19">
          <cell r="A19" t="str">
            <v>R-M-0.5</v>
          </cell>
          <cell r="B19" t="str">
            <v>Rob</v>
          </cell>
          <cell r="C19" t="str">
            <v>M</v>
          </cell>
          <cell r="D19">
            <v>0.5</v>
          </cell>
          <cell r="E19">
            <v>5.97</v>
          </cell>
          <cell r="F19">
            <v>1.194</v>
          </cell>
          <cell r="G19">
            <v>0.35819999999999996</v>
          </cell>
        </row>
        <row r="20">
          <cell r="A20" t="str">
            <v>R-M-1</v>
          </cell>
          <cell r="B20" t="str">
            <v>Rob</v>
          </cell>
          <cell r="C20" t="str">
            <v>M</v>
          </cell>
          <cell r="D20">
            <v>1</v>
          </cell>
          <cell r="E20">
            <v>9.9499999999999993</v>
          </cell>
          <cell r="F20">
            <v>0.99499999999999988</v>
          </cell>
          <cell r="G20">
            <v>0.59699999999999998</v>
          </cell>
        </row>
        <row r="21">
          <cell r="A21" t="str">
            <v>R-M-2.5</v>
          </cell>
          <cell r="B21" t="str">
            <v>Rob</v>
          </cell>
          <cell r="C21" t="str">
            <v>M</v>
          </cell>
          <cell r="D21">
            <v>2.5</v>
          </cell>
          <cell r="E21">
            <v>22.884999999999998</v>
          </cell>
          <cell r="F21">
            <v>0.91539999999999988</v>
          </cell>
          <cell r="G21">
            <v>1.3730999999999998</v>
          </cell>
        </row>
        <row r="22">
          <cell r="A22" t="str">
            <v>R-D-0.2</v>
          </cell>
          <cell r="B22" t="str">
            <v>Rob</v>
          </cell>
          <cell r="C22" t="str">
            <v>D</v>
          </cell>
          <cell r="D22">
            <v>0.2</v>
          </cell>
          <cell r="E22">
            <v>2.6849999999999996</v>
          </cell>
          <cell r="F22">
            <v>1.3424999999999998</v>
          </cell>
          <cell r="G22">
            <v>0.16109999999999997</v>
          </cell>
        </row>
        <row r="23">
          <cell r="A23" t="str">
            <v>R-D-0.5</v>
          </cell>
          <cell r="B23" t="str">
            <v>Rob</v>
          </cell>
          <cell r="C23" t="str">
            <v>D</v>
          </cell>
          <cell r="D23">
            <v>0.5</v>
          </cell>
          <cell r="E23">
            <v>5.3699999999999992</v>
          </cell>
          <cell r="F23">
            <v>1.0739999999999998</v>
          </cell>
          <cell r="G23">
            <v>0.32219999999999993</v>
          </cell>
        </row>
        <row r="24">
          <cell r="A24" t="str">
            <v>R-D-1</v>
          </cell>
          <cell r="B24" t="str">
            <v>Rob</v>
          </cell>
          <cell r="C24" t="str">
            <v>D</v>
          </cell>
          <cell r="D24">
            <v>1</v>
          </cell>
          <cell r="E24">
            <v>8.9499999999999993</v>
          </cell>
          <cell r="F24">
            <v>0.89499999999999991</v>
          </cell>
          <cell r="G24">
            <v>0.53699999999999992</v>
          </cell>
        </row>
        <row r="25">
          <cell r="A25" t="str">
            <v>R-D-2.5</v>
          </cell>
          <cell r="B25" t="str">
            <v>Rob</v>
          </cell>
          <cell r="C25" t="str">
            <v>D</v>
          </cell>
          <cell r="D25">
            <v>2.5</v>
          </cell>
          <cell r="E25">
            <v>20.584999999999997</v>
          </cell>
          <cell r="F25">
            <v>0.82339999999999991</v>
          </cell>
          <cell r="G25">
            <v>1.2350999999999999</v>
          </cell>
        </row>
        <row r="26">
          <cell r="A26" t="str">
            <v>L-L-0.2</v>
          </cell>
          <cell r="B26" t="str">
            <v>Lib</v>
          </cell>
          <cell r="C26" t="str">
            <v>L</v>
          </cell>
          <cell r="D26">
            <v>0.2</v>
          </cell>
          <cell r="E26">
            <v>4.7549999999999999</v>
          </cell>
          <cell r="F26">
            <v>2.3774999999999999</v>
          </cell>
          <cell r="G26">
            <v>0.61814999999999998</v>
          </cell>
        </row>
        <row r="27">
          <cell r="A27" t="str">
            <v>L-L-0.5</v>
          </cell>
          <cell r="B27" t="str">
            <v>Lib</v>
          </cell>
          <cell r="C27" t="str">
            <v>L</v>
          </cell>
          <cell r="D27">
            <v>0.5</v>
          </cell>
          <cell r="E27">
            <v>9.51</v>
          </cell>
          <cell r="F27">
            <v>1.9019999999999999</v>
          </cell>
          <cell r="G27">
            <v>1.2363</v>
          </cell>
        </row>
        <row r="28">
          <cell r="A28" t="str">
            <v>L-L-1</v>
          </cell>
          <cell r="B28" t="str">
            <v>Lib</v>
          </cell>
          <cell r="C28" t="str">
            <v>L</v>
          </cell>
          <cell r="D28">
            <v>1</v>
          </cell>
          <cell r="E28">
            <v>15.85</v>
          </cell>
          <cell r="F28">
            <v>1.585</v>
          </cell>
          <cell r="G28">
            <v>2.0605000000000002</v>
          </cell>
        </row>
        <row r="29">
          <cell r="A29" t="str">
            <v>L-L-2.5</v>
          </cell>
          <cell r="B29" t="str">
            <v>Lib</v>
          </cell>
          <cell r="C29" t="str">
            <v>L</v>
          </cell>
          <cell r="D29">
            <v>2.5</v>
          </cell>
          <cell r="E29">
            <v>36.454999999999998</v>
          </cell>
          <cell r="F29">
            <v>1.4581999999999999</v>
          </cell>
          <cell r="G29">
            <v>4.7391499999999995</v>
          </cell>
        </row>
        <row r="30">
          <cell r="A30" t="str">
            <v>L-M-0.2</v>
          </cell>
          <cell r="B30" t="str">
            <v>Lib</v>
          </cell>
          <cell r="C30" t="str">
            <v>M</v>
          </cell>
          <cell r="D30">
            <v>0.2</v>
          </cell>
          <cell r="E30">
            <v>4.3650000000000002</v>
          </cell>
          <cell r="F30">
            <v>2.1825000000000001</v>
          </cell>
          <cell r="G30">
            <v>0.56745000000000001</v>
          </cell>
        </row>
        <row r="31">
          <cell r="A31" t="str">
            <v>L-M-0.5</v>
          </cell>
          <cell r="B31" t="str">
            <v>Lib</v>
          </cell>
          <cell r="C31" t="str">
            <v>M</v>
          </cell>
          <cell r="D31">
            <v>0.5</v>
          </cell>
          <cell r="E31">
            <v>8.73</v>
          </cell>
          <cell r="F31">
            <v>1.746</v>
          </cell>
          <cell r="G31">
            <v>1.1349</v>
          </cell>
        </row>
        <row r="32">
          <cell r="A32" t="str">
            <v>L-M-1</v>
          </cell>
          <cell r="B32" t="str">
            <v>Lib</v>
          </cell>
          <cell r="C32" t="str">
            <v>M</v>
          </cell>
          <cell r="D32">
            <v>1</v>
          </cell>
          <cell r="E32">
            <v>14.55</v>
          </cell>
          <cell r="F32">
            <v>1.4550000000000001</v>
          </cell>
          <cell r="G32">
            <v>1.8915000000000002</v>
          </cell>
        </row>
        <row r="33">
          <cell r="A33" t="str">
            <v>L-M-2.5</v>
          </cell>
          <cell r="B33" t="str">
            <v>Lib</v>
          </cell>
          <cell r="C33" t="str">
            <v>M</v>
          </cell>
          <cell r="D33">
            <v>2.5</v>
          </cell>
          <cell r="E33">
            <v>33.464999999999996</v>
          </cell>
          <cell r="F33">
            <v>1.3385999999999998</v>
          </cell>
          <cell r="G33">
            <v>4.3504499999999995</v>
          </cell>
        </row>
        <row r="34">
          <cell r="A34" t="str">
            <v>L-D-0.2</v>
          </cell>
          <cell r="B34" t="str">
            <v>Lib</v>
          </cell>
          <cell r="C34" t="str">
            <v>D</v>
          </cell>
          <cell r="D34">
            <v>0.2</v>
          </cell>
          <cell r="E34">
            <v>3.8849999999999998</v>
          </cell>
          <cell r="F34">
            <v>1.9424999999999999</v>
          </cell>
          <cell r="G34">
            <v>0.50505</v>
          </cell>
        </row>
        <row r="35">
          <cell r="A35" t="str">
            <v>L-D-0.5</v>
          </cell>
          <cell r="B35" t="str">
            <v>Lib</v>
          </cell>
          <cell r="C35" t="str">
            <v>D</v>
          </cell>
          <cell r="D35">
            <v>0.5</v>
          </cell>
          <cell r="E35">
            <v>7.77</v>
          </cell>
          <cell r="F35">
            <v>1.5539999999999998</v>
          </cell>
          <cell r="G35">
            <v>1.0101</v>
          </cell>
        </row>
        <row r="36">
          <cell r="A36" t="str">
            <v>L-D-1</v>
          </cell>
          <cell r="B36" t="str">
            <v>Lib</v>
          </cell>
          <cell r="C36" t="str">
            <v>D</v>
          </cell>
          <cell r="D36">
            <v>1</v>
          </cell>
          <cell r="E36">
            <v>12.95</v>
          </cell>
          <cell r="F36">
            <v>1.2949999999999999</v>
          </cell>
          <cell r="G36">
            <v>1.6835</v>
          </cell>
        </row>
        <row r="37">
          <cell r="A37" t="str">
            <v>L-D-2.5</v>
          </cell>
          <cell r="B37" t="str">
            <v>Lib</v>
          </cell>
          <cell r="C37" t="str">
            <v>D</v>
          </cell>
          <cell r="D37">
            <v>2.5</v>
          </cell>
          <cell r="E37">
            <v>29.784999999999997</v>
          </cell>
          <cell r="F37">
            <v>1.1913999999999998</v>
          </cell>
          <cell r="G37">
            <v>3.8720499999999998</v>
          </cell>
        </row>
        <row r="38">
          <cell r="A38" t="str">
            <v>E-L-0.2</v>
          </cell>
          <cell r="B38" t="str">
            <v>Exc</v>
          </cell>
          <cell r="C38" t="str">
            <v>L</v>
          </cell>
          <cell r="D38">
            <v>0.2</v>
          </cell>
          <cell r="E38">
            <v>4.4550000000000001</v>
          </cell>
          <cell r="F38">
            <v>2.2275</v>
          </cell>
          <cell r="G38">
            <v>0.49004999999999999</v>
          </cell>
        </row>
        <row r="39">
          <cell r="A39" t="str">
            <v>E-L-0.5</v>
          </cell>
          <cell r="B39" t="str">
            <v>Exc</v>
          </cell>
          <cell r="C39" t="str">
            <v>L</v>
          </cell>
          <cell r="D39">
            <v>0.5</v>
          </cell>
          <cell r="E39">
            <v>8.91</v>
          </cell>
          <cell r="F39">
            <v>1.782</v>
          </cell>
          <cell r="G39">
            <v>0.98009999999999997</v>
          </cell>
        </row>
        <row r="40">
          <cell r="A40" t="str">
            <v>E-L-1</v>
          </cell>
          <cell r="B40" t="str">
            <v>Exc</v>
          </cell>
          <cell r="C40" t="str">
            <v>L</v>
          </cell>
          <cell r="D40">
            <v>1</v>
          </cell>
          <cell r="E40">
            <v>14.85</v>
          </cell>
          <cell r="F40">
            <v>1.4849999999999999</v>
          </cell>
          <cell r="G40">
            <v>1.6335</v>
          </cell>
        </row>
        <row r="41">
          <cell r="A41" t="str">
            <v>E-L-2.5</v>
          </cell>
          <cell r="B41" t="str">
            <v>Exc</v>
          </cell>
          <cell r="C41" t="str">
            <v>L</v>
          </cell>
          <cell r="D41">
            <v>2.5</v>
          </cell>
          <cell r="E41">
            <v>34.154999999999994</v>
          </cell>
          <cell r="F41">
            <v>1.3661999999999999</v>
          </cell>
          <cell r="G41">
            <v>3.7570499999999996</v>
          </cell>
        </row>
        <row r="42">
          <cell r="A42" t="str">
            <v>E-M-0.2</v>
          </cell>
          <cell r="B42" t="str">
            <v>Exc</v>
          </cell>
          <cell r="C42" t="str">
            <v>M</v>
          </cell>
          <cell r="D42">
            <v>0.2</v>
          </cell>
          <cell r="E42">
            <v>4.125</v>
          </cell>
          <cell r="F42">
            <v>2.0625</v>
          </cell>
          <cell r="G42">
            <v>0.45374999999999999</v>
          </cell>
        </row>
        <row r="43">
          <cell r="A43" t="str">
            <v>E-M-0.5</v>
          </cell>
          <cell r="B43" t="str">
            <v>Exc</v>
          </cell>
          <cell r="C43" t="str">
            <v>M</v>
          </cell>
          <cell r="D43">
            <v>0.5</v>
          </cell>
          <cell r="E43">
            <v>8.25</v>
          </cell>
          <cell r="F43">
            <v>1.65</v>
          </cell>
          <cell r="G43">
            <v>0.90749999999999997</v>
          </cell>
        </row>
        <row r="44">
          <cell r="A44" t="str">
            <v>E-M-1</v>
          </cell>
          <cell r="B44" t="str">
            <v>Exc</v>
          </cell>
          <cell r="C44" t="str">
            <v>M</v>
          </cell>
          <cell r="D44">
            <v>1</v>
          </cell>
          <cell r="E44">
            <v>13.75</v>
          </cell>
          <cell r="F44">
            <v>1.375</v>
          </cell>
          <cell r="G44">
            <v>1.5125</v>
          </cell>
        </row>
        <row r="45">
          <cell r="A45" t="str">
            <v>E-M-2.5</v>
          </cell>
          <cell r="B45" t="str">
            <v>Exc</v>
          </cell>
          <cell r="C45" t="str">
            <v>M</v>
          </cell>
          <cell r="D45">
            <v>2.5</v>
          </cell>
          <cell r="E45">
            <v>31.624999999999996</v>
          </cell>
          <cell r="F45">
            <v>1.2649999999999999</v>
          </cell>
          <cell r="G45">
            <v>3.4787499999999998</v>
          </cell>
        </row>
        <row r="46">
          <cell r="A46" t="str">
            <v>E-D-0.2</v>
          </cell>
          <cell r="B46" t="str">
            <v>Exc</v>
          </cell>
          <cell r="C46" t="str">
            <v>D</v>
          </cell>
          <cell r="D46">
            <v>0.2</v>
          </cell>
          <cell r="E46">
            <v>3.645</v>
          </cell>
          <cell r="F46">
            <v>1.8225</v>
          </cell>
          <cell r="G46">
            <v>0.40095000000000003</v>
          </cell>
        </row>
        <row r="47">
          <cell r="A47" t="str">
            <v>E-D-0.5</v>
          </cell>
          <cell r="B47" t="str">
            <v>Exc</v>
          </cell>
          <cell r="C47" t="str">
            <v>D</v>
          </cell>
          <cell r="D47">
            <v>0.5</v>
          </cell>
          <cell r="E47">
            <v>7.29</v>
          </cell>
          <cell r="F47">
            <v>1.458</v>
          </cell>
          <cell r="G47">
            <v>0.80190000000000006</v>
          </cell>
        </row>
        <row r="48">
          <cell r="A48" t="str">
            <v>E-D-1</v>
          </cell>
          <cell r="B48" t="str">
            <v>Exc</v>
          </cell>
          <cell r="C48" t="str">
            <v>D</v>
          </cell>
          <cell r="D48">
            <v>1</v>
          </cell>
          <cell r="E48">
            <v>12.15</v>
          </cell>
          <cell r="F48">
            <v>1.2150000000000001</v>
          </cell>
          <cell r="G48">
            <v>1.3365</v>
          </cell>
        </row>
        <row r="49">
          <cell r="A49" t="str">
            <v>E-D-2.5</v>
          </cell>
          <cell r="B49" t="str">
            <v>Exc</v>
          </cell>
          <cell r="C49" t="str">
            <v>D</v>
          </cell>
          <cell r="D49">
            <v>2.5</v>
          </cell>
          <cell r="E49">
            <v>27.945</v>
          </cell>
          <cell r="F49">
            <v>1.1177999999999999</v>
          </cell>
          <cell r="G49">
            <v>3.07395</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841.545808564813" createdVersion="8" refreshedVersion="8" minRefreshableVersion="3" recordCount="1001" xr:uid="{BEFE06E6-6D1C-4F08-B308-99FF81894ACD}">
  <cacheSource type="worksheet">
    <worksheetSource ref="A1:V1048576" sheet="WORKSHEET"/>
  </cacheSource>
  <cacheFields count="24">
    <cacheField name="Order ID" numFmtId="0">
      <sharedItems containsBlank="1" count="958">
        <s v="QEV-37451-860"/>
        <s v="FAA-43335-268"/>
        <s v="KAC-83089-793"/>
        <s v="CVP-18956-553"/>
        <s v="IPP-31994-879"/>
        <s v="SNZ-65340-705"/>
        <s v="EZT-46571-659"/>
        <s v="NWQ-70061-912"/>
        <s v="BKK-47233-845"/>
        <s v="VQR-01002-970"/>
        <s v="SZW-48378-399"/>
        <s v="ITA-87418-783"/>
        <s v="GNZ-46006-527"/>
        <s v="FYQ-78248-319"/>
        <s v="VAU-44387-624"/>
        <s v="RDW-33155-159"/>
        <s v="TDZ-59011-211"/>
        <s v="IDU-25793-399"/>
        <s v="NUO-20013-488"/>
        <s v="UQU-65630-479"/>
        <s v="FEO-11834-332"/>
        <s v="TKY-71558-096"/>
        <s v="OXY-65322-253"/>
        <s v="EVP-43500-491"/>
        <s v="WAG-26945-689"/>
        <s v="CHE-78995-767"/>
        <s v="RYZ-14633-602"/>
        <s v="WOQ-36015-429"/>
        <s v="SCT-60553-454"/>
        <s v="GFK-52063-244"/>
        <s v="AMM-79521-378"/>
        <s v="QUQ-90580-772"/>
        <s v="LGD-24408-274"/>
        <s v="HCT-95608-959"/>
        <s v="OFX-99147-470"/>
        <s v="LUO-37559-016"/>
        <s v="XWC-20610-167"/>
        <s v="GPU-79113-136"/>
        <s v="ULR-52653-960"/>
        <s v="HPI-42308-142"/>
        <s v="XHI-30227-581"/>
        <s v="DJH-05202-380"/>
        <s v="VMW-26889-781"/>
        <s v="DBU-81099-586"/>
        <s v="PQA-54820-810"/>
        <s v="XKB-41924-202"/>
        <s v="DWZ-69106-473"/>
        <s v="YHV-68700-050"/>
        <s v="KRB-88066-642"/>
        <s v="LQU-08404-173"/>
        <s v="CWK-60159-881"/>
        <s v="EEG-74197-843"/>
        <s v="UCZ-59708-525"/>
        <s v="HUB-47311-849"/>
        <s v="WYM-17686-694"/>
        <s v="ZYQ-15797-695"/>
        <s v="EEJ-16185-108"/>
        <s v="RWR-77888-800"/>
        <s v="LHN-75209-742"/>
        <s v="TIR-71396-998"/>
        <s v="RXF-37618-213"/>
        <s v="ANM-16388-634"/>
        <s v="WYL-29300-070"/>
        <s v="JHW-74554-805"/>
        <s v="KYS-27063-603"/>
        <s v="GAZ-58626-277"/>
        <s v="RPJ-37787-335"/>
        <s v="LEF-83057-763"/>
        <s v="RPW-36123-215"/>
        <s v="WLL-59044-117"/>
        <s v="AWT-22827-563"/>
        <s v="QLM-07145-668"/>
        <s v="HVQ-64398-930"/>
        <s v="WRT-40778-247"/>
        <s v="SUB-13006-125"/>
        <s v="CQM-49696-263"/>
        <s v="KXN-85094-246"/>
        <s v="XOQ-12405-419"/>
        <s v="HYF-10254-369"/>
        <s v="XXJ-47000-307"/>
        <s v="ZDK-82166-357"/>
        <s v="IHN-19982-362"/>
        <s v="VMT-10030-889"/>
        <s v="NHL-11063-100"/>
        <s v="ROV-87448-086"/>
        <s v="DGY-35773-612"/>
        <s v="YWH-50638-556"/>
        <s v="ISL-11200-600"/>
        <s v="LBZ-75997-047"/>
        <s v="EUH-08089-954"/>
        <s v="BLD-12227-251"/>
        <s v="OPY-30711-853"/>
        <s v="DBC-44122-300"/>
        <s v="FJQ-60035-234"/>
        <s v="HSF-66926-425"/>
        <s v="LQG-41416-375"/>
        <s v="VZO-97265-841"/>
        <s v="MOR-12987-399"/>
        <s v="UOA-23786-489"/>
        <s v="AJL-52941-018"/>
        <s v="XSZ-84273-421"/>
        <s v="NUN-48214-216"/>
        <s v="AKV-93064-769"/>
        <s v="BRB-40903-533"/>
        <s v="GPR-19973-483"/>
        <s v="XIY-43041-882"/>
        <s v="YGY-98425-969"/>
        <s v="MSB-08397-648"/>
        <s v="WDR-06028-345"/>
        <s v="MXM-42948-061"/>
        <s v="MGQ-98961-173"/>
        <s v="RFH-64349-897"/>
        <s v="TKL-20738-660"/>
        <s v="GOW-03198-575"/>
        <s v="QJB-90477-635"/>
        <s v="MWP-46239-785"/>
        <s v="QDV-03406-248"/>
        <s v="GPH-40635-105"/>
        <s v="JOM-80930-071"/>
        <s v="OIL-26493-755"/>
        <s v="CYV-13426-645"/>
        <s v="WRP-39846-614"/>
        <s v="VDZ-76673-968"/>
        <s v="VTV-03546-175"/>
        <s v="GHR-72274-715"/>
        <s v="ZGK-97262-313"/>
        <s v="ZFS-30776-804"/>
        <s v="QUU-91729-492"/>
        <s v="PVI-72795-960"/>
        <s v="PPP-78935-365"/>
        <s v="JUO-34131-517"/>
        <s v="ZJE-89333-489"/>
        <s v="LOO-35324-159"/>
        <s v="JBQ-93412-846"/>
        <s v="EHX-66333-637"/>
        <s v="WXG-25759-236"/>
        <s v="QNA-31113-984"/>
        <s v="ZWI-52029-159"/>
        <s v="DFS-49954-707"/>
        <s v="VYP-89830-878"/>
        <s v="AMT-40418-362"/>
        <s v="NFQ-23241-793"/>
        <s v="JQK-64922-985"/>
        <s v="YET-17732-678"/>
        <s v="NKW-24945-846"/>
        <s v="VKA-82720-513"/>
        <s v="THA-60599-417"/>
        <s v="MEK-39769-035"/>
        <s v="JAF-18294-750"/>
        <s v="TME-59627-221"/>
        <s v="UDG-65353-824"/>
        <s v="ENQ-42923-176"/>
        <s v="CBT-55781-720"/>
        <s v="NEU-86533-016"/>
        <s v="BYU-58154-603"/>
        <s v="EHJ-05910-257"/>
        <s v="EIL-44855-309"/>
        <s v="HCA-87224-420"/>
        <s v="ABO-29054-365"/>
        <s v="TKN-58485-031"/>
        <s v="RCK-04069-371"/>
        <s v="IRJ-67095-738"/>
        <s v="VEA-31961-977"/>
        <s v="BAF-42286-205"/>
        <s v="WOR-52762-511"/>
        <s v="ZWK-03995-815"/>
        <s v="CKF-43291-846"/>
        <s v="RMW-74160-339"/>
        <s v="FMT-94584-786"/>
        <s v="NWT-78222-575"/>
        <s v="EOI-02511-919"/>
        <s v="UCT-03935-589"/>
        <s v="SBI-60013-494"/>
        <s v="QRA-73277-814"/>
        <s v="EQE-31648-909"/>
        <s v="QOO-24615-950"/>
        <s v="WDV-73864-037"/>
        <s v="PKR-88575-066"/>
        <s v="BWR-85735-955"/>
        <s v="YFX-64795-136"/>
        <s v="DDO-71442-967"/>
        <s v="ILQ-11027-588"/>
        <s v="KRZ-13868-122"/>
        <s v="VRM-93594-914"/>
        <s v="HXL-22497-359"/>
        <s v="NOP-21394-646"/>
        <s v="FTV-77095-168"/>
        <s v="BOR-02906-411"/>
        <s v="WMP-68847-770"/>
        <s v="TMO-22785-872"/>
        <s v="TJG-73587-353"/>
        <s v="OOU-61343-455"/>
        <s v="RMA-08327-369"/>
        <s v="SFB-97929-779"/>
        <s v="AUP-10128-606"/>
        <s v="YTW-40242-005"/>
        <s v="PRP-53390-819"/>
        <s v="GSJ-01065-125"/>
        <s v="YQU-65147-580"/>
        <s v="QPM-95832-683"/>
        <s v="BNQ-88920-567"/>
        <s v="PUX-47906-110"/>
        <s v="COL-72079-610"/>
        <s v="LBC-45686-819"/>
        <s v="BLQ-03709-265"/>
        <s v="VFZ-91673-181"/>
        <s v="WKD-81956-870"/>
        <s v="TNI-91067-006"/>
        <s v="IZA-61469-812"/>
        <s v="PSS-22466-862"/>
        <s v="REH-56504-397"/>
        <s v="ALA-62598-016"/>
        <s v="EYE-70374-835"/>
        <s v="CCZ-19589-212"/>
        <s v="BPT-83989-157"/>
        <s v="YFH-87456-208"/>
        <s v="JLN-14700-924"/>
        <s v="JVW-22582-137"/>
        <s v="LAA-41879-001"/>
        <s v="BRV-64870-915"/>
        <s v="RGJ-12544-083"/>
        <s v="JJX-83339-346"/>
        <s v="BIU-21970-705"/>
        <s v="ELJ-87741-745"/>
        <s v="SGI-48226-857"/>
        <s v="AHV-66988-037"/>
        <s v="ISK-42066-094"/>
        <s v="FTC-35822-530"/>
        <s v="VSS-56247-688"/>
        <s v="HVW-25584-144"/>
        <s v="MUY-15309-209"/>
        <s v="VAJ-44572-469"/>
        <s v="YJU-84377-606"/>
        <s v="VNC-93921-469"/>
        <s v="OGB-91614-810"/>
        <s v="BQI-61647-496"/>
        <s v="IOM-51636-823"/>
        <s v="GGD-38107-641"/>
        <s v="LTO-95975-728"/>
        <s v="IGM-84664-265"/>
        <s v="SKO-45740-621"/>
        <s v="FOJ-02234-063"/>
        <s v="MSJ-11909-468"/>
        <s v="DKB-78053-329"/>
        <s v="DFZ-45083-941"/>
        <s v="OTA-40969-710"/>
        <s v="GRH-45571-667"/>
        <s v="NXV-05302-067"/>
        <s v="VZH-86274-142"/>
        <s v="KIX-93248-135"/>
        <s v="AXR-10962-010"/>
        <s v="IHS-71573-008"/>
        <s v="QTR-19001-114"/>
        <s v="WBK-62297-910"/>
        <s v="OGY-19377-175"/>
        <s v="ESR-66651-814"/>
        <s v="CPX-46916-770"/>
        <s v="MDC-03318-645"/>
        <s v="SFF-86059-407"/>
        <s v="SCL-94540-788"/>
        <s v="HVU-21634-076"/>
        <s v="XUS-73326-418"/>
        <s v="XWD-18933-006"/>
        <s v="HPD-65272-772"/>
        <s v="JEG-93140-224"/>
        <s v="NNH-62058-950"/>
        <s v="LTD-71429-845"/>
        <s v="MPV-26985-215"/>
        <s v="IYO-10245-081"/>
        <s v="BYZ-39669-954"/>
        <s v="EFB-72860-209"/>
        <s v="GMM-72397-378"/>
        <s v="LYP-52345-883"/>
        <s v="DFK-35846-692"/>
        <s v="XAH-93337-609"/>
        <s v="QKA-72582-644"/>
        <s v="ZDK-84567-102"/>
        <s v="WAV-38301-984"/>
        <s v="KZR-33023-209"/>
        <s v="ULM-49433-003"/>
        <s v="SIB-83254-136"/>
        <s v="NOK-50349-551"/>
        <s v="YIS-96268-844"/>
        <s v="CXI-04933-855"/>
        <s v="IZU-90429-382"/>
        <s v="WIT-40912-783"/>
        <s v="PSD-57291-590"/>
        <s v="GOI-41472-677"/>
        <s v="KTX-17944-494"/>
        <s v="RDM-99811-230"/>
        <s v="JTU-55897-581"/>
        <s v="CRK-07584-240"/>
        <s v="MKE-75518-399"/>
        <s v="AEL-51169-725"/>
        <s v="ZGM-83108-823"/>
        <s v="JBP-78754-392"/>
        <s v="RNH-54912-747"/>
        <s v="JDS-33440-914"/>
        <s v="SYX-48878-182"/>
        <s v="ZGD-94763-868"/>
        <s v="CZY-70361-485"/>
        <s v="RJR-12175-899"/>
        <s v="ELB-07929-407"/>
        <s v="UJQ-54441-340"/>
        <s v="OWY-43108-475"/>
        <s v="GNO-91911-159"/>
        <s v="CNY-06284-066"/>
        <s v="OQS-46321-904"/>
        <s v="IBW-87442-480"/>
        <s v="DGZ-82537-477"/>
        <s v="LPS-39089-432"/>
        <s v="MQU-86100-929"/>
        <s v="XUR-14132-391"/>
        <s v="OVI-27064-381"/>
        <s v="SHP-17012-870"/>
        <s v="FDY-03414-903"/>
        <s v="WXT-85291-143"/>
        <s v="QNP-18893-547"/>
        <s v="DOH-92927-530"/>
        <s v="HGJ-82768-173"/>
        <s v="YPT-95383-088"/>
        <s v="OYH-16533-767"/>
        <s v="DWW-28642-549"/>
        <s v="CGO-79583-871"/>
        <s v="TFY-52090-386"/>
        <s v="NYY-73968-094"/>
        <s v="QEY-71761-460"/>
        <s v="GKQ-82603-910"/>
        <s v="IOB-32673-745"/>
        <s v="YAU-98893-150"/>
        <s v="XNM-14163-951"/>
        <s v="JPB-45297-000"/>
        <s v="MOU-74341-266"/>
        <s v="DHJ-87461-571"/>
        <s v="DKM-97676-850"/>
        <s v="UEB-09112-118"/>
        <s v="ORZ-67699-748"/>
        <s v="JXP-28398-485"/>
        <s v="WWH-92259-198"/>
        <s v="FLR-82914-153"/>
        <s v="AMB-93600-000"/>
        <s v="FEP-36895-658"/>
        <s v="RXW-91413-276"/>
        <s v="SDB-77492-188"/>
        <s v="RZN-65182-395"/>
        <s v="HDQ-86094-507"/>
        <s v="YXO-79631-417"/>
        <s v="SNF-57032-096"/>
        <s v="DGL-29648-995"/>
        <s v="GPU-65651-504"/>
        <s v="OJU-34452-896"/>
        <s v="GZS-50547-887"/>
        <s v="ESR-54041-053"/>
        <s v="OGD-10781-526"/>
        <s v="FVH-29271-315"/>
        <s v="BNZ-20544-633"/>
        <s v="FUX-85791-078"/>
        <s v="YXP-20078-116"/>
        <s v="VQV-59984-866"/>
        <s v="JEH-37276-048"/>
        <s v="VYD-28555-589"/>
        <s v="WUG-76466-650"/>
        <s v="RJV-08261-583"/>
        <s v="PMR-56062-609"/>
        <s v="XLD-12920-505"/>
        <s v="UBW-50312-037"/>
        <s v="QAW-05889-019"/>
        <s v="EPT-12715-397"/>
        <s v="DHT-93810-053"/>
        <s v="DMY-96037-963"/>
        <s v="MBM-55936-917"/>
        <s v="TPA-93614-840"/>
        <s v="WDM-77521-710"/>
        <s v="EIP-19142-462"/>
        <s v="ZZL-76364-387"/>
        <s v="GMF-18638-786"/>
        <s v="TDJ-20844-787"/>
        <s v="BWK-39400-446"/>
        <s v="LCB-02099-995"/>
        <s v="UBA-43678-174"/>
        <s v="UDH-24280-432"/>
        <s v="IDQ-20193-502"/>
        <s v="DJG-14442-608"/>
        <s v="DWB-61381-370"/>
        <s v="FRD-17347-990"/>
        <s v="YPP-27450-525"/>
        <s v="EFC-39577-424"/>
        <s v="LAW-80062-016"/>
        <s v="WKL-27981-758"/>
        <s v="VRT-39834-265"/>
        <s v="QTC-71005-730"/>
        <s v="TNX-09857-717"/>
        <s v="JZV-43874-185"/>
        <s v="ICF-17486-106"/>
        <s v="BMK-49520-383"/>
        <s v="HTS-15020-632"/>
        <s v="YLE-18247-749"/>
        <s v="KJJ-12573-591"/>
        <s v="RGU-43561-950"/>
        <s v="JSN-73975-443"/>
        <s v="WNR-71736-993"/>
        <s v="HNI-91338-546"/>
        <s v="CYH-53243-218"/>
        <s v="SVD-75407-177"/>
        <s v="NVN-66443-451"/>
        <s v="JUA-13580-095"/>
        <s v="ACY-56225-839"/>
        <s v="QBB-07903-622"/>
        <s v="JLJ-81802-619"/>
        <s v="HFT-77191-168"/>
        <s v="SZR-35951-530"/>
        <s v="IKL-95976-565"/>
        <s v="XEY-48929-474"/>
        <s v="SQT-07286-736"/>
        <s v="QDU-45390-361"/>
        <s v="RUJ-30649-712"/>
        <s v="WSV-49732-075"/>
        <s v="VJF-46305-323"/>
        <s v="CXD-74176-600"/>
        <s v="ADX-50674-975"/>
        <s v="RRP-51647-420"/>
        <s v="PKJ-99134-523"/>
        <s v="FZQ-29439-457"/>
        <s v="USN-68115-161"/>
        <s v="IXU-20263-532"/>
        <s v="CBT-15092-420"/>
        <s v="PKQ-46841-696"/>
        <s v="XDU-05471-219"/>
        <s v="NID-20149-329"/>
        <s v="SVU-27222-213"/>
        <s v="RWI-84131-848"/>
        <s v="GUU-40666-525"/>
        <s v="SCN-51395-066"/>
        <s v="ULA-24644-321"/>
        <s v="EOL-92666-762"/>
        <s v="AJV-18231-334"/>
        <s v="ZQI-47236-301"/>
        <s v="ZCR-15721-658"/>
        <s v="QEW-47945-682"/>
        <s v="PSY-45485-542"/>
        <s v="BAQ-74241-156"/>
        <s v="BVU-77367-451"/>
        <s v="TJE-91516-344"/>
        <s v="LIS-96202-702"/>
        <s v="VIO-27668-766"/>
        <s v="ZVG-20473-043"/>
        <s v="KGZ-56395-231"/>
        <s v="CUU-92244-729"/>
        <s v="EHE-94714-312"/>
        <s v="RTL-16205-161"/>
        <s v="GTS-22482-014"/>
        <s v="DYG-25473-881"/>
        <s v="HTR-21838-286"/>
        <s v="KYG-28296-920"/>
        <s v="NNB-20459-430"/>
        <s v="FEK-14025-351"/>
        <s v="AWH-16980-469"/>
        <s v="ZPW-31329-741"/>
        <s v="UBI-83843-396"/>
        <s v="VID-40587-569"/>
        <s v="KBB-52530-416"/>
        <s v="ISJ-48676-420"/>
        <s v="MIF-17920-768"/>
        <s v="CPX-19312-088"/>
        <s v="RXI-67978-260"/>
        <s v="LKE-14821-285"/>
        <s v="LRK-97117-150"/>
        <s v="IGK-51227-573"/>
        <s v="ZAY-43009-775"/>
        <s v="EMA-63190-618"/>
        <s v="FBI-35855-418"/>
        <s v="TXB-80533-417"/>
        <s v="MBM-00112-248"/>
        <s v="EUO-69145-988"/>
        <s v="GYA-80327-368"/>
        <s v="TNW-41601-420"/>
        <s v="ALR-62963-723"/>
        <s v="JIG-27636-870"/>
        <s v="CTE-31437-326"/>
        <s v="SLD-63003-334"/>
        <s v="BXN-64230-789"/>
        <s v="XEE-37895-169"/>
        <s v="ZTX-80764-911"/>
        <s v="WVT-88135-549"/>
        <s v="IPA-94170-889"/>
        <s v="YQL-63755-365"/>
        <s v="RKW-81145-984"/>
        <s v="MBT-23379-866"/>
        <s v="GEJ-39834-935"/>
        <s v="KRW-91640-596"/>
        <s v="AOT-70449-651"/>
        <s v="DGC-21813-731"/>
        <s v="JBE-92943-643"/>
        <s v="ZIL-34948-499"/>
        <s v="JSU-23781-256"/>
        <s v="VPX-44956-367"/>
        <s v="VTB-46451-959"/>
        <s v="DNZ-11665-950"/>
        <s v="ITR-54735-364"/>
        <s v="YDS-02797-307"/>
        <s v="BPG-68988-842"/>
        <s v="XZG-51938-658"/>
        <s v="KAR-24978-271"/>
        <s v="FQK-28730-361"/>
        <s v="BGB-67996-089"/>
        <s v="XMC-20620-809"/>
        <s v="ZSO-58292-191"/>
        <s v="LWJ-06793-303"/>
        <s v="FLM-82229-989"/>
        <s v="CPV-90280-133"/>
        <s v="OGW-60685-912"/>
        <s v="DEC-11160-362"/>
        <s v="WCT-07869-499"/>
        <s v="FHD-89872-325"/>
        <s v="AZF-45991-584"/>
        <s v="MDG-14481-513"/>
        <s v="OFN-49424-848"/>
        <s v="NFA-03411-746"/>
        <s v="CYM-74988-450"/>
        <s v="WTV-24996-658"/>
        <s v="DSL-69915-544"/>
        <s v="NBT-35757-542"/>
        <s v="OYU-25085-528"/>
        <s v="XCG-07109-195"/>
        <s v="YZA-25234-630"/>
        <s v="OKU-29966-417"/>
        <s v="MEX-29350-659"/>
        <s v="NOY-99738-977"/>
        <s v="TCR-01064-030"/>
        <s v="YUL-42750-776"/>
        <s v="XQJ-86887-506"/>
        <s v="CUN-90044-279"/>
        <s v="ICC-73030-502"/>
        <s v="ADP-04506-084"/>
        <s v="PNU-22150-408"/>
        <s v="VSQ-07182-513"/>
        <s v="SPF-31673-217"/>
        <s v="NEX-63825-598"/>
        <s v="XPG-66112-335"/>
        <s v="NSQ-72210-345"/>
        <s v="XRR-28376-277"/>
        <s v="WHQ-25197-475"/>
        <s v="HMB-30634-745"/>
        <s v="XTL-68000-371"/>
        <s v="YES-51109-625"/>
        <s v="EAY-89850-211"/>
        <s v="IOQ-84840-827"/>
        <s v="FBD-56220-430"/>
        <s v="COV-52659-202"/>
        <s v="YUO-76652-814"/>
        <s v="PBT-36926-102"/>
        <s v="BLV-60087-454"/>
        <s v="QYC-63914-195"/>
        <s v="OIB-77163-890"/>
        <s v="SGS-87525-238"/>
        <s v="GQR-12490-152"/>
        <s v="UOJ-28238-299"/>
        <s v="ETD-58130-674"/>
        <s v="UPF-60123-025"/>
        <s v="NQS-01613-687"/>
        <s v="MGH-36050-573"/>
        <s v="UVF-59322-459"/>
        <s v="VET-41158-896"/>
        <s v="XYL-52196-459"/>
        <s v="BPZ-51283-916"/>
        <s v="VQW-91903-926"/>
        <s v="OLF-77983-457"/>
        <s v="MVI-04946-827"/>
        <s v="UOG-94188-104"/>
        <s v="DSN-15872-519"/>
        <s v="OUQ-73954-002"/>
        <s v="LGL-16843-667"/>
        <s v="TCC-89722-031"/>
        <s v="TRA-79507-007"/>
        <s v="MZJ-77284-941"/>
        <s v="AXN-57779-891"/>
        <s v="PJB-15659-994"/>
        <s v="LTS-03470-353"/>
        <s v="UMM-28497-689"/>
        <s v="MJZ-93232-402"/>
        <s v="UHW-74617-126"/>
        <s v="RIK-61730-794"/>
        <s v="IDJ-55379-750"/>
        <s v="OHX-11953-965"/>
        <s v="TVV-42245-088"/>
        <s v="DYP-74337-787"/>
        <s v="OKA-93124-100"/>
        <s v="IXW-20780-268"/>
        <s v="NGG-24006-937"/>
        <s v="JZC-31180-557"/>
        <s v="ZMU-63715-204"/>
        <s v="GND-08192-056"/>
        <s v="RYY-38961-093"/>
        <s v="CVA-64996-969"/>
        <s v="XTH-67276-442"/>
        <s v="PVU-02950-470"/>
        <s v="XSN-26809-910"/>
        <s v="UDN-88321-005"/>
        <s v="EXP-21628-670"/>
        <s v="VGM-24161-361"/>
        <s v="PKN-19556-918"/>
        <s v="DXQ-44537-297"/>
        <s v="BPC-54727-307"/>
        <s v="KSH-47717-456"/>
        <s v="ANK-59436-446"/>
        <s v="AYY-83051-752"/>
        <s v="CSW-59644-267"/>
        <s v="ITY-92466-909"/>
        <s v="IGW-04801-466"/>
        <s v="LJN-34281-921"/>
        <s v="BWZ-46364-547"/>
        <s v="SBC-95710-706"/>
        <s v="WRN-55114-031"/>
        <s v="TZU-64255-831"/>
        <s v="JVF-91003-729"/>
        <s v="MVB-22135-665"/>
        <s v="CKS-47815-571"/>
        <s v="OAW-17338-101"/>
        <s v="ALP-37623-536"/>
        <s v="WMU-87639-108"/>
        <s v="USN-44968-231"/>
        <s v="YZG-20575-451"/>
        <s v="HTH-52867-812"/>
        <s v="FWU-44971-444"/>
        <s v="EQI-82205-066"/>
        <s v="NAR-00747-074"/>
        <s v="JYR-22052-185"/>
        <s v="XKO-54097-932"/>
        <s v="HXA-72415-025"/>
        <s v="MJF-20065-335"/>
        <s v="GFI-83300-059"/>
        <s v="WJR-51493-682"/>
        <s v="SHP-55648-472"/>
        <s v="HYR-03455-684"/>
        <s v="HUG-52766-375"/>
        <s v="DAH-46595-917"/>
        <s v="VEM-79839-466"/>
        <s v="OWH-11126-533"/>
        <s v="UMT-26130-151"/>
        <s v="JKA-27899-806"/>
        <s v="ULU-07744-724"/>
        <s v="NOM-56457-507"/>
        <s v="NZN-71683-705"/>
        <s v="WMA-34232-850"/>
        <s v="EZL-27919-704"/>
        <s v="ZYU-11345-774"/>
        <s v="CPW-34587-459"/>
        <s v="NQZ-82067-394"/>
        <s v="JBW-95055-851"/>
        <s v="AHY-20324-088"/>
        <s v="ZSL-66684-103"/>
        <s v="WNE-73911-475"/>
        <s v="EZB-68383-559"/>
        <s v="OVO-01283-090"/>
        <s v="TXH-78646-919"/>
        <s v="CYZ-37122-164"/>
        <s v="AGQ-06534-750"/>
        <s v="QVL-32245-818"/>
        <s v="LTD-96842-834"/>
        <s v="SEC-91807-425"/>
        <s v="MHM-44857-599"/>
        <s v="KGC-95046-911"/>
        <s v="RZC-75150-413"/>
        <s v="EYH-88288-452"/>
        <s v="NYQ-24237-772"/>
        <s v="WKB-21680-566"/>
        <s v="THE-61147-027"/>
        <s v="PTY-86420-119"/>
        <s v="QHL-27188-431"/>
        <s v="MIS-54381-047"/>
        <s v="TBB-29780-459"/>
        <s v="QLC-52637-305"/>
        <s v="CWT-27056-328"/>
        <s v="ASS-05878-128"/>
        <s v="EGK-03027-418"/>
        <s v="KCY-61732-849"/>
        <s v="BLI-21697-702"/>
        <s v="KFJ-46568-890"/>
        <s v="SOK-43535-680"/>
        <s v="XUE-87260-201"/>
        <s v="CZF-40873-691"/>
        <s v="AIA-98989-755"/>
        <s v="ITZ-21793-986"/>
        <s v="YOK-93322-608"/>
        <s v="LXK-00634-611"/>
        <s v="CQW-37388-302"/>
        <s v="SPA-79365-334"/>
        <s v="VPX-08817-517"/>
        <s v="PBP-87115-410"/>
        <s v="SFB-93752-440"/>
        <s v="TBU-65158-068"/>
        <s v="TEH-08414-216"/>
        <s v="MAY-77231-536"/>
        <s v="ATY-28980-884"/>
        <s v="SWP-88281-918"/>
        <s v="VCE-56531-986"/>
        <s v="FVV-75700-005"/>
        <s v="CFZ-53492-600"/>
        <s v="LDK-71031-121"/>
        <s v="EBA-82404-343"/>
        <s v="USA-42811-560"/>
        <s v="SNL-83703-516"/>
        <s v="SUZ-83036-175"/>
        <s v="RGM-01187-513"/>
        <s v="CZG-01299-952"/>
        <s v="KLD-88731-484"/>
        <s v="BQK-38412-229"/>
        <s v="TCX-76953-071"/>
        <s v="LIN-88046-551"/>
        <s v="PMV-54491-220"/>
        <s v="SKA-73676-005"/>
        <s v="TKH-62197-239"/>
        <s v="YXF-57218-272"/>
        <s v="PKJ-30083-501"/>
        <s v="WTT-91832-645"/>
        <s v="TRZ-94735-865"/>
        <s v="UDB-09651-780"/>
        <s v="EHJ-82097-549"/>
        <s v="ZFR-79447-696"/>
        <s v="NUU-03893-975"/>
        <s v="GVG-59542-307"/>
        <s v="YLY-35287-172"/>
        <s v="DCI-96254-548"/>
        <s v="KHZ-26264-253"/>
        <s v="AAQ-13644-699"/>
        <s v="LWL-68108-794"/>
        <s v="JQT-14347-517"/>
        <s v="BMM-86471-923"/>
        <s v="IXU-67272-326"/>
        <s v="ITE-28312-615"/>
        <s v="ZHQ-30471-635"/>
        <s v="LTP-31133-134"/>
        <s v="ZVQ-26122-859"/>
        <s v="MIU-01481-194"/>
        <s v="UEA-72681-629"/>
        <s v="CVE-15042-481"/>
        <s v="EJA-79176-833"/>
        <s v="AHQ-40440-522"/>
        <s v="TID-21626-411"/>
        <s v="RSR-96390-187"/>
        <s v="BZE-96093-118"/>
        <s v="LOU-41819-242"/>
        <s v="FND-99527-640"/>
        <s v="ASG-27179-958"/>
        <s v="YKX-23510-272"/>
        <s v="FSA-98650-921"/>
        <s v="ZUR-55774-294"/>
        <s v="FUO-99821-974"/>
        <s v="YVH-19865-819"/>
        <s v="NNF-47422-501"/>
        <s v="RJI-71409-490"/>
        <s v="UZL-46108-213"/>
        <s v="AOX-44467-109"/>
        <s v="TZD-67261-174"/>
        <s v="TBU-64277-625"/>
        <s v="TYP-85767-944"/>
        <s v="GTT-73214-334"/>
        <s v="WAI-89905-069"/>
        <s v="OJL-96844-459"/>
        <s v="VGI-33205-360"/>
        <s v="PCA-14081-576"/>
        <s v="SCS-67069-962"/>
        <s v="BDM-03174-485"/>
        <s v="UJV-32333-364"/>
        <s v="FLI-11493-954"/>
        <s v="IWL-13117-537"/>
        <s v="OAM-76916-748"/>
        <s v="UMB-11223-710"/>
        <s v="LXR-09892-726"/>
        <s v="QXX-89943-393"/>
        <s v="WVS-57822-366"/>
        <s v="CLJ-23403-689"/>
        <s v="XNU-83276-288"/>
        <s v="YOG-94666-679"/>
        <s v="KHG-33953-115"/>
        <s v="MHD-95615-696"/>
        <s v="HBH-64794-080"/>
        <s v="CNJ-56058-223"/>
        <s v="KHO-27106-786"/>
        <s v="YAC-50329-982"/>
        <s v="VVL-95291-039"/>
        <s v="VUT-20974-364"/>
        <s v="SFC-34054-213"/>
        <s v="UDS-04807-593"/>
        <s v="FWE-98471-488"/>
        <s v="RAU-17060-674"/>
        <s v="AOL-13866-711"/>
        <s v="NOA-79645-377"/>
        <s v="KMS-49214-806"/>
        <s v="ABK-08091-531"/>
        <s v="GPT-67705-953"/>
        <s v="JNA-21450-177"/>
        <s v="MPQ-23421-608"/>
        <s v="NLI-63891-565"/>
        <s v="HHF-36647-854"/>
        <s v="SBN-16537-046"/>
        <s v="XZD-44484-632"/>
        <s v="IKQ-39946-768"/>
        <s v="KMB-95211-174"/>
        <s v="QWY-99467-368"/>
        <s v="SRG-76791-614"/>
        <s v="VSN-94485-621"/>
        <s v="UFZ-24348-219"/>
        <s v="UKS-93055-397"/>
        <s v="AVH-56062-335"/>
        <s v="HGE-19842-613"/>
        <s v="WBA-85905-175"/>
        <s v="DZI-35365-596"/>
        <s v="XIR-88982-743"/>
        <s v="VUC-72395-865"/>
        <s v="BQJ-44755-910"/>
        <s v="JKC-64636-831"/>
        <s v="ZKI-78561-066"/>
        <s v="IMP-12563-728"/>
        <s v="MZL-81126-390"/>
        <s v="TVF-57766-608"/>
        <s v="RUX-37995-892"/>
        <s v="AVK-76526-953"/>
        <s v="RIU-02231-623"/>
        <s v="WFK-99317-827"/>
        <s v="SFD-00372-284"/>
        <s v="SXC-62166-515"/>
        <s v="YIE-87008-621"/>
        <s v="HRM-94548-288"/>
        <s v="UJG-34731-295"/>
        <s v="TWD-70988-853"/>
        <s v="CIX-22904-641"/>
        <s v="DLV-65840-759"/>
        <s v="RXN-55491-201"/>
        <s v="UHK-63283-868"/>
        <s v="PJC-31401-893"/>
        <s v="HHO-79903-185"/>
        <s v="YWM-07310-594"/>
        <s v="FHD-94983-982"/>
        <s v="WQK-10857-119"/>
        <s v="DXA-50313-073"/>
        <s v="ONW-00560-570"/>
        <s v="BRJ-19414-277"/>
        <s v="MIQ-16322-908"/>
        <s v="MVO-39328-830"/>
        <s v="NTJ-88319-746"/>
        <s v="LCY-24377-948"/>
        <s v="FWD-85967-769"/>
        <s v="KTO-53793-109"/>
        <s v="OCK-89033-348"/>
        <s v="GPZ-36017-366"/>
        <s v="BZP-33213-637"/>
        <s v="WFH-21507-708"/>
        <s v="HST-96923-073"/>
        <s v="ENN-79947-323"/>
        <s v="BHA-47429-889"/>
        <s v="SZY-63017-318"/>
        <s v="LCU-93317-340"/>
        <s v="UOM-71431-481"/>
        <s v="PJH-42618-877"/>
        <s v="XED-90333-402"/>
        <s v="IKK-62234-199"/>
        <s v="KAW-95195-329"/>
        <s v="QDO-57268-842"/>
        <s v="IIZ-24416-212"/>
        <s v="AWP-11469-510"/>
        <s v="KXA-27983-918"/>
        <s v="VKQ-39009-292"/>
        <s v="PDB-98743-282"/>
        <s v="SXW-34014-556"/>
        <s v="QOJ-38788-727"/>
        <s v="TGF-38649-658"/>
        <s v="EAI-25194-209"/>
        <s v="IJK-34441-720"/>
        <s v="ZMC-00336-619"/>
        <s v="UPX-54529-618"/>
        <s v="DLX-01059-899"/>
        <s v="MEK-85120-243"/>
        <s v="NFI-37188-246"/>
        <s v="BXH-62195-013"/>
        <s v="YLK-78851-470"/>
        <s v="DXY-76225-633"/>
        <s v="UHP-24614-199"/>
        <s v="HBY-35655-049"/>
        <s v="DCE-22886-861"/>
        <s v="QTG-93823-843"/>
        <s v="WFT-16178-396"/>
        <s v="ERC-54560-934"/>
        <s v="RUK-78200-416"/>
        <s v="KHK-13105-388"/>
        <s v="NJR-03699-189"/>
        <s v="PJV-20427-019"/>
        <s v="UGK-07613-982"/>
        <s v="OLA-68289-577"/>
        <s v="TNR-84447-052"/>
        <s v="FBZ-64200-586"/>
        <s v="OBN-66334-505"/>
        <s v="NXM-89323-646"/>
        <s v="NHI-23264-055"/>
        <s v="EQH-53569-934"/>
        <s v="XKK-06692-189"/>
        <s v="BYP-16005-016"/>
        <s v="LWS-13938-905"/>
        <s v="OLH-95722-362"/>
        <s v="KCW-50949-318"/>
        <s v="JGZ-16947-591"/>
        <s v="LXS-63326-144"/>
        <s v="CZG-86544-655"/>
        <s v="WFV-88138-247"/>
        <s v="RFG-28227-288"/>
        <s v="QAK-77286-758"/>
        <s v="CZD-56716-840"/>
        <s v="UBI-59229-277"/>
        <s v="WJJ-37489-898"/>
        <s v="ORX-57454-917"/>
        <s v="GRB-68838-629"/>
        <s v="SHT-04865-419"/>
        <s v="UQI-28177-865"/>
        <s v="OIB-13664-879"/>
        <s v="PJS-30996-485"/>
        <s v="HEL-86709-449"/>
        <s v="NCH-55389-562"/>
        <s v="GUG-45603-775"/>
        <s v="KJB-98240-098"/>
        <s v="JMS-48374-462"/>
        <s v="YIT-15877-117"/>
        <s v="YVK-82679-655"/>
        <s v="TYH-81940-054"/>
        <s v="HTY-30660-254"/>
        <s v="GPW-43956-761"/>
        <s v="DWY-56352-412"/>
        <s v="PUH-55647-976"/>
        <s v="DTB-71371-705"/>
        <s v="ZDC-64769-740"/>
        <s v="TED-81959-419"/>
        <s v="FDO-25756-141"/>
        <s v="HKN-31467-517"/>
        <s v="POF-29666-012"/>
        <s v="IRX-59256-644"/>
        <s v="LTN-89139-350"/>
        <s v="TXF-79780-017"/>
        <s v="ALM-80762-974"/>
        <s v="NXF-15738-707"/>
        <s v="MVV-19034-198"/>
        <s v="KUX-19632-830"/>
        <s v="SNZ-44595-152"/>
        <s v="GQA-37241-629"/>
        <s v="WVV-79948-067"/>
        <s v="LHX-81117-166"/>
        <s v="GCD-75444-320"/>
        <s v="SGA-30059-217"/>
        <s v="GNL-98714-885"/>
        <s v="OQA-93249-841"/>
        <s v="DUV-12075-132"/>
        <s v="KPO-24942-184"/>
        <s v="SRJ-79353-838"/>
        <s v="XBV-40336-071"/>
        <s v="RLM-96511-467"/>
        <s v="AEZ-13242-456"/>
        <s v="UME-75640-698"/>
        <s v="GJC-66474-557"/>
        <s v="IRV-20769-219"/>
        <m/>
      </sharedItems>
    </cacheField>
    <cacheField name="Order Date" numFmtId="0">
      <sharedItems containsNonDate="0" containsDate="1" containsString="0" containsBlank="1" minDate="2019-01-02T00:00:00" maxDate="2022-08-20T00:00:00" count="690">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m/>
      </sharedItems>
      <fieldGroup par="23" base="1">
        <rangePr groupBy="months" startDate="2019-01-02T00:00:00" endDate="2022-08-20T00:00:00"/>
        <groupItems count="14">
          <s v="(blank)"/>
          <s v="Jan"/>
          <s v="Feb"/>
          <s v="Mar"/>
          <s v="Apr"/>
          <s v="May"/>
          <s v="Jun"/>
          <s v="Jul"/>
          <s v="Aug"/>
          <s v="Sep"/>
          <s v="Oct"/>
          <s v="Nov"/>
          <s v="Dec"/>
          <s v="&gt;08/20/2022"/>
        </groupItems>
      </fieldGroup>
    </cacheField>
    <cacheField name="DAY" numFmtId="0">
      <sharedItems containsBlank="1"/>
    </cacheField>
    <cacheField name="MONTH" numFmtId="0">
      <sharedItems containsBlank="1" count="13">
        <s v="September"/>
        <s v="June"/>
        <s v="July"/>
        <s v="August"/>
        <s v="January"/>
        <s v="May"/>
        <s v="March"/>
        <s v="October"/>
        <s v="April"/>
        <s v="December"/>
        <s v="February"/>
        <s v="November"/>
        <m/>
      </sharedItems>
    </cacheField>
    <cacheField name="YEAR" numFmtId="0">
      <sharedItems containsBlank="1" count="5">
        <s v="2019"/>
        <s v="2021"/>
        <s v="2022"/>
        <s v="2020"/>
        <m/>
      </sharedItems>
    </cacheField>
    <cacheField name="Customer ID" numFmtId="0">
      <sharedItems containsBlank="1" count="914">
        <s v="17670-51384-MA"/>
        <s v="21125-22134-PX"/>
        <s v="23806-46781-OU"/>
        <s v="86561-91660-RB"/>
        <s v="65223-29612-CB"/>
        <s v="21134-81676-FR"/>
        <s v="03396-68805-ZC"/>
        <s v="61021-27840-ZN"/>
        <s v="76239-90137-UQ"/>
        <s v="49315-21985-BB"/>
        <s v="34136-36674-OM"/>
        <s v="39396-12890-PE"/>
        <s v="95875-73336-RG"/>
        <s v="25473-43727-BY"/>
        <s v="99643-51048-IQ"/>
        <s v="62173-15287-CU"/>
        <s v="57611-05522-ST"/>
        <s v="76664-37050-DT"/>
        <s v="03090-88267-BQ"/>
        <s v="37651-47492-NC"/>
        <s v="95399-57205-HI"/>
        <s v="24010-66714-HW"/>
        <s v="07591-92789-UA"/>
        <s v="49231-44455-IC"/>
        <s v="50124-88608-EO"/>
        <s v="00888-74814-UZ"/>
        <s v="14158-30713-OB"/>
        <s v="51427-89175-QJ"/>
        <s v="39123-12846-YJ"/>
        <s v="44981-99666-XB"/>
        <s v="24825-51803-CQ"/>
        <s v="77634-13918-GJ"/>
        <s v="13694-25001-LX"/>
        <s v="08523-01791-TI"/>
        <s v="49860-68865-AB"/>
        <s v="21240-83132-SP"/>
        <s v="08350-81623-TF"/>
        <s v="73284-01385-SJ"/>
        <s v="04152-34436-IE"/>
        <s v="06631-86965-XP"/>
        <s v="54619-08558-ZU"/>
        <s v="85589-17020-CX"/>
        <s v="36078-91009-WU"/>
        <s v="15770-27099-GX"/>
        <s v="91460-04823-BX"/>
        <s v="45089-52817-WN"/>
        <s v="76447-50326-IC"/>
        <s v="26333-67911-OL"/>
        <s v="22107-86640-SB"/>
        <s v="09960-34242-LZ"/>
        <s v="04671-85591-RT"/>
        <s v="25729-68859-UA"/>
        <s v="05501-86351-NX"/>
        <s v="04521-04300-OK"/>
        <s v="58689-55264-VK"/>
        <s v="79436-73011-MM"/>
        <s v="65552-60476-KY"/>
        <s v="69904-02729-YS"/>
        <s v="01433-04270-AX"/>
        <s v="14204-14186-LA"/>
        <s v="32948-34398-HC"/>
        <s v="77343-52608-FF"/>
        <s v="42770-36274-QA"/>
        <s v="14103-58987-ZU"/>
        <s v="69958-32065-SW"/>
        <s v="69533-84907-FA"/>
        <s v="76005-95461-CI"/>
        <s v="15395-90855-VB"/>
        <s v="80640-45811-LB"/>
        <s v="28476-04082-GR"/>
        <s v="12018-75670-EU"/>
        <s v="86437-17399-FK"/>
        <s v="62979-53167-ML"/>
        <s v="54810-81899-HL"/>
        <s v="26103-41504-IB"/>
        <s v="76534-45229-SG"/>
        <s v="81744-27332-RR"/>
        <s v="91513-75657-PH"/>
        <s v="30373-66619-CB"/>
        <s v="31582-23562-FM"/>
        <s v="81431-12577-VD"/>
        <s v="68894-91205-MP"/>
        <s v="87602-55754-VN"/>
        <s v="39181-35745-WH"/>
        <s v="30381-64762-NG"/>
        <s v="17503-27693-ZH"/>
        <s v="89442-35633-HJ"/>
        <s v="13654-85265-IL"/>
        <s v="40946-22090-FP"/>
        <s v="29050-93691-TS"/>
        <s v="64395-74865-WF"/>
        <s v="81861-66046-SU"/>
        <s v="13366-78506-KP"/>
        <s v="08847-29858-HN"/>
        <s v="00539-42510-RY"/>
        <s v="45190-08727-NV"/>
        <s v="87049-37901-FU"/>
        <s v="34015-31593-JC"/>
        <s v="90305-50099-SV"/>
        <s v="55871-61935-MF"/>
        <s v="15405-60469-TM"/>
        <s v="06953-94794-FB"/>
        <s v="22305-40299-CY"/>
        <s v="09020-56774-GU"/>
        <s v="92926-08470-YS"/>
        <s v="07250-63194-JO"/>
        <s v="63787-96257-TQ"/>
        <s v="49530-25460-RW"/>
        <s v="66508-21373-OQ"/>
        <s v="20203-03950-FY"/>
        <s v="83895-90735-XH"/>
        <s v="61954-61462-RJ"/>
        <s v="47939-53158-LS"/>
        <s v="61513-27752-FA"/>
        <s v="89714-19856-WX"/>
        <s v="87979-56781-YV"/>
        <s v="74126-88836-KA"/>
        <s v="37397-05992-VO"/>
        <s v="54904-18397-UD"/>
        <s v="19017-95853-EK"/>
        <s v="88593-59934-VU"/>
        <s v="47493-68564-YM"/>
        <s v="82246-82543-DW"/>
        <s v="03384-62101-IY"/>
        <s v="86881-41559-OR"/>
        <s v="02536-18494-AQ"/>
        <s v="58638-01029-CB"/>
        <s v="90312-11148-LA"/>
        <s v="68239-74809-TF"/>
        <s v="91074-60023-IP"/>
        <s v="07972-83748-JI"/>
        <s v="08694-57330-XR"/>
        <s v="68412-11126-YJ"/>
        <s v="69037-66822-DW"/>
        <s v="01297-94364-XH"/>
        <s v="39919-06540-ZI"/>
        <s v="60512-78550-WS"/>
        <s v="40172-12000-AU"/>
        <s v="39019-13649-CL"/>
        <s v="12715-05198-QU"/>
        <s v="04513-76520-QO"/>
        <s v="88446-59251-SQ"/>
        <s v="23779-10274-KN"/>
        <s v="57235-92842-DK"/>
        <s v="75977-30364-AY"/>
        <s v="12299-30914-NG"/>
        <s v="59971-35626-YJ"/>
        <s v="15380-76513-PS"/>
        <s v="73564-98204-EY"/>
        <s v="72282-40594-RX"/>
        <s v="17514-94165-RJ"/>
        <s v="56248-75861-JX"/>
        <s v="97855-54761-IS"/>
        <s v="96544-91644-IT"/>
        <s v="51971-70393-QM"/>
        <s v="06812-11924-IK"/>
        <s v="59741-90220-OW"/>
        <s v="62682-27930-PD"/>
        <s v="00256-19905-YG"/>
        <s v="38890-22576-UI"/>
        <s v="94573-61802-PH"/>
        <s v="86447-02699-UT"/>
        <s v="51432-27169-KN"/>
        <s v="43074-00987-PB"/>
        <s v="04739-85772-QT"/>
        <s v="28279-78469-YW"/>
        <s v="91829-99544-DS"/>
        <s v="38978-59582-JP"/>
        <s v="86504-96610-BH"/>
        <s v="75986-98864-EZ"/>
        <s v="66776-88682-RG"/>
        <s v="85851-78384-DM"/>
        <s v="55232-81621-BX"/>
        <s v="80310-92912-JA"/>
        <s v="19821-05175-WZ"/>
        <s v="01338-83217-GV"/>
        <s v="66044-25298-TA"/>
        <s v="28728-47861-TZ"/>
        <s v="32638-38620-AX"/>
        <s v="83163-65741-IH"/>
        <s v="89422-58281-FD"/>
        <s v="76293-30918-DQ"/>
        <s v="86779-84838-EJ"/>
        <s v="66806-41795-MX"/>
        <s v="64875-71224-UI"/>
        <s v="16982-35708-BZ"/>
        <s v="66708-26678-QK"/>
        <s v="08743-09057-OO"/>
        <s v="37490-01572-JW"/>
        <s v="01811-60350-CU"/>
        <s v="24766-58139-GT"/>
        <s v="90123-70970-NY"/>
        <s v="93809-05424-MG"/>
        <s v="85425-33494-HQ"/>
        <s v="54387-64897-XC"/>
        <s v="01035-70465-UO"/>
        <s v="84260-39432-ML"/>
        <s v="69779-40609-RS"/>
        <s v="80247-70000-HT"/>
        <s v="35058-04550-VC"/>
        <s v="27226-53717-SY"/>
        <s v="02002-98725-CH"/>
        <s v="38487-01549-MV"/>
        <s v="98573-41811-EQ"/>
        <s v="72463-75685-MV"/>
        <s v="10225-91535-AI"/>
        <s v="48090-06534-HI"/>
        <s v="80444-58185-FX"/>
        <s v="13561-92774-WP"/>
        <s v="11550-78378-GE"/>
        <s v="90961-35603-RP"/>
        <s v="57145-03803-ZL"/>
        <s v="89115-11966-VF"/>
        <s v="05754-41702-FG"/>
        <s v="84269-49816-ML"/>
        <s v="23600-98432-ME"/>
        <s v="79058-02767-CP"/>
        <s v="89208-74646-UK"/>
        <s v="11408-81032-UR"/>
        <s v="32070-55528-UG"/>
        <s v="48873-84433-PN"/>
        <s v="32928-18158-OW"/>
        <s v="89711-56688-GG"/>
        <s v="48389-71976-JB"/>
        <s v="84033-80762-EQ"/>
        <s v="12743-00952-KO"/>
        <s v="41505-42181-EF"/>
        <s v="14307-87663-KB"/>
        <s v="08360-19442-GB"/>
        <s v="93405-51204-UW"/>
        <s v="97152-03355-IW"/>
        <s v="79216-73157-TE"/>
        <s v="20259-47723-AC"/>
        <s v="04666-71569-RI"/>
        <s v="08909-77713-CG"/>
        <s v="84340-73931-VV"/>
        <s v="04609-95151-XH"/>
        <s v="99562-88650-YF"/>
        <s v="46560-73885-PJ"/>
        <s v="80179-44620-WN"/>
        <s v="59081-87231-VP"/>
        <s v="07878-45872-CC"/>
        <s v="12444-05174-OO"/>
        <s v="34665-62561-AU"/>
        <s v="77877-11993-QH"/>
        <s v="32291-18308-YZ"/>
        <s v="25754-33191-ZI"/>
        <s v="53120-45532-KL"/>
        <s v="36605-83052-WB"/>
        <s v="53683-35977-KI"/>
        <s v="07972-83134-NM"/>
        <s v="25514-23938-IQ"/>
        <s v="49084-44492-OJ"/>
        <s v="76624-72205-CK"/>
        <s v="12729-50170-JE"/>
        <s v="43974-44760-QI"/>
        <s v="30585-48726-BK"/>
        <s v="16123-07017-TY"/>
        <s v="27723-45097-MH"/>
        <s v="37078-56703-AF"/>
        <s v="79420-11075-MY"/>
        <s v="57504-13456-UO"/>
        <s v="53751-57560-CN"/>
        <s v="96112-42558-EA"/>
        <s v="03157-23165-UB"/>
        <s v="51466-52850-AG"/>
        <s v="57145-31023-FK"/>
        <s v="66408-53777-VE"/>
        <s v="53035-99701-WG"/>
        <s v="45899-92796-EI"/>
        <s v="17649-28133-PY"/>
        <s v="49612-33852-CN"/>
        <s v="66976-43829-YG"/>
        <s v="64852-04619-XZ"/>
        <s v="58690-31815-VY"/>
        <s v="62863-81239-DT"/>
        <s v="21177-40725-CF"/>
        <s v="99421-80253-UI"/>
        <s v="45315-50206-DK"/>
        <s v="09595-95726-OV"/>
        <s v="60221-67036-TD"/>
        <s v="62923-29397-KX"/>
        <s v="33011-52383-BA"/>
        <s v="86768-91598-FA"/>
        <s v="37191-12203-MX"/>
        <s v="16545-76328-JY"/>
        <s v="74330-29286-RO"/>
        <s v="22349-47389-GY"/>
        <s v="70290-38099-GB"/>
        <s v="18741-72071-PP"/>
        <s v="62588-82624-II"/>
        <s v="37430-29579-HD"/>
        <s v="84132-22322-QT"/>
        <s v="37445-17791-NQ"/>
        <s v="58511-10548-ZU"/>
        <s v="47725-34771-FJ"/>
        <s v="53086-67334-KT"/>
        <s v="83308-82257-UN"/>
        <s v="37274-08534-FM"/>
        <s v="54004-04664-AA"/>
        <s v="26822-19510-SD"/>
        <s v="06432-73165-ML"/>
        <s v="96503-31833-CW"/>
        <s v="63985-64148-MG"/>
        <s v="19597-91185-CM"/>
        <s v="79814-23626-JR"/>
        <s v="43439-94003-DW"/>
        <s v="97655-45555-LI"/>
        <s v="64418-01720-VW"/>
        <s v="96836-09258-RI"/>
        <s v="69529-07533-CV"/>
        <s v="94840-49457-UD"/>
        <s v="81414-81273-DK"/>
        <s v="76930-61689-CH"/>
        <s v="12839-56537-TQ"/>
        <s v="62741-01322-HU"/>
        <s v="44932-34838-RM"/>
        <s v="91181-19412-RQ"/>
        <s v="37182-54930-XC"/>
        <s v="08613-17327-XT"/>
        <s v="70451-38048-AH"/>
        <s v="35442-75769-PL"/>
        <s v="83737-56117-JE"/>
        <s v="07095-81281-NJ"/>
        <s v="77043-48851-HG"/>
        <s v="78224-60622-KH"/>
        <s v="83105-86631-IU"/>
        <s v="99358-65399-TC"/>
        <s v="94525-76037-JP"/>
        <s v="82718-93677-XO"/>
        <s v="44708-78241-DF"/>
        <s v="23039-93032-FN"/>
        <s v="35256-12529-FT"/>
        <s v="86100-33488-WP"/>
        <s v="64435-53100-WM"/>
        <s v="44699-43836-UH"/>
        <s v="29588-35679-RG"/>
        <s v="64815-54078-HH"/>
        <s v="59572-41990-XY"/>
        <s v="32481-61533-ZJ"/>
        <s v="31587-92570-HL"/>
        <s v="93832-04799-ID"/>
        <s v="59367-30821-ZQ"/>
        <s v="83947-45528-ET"/>
        <s v="60799-92593-CX"/>
        <s v="61600-55136-UM"/>
        <s v="59771-90302-OF"/>
        <s v="16880-78077-FB"/>
        <s v="74415-50873-FC"/>
        <s v="31798-95707-NR"/>
        <s v="59122-08794-WT"/>
        <s v="37238-52421-JJ"/>
        <s v="48854-01899-FN"/>
        <s v="80896-38819-DW"/>
        <s v="29814-01459-RC"/>
        <s v="48497-29281-FE"/>
        <s v="43605-12616-YH"/>
        <s v="21907-75962-VB"/>
        <s v="69503-12127-YD"/>
        <s v="68810-07329-EU"/>
        <s v="08478-75251-OG"/>
        <s v="17005-82030-EA"/>
        <s v="42179-95059-DO"/>
        <s v="55989-39849-WO"/>
        <s v="28932-49296-TM"/>
        <s v="86144-10144-CB"/>
        <s v="60973-72562-DQ"/>
        <s v="11263-86515-VU"/>
        <s v="60004-62976-NI"/>
        <s v="77876-28498-HI"/>
        <s v="61302-06948-EH"/>
        <s v="06757-96251-UH"/>
        <s v="44530-75983-OD"/>
        <s v="44865-58249-RY"/>
        <s v="36021-61205-DF"/>
        <s v="75716-12782-SS"/>
        <s v="11812-00461-KH"/>
        <s v="46681-78850-ZW"/>
        <s v="01932-87052-KO"/>
        <s v="16046-34805-ZF"/>
        <s v="34546-70516-LR"/>
        <s v="73699-93557-FZ"/>
        <s v="86686-37462-CK"/>
        <s v="14298-02150-KH"/>
        <s v="48675-07824-HJ"/>
        <s v="18551-80943-YQ"/>
        <s v="19196-09748-DB"/>
        <s v="72233-08665-IP"/>
        <s v="53817-13148-RK"/>
        <s v="92227-49331-QR"/>
        <s v="12997-41076-FQ"/>
        <s v="44220-00348-MB"/>
        <s v="93047-98331-DD"/>
        <s v="67285-75317-XI"/>
        <s v="88167-57964-PH"/>
        <s v="16106-36039-QS"/>
        <s v="98921-82417-GN"/>
        <s v="55265-75151-AK"/>
        <s v="47386-50743-FG"/>
        <s v="32622-54551-UC"/>
        <s v="48419-02347-XP"/>
        <s v="14121-20527-OJ"/>
        <s v="53486-73919-BQ"/>
        <s v="21889-94615-WT"/>
        <s v="87726-16941-QW"/>
        <s v="03677-09134-BC"/>
        <s v="93224-71517-WV"/>
        <s v="76263-95145-GJ"/>
        <s v="68555-89840-GZ"/>
        <s v="70624-19112-AO"/>
        <s v="58916-61837-QH"/>
        <s v="89292-52335-YZ"/>
        <s v="77284-34297-YY"/>
        <s v="50449-80974-BZ"/>
        <s v="08120-16183-AW"/>
        <s v="68044-89277-ML"/>
        <s v="71364-35210-HS"/>
        <s v="37177-68797-ON"/>
        <s v="60308-06944-GS"/>
        <s v="49888-39458-PF"/>
        <s v="60748-46813-DZ"/>
        <s v="16385-11286-NX"/>
        <s v="72164-90254-EJ"/>
        <s v="67010-92988-CT"/>
        <s v="15776-91507-GT"/>
        <s v="23473-41001-CD"/>
        <s v="23446-47798-ID"/>
        <s v="28327-84469-ND"/>
        <s v="42466-87067-DT"/>
        <s v="62246-99443-HF"/>
        <s v="99869-55718-UU"/>
        <s v="77421-46059-RY"/>
        <s v="49894-06550-OQ"/>
        <s v="72028-63343-SU"/>
        <s v="10074-20104-NN"/>
        <s v="71769-10219-IM"/>
        <s v="22221-71106-JD"/>
        <s v="99735-44927-OL"/>
        <s v="27132-68907-RC"/>
        <s v="90440-62727-HI"/>
        <s v="36769-16558-SX"/>
        <s v="10138-31681-SD"/>
        <s v="24669-76297-SF"/>
        <s v="78050-20355-DI"/>
        <s v="79825-17822-UH"/>
        <s v="03990-21586-MQ"/>
        <s v="27493-46921-TZ"/>
        <s v="58816-74064-TF"/>
        <s v="09818-59895-EH"/>
        <s v="06488-46303-IZ"/>
        <s v="93046-67561-AY"/>
        <s v="68946-40750-LK"/>
        <s v="38387-64959-WW"/>
        <s v="48418-60841-CC"/>
        <s v="13736-92418-JS"/>
        <s v="33000-22405-LO"/>
        <s v="46959-60474-LT"/>
        <s v="73431-39823-UP"/>
        <s v="90993-98984-JK"/>
        <s v="06552-04430-AG"/>
        <s v="54597-57004-QM"/>
        <s v="50238-24377-ZS"/>
        <s v="60370-41934-IF"/>
        <s v="06899-54551-EH"/>
        <s v="66458-91190-YC"/>
        <s v="80463-43913-WZ"/>
        <s v="67204-04870-LG"/>
        <s v="22721-63196-UJ"/>
        <s v="55515-37571-RS"/>
        <s v="25598-77476-CB"/>
        <s v="14888-85625-TM"/>
        <s v="92793-68332-NR"/>
        <s v="64439-27325-LG"/>
        <s v="78570-76770-LB"/>
        <s v="98661-69719-VI"/>
        <s v="82990-92703-IX"/>
        <s v="49412-86877-VY"/>
        <s v="70879-00984-FJ"/>
        <s v="53414-73391-CR"/>
        <s v="43606-83072-OA"/>
        <s v="84466-22864-CE"/>
        <s v="76499-89100-JQ"/>
        <s v="39582-35773-ZJ"/>
        <s v="66240-46962-IO"/>
        <s v="10637-45522-ID"/>
        <s v="92599-58687-CS"/>
        <s v="06058-48844-PI"/>
        <s v="53631-24432-SY"/>
        <s v="18275-73980-KL"/>
        <s v="23187-65750-HZ"/>
        <s v="22725-79522-GP"/>
        <s v="06279-72603-JE"/>
        <s v="83543-79246-ON"/>
        <s v="66794-66795-VW"/>
        <s v="95424-67020-AP"/>
        <s v="73017-69644-MS"/>
        <s v="67423-10113-LM"/>
        <s v="48582-05061-RY"/>
        <s v="32031-49093-KE"/>
        <s v="31715-98714-OO"/>
        <s v="73759-17258-KA"/>
        <s v="64897-79178-MH"/>
        <s v="73346-85564-JB"/>
        <s v="07476-13102-NJ"/>
        <s v="87223-37422-SK"/>
        <s v="57837-15577-YK"/>
        <s v="10142-55267-YO"/>
        <s v="73647-66148-VM"/>
        <s v="92976-19453-DT"/>
        <s v="89757-51438-HX"/>
        <s v="76192-13390-HZ"/>
        <s v="02009-87294-SY"/>
        <s v="82872-34456-LJ"/>
        <s v="13181-04387-LI"/>
        <s v="24845-36117-TI"/>
        <s v="86646-65810-TD"/>
        <s v="59480-02795-IU"/>
        <s v="61809-87758-LJ"/>
        <s v="77408-43873-RS"/>
        <s v="18366-65239-WF"/>
        <s v="19485-98072-PS"/>
        <s v="72072-33025-SD"/>
        <s v="58118-22461-GC"/>
        <s v="90940-63327-DJ"/>
        <s v="64481-42546-II"/>
        <s v="27536-28463-NJ"/>
        <s v="70140-82812-KD"/>
        <s v="91895-55605-LS"/>
        <s v="43155-71724-XP"/>
        <s v="32038-81174-JF"/>
        <s v="59205-20324-NB"/>
        <s v="99899-54612-NX"/>
        <s v="26248-84194-FI"/>
        <s v="84493-71314-WX"/>
        <s v="39789-43945-IV"/>
        <s v="38972-89678-ZM"/>
        <s v="91465-84526-IJ"/>
        <s v="22832-98538-RB"/>
        <s v="30844-91890-ZA"/>
        <s v="05325-97750-WP"/>
        <s v="88992-49081-AT"/>
        <s v="10204-31464-SA"/>
        <s v="75156-80911-YT"/>
        <s v="53971-49906-PZ"/>
        <s v="10728-17633-ST"/>
        <s v="13549-65017-VE"/>
        <s v="87688-42420-TO"/>
        <s v="51901-35210-UI"/>
        <s v="62483-50867-OM"/>
        <s v="92753-50029-SD"/>
        <s v="53809-98498-SN"/>
        <s v="66308-13503-KD"/>
        <s v="82458-87830-JE"/>
        <s v="41611-34336-WT"/>
        <s v="70089-27418-UJ"/>
        <s v="99978-56910-BN"/>
        <s v="09668-23340-IC"/>
        <s v="39457-62611-YK"/>
        <s v="90985-89807-RW"/>
        <s v="17816-67941-ZS"/>
        <s v="90816-65619-LM"/>
        <s v="69761-61146-KD"/>
        <s v="24040-20817-QB"/>
        <s v="19524-21432-XP"/>
        <s v="14398-43114-RV"/>
        <s v="41486-52502-QQ"/>
        <s v="20236-64364-QL"/>
        <s v="29102-40100-TZ"/>
        <s v="09171-42203-EB"/>
        <s v="29060-75856-UI"/>
        <s v="17088-16989-PL"/>
        <s v="14756-18321-CL"/>
        <s v="13324-78688-MI"/>
        <s v="73799-04749-BM"/>
        <s v="01927-46702-YT"/>
        <s v="80467-17137-TO"/>
        <s v="14640-87215-BK"/>
        <s v="94447-35885-HK"/>
        <s v="71034-49694-CS"/>
        <s v="00445-42781-KX"/>
        <s v="96116-24737-LV"/>
        <s v="18684-73088-YL"/>
        <s v="74671-55639-TU"/>
        <s v="17488-65879-XL"/>
        <s v="46431-09298-OU"/>
        <s v="60378-26473-FE"/>
        <s v="34927-68586-ZV"/>
        <s v="29051-27555-GD"/>
        <s v="52143-35672-JF"/>
        <s v="64918-67725-MN"/>
        <s v="85634-61759-ND"/>
        <s v="40180-22940-QB"/>
        <s v="34666-76738-SQ"/>
        <s v="98536-88616-FF"/>
        <s v="55621-06130-SA"/>
        <s v="45666-86771-EH"/>
        <s v="24689-69376-XX"/>
        <s v="71891-51101-VQ"/>
        <s v="71749-05400-CN"/>
        <s v="64845-00270-NO"/>
        <s v="29851-36402-UX"/>
        <s v="12190-25421-WM"/>
        <s v="52316-30571-GD"/>
        <s v="23243-92649-RY"/>
        <s v="39528-19971-OR"/>
        <s v="32743-78448-KT"/>
        <s v="93417-12322-YB"/>
        <s v="56891-86662-UY"/>
        <s v="40414-26467-VE"/>
        <s v="87858-83734-RK"/>
        <s v="46818-20198-GB"/>
        <s v="29808-89098-XD"/>
        <s v="78786-77449-RQ"/>
        <s v="27878-42224-QF"/>
        <s v="25331-13794-SB"/>
        <s v="55864-37682-GQ"/>
        <s v="97005-25609-CQ"/>
        <s v="94058-95794-IJ"/>
        <s v="40214-03678-GU"/>
        <s v="04921-85445-SL"/>
        <s v="53386-94266-LJ"/>
        <s v="49480-85909-DG"/>
        <s v="18293-78136-MN"/>
        <s v="84641-67384-TD"/>
        <s v="72320-29738-EB"/>
        <s v="47355-97488-XS"/>
        <s v="63499-24884-PP"/>
        <s v="39193-51770-FM"/>
        <s v="61323-91967-GG"/>
        <s v="90123-01967-KS"/>
        <s v="15958-25089-OS"/>
        <s v="98430-37820-UV"/>
        <s v="21798-04171-XC"/>
        <s v="52798-46508-HP"/>
        <s v="46478-42970-EM"/>
        <s v="00246-15080-LE"/>
        <s v="94091-86957-HX"/>
        <s v="26295-44907-DK"/>
        <s v="95351-96177-QV"/>
        <s v="92204-96636-BS"/>
        <s v="03010-30348-UA"/>
        <s v="13441-34686-SW"/>
        <s v="96612-41722-VJ"/>
        <s v="25504-41681-WA"/>
        <s v="75443-07820-DZ"/>
        <s v="39276-95489-XV"/>
        <s v="61437-83623-PZ"/>
        <s v="34317-87258-HQ"/>
        <s v="18570-80998-ZS"/>
        <s v="66580-33745-OQ"/>
        <s v="19820-29285-FD"/>
        <s v="11349-55147-SN"/>
        <s v="21141-12455-VB"/>
        <s v="71003-85639-HB"/>
        <s v="58443-95866-YO"/>
        <s v="89646-21249-OH"/>
        <s v="64988-20636-XQ"/>
        <s v="34704-83143-KS"/>
        <s v="67388-17544-XX"/>
        <s v="69411-48470-ID"/>
        <s v="97741-98924-KT"/>
        <s v="79857-78167-KO"/>
        <s v="46963-10322-ZA"/>
        <s v="93812-74772-MV"/>
        <s v="48203-23480-UB"/>
        <s v="60357-65386-RD"/>
        <s v="35099-13971-JI"/>
        <s v="01304-59807-OB"/>
        <s v="50705-17295-NK"/>
        <s v="77657-61366-FY"/>
        <s v="57192-13428-PL"/>
        <s v="24891-77957-LU"/>
        <s v="64896-18468-BT"/>
        <s v="84761-40784-SV"/>
        <s v="20236-42322-CM"/>
        <s v="49671-11547-WG"/>
        <s v="57976-33535-WK"/>
        <s v="55915-19477-MK"/>
        <s v="28121-11641-UA"/>
        <s v="09540-70637-EV"/>
        <s v="17775-77072-PP"/>
        <s v="90392-73338-BC"/>
        <s v="10725-45724-CO"/>
        <s v="87242-18006-IR"/>
        <s v="36572-91896-PP"/>
        <s v="25181-97933-UX"/>
        <s v="55374-03175-IA"/>
        <s v="76948-43532-JS"/>
        <s v="24344-88599-PP"/>
        <s v="54462-58311-YF"/>
        <s v="90767-92589-LV"/>
        <s v="27517-43747-YD"/>
        <s v="77828-66867-KH"/>
        <s v="41054-59693-XE"/>
        <s v="26314-66792-VP"/>
        <s v="69410-04668-MA"/>
        <s v="24972-55878-KX"/>
        <s v="46296-42617-OQ"/>
        <s v="44494-89923-UW"/>
        <s v="11621-09964-ID"/>
        <s v="76319-80715-II"/>
        <s v="91654-79216-IC"/>
        <s v="56450-21890-HK"/>
        <s v="40600-58915-WZ"/>
        <s v="66527-94478-PB"/>
        <s v="77154-45038-IH"/>
        <s v="08439-55669-AI"/>
        <s v="91509-62250-GN"/>
        <s v="83833-46106-ZC"/>
        <s v="19383-33606-PW"/>
        <s v="67052-76184-CB"/>
        <s v="43452-18035-DH"/>
        <s v="88060-50676-MV"/>
        <s v="89574-96203-EP"/>
        <s v="12607-75113-UV"/>
        <s v="56991-05510-PR"/>
        <s v="01841-48191-NL"/>
        <s v="33269-10023-CO"/>
        <s v="31245-81098-PJ"/>
        <s v="08946-56610-IH"/>
        <s v="20260-32948-EB"/>
        <s v="31613-41626-KX"/>
        <s v="75961-20170-RD"/>
        <s v="72524-06410-KD"/>
        <s v="98918-34330-GY"/>
        <s v="51497-50894-WU"/>
        <s v="98636-90072-YE"/>
        <s v="47011-57815-HJ"/>
        <s v="61253-98356-VD"/>
        <s v="96762-10814-DA"/>
        <s v="63112-10870-LC"/>
        <s v="21403-49423-PD"/>
        <s v="29581-13303-VB"/>
        <s v="86110-83695-YS"/>
        <s v="80454-42225-FT"/>
        <s v="29129-60664-KO"/>
        <s v="63025-62939-AN"/>
        <s v="49012-12987-QT"/>
        <s v="50924-94200-SQ"/>
        <s v="15673-18812-IU"/>
        <s v="52151-75971-YY"/>
        <s v="19413-02045-CG"/>
        <s v="98185-92775-KT"/>
        <s v="86991-53901-AT"/>
        <s v="78226-97287-JI"/>
        <s v="27930-59250-JT"/>
        <s v="40560-18556-YE"/>
        <s v="40780-22081-LX"/>
        <s v="01603-43789-TN"/>
        <s v="75419-92838-TI"/>
        <s v="96516-97464-MF"/>
        <s v="90285-56295-PO"/>
        <s v="08100-71102-HQ"/>
        <s v="84074-28110-OV"/>
        <s v="12747-63766-EU"/>
        <s v="83490-88357-LJ"/>
        <s v="53729-30320-XZ"/>
        <s v="50384-52703-LA"/>
        <s v="53864-36201-FG"/>
        <s v="70631-33225-MZ"/>
        <s v="54798-14109-HC"/>
        <s v="08023-52962-ET"/>
        <s v="41899-00283-VK"/>
        <s v="39011-18412-GR"/>
        <s v="60255-12579-PZ"/>
        <s v="80541-38332-BP"/>
        <s v="72778-50968-UQ"/>
        <s v="23941-30203-MO"/>
        <s v="96434-50068-DZ"/>
        <s v="11729-74102-XB"/>
        <s v="88116-12604-TE"/>
        <s v="13082-41034-PD"/>
        <s v="18082-74419-QH"/>
        <s v="49401-45041-ZU"/>
        <s v="41252-45992-VS"/>
        <s v="00852-54571-WP"/>
        <s v="13321-57602-GK"/>
        <s v="75006-89922-VW"/>
        <s v="52098-80103-FD"/>
        <s v="60121-12432-VU"/>
        <s v="68346-14810-UA"/>
        <s v="48464-99723-HK"/>
        <s v="88420-46464-XE"/>
        <s v="37762-09530-MP"/>
        <s v="47268-50127-XY"/>
        <s v="25544-84179-QC"/>
        <s v="32058-76765-ZL"/>
        <s v="69171-65646-UC"/>
        <s v="22503-52799-MI"/>
        <s v="08934-65581-ZI"/>
        <s v="15764-22559-ZT"/>
        <s v="87519-68847-ZG"/>
        <s v="78012-56878-UB"/>
        <s v="77192-72145-RG"/>
        <s v="86071-79238-CX"/>
        <s v="16809-16936-WF"/>
        <s v="11212-69985-ZJ"/>
        <s v="53893-01719-CL"/>
        <s v="66028-99867-WJ"/>
        <s v="62839-56723-CH"/>
        <s v="96849-52854-CR"/>
        <s v="19755-55847-VW"/>
        <s v="32900-82606-BO"/>
        <s v="20118-28138-QD"/>
        <s v="84057-45461-AH"/>
        <s v="90882-88130-KQ"/>
        <s v="21617-79890-DD"/>
        <s v="20256-54689-LO"/>
        <s v="17572-27091-AA"/>
        <s v="82300-88786-UE"/>
        <s v="65732-22589-OW"/>
        <s v="77175-09826-SF"/>
        <s v="07237-32539-NB"/>
        <s v="54722-76431-EX"/>
        <s v="67847-82662-TE"/>
        <s v="51114-51191-EW"/>
        <s v="91809-58808-TV"/>
        <s v="84996-26826-DK"/>
        <s v="93676-95250-XJ"/>
        <s v="28300-14355-GF"/>
        <s v="91190-84826-IQ"/>
        <s v="34570-99384-AF"/>
        <s v="57808-90533-UE"/>
        <s v="76060-30540-LB"/>
        <s v="76730-63769-ND"/>
        <s v="96042-27290-EQ"/>
        <s v="51940-02669-OR"/>
        <s v="99144-98314-GN"/>
        <s v="16358-63919-CE"/>
        <s v="67743-54817-UT"/>
        <s v="44601-51441-BH"/>
        <s v="97201-58870-WB"/>
        <s v="19849-12926-QF"/>
        <s v="40535-56770-UM"/>
        <s v="74940-09646-MU"/>
        <s v="06623-54610-HC"/>
        <s v="89490-75361-AF"/>
        <s v="94526-79230-GZ"/>
        <s v="58559-08254-UY"/>
        <s v="88574-37083-WX"/>
        <s v="67953-79896-AC"/>
        <s v="69207-93422-CQ"/>
        <s v="56060-17602-RG"/>
        <s v="46859-14212-FI"/>
        <s v="33555-01585-RP"/>
        <s v="11932-85629-CU"/>
        <s v="36192-07175-XC"/>
        <s v="46242-54946-ZW"/>
        <s v="95152-82155-VQ"/>
        <s v="13404-39127-WQ"/>
        <s v="40226-52317-IO"/>
        <s v="34419-18068-AG"/>
        <s v="51738-61457-RS"/>
        <s v="86757-52367-ON"/>
        <s v="28158-93383-CK"/>
        <s v="44799-09711-XW"/>
        <s v="53667-91553-LT"/>
        <s v="86579-92122-OC"/>
        <s v="01474-63436-TP"/>
        <s v="90533-82440-EE"/>
        <s v="48553-69225-VX"/>
        <s v="52374-27313-IV"/>
        <s v="14264-41252-SL"/>
        <s v="35367-50483-AR"/>
        <s v="69443-77665-QW"/>
        <s v="63411-51758-QC"/>
        <s v="68605-21835-UF"/>
        <s v="34786-30419-XY"/>
        <s v="15456-29250-RU"/>
        <s v="00886-35803-FG"/>
        <s v="31599-82152-AD"/>
        <s v="76209-39601-ZR"/>
        <s v="15064-65241-HB"/>
        <s v="69215-90789-DL"/>
        <s v="04317-46176-TB"/>
        <s v="04713-57765-KR"/>
        <s v="40959-32642-DN"/>
        <s v="77746-08153-PM"/>
        <s v="49667-96708-JL"/>
        <s v="24155-79322-EQ"/>
        <s v="95342-88311-SF"/>
        <s v="69374-08133-RI"/>
        <s v="83844-95908-RX"/>
        <s v="09667-09231-YM"/>
        <s v="55427-08059-DF"/>
        <s v="06624-54037-BQ"/>
        <s v="48544-90737-AZ"/>
        <s v="79463-01597-FQ"/>
        <s v="27702-50024-XC"/>
        <s v="57360-46846-NS"/>
        <s v="84045-66771-SL"/>
        <s v="46885-00260-TL"/>
        <s v="96446-62142-EN"/>
        <s v="07756-71018-GU"/>
        <s v="92048-47813-QB"/>
        <s v="28699-16256-XV"/>
        <s v="98476-63654-CG"/>
        <s v="55409-07759-YG"/>
        <s v="06136-65250-PG"/>
        <s v="08405-33165-BS"/>
        <s v="66070-30559-WI"/>
        <s v="01282-28364-RZ"/>
        <s v="51277-93873-RP"/>
        <s v="84405-83364-DG"/>
        <s v="83731-53280-YC"/>
        <s v="03917-13632-KC"/>
        <s v="62494-09113-RP"/>
        <s v="70567-65133-CN"/>
        <s v="77869-81373-AY"/>
        <s v="38536-98293-JZ"/>
        <s v="43014-53743-XK"/>
        <s v="64965-78386-MY"/>
        <s v="77131-58092-GE"/>
        <m/>
      </sharedItems>
    </cacheField>
    <cacheField name="CUSTOMER NAME" numFmtId="0">
      <sharedItems containsBlank="1" count="915">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e v="#N/A"/>
        <m/>
      </sharedItems>
    </cacheField>
    <cacheField name="EMAIL" numFmtId="0">
      <sharedItems containsBlank="1" containsMixedTypes="1" containsNumber="1" containsInteger="1" minValue="0" maxValue="0"/>
    </cacheField>
    <cacheField name="PHONE NUMBER" numFmtId="0">
      <sharedItems containsBlank="1" containsMixedTypes="1" containsNumber="1" containsInteger="1" minValue="0" maxValue="0"/>
    </cacheField>
    <cacheField name="CITY" numFmtId="0">
      <sharedItems containsBlank="1" count="376">
        <s v="Paterson"/>
        <s v="San Antonio"/>
        <s v="Cill Airne"/>
        <s v="Scranton"/>
        <s v="Dayton"/>
        <s v="Kill"/>
        <s v="Los Angeles"/>
        <s v="San Jose"/>
        <s v="Richmond"/>
        <s v="Migrate"/>
        <s v="Saint Louis"/>
        <s v="Philadelphia"/>
        <s v="Portland"/>
        <s v="Houston"/>
        <s v="Caherconlish"/>
        <s v="New York City"/>
        <s v="Grand Rapids"/>
        <s v="Punta Gorda"/>
        <s v="Vancouver"/>
        <s v="Englewood"/>
        <s v="Petaluma"/>
        <s v="Tralee"/>
        <s v="Clonskeagh"/>
        <s v="Rathwire"/>
        <s v="Aurora"/>
        <s v="Grand Forks"/>
        <s v="Upton"/>
        <s v="Charleston"/>
        <s v="Little Rock"/>
        <s v="Denver"/>
        <s v="Minneapolis"/>
        <s v="Tucson"/>
        <s v="New Orleans"/>
        <s v="Hartford"/>
        <s v="Ogden"/>
        <s v="Boston"/>
        <s v="Rochester"/>
        <s v="Bronx"/>
        <s v="Birmingham"/>
        <s v="San Bernardino"/>
        <s v="Norfolk"/>
        <s v="Washington"/>
        <s v="Fort Lauderdale"/>
        <s v="Crumlin"/>
        <s v="Kinloch"/>
        <s v="Toledo"/>
        <s v="Trenton"/>
        <s v="Tampa"/>
        <s v="Pensacola"/>
        <s v="Zephyrhills"/>
        <s v="Saint Paul"/>
        <s v="Fort Wayne"/>
        <s v="Wootton"/>
        <s v="Naples"/>
        <s v="Chicago"/>
        <s v="Newark"/>
        <s v="Vienna"/>
        <s v="Fort Worth"/>
        <s v="Burbank"/>
        <s v="Kingsport"/>
        <s v="Liverpool"/>
        <s v="Columbus"/>
        <s v="Newmarket on Fergus"/>
        <s v="Charlotte"/>
        <s v="Springfield"/>
        <s v="Listowel"/>
        <s v="Moycullen"/>
        <s v="Midland"/>
        <s v="Dallas"/>
        <s v="Dulles"/>
        <s v="Oakland"/>
        <s v="Colorado Springs"/>
        <s v="Adare"/>
        <s v="Buffalo"/>
        <s v="Fresno"/>
        <s v="Beaumont"/>
        <s v="Reno"/>
        <s v="Kansas City"/>
        <s v="Corona"/>
        <s v="Austin"/>
        <s v="Normanton"/>
        <s v="Charlesland"/>
        <s v="Confey"/>
        <s v="Stockton"/>
        <s v="Edgeworthstown"/>
        <s v="Leixlip"/>
        <s v="Tuscaloosa"/>
        <s v="El Paso"/>
        <s v="Port Washington"/>
        <s v="Cherryville"/>
        <s v="Huntington"/>
        <s v="Killorglin"/>
        <s v="Anchorage"/>
        <s v="Nashville"/>
        <s v="Stamford"/>
        <s v="Newport News"/>
        <s v="Drumcondra"/>
        <s v="Fargo"/>
        <s v="Evansville"/>
        <s v="Huntsville"/>
        <s v="Santa Ana"/>
        <s v="Oklahoma City"/>
        <s v="Bailieborough"/>
        <s v="Honolulu"/>
        <s v="Ballivor"/>
        <s v="Portumna"/>
        <s v="Orange"/>
        <s v="Carson City"/>
        <s v="Provo"/>
        <s v="Boca Raton"/>
        <s v="Roanoke"/>
        <s v="Des Moines"/>
        <s v="Norwalk"/>
        <s v="Arlington"/>
        <s v="Ashford"/>
        <s v="Chattanooga"/>
        <s v="Greensboro"/>
        <s v="Alexandria"/>
        <s v="Castlebridge"/>
        <s v="Racine"/>
        <s v="Clearwater"/>
        <s v="Castlebellingham"/>
        <s v="Craigavon"/>
        <s v="Eadestown"/>
        <s v="Montgomery"/>
        <s v="Sparks"/>
        <s v="Macon"/>
        <s v="Whittier"/>
        <s v="Johnson City"/>
        <s v="Portarlington"/>
        <s v="Brooklyn"/>
        <s v="Charlottesville"/>
        <s v="Garland"/>
        <s v="Lansing"/>
        <s v="Tulsa"/>
        <s v="Detroit"/>
        <s v="Nenagh"/>
        <s v="Mesa"/>
        <s v="Warren"/>
        <s v="Memphis"/>
        <s v="Albany"/>
        <s v="Spartanburg"/>
        <s v="Staten Island"/>
        <s v="Lubbock"/>
        <s v="Fermoy"/>
        <s v="Whitwell"/>
        <s v="Balally"/>
        <s v="Salt Lake City"/>
        <s v="Pasadena"/>
        <s v="Kinsale"/>
        <s v="Lees Summit"/>
        <s v="Irvine"/>
        <s v="Hicksville"/>
        <s v="Shawnee Mission"/>
        <s v="Edinburgh"/>
        <s v="Sacramento"/>
        <s v="Wilkes Barre"/>
        <s v="Ballinroad"/>
        <s v="D煤n Laoghaire"/>
        <s v="Cincinnati"/>
        <s v="Cheyenne"/>
        <s v="Atlanta"/>
        <s v="Duluth"/>
        <s v="Baton Rouge"/>
        <s v="Newbiggin"/>
        <s v="Kilkenny"/>
        <s v="Milwaukee"/>
        <s v="Phoenix"/>
        <s v="Jamaica"/>
        <s v="Champaign"/>
        <s v="Swindon"/>
        <s v="Pompano Beach"/>
        <s v="Sheffield"/>
        <s v="Erie"/>
        <s v="Tacoma"/>
        <s v="Kinsealy-Drinan"/>
        <s v="Newton"/>
        <s v="Denton"/>
        <s v="Tullamore"/>
        <s v="Raleigh"/>
        <s v="Shankill"/>
        <s v="Castleblayney"/>
        <s v="Columbia"/>
        <s v="Boulder"/>
        <s v="Norton"/>
        <s v="Louisville"/>
        <s v="Canton"/>
        <s v="Kinlough"/>
        <s v="Lynchburg"/>
        <s v="Danbury"/>
        <s v="Miami Beach"/>
        <s v="Corpus Christi"/>
        <s v="Baltimore"/>
        <s v="Lexington"/>
        <s v="Eaton"/>
        <s v="Lincoln"/>
        <s v="West Hartford"/>
        <s v="Belfast"/>
        <s v="Las Vegas"/>
        <s v="Akron"/>
        <s v="West Palm Beach"/>
        <s v="Sandyford"/>
        <s v="Dublin"/>
        <s v="Knoxville"/>
        <s v="San Francisco"/>
        <s v="Boynton Beach"/>
        <s v="Church End"/>
        <s v="Indianapolis"/>
        <s v="Seattle"/>
        <s v="Dunmanway"/>
        <s v="Topeka"/>
        <s v="Tyler"/>
        <s v="Shreveport"/>
        <s v="Boise"/>
        <s v="Fort Pierce"/>
        <s v="Round Rock"/>
        <s v="Reston"/>
        <s v="Charlton"/>
        <s v="Miami"/>
        <s v="Anaheim"/>
        <s v="Odessa"/>
        <s v="Castleknock"/>
        <s v="Irving"/>
        <s v="Tullyallen"/>
        <s v="Sutton"/>
        <s v="Harrisburg"/>
        <s v="New Haven"/>
        <s v="Lawrenceville"/>
        <s v="Asheville"/>
        <s v="Preston"/>
        <s v="Whitegate"/>
        <s v="Chico"/>
        <s v="Balrothery"/>
        <s v="New Brunswick"/>
        <s v="Valleymount"/>
        <s v="Lafayette"/>
        <s v="San Diego"/>
        <s v="Alhambra"/>
        <s v="Madison"/>
        <s v="Longwood"/>
        <s v="Jackson"/>
        <s v="Kildare"/>
        <s v="Bethlehem"/>
        <s v="Watergrasshill"/>
        <s v="Monasterevin"/>
        <s v="Longford"/>
        <s v="Ballylinan"/>
        <s v="Ballyboden"/>
        <s v="Bagenalstown"/>
        <s v="Ashbourne"/>
        <s v="Bristol"/>
        <s v="Farranacoush"/>
        <s v="East End"/>
        <s v="Saginaw"/>
        <s v="Saint Augustine"/>
        <s v="San Rafael"/>
        <s v="Flushing"/>
        <s v="Kissimmee"/>
        <s v="Seaton"/>
        <s v="Tr谩 Mh贸r"/>
        <s v="Coolock"/>
        <s v="Kinnegad"/>
        <s v="Milltown"/>
        <s v="Virginia"/>
        <s v="High Point"/>
        <s v="Cleveland"/>
        <s v="Ballymahon"/>
        <s v="Saint Cloud"/>
        <s v="Schenectady"/>
        <s v="Lakeland"/>
        <s v="Melbourne"/>
        <s v="Lucan"/>
        <s v="Camden"/>
        <s v="Waco"/>
        <s v="Winter Haven"/>
        <s v="Naperville"/>
        <s v="Boyle"/>
        <s v="Manorhamilton"/>
        <s v="Bantry"/>
        <s v="Amarillo"/>
        <s v="Daingean"/>
        <s v="Halton"/>
        <s v="London"/>
        <s v="Hyattsville"/>
        <s v="Ashley"/>
        <s v="Durham"/>
        <s v="Loughrea"/>
        <s v="Sterling"/>
        <s v="Decatur"/>
        <s v="Huntington Beach"/>
        <s v="Manchester"/>
        <s v="Pittsburgh"/>
        <s v="Middleton"/>
        <s v="Seminole"/>
        <s v="Merton"/>
        <s v="Ballybofey"/>
        <s v="Castlerea"/>
        <s v="Ballisodare"/>
        <s v="Ford"/>
        <s v="San Angelo"/>
        <s v="Thorpe"/>
        <s v="Carlton"/>
        <s v="Ballinteer"/>
        <s v="Cedar Rapids"/>
        <s v="Sunnyvale"/>
        <s v="Cluain Meala"/>
        <s v="Murfreesboro"/>
        <s v="Gorey"/>
        <s v="Florence"/>
        <s v="Syracuse"/>
        <s v="Bradenton"/>
        <s v="Allentown"/>
        <s v="Hampton"/>
        <s v="Wichita"/>
        <s v="Jacksonville"/>
        <s v="Tallaght"/>
        <s v="Yonkers"/>
        <s v="Bayside"/>
        <s v="Bakersfield"/>
        <s v="Dungarvan"/>
        <s v="Young America"/>
        <s v="Fort Smith"/>
        <s v="Navan"/>
        <s v="Long Beach"/>
        <s v="Lusk"/>
        <s v="Wilmington"/>
        <s v="Garden Grove"/>
        <s v="Orlando"/>
        <s v="Clones"/>
        <s v="Stradbally"/>
        <s v="Ballina"/>
        <s v="Glasnevin"/>
        <s v="Billings"/>
        <s v="Independence"/>
        <s v="Monroe"/>
        <s v="Littleton"/>
        <s v="Joliet"/>
        <s v="Malahide"/>
        <s v="Arklow"/>
        <s v="Olympia"/>
        <s v="Twyford"/>
        <s v="New Hyde Park"/>
        <s v="Mesquite"/>
        <s v="Monticello"/>
        <s v="Largo"/>
        <s v="Foxrock"/>
        <s v="Savannah"/>
        <s v="Albuquerque"/>
        <s v="Port Saint Lucie"/>
        <s v="Omaha"/>
        <s v="Salinas"/>
        <s v="Mobile"/>
        <s v="Hollywood"/>
        <s v="Greystones"/>
        <s v="Monaghan"/>
        <s v="Kirkton"/>
        <s v="Rockford"/>
        <s v="Mullagh"/>
        <s v="Cavan"/>
        <s v="Battle Creek"/>
        <s v="Ballymun"/>
        <s v="Fairbanks"/>
        <s v="Muskegon"/>
        <s v="Sallins"/>
        <s v="Castlemartyr"/>
        <s v="Hagerstown"/>
        <s v="Crossmolina"/>
        <s v="Booterstown"/>
        <s v="Gainesville"/>
        <s v="Rathnew"/>
        <s v="Silver Spring"/>
        <s v="Conroe"/>
        <s v="Bundoran"/>
        <s v="Daytona Beach"/>
        <s v="Wirral"/>
        <m/>
      </sharedItems>
    </cacheField>
    <cacheField name="COUNTRY" numFmtId="0">
      <sharedItems containsBlank="1" count="4">
        <s v="United States"/>
        <s v="Ireland"/>
        <s v="United Kingdom"/>
        <m/>
      </sharedItems>
    </cacheField>
    <cacheField name="LOYALTY CARD" numFmtId="0">
      <sharedItems containsBlank="1"/>
    </cacheField>
    <cacheField name="Product ID" numFmtId="0">
      <sharedItems containsBlank="1" count="49">
        <s v="R-M-1"/>
        <s v="E-M-0.5"/>
        <s v="A-L-1"/>
        <s v="E-M-1"/>
        <s v="R-L-2.5"/>
        <s v="L-D-1"/>
        <s v="E-D-0.5"/>
        <s v="L-L-0.2"/>
        <s v="R-M-0.5"/>
        <s v="A-D-1"/>
        <s v="E-L-2.5"/>
        <s v="R-D-2.5"/>
        <s v="L-D-0.2"/>
        <s v="R-M-2.5"/>
        <s v="A-M-0.2"/>
        <s v="E-D-0.2"/>
        <s v="A-D-0.2"/>
        <s v="A-M-1"/>
        <s v="E-M-0.2"/>
        <s v="A-M-0.5"/>
        <s v="A-D-0.5"/>
        <s v="L-M-0.2"/>
        <s v="L-M-0.5"/>
        <s v="L-L-0.5"/>
        <s v="L-M-1"/>
        <s v="R-D-0.2"/>
        <s v="L-L-2.5"/>
        <s v="L-D-2.5"/>
        <s v="E-M-2.5"/>
        <s v="A-L-0.2"/>
        <s v="A-D-2.5"/>
        <s v="L-D-0.5"/>
        <s v="L-L-1"/>
        <s v="E-L-1"/>
        <s v="R-D-0.5"/>
        <s v="R-L-0.5"/>
        <s v="R-M-0.2"/>
        <s v="A-M-2.5"/>
        <s v="E-L-0.5"/>
        <s v="R-D-1"/>
        <s v="R-L-0.2"/>
        <s v="R-L-1"/>
        <s v="A-L-0.5"/>
        <s v="L-M-2.5"/>
        <s v="A-L-2.5"/>
        <s v="E-D-1"/>
        <s v="E-L-0.2"/>
        <s v="E-D-2.5"/>
        <m/>
      </sharedItems>
    </cacheField>
    <cacheField name="COFFEE TYPE" numFmtId="0">
      <sharedItems containsBlank="1" count="5">
        <s v="Robusta"/>
        <s v="Excelsa"/>
        <s v="Arabica"/>
        <s v="Liberica"/>
        <m/>
      </sharedItems>
    </cacheField>
    <cacheField name="ROAST  TYPE" numFmtId="0">
      <sharedItems containsBlank="1" count="4">
        <s v="Medium"/>
        <s v="Light"/>
        <s v="Dark"/>
        <m/>
      </sharedItems>
    </cacheField>
    <cacheField name="PROFIT" numFmtId="0">
      <sharedItems containsString="0" containsBlank="1" containsNumber="1" minValue="0.16109999999999997" maxValue="4.7391499999999995"/>
    </cacheField>
    <cacheField name="Quantity" numFmtId="0">
      <sharedItems containsString="0" containsBlank="1" containsNumber="1" containsInteger="1" minValue="1" maxValue="6" count="7">
        <n v="2"/>
        <n v="5"/>
        <n v="1"/>
        <n v="3"/>
        <n v="4"/>
        <n v="6"/>
        <m/>
      </sharedItems>
    </cacheField>
    <cacheField name="Size" numFmtId="0">
      <sharedItems containsString="0" containsBlank="1" containsNumber="1" minValue="0.2" maxValue="2.5"/>
    </cacheField>
    <cacheField name="Unit Price" numFmtId="0">
      <sharedItems containsString="0" containsBlank="1" containsNumber="1" minValue="2.6849999999999996" maxValue="36.454999999999998"/>
    </cacheField>
    <cacheField name="Sales" numFmtId="0">
      <sharedItems containsString="0" containsBlank="1" containsNumber="1" minValue="2.6849999999999996" maxValue="218.73" count="198">
        <n v="19.899999999999999"/>
        <n v="41.25"/>
        <n v="12.95"/>
        <n v="27.5"/>
        <n v="54.969999999999992"/>
        <n v="38.849999999999994"/>
        <n v="21.87"/>
        <n v="4.7549999999999999"/>
        <n v="17.91"/>
        <n v="5.97"/>
        <n v="39.799999999999997"/>
        <n v="170.77499999999998"/>
        <n v="49.75"/>
        <n v="41.169999999999995"/>
        <n v="11.654999999999999"/>
        <n v="114.42499999999998"/>
        <n v="20.25"/>
        <n v="77.699999999999989"/>
        <n v="82.339999999999989"/>
        <n v="16.875"/>
        <n v="14.58"/>
        <n v="91.539999999999992"/>
        <n v="11.94"/>
        <n v="11.25"/>
        <n v="12.375"/>
        <n v="27"/>
        <n v="21.825000000000003"/>
        <n v="35.82"/>
        <n v="52.38"/>
        <n v="23.774999999999999"/>
        <n v="57.06"/>
        <n v="8.73"/>
        <n v="28.53"/>
        <n v="59.699999999999996"/>
        <n v="43.650000000000006"/>
        <n v="7.29"/>
        <n v="8.0549999999999997"/>
        <n v="72.91"/>
        <n v="16.5"/>
        <n v="178.70999999999998"/>
        <n v="63.249999999999993"/>
        <n v="7.77"/>
        <n v="15.54"/>
        <n v="145.82"/>
        <n v="29.849999999999998"/>
        <n v="72.75"/>
        <n v="47.55"/>
        <n v="10.935"/>
        <n v="59.4"/>
        <n v="89.35499999999999"/>
        <n v="26.19"/>
        <n v="26.849999999999994"/>
        <n v="6.75"/>
        <n v="7.169999999999999"/>
        <n v="9.51"/>
        <n v="2.9849999999999999"/>
        <n v="136.61999999999998"/>
        <n v="77.624999999999986"/>
        <n v="17.82"/>
        <n v="53.699999999999996"/>
        <n v="3.5849999999999995"/>
        <n v="40.5"/>
        <n v="47.8"/>
        <n v="109.36499999999999"/>
        <n v="100.39499999999998"/>
        <n v="33.75"/>
        <n v="35.849999999999994"/>
        <n v="51.8"/>
        <n v="103.49999999999999"/>
        <n v="44.55"/>
        <n v="35.64"/>
        <n v="155.24999999999997"/>
        <n v="13.5"/>
        <n v="13.095000000000001"/>
        <n v="148.92499999999998"/>
        <n v="87.300000000000011"/>
        <n v="24.3"/>
        <n v="13.365"/>
        <n v="14.55"/>
        <n v="14.339999999999998"/>
        <n v="15.85"/>
        <n v="19.02"/>
        <n v="38.04"/>
        <n v="4.125"/>
        <n v="3.8849999999999998"/>
        <n v="68.75"/>
        <n v="23.88"/>
        <n v="12.15"/>
        <n v="94.874999999999986"/>
        <n v="102.46499999999997"/>
        <n v="48.6"/>
        <n v="29.784999999999997"/>
        <n v="17.46"/>
        <n v="68.309999999999988"/>
        <n v="18.225000000000001"/>
        <n v="51.749999999999993"/>
        <n v="68.655000000000001"/>
        <n v="2.6849999999999996"/>
        <n v="61.754999999999995"/>
        <n v="123.50999999999999"/>
        <n v="218.73"/>
        <n v="33"/>
        <n v="23.31"/>
        <n v="16.11"/>
        <n v="29.16"/>
        <n v="17.899999999999999"/>
        <n v="204.92999999999995"/>
        <n v="34.154999999999994"/>
        <n v="109.93999999999998"/>
        <n v="25.9"/>
        <n v="22.274999999999999"/>
        <n v="32.22"/>
        <n v="8.25"/>
        <n v="31.08"/>
        <n v="36.450000000000003"/>
        <n v="4.4550000000000001"/>
        <n v="33.464999999999996"/>
        <n v="19.424999999999997"/>
        <n v="72.900000000000006"/>
        <n v="53.46"/>
        <n v="59.569999999999993"/>
        <n v="82.5"/>
        <n v="22.5"/>
        <n v="20.584999999999997"/>
        <n v="31.7"/>
        <n v="58.2"/>
        <n v="56.25"/>
        <n v="10.754999999999999"/>
        <n v="14.924999999999999"/>
        <n v="119.13999999999999"/>
        <n v="129.37499999999997"/>
        <n v="17.924999999999997"/>
        <n v="20.625"/>
        <n v="36.454999999999998"/>
        <n v="182.27499999999998"/>
        <n v="45.769999999999996"/>
        <n v="133.85999999999999"/>
        <n v="21.509999999999998"/>
        <n v="9.9499999999999993"/>
        <n v="28.679999999999996"/>
        <n v="27.945"/>
        <n v="139.72499999999999"/>
        <n v="27.484999999999996"/>
        <n v="59.75"/>
        <n v="71.699999999999989"/>
        <n v="25.874999999999996"/>
        <n v="89.1"/>
        <n v="5.3699999999999992"/>
        <n v="13.424999999999997"/>
        <n v="26.73"/>
        <n v="111.78"/>
        <n v="14.85"/>
        <n v="189.74999999999997"/>
        <n v="44.75"/>
        <n v="13.75"/>
        <n v="21.479999999999997"/>
        <n v="22.884999999999998"/>
        <n v="45"/>
        <n v="55.89"/>
        <n v="74.25"/>
        <n v="43.74"/>
        <n v="8.91"/>
        <n v="46.62"/>
        <n v="43.019999999999996"/>
        <n v="167.67000000000002"/>
        <n v="63.4"/>
        <n v="26.849999999999998"/>
        <n v="24.75"/>
        <n v="49.5"/>
        <n v="8.9550000000000001"/>
        <n v="137.31"/>
        <n v="83.835000000000008"/>
        <n v="200.78999999999996"/>
        <n v="67.5"/>
        <n v="66.929999999999993"/>
        <n v="10.739999999999998"/>
        <n v="31.624999999999996"/>
        <n v="126.49999999999999"/>
        <n v="23.9"/>
        <n v="95.1"/>
        <n v="79.25"/>
        <n v="14.265000000000001"/>
        <n v="102.92499999999998"/>
        <n v="164.90999999999997"/>
        <n v="60.75"/>
        <n v="82.454999999999984"/>
        <n v="3.645"/>
        <n v="137.42499999999998"/>
        <n v="64.75"/>
        <n v="4.3650000000000002"/>
        <n v="34.92"/>
        <n v="35.799999999999997"/>
        <n v="8.9499999999999993"/>
        <n v="55"/>
        <n v="29.1"/>
        <n v="29.7"/>
        <n v="158.12499999999997"/>
        <m/>
      </sharedItems>
    </cacheField>
    <cacheField name="TOTAL PROFIT" numFmtId="0">
      <sharedItems containsString="0" containsBlank="1" containsNumber="1" minValue="0.16109999999999997" maxValue="28.434899999999999"/>
    </cacheField>
    <cacheField name="PROFIT MARGINE" numFmtId="0">
      <sharedItems containsString="0" containsBlank="1" containsNumber="1" minValue="5.9999999999999982" maxValue="13.000000000000004"/>
    </cacheField>
    <cacheField name="Quarters" numFmtId="0" databaseField="0">
      <fieldGroup base="1">
        <rangePr groupBy="quarters" startDate="2019-01-02T00:00:00" endDate="2022-08-20T00:00:00"/>
        <groupItems count="6">
          <s v="&lt;01/02/2019"/>
          <s v="Qtr1"/>
          <s v="Qtr2"/>
          <s v="Qtr3"/>
          <s v="Qtr4"/>
          <s v="&gt;08/20/2022"/>
        </groupItems>
      </fieldGroup>
    </cacheField>
    <cacheField name="Years" numFmtId="0" databaseField="0">
      <fieldGroup base="1">
        <rangePr groupBy="years" startDate="2019-01-02T00:00:00" endDate="2022-08-20T00:00:00"/>
        <groupItems count="6">
          <s v="&lt;01/02/2019"/>
          <s v="2019"/>
          <s v="2020"/>
          <s v="2021"/>
          <s v="2022"/>
          <s v="&gt;08/20/2022"/>
        </groupItems>
      </fieldGroup>
    </cacheField>
  </cacheFields>
  <extLst>
    <ext xmlns:x14="http://schemas.microsoft.com/office/spreadsheetml/2009/9/main" uri="{725AE2AE-9491-48be-B2B4-4EB974FC3084}">
      <x14:pivotCacheDefinition pivotCacheId="11946138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x v="0"/>
    <x v="0"/>
    <s v="Thursday"/>
    <x v="0"/>
    <x v="0"/>
    <x v="0"/>
    <x v="0"/>
    <s v="aallner0@lulu.com"/>
    <s v="+1 (862) 817-0124"/>
    <x v="0"/>
    <x v="0"/>
    <s v="Yes"/>
    <x v="0"/>
    <x v="0"/>
    <x v="0"/>
    <n v="0.59699999999999998"/>
    <x v="0"/>
    <n v="1"/>
    <n v="9.9499999999999993"/>
    <x v="0"/>
    <n v="1.194"/>
    <n v="6.0000000000000009"/>
  </r>
  <r>
    <x v="0"/>
    <x v="0"/>
    <s v="Thursday"/>
    <x v="0"/>
    <x v="0"/>
    <x v="0"/>
    <x v="1"/>
    <s v="aallner0@lulu.com"/>
    <s v="+1 (862) 817-0124"/>
    <x v="0"/>
    <x v="0"/>
    <s v="Yes"/>
    <x v="1"/>
    <x v="1"/>
    <x v="0"/>
    <n v="0.90749999999999997"/>
    <x v="1"/>
    <n v="0.5"/>
    <n v="8.25"/>
    <x v="1"/>
    <n v="4.5374999999999996"/>
    <n v="10.999999999999998"/>
  </r>
  <r>
    <x v="1"/>
    <x v="1"/>
    <s v="Thursday"/>
    <x v="1"/>
    <x v="1"/>
    <x v="1"/>
    <x v="2"/>
    <s v="jredholes2@tmall.com"/>
    <s v="+1 (210) 986-6806"/>
    <x v="1"/>
    <x v="0"/>
    <s v="Yes"/>
    <x v="2"/>
    <x v="2"/>
    <x v="1"/>
    <n v="1.1655"/>
    <x v="2"/>
    <n v="1"/>
    <n v="12.95"/>
    <x v="2"/>
    <n v="1.1655"/>
    <n v="9"/>
  </r>
  <r>
    <x v="2"/>
    <x v="2"/>
    <s v="Thursday"/>
    <x v="2"/>
    <x v="1"/>
    <x v="2"/>
    <x v="2"/>
    <n v="0"/>
    <s v="+353 (698) 362-9201"/>
    <x v="2"/>
    <x v="1"/>
    <s v="No"/>
    <x v="3"/>
    <x v="1"/>
    <x v="0"/>
    <n v="1.5125"/>
    <x v="0"/>
    <n v="1"/>
    <n v="13.75"/>
    <x v="3"/>
    <n v="3.0249999999999999"/>
    <n v="11"/>
  </r>
  <r>
    <x v="2"/>
    <x v="2"/>
    <s v="Thursday"/>
    <x v="2"/>
    <x v="1"/>
    <x v="2"/>
    <x v="3"/>
    <n v="0"/>
    <s v="+353 (698) 362-9201"/>
    <x v="2"/>
    <x v="1"/>
    <s v="No"/>
    <x v="4"/>
    <x v="0"/>
    <x v="1"/>
    <n v="1.6490999999999998"/>
    <x v="0"/>
    <n v="2.5"/>
    <n v="27.484999999999996"/>
    <x v="4"/>
    <n v="3.2981999999999996"/>
    <n v="6.0000000000000009"/>
  </r>
  <r>
    <x v="3"/>
    <x v="3"/>
    <s v="Wednesday"/>
    <x v="3"/>
    <x v="1"/>
    <x v="3"/>
    <x v="4"/>
    <n v="0"/>
    <s v="+1 (570) 289-7473"/>
    <x v="3"/>
    <x v="0"/>
    <s v="No"/>
    <x v="5"/>
    <x v="3"/>
    <x v="2"/>
    <n v="1.6835"/>
    <x v="3"/>
    <n v="1"/>
    <n v="12.95"/>
    <x v="5"/>
    <n v="5.0504999999999995"/>
    <n v="13"/>
  </r>
  <r>
    <x v="4"/>
    <x v="4"/>
    <s v="Friday"/>
    <x v="4"/>
    <x v="2"/>
    <x v="4"/>
    <x v="5"/>
    <s v="slobe6@nifty.com"/>
    <s v="+1 (937) 954-4541"/>
    <x v="4"/>
    <x v="0"/>
    <s v="Yes"/>
    <x v="6"/>
    <x v="1"/>
    <x v="2"/>
    <n v="0.80190000000000006"/>
    <x v="3"/>
    <n v="0.5"/>
    <n v="7.29"/>
    <x v="6"/>
    <n v="2.4057000000000004"/>
    <n v="11.000000000000002"/>
  </r>
  <r>
    <x v="5"/>
    <x v="5"/>
    <s v="Friday"/>
    <x v="5"/>
    <x v="2"/>
    <x v="5"/>
    <x v="6"/>
    <n v="0"/>
    <s v="+353 (507) 574-3034"/>
    <x v="5"/>
    <x v="1"/>
    <s v="Yes"/>
    <x v="7"/>
    <x v="3"/>
    <x v="1"/>
    <n v="0.61814999999999998"/>
    <x v="2"/>
    <n v="0.2"/>
    <n v="4.7549999999999999"/>
    <x v="7"/>
    <n v="0.61814999999999998"/>
    <n v="13"/>
  </r>
  <r>
    <x v="6"/>
    <x v="6"/>
    <s v="Wednesday"/>
    <x v="4"/>
    <x v="0"/>
    <x v="6"/>
    <x v="7"/>
    <s v="gpetracci8@livejournal.com"/>
    <s v="+1 (310) 868-1842"/>
    <x v="6"/>
    <x v="0"/>
    <s v="No"/>
    <x v="8"/>
    <x v="0"/>
    <x v="0"/>
    <n v="0.35819999999999996"/>
    <x v="3"/>
    <n v="0.5"/>
    <n v="5.97"/>
    <x v="8"/>
    <n v="1.0745999999999998"/>
    <n v="5.9999999999999982"/>
  </r>
  <r>
    <x v="7"/>
    <x v="0"/>
    <s v="Thursday"/>
    <x v="0"/>
    <x v="0"/>
    <x v="7"/>
    <x v="8"/>
    <s v="rraven9@ed.gov"/>
    <s v="+1 (213) 263-0288"/>
    <x v="6"/>
    <x v="0"/>
    <s v="No"/>
    <x v="8"/>
    <x v="0"/>
    <x v="0"/>
    <n v="0.35819999999999996"/>
    <x v="2"/>
    <n v="0.5"/>
    <n v="5.97"/>
    <x v="9"/>
    <n v="0.35819999999999996"/>
    <n v="6"/>
  </r>
  <r>
    <x v="8"/>
    <x v="7"/>
    <s v="Monday"/>
    <x v="6"/>
    <x v="1"/>
    <x v="8"/>
    <x v="9"/>
    <s v="fferbera@businesswire.com"/>
    <s v="+1 (408) 383-5302"/>
    <x v="7"/>
    <x v="0"/>
    <s v="No"/>
    <x v="9"/>
    <x v="2"/>
    <x v="2"/>
    <n v="0.89549999999999985"/>
    <x v="4"/>
    <n v="1"/>
    <n v="9.9499999999999993"/>
    <x v="10"/>
    <n v="3.5819999999999994"/>
    <n v="9"/>
  </r>
  <r>
    <x v="9"/>
    <x v="8"/>
    <s v="Wednesday"/>
    <x v="7"/>
    <x v="3"/>
    <x v="9"/>
    <x v="10"/>
    <s v="dphizackerlyb@utexas.edu"/>
    <s v="+1 (408) 533-6012"/>
    <x v="7"/>
    <x v="0"/>
    <s v="Yes"/>
    <x v="10"/>
    <x v="1"/>
    <x v="1"/>
    <n v="3.7570499999999996"/>
    <x v="1"/>
    <n v="2.5"/>
    <n v="34.154999999999994"/>
    <x v="11"/>
    <n v="18.785249999999998"/>
    <n v="11"/>
  </r>
  <r>
    <x v="10"/>
    <x v="9"/>
    <s v="Saturday"/>
    <x v="2"/>
    <x v="2"/>
    <x v="10"/>
    <x v="11"/>
    <s v="rscholarc@nyu.edu"/>
    <s v="+1 (804) 420-0420"/>
    <x v="8"/>
    <x v="0"/>
    <s v="No"/>
    <x v="0"/>
    <x v="0"/>
    <x v="0"/>
    <n v="0.59699999999999998"/>
    <x v="1"/>
    <n v="1"/>
    <n v="9.9499999999999993"/>
    <x v="12"/>
    <n v="2.9849999999999999"/>
    <n v="6"/>
  </r>
  <r>
    <x v="11"/>
    <x v="10"/>
    <s v="Friday"/>
    <x v="5"/>
    <x v="3"/>
    <x v="11"/>
    <x v="12"/>
    <s v="tvanyutind@wix.com"/>
    <n v="0"/>
    <x v="9"/>
    <x v="0"/>
    <s v="No"/>
    <x v="11"/>
    <x v="0"/>
    <x v="2"/>
    <n v="1.2350999999999999"/>
    <x v="0"/>
    <n v="2.5"/>
    <n v="20.584999999999997"/>
    <x v="13"/>
    <n v="2.4701999999999997"/>
    <n v="6.0000000000000009"/>
  </r>
  <r>
    <x v="12"/>
    <x v="11"/>
    <s v="Tuesday"/>
    <x v="8"/>
    <x v="2"/>
    <x v="12"/>
    <x v="13"/>
    <s v="ptrobee@wunderground.com"/>
    <s v="+1 (314) 240-7896"/>
    <x v="10"/>
    <x v="0"/>
    <s v="Yes"/>
    <x v="12"/>
    <x v="3"/>
    <x v="2"/>
    <n v="0.50505"/>
    <x v="3"/>
    <n v="0.2"/>
    <n v="3.8849999999999998"/>
    <x v="14"/>
    <n v="1.51515"/>
    <n v="13"/>
  </r>
  <r>
    <x v="13"/>
    <x v="12"/>
    <s v="Tuesday"/>
    <x v="1"/>
    <x v="2"/>
    <x v="13"/>
    <x v="14"/>
    <s v="loscroftf@ebay.co.uk"/>
    <n v="0"/>
    <x v="11"/>
    <x v="0"/>
    <s v="No"/>
    <x v="13"/>
    <x v="0"/>
    <x v="0"/>
    <n v="1.3730999999999998"/>
    <x v="1"/>
    <n v="2.5"/>
    <n v="22.884999999999998"/>
    <x v="15"/>
    <n v="6.865499999999999"/>
    <n v="6"/>
  </r>
  <r>
    <x v="14"/>
    <x v="13"/>
    <s v="Wednesday"/>
    <x v="6"/>
    <x v="0"/>
    <x v="14"/>
    <x v="15"/>
    <s v="malabasterg@hexun.com"/>
    <s v="+1 (971) 483-6255"/>
    <x v="12"/>
    <x v="0"/>
    <s v="No"/>
    <x v="14"/>
    <x v="2"/>
    <x v="0"/>
    <n v="0.30374999999999996"/>
    <x v="5"/>
    <n v="0.2"/>
    <n v="3.375"/>
    <x v="16"/>
    <n v="1.8224999999999998"/>
    <n v="8.9999999999999982"/>
  </r>
  <r>
    <x v="15"/>
    <x v="14"/>
    <s v="Saturday"/>
    <x v="7"/>
    <x v="0"/>
    <x v="15"/>
    <x v="16"/>
    <s v="rbroxuph@jimdo.com"/>
    <s v="+1 (713) 663-1338"/>
    <x v="13"/>
    <x v="0"/>
    <s v="No"/>
    <x v="2"/>
    <x v="2"/>
    <x v="1"/>
    <n v="1.1655"/>
    <x v="5"/>
    <n v="1"/>
    <n v="12.95"/>
    <x v="17"/>
    <n v="6.9930000000000003"/>
    <n v="9.0000000000000018"/>
  </r>
  <r>
    <x v="16"/>
    <x v="15"/>
    <s v="Thursday"/>
    <x v="1"/>
    <x v="0"/>
    <x v="16"/>
    <x v="17"/>
    <s v="predfordi@ow.ly"/>
    <n v="0"/>
    <x v="14"/>
    <x v="1"/>
    <s v="Yes"/>
    <x v="11"/>
    <x v="0"/>
    <x v="2"/>
    <n v="1.2350999999999999"/>
    <x v="4"/>
    <n v="2.5"/>
    <n v="20.584999999999997"/>
    <x v="18"/>
    <n v="4.9403999999999995"/>
    <n v="6.0000000000000009"/>
  </r>
  <r>
    <x v="17"/>
    <x v="16"/>
    <s v="Friday"/>
    <x v="9"/>
    <x v="3"/>
    <x v="17"/>
    <x v="17"/>
    <s v="acorradinoj@harvard.edu"/>
    <s v="+1 (646) 202-5965"/>
    <x v="15"/>
    <x v="0"/>
    <s v="Yes"/>
    <x v="14"/>
    <x v="2"/>
    <x v="0"/>
    <n v="0.30374999999999996"/>
    <x v="1"/>
    <n v="0.2"/>
    <n v="3.375"/>
    <x v="19"/>
    <n v="1.5187499999999998"/>
    <n v="8.9999999999999982"/>
  </r>
  <r>
    <x v="17"/>
    <x v="16"/>
    <s v="Friday"/>
    <x v="9"/>
    <x v="3"/>
    <x v="17"/>
    <x v="18"/>
    <s v="acorradinoj@harvard.edu"/>
    <s v="+1 (646) 202-5965"/>
    <x v="15"/>
    <x v="0"/>
    <s v="Yes"/>
    <x v="15"/>
    <x v="1"/>
    <x v="2"/>
    <n v="0.40095000000000003"/>
    <x v="4"/>
    <n v="0.2"/>
    <n v="3.645"/>
    <x v="20"/>
    <n v="1.6038000000000001"/>
    <n v="11"/>
  </r>
  <r>
    <x v="18"/>
    <x v="16"/>
    <s v="Friday"/>
    <x v="9"/>
    <x v="3"/>
    <x v="18"/>
    <x v="19"/>
    <s v="adavidowskyl@netvibes.com"/>
    <s v="+1 (616) 481-9962"/>
    <x v="16"/>
    <x v="0"/>
    <s v="No"/>
    <x v="16"/>
    <x v="2"/>
    <x v="2"/>
    <n v="0.26865"/>
    <x v="5"/>
    <n v="0.2"/>
    <n v="2.9849999999999999"/>
    <x v="8"/>
    <n v="1.6118999999999999"/>
    <n v="9"/>
  </r>
  <r>
    <x v="19"/>
    <x v="17"/>
    <s v="Friday"/>
    <x v="4"/>
    <x v="1"/>
    <x v="19"/>
    <x v="20"/>
    <s v="aantukm@kickstarter.com"/>
    <s v="+1 (941) 740-6268"/>
    <x v="17"/>
    <x v="0"/>
    <s v="Yes"/>
    <x v="13"/>
    <x v="0"/>
    <x v="0"/>
    <n v="1.3730999999999998"/>
    <x v="4"/>
    <n v="2.5"/>
    <n v="22.884999999999998"/>
    <x v="21"/>
    <n v="5.4923999999999991"/>
    <n v="6"/>
  </r>
  <r>
    <x v="20"/>
    <x v="18"/>
    <s v="Friday"/>
    <x v="10"/>
    <x v="2"/>
    <x v="20"/>
    <x v="21"/>
    <s v="ikleinertn@timesonline.co.uk"/>
    <s v="+1 (360) 352-6598"/>
    <x v="18"/>
    <x v="0"/>
    <s v="Yes"/>
    <x v="16"/>
    <x v="2"/>
    <x v="2"/>
    <n v="0.26865"/>
    <x v="4"/>
    <n v="0.2"/>
    <n v="2.9849999999999999"/>
    <x v="22"/>
    <n v="1.0746"/>
    <n v="9.0000000000000018"/>
  </r>
  <r>
    <x v="21"/>
    <x v="19"/>
    <s v="Wednesday"/>
    <x v="0"/>
    <x v="1"/>
    <x v="21"/>
    <x v="22"/>
    <s v="cblofeldo@amazon.co.uk"/>
    <s v="+1 (303) 936-3357"/>
    <x v="19"/>
    <x v="0"/>
    <s v="No"/>
    <x v="17"/>
    <x v="2"/>
    <x v="0"/>
    <n v="1.0125"/>
    <x v="2"/>
    <n v="1"/>
    <n v="11.25"/>
    <x v="23"/>
    <n v="1.0125"/>
    <n v="9"/>
  </r>
  <r>
    <x v="22"/>
    <x v="20"/>
    <s v="Saturday"/>
    <x v="7"/>
    <x v="3"/>
    <x v="22"/>
    <x v="23"/>
    <n v="0"/>
    <s v="+1 (941) 267-4822"/>
    <x v="17"/>
    <x v="0"/>
    <s v="Yes"/>
    <x v="18"/>
    <x v="1"/>
    <x v="0"/>
    <n v="0.45374999999999999"/>
    <x v="3"/>
    <n v="0.2"/>
    <n v="4.125"/>
    <x v="24"/>
    <n v="1.3612500000000001"/>
    <n v="11"/>
  </r>
  <r>
    <x v="23"/>
    <x v="21"/>
    <s v="Wednesday"/>
    <x v="10"/>
    <x v="0"/>
    <x v="23"/>
    <x v="24"/>
    <s v="sshalesq@umich.edu"/>
    <s v="+1 (707) 881-5004"/>
    <x v="20"/>
    <x v="0"/>
    <s v="Yes"/>
    <x v="19"/>
    <x v="2"/>
    <x v="0"/>
    <n v="0.60749999999999993"/>
    <x v="4"/>
    <n v="0.5"/>
    <n v="6.75"/>
    <x v="25"/>
    <n v="2.4299999999999997"/>
    <n v="8.9999999999999982"/>
  </r>
  <r>
    <x v="24"/>
    <x v="22"/>
    <s v="Tuesday"/>
    <x v="7"/>
    <x v="0"/>
    <x v="24"/>
    <x v="25"/>
    <s v="vdanneilr@mtv.com"/>
    <s v="+353 (751) 346-0399"/>
    <x v="21"/>
    <x v="1"/>
    <s v="No"/>
    <x v="14"/>
    <x v="2"/>
    <x v="0"/>
    <n v="0.30374999999999996"/>
    <x v="1"/>
    <n v="0.2"/>
    <n v="3.375"/>
    <x v="19"/>
    <n v="1.5187499999999998"/>
    <n v="8.9999999999999982"/>
  </r>
  <r>
    <x v="25"/>
    <x v="23"/>
    <s v="Tuesday"/>
    <x v="3"/>
    <x v="2"/>
    <x v="25"/>
    <x v="26"/>
    <s v="tnewburys@usda.gov"/>
    <s v="+353 (803) 587-0026"/>
    <x v="22"/>
    <x v="1"/>
    <s v="No"/>
    <x v="20"/>
    <x v="2"/>
    <x v="2"/>
    <n v="0.5373"/>
    <x v="3"/>
    <n v="0.5"/>
    <n v="5.97"/>
    <x v="8"/>
    <n v="1.6118999999999999"/>
    <n v="9"/>
  </r>
  <r>
    <x v="26"/>
    <x v="21"/>
    <s v="Wednesday"/>
    <x v="10"/>
    <x v="0"/>
    <x v="26"/>
    <x v="27"/>
    <s v="mcalcuttt@baidu.com"/>
    <s v="+353 (928) 869-1762"/>
    <x v="23"/>
    <x v="1"/>
    <s v="Yes"/>
    <x v="9"/>
    <x v="2"/>
    <x v="2"/>
    <n v="0.89549999999999985"/>
    <x v="4"/>
    <n v="1"/>
    <n v="9.9499999999999993"/>
    <x v="10"/>
    <n v="3.5819999999999994"/>
    <n v="9"/>
  </r>
  <r>
    <x v="27"/>
    <x v="24"/>
    <s v="Saturday"/>
    <x v="0"/>
    <x v="1"/>
    <x v="27"/>
    <x v="27"/>
    <n v="0"/>
    <s v="+1 (303) 486-9517"/>
    <x v="24"/>
    <x v="0"/>
    <s v="No"/>
    <x v="21"/>
    <x v="3"/>
    <x v="0"/>
    <n v="0.56745000000000001"/>
    <x v="1"/>
    <n v="0.2"/>
    <n v="4.3650000000000002"/>
    <x v="26"/>
    <n v="2.83725"/>
    <n v="12.999999999999998"/>
  </r>
  <r>
    <x v="27"/>
    <x v="24"/>
    <s v="Saturday"/>
    <x v="0"/>
    <x v="1"/>
    <x v="27"/>
    <x v="27"/>
    <n v="0"/>
    <s v="+1 (303) 486-9517"/>
    <x v="24"/>
    <x v="0"/>
    <s v="No"/>
    <x v="20"/>
    <x v="2"/>
    <x v="2"/>
    <n v="0.5373"/>
    <x v="5"/>
    <n v="0.5"/>
    <n v="5.97"/>
    <x v="27"/>
    <n v="3.2237999999999998"/>
    <n v="9"/>
  </r>
  <r>
    <x v="27"/>
    <x v="24"/>
    <s v="Saturday"/>
    <x v="0"/>
    <x v="1"/>
    <x v="27"/>
    <x v="28"/>
    <n v="0"/>
    <s v="+1 (303) 486-9517"/>
    <x v="24"/>
    <x v="0"/>
    <s v="No"/>
    <x v="22"/>
    <x v="3"/>
    <x v="0"/>
    <n v="1.1349"/>
    <x v="5"/>
    <n v="0.5"/>
    <n v="8.73"/>
    <x v="28"/>
    <n v="6.8094000000000001"/>
    <n v="13"/>
  </r>
  <r>
    <x v="28"/>
    <x v="25"/>
    <s v="Saturday"/>
    <x v="2"/>
    <x v="1"/>
    <x v="28"/>
    <x v="29"/>
    <s v="ggatheralx@123-reg.co.uk"/>
    <n v="0"/>
    <x v="25"/>
    <x v="0"/>
    <s v="No"/>
    <x v="7"/>
    <x v="3"/>
    <x v="1"/>
    <n v="0.61814999999999998"/>
    <x v="1"/>
    <n v="0.2"/>
    <n v="4.7549999999999999"/>
    <x v="29"/>
    <n v="3.0907499999999999"/>
    <n v="13"/>
  </r>
  <r>
    <x v="29"/>
    <x v="26"/>
    <s v="Monday"/>
    <x v="1"/>
    <x v="3"/>
    <x v="29"/>
    <x v="30"/>
    <s v="uwelberryy@ebay.co.uk"/>
    <s v="+44 (392) 503-8132"/>
    <x v="26"/>
    <x v="2"/>
    <s v="Yes"/>
    <x v="23"/>
    <x v="3"/>
    <x v="1"/>
    <n v="1.2363"/>
    <x v="5"/>
    <n v="0.5"/>
    <n v="9.51"/>
    <x v="30"/>
    <n v="7.4177999999999997"/>
    <n v="12.999999999999998"/>
  </r>
  <r>
    <x v="30"/>
    <x v="27"/>
    <s v="Tuesday"/>
    <x v="1"/>
    <x v="1"/>
    <x v="30"/>
    <x v="31"/>
    <s v="feilhartz@who.int"/>
    <s v="+1 (304) 510-6095"/>
    <x v="27"/>
    <x v="0"/>
    <s v="No"/>
    <x v="20"/>
    <x v="2"/>
    <x v="2"/>
    <n v="0.5373"/>
    <x v="5"/>
    <n v="0.5"/>
    <n v="5.97"/>
    <x v="27"/>
    <n v="3.2237999999999998"/>
    <n v="9"/>
  </r>
  <r>
    <x v="31"/>
    <x v="28"/>
    <s v="Saturday"/>
    <x v="10"/>
    <x v="1"/>
    <x v="31"/>
    <x v="32"/>
    <s v="zponting10@altervista.org"/>
    <s v="+1 (501) 172-1476"/>
    <x v="28"/>
    <x v="0"/>
    <s v="No"/>
    <x v="21"/>
    <x v="3"/>
    <x v="0"/>
    <n v="0.56745000000000001"/>
    <x v="0"/>
    <n v="0.2"/>
    <n v="4.3650000000000002"/>
    <x v="31"/>
    <n v="1.1349"/>
    <n v="13"/>
  </r>
  <r>
    <x v="32"/>
    <x v="29"/>
    <s v="Thursday"/>
    <x v="8"/>
    <x v="0"/>
    <x v="32"/>
    <x v="33"/>
    <s v="sstrase11@booking.com"/>
    <s v="+1 (303) 579-8015"/>
    <x v="29"/>
    <x v="0"/>
    <s v="No"/>
    <x v="23"/>
    <x v="3"/>
    <x v="1"/>
    <n v="1.2363"/>
    <x v="3"/>
    <n v="0.5"/>
    <n v="9.51"/>
    <x v="32"/>
    <n v="3.7088999999999999"/>
    <n v="12.999999999999998"/>
  </r>
  <r>
    <x v="33"/>
    <x v="30"/>
    <s v="Saturday"/>
    <x v="8"/>
    <x v="3"/>
    <x v="33"/>
    <x v="34"/>
    <s v="dde12@unesco.org"/>
    <s v="+1 (612) 492-5160"/>
    <x v="30"/>
    <x v="0"/>
    <s v="No"/>
    <x v="13"/>
    <x v="0"/>
    <x v="0"/>
    <n v="1.3730999999999998"/>
    <x v="1"/>
    <n v="2.5"/>
    <n v="22.884999999999998"/>
    <x v="15"/>
    <n v="6.865499999999999"/>
    <n v="6"/>
  </r>
  <r>
    <x v="34"/>
    <x v="31"/>
    <s v="Wednesday"/>
    <x v="11"/>
    <x v="1"/>
    <x v="34"/>
    <x v="35"/>
    <n v="0"/>
    <n v="0"/>
    <x v="31"/>
    <x v="0"/>
    <s v="Yes"/>
    <x v="0"/>
    <x v="0"/>
    <x v="0"/>
    <n v="0.59699999999999998"/>
    <x v="5"/>
    <n v="1"/>
    <n v="9.9499999999999993"/>
    <x v="33"/>
    <n v="3.5819999999999999"/>
    <n v="6.0000000000000009"/>
  </r>
  <r>
    <x v="35"/>
    <x v="32"/>
    <s v="Monday"/>
    <x v="8"/>
    <x v="1"/>
    <x v="35"/>
    <x v="36"/>
    <n v="0"/>
    <s v="+1 (504) 545-1478"/>
    <x v="32"/>
    <x v="0"/>
    <s v="No"/>
    <x v="24"/>
    <x v="3"/>
    <x v="0"/>
    <n v="1.8915000000000002"/>
    <x v="3"/>
    <n v="1"/>
    <n v="14.55"/>
    <x v="34"/>
    <n v="5.6745000000000001"/>
    <n v="12.999999999999998"/>
  </r>
  <r>
    <x v="36"/>
    <x v="33"/>
    <s v="Thursday"/>
    <x v="2"/>
    <x v="2"/>
    <x v="36"/>
    <x v="37"/>
    <s v="lyeoland15@pbs.org"/>
    <s v="+1 (860) 576-2887"/>
    <x v="33"/>
    <x v="0"/>
    <s v="Yes"/>
    <x v="15"/>
    <x v="1"/>
    <x v="2"/>
    <n v="0.40095000000000003"/>
    <x v="0"/>
    <n v="0.2"/>
    <n v="3.645"/>
    <x v="35"/>
    <n v="0.80190000000000006"/>
    <n v="11"/>
  </r>
  <r>
    <x v="37"/>
    <x v="34"/>
    <s v="Wednesday"/>
    <x v="5"/>
    <x v="0"/>
    <x v="37"/>
    <x v="38"/>
    <s v="atolworthy16@toplist.cz"/>
    <s v="+1 (801) 722-4425"/>
    <x v="34"/>
    <x v="0"/>
    <s v="Yes"/>
    <x v="25"/>
    <x v="0"/>
    <x v="2"/>
    <n v="0.16109999999999997"/>
    <x v="3"/>
    <n v="0.2"/>
    <n v="2.6849999999999996"/>
    <x v="36"/>
    <n v="0.4832999999999999"/>
    <n v="5.9999999999999991"/>
  </r>
  <r>
    <x v="38"/>
    <x v="35"/>
    <s v="Monday"/>
    <x v="7"/>
    <x v="1"/>
    <x v="38"/>
    <x v="39"/>
    <n v="0"/>
    <s v="+1 (617) 493-7594"/>
    <x v="35"/>
    <x v="0"/>
    <s v="No"/>
    <x v="26"/>
    <x v="3"/>
    <x v="1"/>
    <n v="4.7391499999999995"/>
    <x v="0"/>
    <n v="2.5"/>
    <n v="36.454999999999998"/>
    <x v="37"/>
    <n v="9.4782999999999991"/>
    <n v="13"/>
  </r>
  <r>
    <x v="39"/>
    <x v="36"/>
    <s v="Saturday"/>
    <x v="8"/>
    <x v="3"/>
    <x v="39"/>
    <x v="40"/>
    <s v="obaudassi18@seesaa.net"/>
    <s v="+1 (585) 356-6251"/>
    <x v="36"/>
    <x v="0"/>
    <s v="Yes"/>
    <x v="1"/>
    <x v="1"/>
    <x v="0"/>
    <n v="0.90749999999999997"/>
    <x v="0"/>
    <n v="0.5"/>
    <n v="8.25"/>
    <x v="38"/>
    <n v="1.8149999999999999"/>
    <n v="11"/>
  </r>
  <r>
    <x v="40"/>
    <x v="37"/>
    <s v="Monday"/>
    <x v="4"/>
    <x v="2"/>
    <x v="40"/>
    <x v="41"/>
    <s v="pkingsbury19@comcast.net"/>
    <s v="+1 (917) 705-8224"/>
    <x v="37"/>
    <x v="0"/>
    <s v="No"/>
    <x v="27"/>
    <x v="3"/>
    <x v="2"/>
    <n v="3.8720499999999998"/>
    <x v="5"/>
    <n v="2.5"/>
    <n v="29.784999999999997"/>
    <x v="39"/>
    <n v="23.232299999999999"/>
    <n v="13"/>
  </r>
  <r>
    <x v="41"/>
    <x v="38"/>
    <s v="Thursday"/>
    <x v="11"/>
    <x v="0"/>
    <x v="41"/>
    <x v="42"/>
    <n v="0"/>
    <s v="+1 (205) 923-1460"/>
    <x v="38"/>
    <x v="0"/>
    <s v="Yes"/>
    <x v="28"/>
    <x v="1"/>
    <x v="0"/>
    <n v="3.4787499999999998"/>
    <x v="0"/>
    <n v="2.5"/>
    <n v="31.624999999999996"/>
    <x v="40"/>
    <n v="6.9574999999999996"/>
    <n v="11"/>
  </r>
  <r>
    <x v="42"/>
    <x v="39"/>
    <s v="Friday"/>
    <x v="1"/>
    <x v="0"/>
    <x v="42"/>
    <x v="43"/>
    <s v="acurley1b@hao123.com"/>
    <s v="+1 (760) 840-3808"/>
    <x v="39"/>
    <x v="0"/>
    <s v="Yes"/>
    <x v="29"/>
    <x v="2"/>
    <x v="1"/>
    <n v="0.34964999999999996"/>
    <x v="0"/>
    <n v="0.2"/>
    <n v="3.8849999999999998"/>
    <x v="41"/>
    <n v="0.69929999999999992"/>
    <n v="9"/>
  </r>
  <r>
    <x v="43"/>
    <x v="40"/>
    <s v="Friday"/>
    <x v="0"/>
    <x v="3"/>
    <x v="43"/>
    <x v="44"/>
    <s v="rmcgilvary1c@tamu.edu"/>
    <n v="0"/>
    <x v="40"/>
    <x v="0"/>
    <s v="No"/>
    <x v="30"/>
    <x v="2"/>
    <x v="2"/>
    <n v="2.0596499999999995"/>
    <x v="4"/>
    <n v="2.5"/>
    <n v="22.884999999999998"/>
    <x v="21"/>
    <n v="8.2385999999999981"/>
    <n v="8.9999999999999982"/>
  </r>
  <r>
    <x v="44"/>
    <x v="41"/>
    <s v="Wednesday"/>
    <x v="3"/>
    <x v="2"/>
    <x v="44"/>
    <x v="45"/>
    <s v="ipikett1d@xinhuanet.com"/>
    <s v="+1 (202) 871-9039"/>
    <x v="41"/>
    <x v="0"/>
    <s v="No"/>
    <x v="2"/>
    <x v="2"/>
    <x v="1"/>
    <n v="1.1655"/>
    <x v="3"/>
    <n v="1"/>
    <n v="12.95"/>
    <x v="5"/>
    <n v="3.4965000000000002"/>
    <n v="9.0000000000000018"/>
  </r>
  <r>
    <x v="45"/>
    <x v="42"/>
    <s v="Friday"/>
    <x v="3"/>
    <x v="2"/>
    <x v="45"/>
    <x v="46"/>
    <s v="ibouldon1e@gizmodo.com"/>
    <s v="+1 (754) 391-4736"/>
    <x v="42"/>
    <x v="0"/>
    <s v="No"/>
    <x v="31"/>
    <x v="3"/>
    <x v="2"/>
    <n v="1.0101"/>
    <x v="0"/>
    <n v="0.5"/>
    <n v="7.77"/>
    <x v="42"/>
    <n v="2.0202"/>
    <n v="13"/>
  </r>
  <r>
    <x v="46"/>
    <x v="43"/>
    <s v="Wednesday"/>
    <x v="5"/>
    <x v="0"/>
    <x v="46"/>
    <x v="47"/>
    <s v="kflanders1f@over-blog.com"/>
    <s v="+353 (467) 720-7274"/>
    <x v="43"/>
    <x v="1"/>
    <s v="Yes"/>
    <x v="26"/>
    <x v="3"/>
    <x v="1"/>
    <n v="4.7391499999999995"/>
    <x v="4"/>
    <n v="2.5"/>
    <n v="36.454999999999998"/>
    <x v="43"/>
    <n v="18.956599999999998"/>
    <n v="13"/>
  </r>
  <r>
    <x v="47"/>
    <x v="44"/>
    <s v="Wednesday"/>
    <x v="0"/>
    <x v="0"/>
    <x v="47"/>
    <x v="47"/>
    <s v="hmattioli1g@webmd.com"/>
    <n v="0"/>
    <x v="44"/>
    <x v="2"/>
    <s v="No"/>
    <x v="8"/>
    <x v="0"/>
    <x v="0"/>
    <n v="0.35819999999999996"/>
    <x v="1"/>
    <n v="0.5"/>
    <n v="5.97"/>
    <x v="44"/>
    <n v="1.7909999999999999"/>
    <n v="6.0000000000000009"/>
  </r>
  <r>
    <x v="47"/>
    <x v="44"/>
    <s v="Wednesday"/>
    <x v="0"/>
    <x v="0"/>
    <x v="47"/>
    <x v="48"/>
    <s v="hmattioli1g@webmd.com"/>
    <n v="0"/>
    <x v="44"/>
    <x v="2"/>
    <s v="No"/>
    <x v="26"/>
    <x v="3"/>
    <x v="1"/>
    <n v="4.7391499999999995"/>
    <x v="0"/>
    <n v="2.5"/>
    <n v="36.454999999999998"/>
    <x v="37"/>
    <n v="9.4782999999999991"/>
    <n v="13"/>
  </r>
  <r>
    <x v="48"/>
    <x v="45"/>
    <s v="Tuesday"/>
    <x v="6"/>
    <x v="1"/>
    <x v="48"/>
    <x v="49"/>
    <s v="agillard1i@issuu.com"/>
    <s v="+1 (419) 663-2236"/>
    <x v="45"/>
    <x v="0"/>
    <s v="No"/>
    <x v="24"/>
    <x v="3"/>
    <x v="0"/>
    <n v="1.8915000000000002"/>
    <x v="1"/>
    <n v="1"/>
    <n v="14.55"/>
    <x v="45"/>
    <n v="9.4575000000000014"/>
    <n v="13.000000000000004"/>
  </r>
  <r>
    <x v="49"/>
    <x v="46"/>
    <s v="Thursday"/>
    <x v="9"/>
    <x v="3"/>
    <x v="49"/>
    <x v="50"/>
    <n v="0"/>
    <s v="+1 (609) 409-7044"/>
    <x v="46"/>
    <x v="0"/>
    <s v="No"/>
    <x v="32"/>
    <x v="3"/>
    <x v="1"/>
    <n v="2.0605000000000002"/>
    <x v="3"/>
    <n v="1"/>
    <n v="15.85"/>
    <x v="46"/>
    <n v="6.1815000000000007"/>
    <n v="13.000000000000004"/>
  </r>
  <r>
    <x v="50"/>
    <x v="47"/>
    <s v="Monday"/>
    <x v="4"/>
    <x v="3"/>
    <x v="50"/>
    <x v="51"/>
    <s v="tgrizard1k@odnoklassniki.ru"/>
    <s v="+1 (813) 243-2150"/>
    <x v="47"/>
    <x v="0"/>
    <s v="Yes"/>
    <x v="15"/>
    <x v="1"/>
    <x v="2"/>
    <n v="0.40095000000000003"/>
    <x v="3"/>
    <n v="0.2"/>
    <n v="3.645"/>
    <x v="47"/>
    <n v="1.2028500000000002"/>
    <n v="11.000000000000002"/>
  </r>
  <r>
    <x v="51"/>
    <x v="48"/>
    <s v="Sunday"/>
    <x v="2"/>
    <x v="2"/>
    <x v="51"/>
    <x v="52"/>
    <s v="rrelton1l@stanford.edu"/>
    <s v="+1 (850) 626-1181"/>
    <x v="48"/>
    <x v="0"/>
    <s v="No"/>
    <x v="33"/>
    <x v="1"/>
    <x v="1"/>
    <n v="1.6335"/>
    <x v="4"/>
    <n v="1"/>
    <n v="14.85"/>
    <x v="48"/>
    <n v="6.5339999999999998"/>
    <n v="11"/>
  </r>
  <r>
    <x v="52"/>
    <x v="49"/>
    <s v="Friday"/>
    <x v="6"/>
    <x v="2"/>
    <x v="52"/>
    <x v="53"/>
    <n v="0"/>
    <s v="+1 (813) 759-3534"/>
    <x v="49"/>
    <x v="0"/>
    <s v="Yes"/>
    <x v="27"/>
    <x v="3"/>
    <x v="2"/>
    <n v="3.8720499999999998"/>
    <x v="3"/>
    <n v="2.5"/>
    <n v="29.784999999999997"/>
    <x v="49"/>
    <n v="11.616149999999999"/>
    <n v="13"/>
  </r>
  <r>
    <x v="53"/>
    <x v="50"/>
    <s v="Tuesday"/>
    <x v="9"/>
    <x v="1"/>
    <x v="53"/>
    <x v="54"/>
    <s v="sgilroy1n@eepurl.com"/>
    <n v="0"/>
    <x v="50"/>
    <x v="0"/>
    <s v="Yes"/>
    <x v="22"/>
    <x v="3"/>
    <x v="0"/>
    <n v="1.1349"/>
    <x v="3"/>
    <n v="0.5"/>
    <n v="8.73"/>
    <x v="50"/>
    <n v="3.4047000000000001"/>
    <n v="13"/>
  </r>
  <r>
    <x v="54"/>
    <x v="51"/>
    <s v="Thursday"/>
    <x v="10"/>
    <x v="1"/>
    <x v="54"/>
    <x v="55"/>
    <s v="ccottingham1o@wikipedia.org"/>
    <s v="+1 (260) 764-1820"/>
    <x v="51"/>
    <x v="0"/>
    <s v="No"/>
    <x v="30"/>
    <x v="2"/>
    <x v="2"/>
    <n v="2.0596499999999995"/>
    <x v="1"/>
    <n v="2.5"/>
    <n v="22.884999999999998"/>
    <x v="15"/>
    <n v="10.298249999999998"/>
    <n v="9"/>
  </r>
  <r>
    <x v="55"/>
    <x v="52"/>
    <s v="Monday"/>
    <x v="10"/>
    <x v="0"/>
    <x v="55"/>
    <x v="56"/>
    <n v="0"/>
    <s v="+44 (177) 260-5076"/>
    <x v="52"/>
    <x v="2"/>
    <s v="Yes"/>
    <x v="34"/>
    <x v="0"/>
    <x v="2"/>
    <n v="0.32219999999999993"/>
    <x v="1"/>
    <n v="0.5"/>
    <n v="5.3699999999999992"/>
    <x v="51"/>
    <n v="1.6109999999999998"/>
    <n v="6.0000000000000009"/>
  </r>
  <r>
    <x v="56"/>
    <x v="53"/>
    <s v="Saturday"/>
    <x v="10"/>
    <x v="0"/>
    <x v="56"/>
    <x v="57"/>
    <n v="0"/>
    <s v="+1 (239) 347-9766"/>
    <x v="53"/>
    <x v="0"/>
    <s v="Yes"/>
    <x v="7"/>
    <x v="3"/>
    <x v="1"/>
    <n v="0.61814999999999998"/>
    <x v="1"/>
    <n v="0.2"/>
    <n v="4.7549999999999999"/>
    <x v="29"/>
    <n v="3.0907499999999999"/>
    <n v="13"/>
  </r>
  <r>
    <x v="57"/>
    <x v="54"/>
    <s v="Friday"/>
    <x v="10"/>
    <x v="3"/>
    <x v="57"/>
    <x v="58"/>
    <s v="adykes1r@eventbrite.com"/>
    <s v="+1 (312) 111-6203"/>
    <x v="54"/>
    <x v="0"/>
    <s v="No"/>
    <x v="19"/>
    <x v="2"/>
    <x v="0"/>
    <n v="0.60749999999999993"/>
    <x v="2"/>
    <n v="0.5"/>
    <n v="6.75"/>
    <x v="52"/>
    <n v="0.60749999999999993"/>
    <n v="8.9999999999999982"/>
  </r>
  <r>
    <x v="58"/>
    <x v="55"/>
    <s v="Monday"/>
    <x v="6"/>
    <x v="3"/>
    <x v="58"/>
    <x v="59"/>
    <n v="0"/>
    <s v="+1 (973) 434-8662"/>
    <x v="55"/>
    <x v="0"/>
    <s v="Yes"/>
    <x v="8"/>
    <x v="0"/>
    <x v="0"/>
    <n v="0.35819999999999996"/>
    <x v="5"/>
    <n v="0.5"/>
    <n v="5.97"/>
    <x v="27"/>
    <n v="2.1491999999999996"/>
    <n v="5.9999999999999982"/>
  </r>
  <r>
    <x v="59"/>
    <x v="56"/>
    <s v="Sunday"/>
    <x v="6"/>
    <x v="2"/>
    <x v="59"/>
    <x v="60"/>
    <s v="acockrem1t@engadget.com"/>
    <s v="+1 (571) 316-8217"/>
    <x v="56"/>
    <x v="0"/>
    <s v="Yes"/>
    <x v="11"/>
    <x v="0"/>
    <x v="2"/>
    <n v="1.2350999999999999"/>
    <x v="4"/>
    <n v="2.5"/>
    <n v="20.584999999999997"/>
    <x v="18"/>
    <n v="4.9403999999999995"/>
    <n v="6.0000000000000009"/>
  </r>
  <r>
    <x v="60"/>
    <x v="57"/>
    <s v="Friday"/>
    <x v="8"/>
    <x v="2"/>
    <x v="60"/>
    <x v="61"/>
    <s v="bumpleby1u@soundcloud.com"/>
    <s v="+1 (682) 627-0888"/>
    <x v="57"/>
    <x v="0"/>
    <s v="Yes"/>
    <x v="35"/>
    <x v="0"/>
    <x v="1"/>
    <n v="0.43019999999999992"/>
    <x v="2"/>
    <n v="0.5"/>
    <n v="7.169999999999999"/>
    <x v="53"/>
    <n v="0.43019999999999992"/>
    <n v="6"/>
  </r>
  <r>
    <x v="61"/>
    <x v="58"/>
    <s v="Friday"/>
    <x v="11"/>
    <x v="1"/>
    <x v="61"/>
    <x v="62"/>
    <s v="nsaleway1v@dedecms.com"/>
    <s v="+1 (323) 473-0294"/>
    <x v="58"/>
    <x v="0"/>
    <s v="No"/>
    <x v="7"/>
    <x v="3"/>
    <x v="1"/>
    <n v="0.61814999999999998"/>
    <x v="0"/>
    <n v="0.2"/>
    <n v="4.7549999999999999"/>
    <x v="54"/>
    <n v="1.2363"/>
    <n v="13"/>
  </r>
  <r>
    <x v="62"/>
    <x v="59"/>
    <s v="Wednesday"/>
    <x v="7"/>
    <x v="0"/>
    <x v="62"/>
    <x v="63"/>
    <s v="hgoulter1w@abc.net.au"/>
    <s v="+1 (423) 764-7751"/>
    <x v="59"/>
    <x v="0"/>
    <s v="No"/>
    <x v="36"/>
    <x v="0"/>
    <x v="0"/>
    <n v="0.17909999999999998"/>
    <x v="2"/>
    <n v="0.2"/>
    <n v="2.9849999999999999"/>
    <x v="55"/>
    <n v="0.17909999999999998"/>
    <n v="6"/>
  </r>
  <r>
    <x v="63"/>
    <x v="60"/>
    <s v="Tuesday"/>
    <x v="11"/>
    <x v="0"/>
    <x v="63"/>
    <x v="64"/>
    <s v="grizzello1x@symantec.com"/>
    <s v="+44 (247) 225-8003"/>
    <x v="60"/>
    <x v="2"/>
    <s v="Yes"/>
    <x v="0"/>
    <x v="0"/>
    <x v="0"/>
    <n v="0.59699999999999998"/>
    <x v="5"/>
    <n v="1"/>
    <n v="9.9499999999999993"/>
    <x v="33"/>
    <n v="3.5819999999999999"/>
    <n v="6.0000000000000009"/>
  </r>
  <r>
    <x v="64"/>
    <x v="61"/>
    <s v="Sunday"/>
    <x v="1"/>
    <x v="0"/>
    <x v="64"/>
    <x v="65"/>
    <s v="slist1y@mapquest.com"/>
    <s v="+1 (614) 279-9816"/>
    <x v="61"/>
    <x v="0"/>
    <s v="No"/>
    <x v="10"/>
    <x v="1"/>
    <x v="1"/>
    <n v="3.7570499999999996"/>
    <x v="4"/>
    <n v="2.5"/>
    <n v="34.154999999999994"/>
    <x v="56"/>
    <n v="15.028199999999998"/>
    <n v="11"/>
  </r>
  <r>
    <x v="65"/>
    <x v="62"/>
    <s v="Monday"/>
    <x v="4"/>
    <x v="1"/>
    <x v="65"/>
    <x v="66"/>
    <s v="sedmondson1z@theguardian.com"/>
    <s v="+353 (248) 428-7978"/>
    <x v="62"/>
    <x v="1"/>
    <s v="No"/>
    <x v="7"/>
    <x v="3"/>
    <x v="1"/>
    <n v="0.61814999999999998"/>
    <x v="0"/>
    <n v="0.2"/>
    <n v="4.7549999999999999"/>
    <x v="54"/>
    <n v="1.2363"/>
    <n v="13"/>
  </r>
  <r>
    <x v="66"/>
    <x v="63"/>
    <s v="Tuesday"/>
    <x v="7"/>
    <x v="3"/>
    <x v="66"/>
    <x v="67"/>
    <n v="0"/>
    <s v="+1 (504) 209-2724"/>
    <x v="32"/>
    <x v="0"/>
    <s v="No"/>
    <x v="37"/>
    <x v="2"/>
    <x v="0"/>
    <n v="2.3287499999999994"/>
    <x v="3"/>
    <n v="2.5"/>
    <n v="25.874999999999996"/>
    <x v="57"/>
    <n v="6.9862499999999983"/>
    <n v="9"/>
  </r>
  <r>
    <x v="67"/>
    <x v="64"/>
    <s v="Tuesday"/>
    <x v="1"/>
    <x v="1"/>
    <x v="67"/>
    <x v="68"/>
    <n v="0"/>
    <s v="+1 (704) 799-5219"/>
    <x v="63"/>
    <x v="0"/>
    <s v="Yes"/>
    <x v="21"/>
    <x v="3"/>
    <x v="0"/>
    <n v="0.56745000000000001"/>
    <x v="1"/>
    <n v="0.2"/>
    <n v="4.3650000000000002"/>
    <x v="26"/>
    <n v="2.83725"/>
    <n v="12.999999999999998"/>
  </r>
  <r>
    <x v="68"/>
    <x v="65"/>
    <s v="Monday"/>
    <x v="2"/>
    <x v="1"/>
    <x v="68"/>
    <x v="69"/>
    <s v="jrangall22@newsvine.com"/>
    <s v="+1 (781) 512-6637"/>
    <x v="64"/>
    <x v="0"/>
    <s v="Yes"/>
    <x v="38"/>
    <x v="1"/>
    <x v="1"/>
    <n v="0.98009999999999997"/>
    <x v="0"/>
    <n v="0.5"/>
    <n v="8.91"/>
    <x v="58"/>
    <n v="1.9601999999999999"/>
    <n v="11"/>
  </r>
  <r>
    <x v="69"/>
    <x v="66"/>
    <s v="Friday"/>
    <x v="2"/>
    <x v="1"/>
    <x v="69"/>
    <x v="70"/>
    <s v="kboorn23@ezinearticles.com"/>
    <s v="+353 (359) 134-1550"/>
    <x v="65"/>
    <x v="1"/>
    <s v="Yes"/>
    <x v="39"/>
    <x v="0"/>
    <x v="2"/>
    <n v="0.53699999999999992"/>
    <x v="5"/>
    <n v="1"/>
    <n v="8.9499999999999993"/>
    <x v="59"/>
    <n v="3.2219999999999995"/>
    <n v="6"/>
  </r>
  <r>
    <x v="70"/>
    <x v="67"/>
    <s v="Saturday"/>
    <x v="4"/>
    <x v="3"/>
    <x v="70"/>
    <x v="71"/>
    <n v="0"/>
    <s v="+353 (569) 458-9673"/>
    <x v="66"/>
    <x v="1"/>
    <s v="Yes"/>
    <x v="40"/>
    <x v="0"/>
    <x v="1"/>
    <n v="0.21509999999999996"/>
    <x v="2"/>
    <n v="0.2"/>
    <n v="3.5849999999999995"/>
    <x v="60"/>
    <n v="0.21509999999999996"/>
    <n v="6"/>
  </r>
  <r>
    <x v="71"/>
    <x v="68"/>
    <s v="Thursday"/>
    <x v="5"/>
    <x v="0"/>
    <x v="71"/>
    <x v="72"/>
    <s v="celgey25@webs.com"/>
    <s v="+1 (432) 261-0702"/>
    <x v="67"/>
    <x v="0"/>
    <s v="No"/>
    <x v="15"/>
    <x v="1"/>
    <x v="2"/>
    <n v="0.40095000000000003"/>
    <x v="0"/>
    <n v="0.2"/>
    <n v="3.645"/>
    <x v="35"/>
    <n v="0.80190000000000006"/>
    <n v="11"/>
  </r>
  <r>
    <x v="72"/>
    <x v="69"/>
    <s v="Monday"/>
    <x v="6"/>
    <x v="3"/>
    <x v="72"/>
    <x v="73"/>
    <s v="lmizzi26@rakuten.co.jp"/>
    <s v="+1 (214) 719-8530"/>
    <x v="68"/>
    <x v="0"/>
    <s v="Yes"/>
    <x v="19"/>
    <x v="2"/>
    <x v="0"/>
    <n v="0.60749999999999993"/>
    <x v="5"/>
    <n v="0.5"/>
    <n v="6.75"/>
    <x v="61"/>
    <n v="3.6449999999999996"/>
    <n v="8.9999999999999982"/>
  </r>
  <r>
    <x v="73"/>
    <x v="70"/>
    <s v="Sunday"/>
    <x v="6"/>
    <x v="2"/>
    <x v="73"/>
    <x v="74"/>
    <s v="cgiacomazzo27@jigsy.com"/>
    <s v="+1 (571) 703-2064"/>
    <x v="69"/>
    <x v="0"/>
    <s v="No"/>
    <x v="41"/>
    <x v="0"/>
    <x v="1"/>
    <n v="0.71699999999999997"/>
    <x v="4"/>
    <n v="1"/>
    <n v="11.95"/>
    <x v="62"/>
    <n v="2.8679999999999999"/>
    <n v="6"/>
  </r>
  <r>
    <x v="74"/>
    <x v="71"/>
    <s v="Wednesday"/>
    <x v="8"/>
    <x v="0"/>
    <x v="74"/>
    <x v="75"/>
    <s v="aarnow28@arizona.edu"/>
    <s v="+1 (650) 238-1964"/>
    <x v="70"/>
    <x v="0"/>
    <s v="Yes"/>
    <x v="42"/>
    <x v="2"/>
    <x v="1"/>
    <n v="0.69929999999999992"/>
    <x v="1"/>
    <n v="0.5"/>
    <n v="7.77"/>
    <x v="5"/>
    <n v="3.4964999999999997"/>
    <n v="9.0000000000000018"/>
  </r>
  <r>
    <x v="75"/>
    <x v="72"/>
    <s v="Friday"/>
    <x v="7"/>
    <x v="0"/>
    <x v="75"/>
    <x v="76"/>
    <s v="syann29@senate.gov"/>
    <s v="+1 (719) 803-5276"/>
    <x v="71"/>
    <x v="0"/>
    <s v="Yes"/>
    <x v="26"/>
    <x v="3"/>
    <x v="1"/>
    <n v="4.7391499999999995"/>
    <x v="3"/>
    <n v="2.5"/>
    <n v="36.454999999999998"/>
    <x v="63"/>
    <n v="14.217449999999999"/>
    <n v="13"/>
  </r>
  <r>
    <x v="76"/>
    <x v="73"/>
    <s v="Friday"/>
    <x v="0"/>
    <x v="0"/>
    <x v="76"/>
    <x v="77"/>
    <s v="bnaulls2a@tiny.cc"/>
    <s v="+353 (809) 128-0755"/>
    <x v="72"/>
    <x v="1"/>
    <s v="Yes"/>
    <x v="43"/>
    <x v="3"/>
    <x v="0"/>
    <n v="4.3504499999999995"/>
    <x v="3"/>
    <n v="2.5"/>
    <n v="33.464999999999996"/>
    <x v="64"/>
    <n v="13.051349999999999"/>
    <n v="13"/>
  </r>
  <r>
    <x v="77"/>
    <x v="74"/>
    <s v="Sunday"/>
    <x v="8"/>
    <x v="3"/>
    <x v="77"/>
    <x v="78"/>
    <n v="0"/>
    <s v="+1 (716) 869-3749"/>
    <x v="73"/>
    <x v="0"/>
    <s v="Yes"/>
    <x v="11"/>
    <x v="0"/>
    <x v="2"/>
    <n v="1.2350999999999999"/>
    <x v="4"/>
    <n v="2.5"/>
    <n v="20.584999999999997"/>
    <x v="18"/>
    <n v="4.9403999999999995"/>
    <n v="6.0000000000000009"/>
  </r>
  <r>
    <x v="78"/>
    <x v="75"/>
    <s v="Thursday"/>
    <x v="11"/>
    <x v="0"/>
    <x v="78"/>
    <x v="79"/>
    <s v="zsherewood2c@apache.org"/>
    <s v="+1 (209) 433-7924"/>
    <x v="74"/>
    <x v="0"/>
    <s v="No"/>
    <x v="23"/>
    <x v="3"/>
    <x v="1"/>
    <n v="1.2363"/>
    <x v="2"/>
    <n v="0.5"/>
    <n v="9.51"/>
    <x v="54"/>
    <n v="1.2363"/>
    <n v="13"/>
  </r>
  <r>
    <x v="79"/>
    <x v="76"/>
    <s v="Thursday"/>
    <x v="2"/>
    <x v="0"/>
    <x v="79"/>
    <x v="79"/>
    <s v="jdufaire2d@fc2.com"/>
    <n v="0"/>
    <x v="57"/>
    <x v="0"/>
    <s v="No"/>
    <x v="44"/>
    <x v="2"/>
    <x v="1"/>
    <n v="2.6806499999999995"/>
    <x v="3"/>
    <n v="2.5"/>
    <n v="29.784999999999997"/>
    <x v="49"/>
    <n v="8.0419499999999982"/>
    <n v="8.9999999999999982"/>
  </r>
  <r>
    <x v="79"/>
    <x v="76"/>
    <s v="Thursday"/>
    <x v="2"/>
    <x v="0"/>
    <x v="79"/>
    <x v="80"/>
    <s v="jdufaire2d@fc2.com"/>
    <n v="0"/>
    <x v="57"/>
    <x v="0"/>
    <s v="No"/>
    <x v="16"/>
    <x v="2"/>
    <x v="2"/>
    <n v="0.26865"/>
    <x v="4"/>
    <n v="0.2"/>
    <n v="2.9849999999999999"/>
    <x v="22"/>
    <n v="1.0746"/>
    <n v="9.0000000000000018"/>
  </r>
  <r>
    <x v="80"/>
    <x v="77"/>
    <s v="Saturday"/>
    <x v="8"/>
    <x v="1"/>
    <x v="80"/>
    <x v="81"/>
    <s v="bkeaveney2f@netlog.com"/>
    <n v="0"/>
    <x v="75"/>
    <x v="0"/>
    <s v="No"/>
    <x v="17"/>
    <x v="2"/>
    <x v="0"/>
    <n v="1.0125"/>
    <x v="3"/>
    <n v="1"/>
    <n v="11.25"/>
    <x v="65"/>
    <n v="3.0374999999999996"/>
    <n v="8.9999999999999982"/>
  </r>
  <r>
    <x v="81"/>
    <x v="78"/>
    <s v="Monday"/>
    <x v="6"/>
    <x v="1"/>
    <x v="81"/>
    <x v="82"/>
    <s v="egrise2g@cargocollective.com"/>
    <n v="0"/>
    <x v="76"/>
    <x v="0"/>
    <s v="No"/>
    <x v="41"/>
    <x v="0"/>
    <x v="1"/>
    <n v="0.71699999999999997"/>
    <x v="3"/>
    <n v="1"/>
    <n v="11.95"/>
    <x v="66"/>
    <n v="2.1509999999999998"/>
    <n v="6.0000000000000009"/>
  </r>
  <r>
    <x v="82"/>
    <x v="79"/>
    <s v="Wednesday"/>
    <x v="9"/>
    <x v="1"/>
    <x v="82"/>
    <x v="83"/>
    <s v="tgottelier2h@vistaprint.com"/>
    <s v="+1 (816) 743-8492"/>
    <x v="77"/>
    <x v="0"/>
    <s v="No"/>
    <x v="2"/>
    <x v="2"/>
    <x v="1"/>
    <n v="1.1655"/>
    <x v="5"/>
    <n v="1"/>
    <n v="12.95"/>
    <x v="17"/>
    <n v="6.9930000000000003"/>
    <n v="9.0000000000000018"/>
  </r>
  <r>
    <x v="83"/>
    <x v="80"/>
    <s v="Wednesday"/>
    <x v="5"/>
    <x v="3"/>
    <x v="83"/>
    <x v="84"/>
    <n v="0"/>
    <s v="+353 (576) 222-5069"/>
    <x v="43"/>
    <x v="1"/>
    <s v="Yes"/>
    <x v="2"/>
    <x v="2"/>
    <x v="1"/>
    <n v="1.1655"/>
    <x v="4"/>
    <n v="1"/>
    <n v="12.95"/>
    <x v="67"/>
    <n v="4.6619999999999999"/>
    <n v="9"/>
  </r>
  <r>
    <x v="84"/>
    <x v="81"/>
    <s v="Monday"/>
    <x v="11"/>
    <x v="3"/>
    <x v="84"/>
    <x v="85"/>
    <s v="agreenhead2j@dailymail.co.uk"/>
    <s v="+1 (951) 797-0738"/>
    <x v="78"/>
    <x v="0"/>
    <s v="No"/>
    <x v="37"/>
    <x v="2"/>
    <x v="0"/>
    <n v="2.3287499999999994"/>
    <x v="4"/>
    <n v="2.5"/>
    <n v="25.874999999999996"/>
    <x v="68"/>
    <n v="9.3149999999999977"/>
    <n v="9"/>
  </r>
  <r>
    <x v="85"/>
    <x v="82"/>
    <s v="Saturday"/>
    <x v="2"/>
    <x v="3"/>
    <x v="85"/>
    <x v="86"/>
    <n v="0"/>
    <s v="+1 (512) 430-4374"/>
    <x v="79"/>
    <x v="0"/>
    <s v="Yes"/>
    <x v="33"/>
    <x v="1"/>
    <x v="1"/>
    <n v="1.6335"/>
    <x v="3"/>
    <n v="1"/>
    <n v="14.85"/>
    <x v="69"/>
    <n v="4.9005000000000001"/>
    <n v="11.000000000000002"/>
  </r>
  <r>
    <x v="86"/>
    <x v="83"/>
    <s v="Thursday"/>
    <x v="6"/>
    <x v="0"/>
    <x v="86"/>
    <x v="87"/>
    <s v="elangcaster2l@spotify.com"/>
    <s v="+44 (547) 590-3103"/>
    <x v="80"/>
    <x v="2"/>
    <s v="Yes"/>
    <x v="38"/>
    <x v="1"/>
    <x v="1"/>
    <n v="0.98009999999999997"/>
    <x v="4"/>
    <n v="0.5"/>
    <n v="8.91"/>
    <x v="70"/>
    <n v="3.9203999999999999"/>
    <n v="11"/>
  </r>
  <r>
    <x v="87"/>
    <x v="84"/>
    <s v="Thursday"/>
    <x v="2"/>
    <x v="3"/>
    <x v="87"/>
    <x v="88"/>
    <n v="0"/>
    <n v="0"/>
    <x v="81"/>
    <x v="1"/>
    <s v="Yes"/>
    <x v="16"/>
    <x v="2"/>
    <x v="2"/>
    <n v="0.26865"/>
    <x v="5"/>
    <n v="0.2"/>
    <n v="2.9849999999999999"/>
    <x v="8"/>
    <n v="1.6118999999999999"/>
    <n v="9"/>
  </r>
  <r>
    <x v="88"/>
    <x v="85"/>
    <s v="Tuesday"/>
    <x v="9"/>
    <x v="0"/>
    <x v="88"/>
    <x v="89"/>
    <s v="nmagauran2n@51.la"/>
    <n v="0"/>
    <x v="74"/>
    <x v="0"/>
    <s v="No"/>
    <x v="37"/>
    <x v="2"/>
    <x v="0"/>
    <n v="2.3287499999999994"/>
    <x v="5"/>
    <n v="2.5"/>
    <n v="25.874999999999996"/>
    <x v="71"/>
    <n v="13.972499999999997"/>
    <n v="9"/>
  </r>
  <r>
    <x v="89"/>
    <x v="86"/>
    <s v="Sunday"/>
    <x v="9"/>
    <x v="3"/>
    <x v="89"/>
    <x v="90"/>
    <s v="vkirdsch2o@google.fr"/>
    <n v="0"/>
    <x v="10"/>
    <x v="0"/>
    <s v="No"/>
    <x v="16"/>
    <x v="2"/>
    <x v="2"/>
    <n v="0.26865"/>
    <x v="0"/>
    <n v="0.2"/>
    <n v="2.9849999999999999"/>
    <x v="9"/>
    <n v="0.5373"/>
    <n v="9.0000000000000018"/>
  </r>
  <r>
    <x v="90"/>
    <x v="87"/>
    <s v="Thursday"/>
    <x v="6"/>
    <x v="1"/>
    <x v="90"/>
    <x v="91"/>
    <s v="iwhapple2p@com.com"/>
    <s v="+1 (559) 522-1152"/>
    <x v="74"/>
    <x v="0"/>
    <s v="No"/>
    <x v="19"/>
    <x v="2"/>
    <x v="0"/>
    <n v="0.60749999999999993"/>
    <x v="0"/>
    <n v="0.5"/>
    <n v="6.75"/>
    <x v="72"/>
    <n v="1.2149999999999999"/>
    <n v="8.9999999999999982"/>
  </r>
  <r>
    <x v="91"/>
    <x v="25"/>
    <s v="Saturday"/>
    <x v="2"/>
    <x v="1"/>
    <x v="91"/>
    <x v="92"/>
    <n v="0"/>
    <s v="+353 (338) 743-8327"/>
    <x v="82"/>
    <x v="1"/>
    <s v="No"/>
    <x v="16"/>
    <x v="2"/>
    <x v="2"/>
    <n v="0.26865"/>
    <x v="2"/>
    <n v="0.2"/>
    <n v="2.9849999999999999"/>
    <x v="55"/>
    <n v="0.26865"/>
    <n v="9.0000000000000018"/>
  </r>
  <r>
    <x v="92"/>
    <x v="88"/>
    <s v="Wednesday"/>
    <x v="11"/>
    <x v="3"/>
    <x v="92"/>
    <x v="93"/>
    <n v="0"/>
    <s v="+1 (614) 370-6392"/>
    <x v="61"/>
    <x v="0"/>
    <s v="Yes"/>
    <x v="21"/>
    <x v="3"/>
    <x v="0"/>
    <n v="0.56745000000000001"/>
    <x v="3"/>
    <n v="0.2"/>
    <n v="4.3650000000000002"/>
    <x v="73"/>
    <n v="1.70235"/>
    <n v="13"/>
  </r>
  <r>
    <x v="93"/>
    <x v="89"/>
    <s v="Monday"/>
    <x v="8"/>
    <x v="1"/>
    <x v="93"/>
    <x v="94"/>
    <n v="0"/>
    <s v="+1 (209) 148-6668"/>
    <x v="83"/>
    <x v="0"/>
    <s v="Yes"/>
    <x v="29"/>
    <x v="2"/>
    <x v="1"/>
    <n v="0.34964999999999996"/>
    <x v="0"/>
    <n v="0.2"/>
    <n v="3.8849999999999998"/>
    <x v="41"/>
    <n v="0.69929999999999992"/>
    <n v="9"/>
  </r>
  <r>
    <x v="94"/>
    <x v="90"/>
    <s v="Sunday"/>
    <x v="6"/>
    <x v="3"/>
    <x v="94"/>
    <x v="95"/>
    <s v="nyoules2t@reference.com"/>
    <s v="+353 (641) 846-7654"/>
    <x v="84"/>
    <x v="1"/>
    <s v="Yes"/>
    <x v="27"/>
    <x v="3"/>
    <x v="2"/>
    <n v="3.8720499999999998"/>
    <x v="1"/>
    <n v="2.5"/>
    <n v="29.784999999999997"/>
    <x v="74"/>
    <n v="19.360250000000001"/>
    <n v="13.000000000000004"/>
  </r>
  <r>
    <x v="95"/>
    <x v="91"/>
    <s v="Tuesday"/>
    <x v="7"/>
    <x v="1"/>
    <x v="95"/>
    <x v="96"/>
    <s v="daizikovitz2u@answers.com"/>
    <s v="+353 (766) 141-6317"/>
    <x v="85"/>
    <x v="1"/>
    <s v="Yes"/>
    <x v="5"/>
    <x v="3"/>
    <x v="2"/>
    <n v="1.6835"/>
    <x v="3"/>
    <n v="1"/>
    <n v="12.95"/>
    <x v="5"/>
    <n v="5.0504999999999995"/>
    <n v="13"/>
  </r>
  <r>
    <x v="96"/>
    <x v="92"/>
    <s v="Friday"/>
    <x v="2"/>
    <x v="2"/>
    <x v="96"/>
    <x v="97"/>
    <s v="brevel2v@fastcompany.com"/>
    <s v="+1 (585) 775-6952"/>
    <x v="36"/>
    <x v="0"/>
    <s v="No"/>
    <x v="36"/>
    <x v="0"/>
    <x v="0"/>
    <n v="0.17909999999999998"/>
    <x v="4"/>
    <n v="0.2"/>
    <n v="2.9849999999999999"/>
    <x v="22"/>
    <n v="0.71639999999999993"/>
    <n v="6"/>
  </r>
  <r>
    <x v="97"/>
    <x v="93"/>
    <s v="Saturday"/>
    <x v="3"/>
    <x v="0"/>
    <x v="97"/>
    <x v="98"/>
    <s v="epriddis2w@nationalgeographic.com"/>
    <s v="+1 (205) 133-0205"/>
    <x v="86"/>
    <x v="0"/>
    <s v="No"/>
    <x v="24"/>
    <x v="3"/>
    <x v="0"/>
    <n v="1.8915000000000002"/>
    <x v="5"/>
    <n v="1"/>
    <n v="14.55"/>
    <x v="75"/>
    <n v="11.349"/>
    <n v="12.999999999999998"/>
  </r>
  <r>
    <x v="98"/>
    <x v="94"/>
    <s v="Sunday"/>
    <x v="5"/>
    <x v="3"/>
    <x v="98"/>
    <x v="99"/>
    <s v="qveel2x@jugem.jp"/>
    <s v="+1 (713) 750-9202"/>
    <x v="13"/>
    <x v="0"/>
    <s v="Yes"/>
    <x v="19"/>
    <x v="2"/>
    <x v="0"/>
    <n v="0.60749999999999993"/>
    <x v="5"/>
    <n v="0.5"/>
    <n v="6.75"/>
    <x v="61"/>
    <n v="3.6449999999999996"/>
    <n v="8.9999999999999982"/>
  </r>
  <r>
    <x v="99"/>
    <x v="95"/>
    <s v="Tuesday"/>
    <x v="5"/>
    <x v="3"/>
    <x v="99"/>
    <x v="100"/>
    <s v="lconyers2y@twitter.com"/>
    <s v="+1 (915) 476-5712"/>
    <x v="87"/>
    <x v="0"/>
    <s v="No"/>
    <x v="45"/>
    <x v="1"/>
    <x v="2"/>
    <n v="1.3365"/>
    <x v="0"/>
    <n v="1"/>
    <n v="12.15"/>
    <x v="76"/>
    <n v="2.673"/>
    <n v="11"/>
  </r>
  <r>
    <x v="100"/>
    <x v="96"/>
    <s v="Sunday"/>
    <x v="8"/>
    <x v="0"/>
    <x v="100"/>
    <x v="101"/>
    <s v="pwye2z@dagondesign.com"/>
    <s v="+1 (719) 620-1128"/>
    <x v="71"/>
    <x v="0"/>
    <s v="Yes"/>
    <x v="8"/>
    <x v="0"/>
    <x v="0"/>
    <n v="0.35819999999999996"/>
    <x v="3"/>
    <n v="0.5"/>
    <n v="5.97"/>
    <x v="8"/>
    <n v="1.0745999999999998"/>
    <n v="5.9999999999999982"/>
  </r>
  <r>
    <x v="101"/>
    <x v="97"/>
    <s v="Wednesday"/>
    <x v="2"/>
    <x v="3"/>
    <x v="101"/>
    <x v="102"/>
    <n v="0"/>
    <s v="+1 (260) 613-2279"/>
    <x v="51"/>
    <x v="0"/>
    <s v="No"/>
    <x v="19"/>
    <x v="2"/>
    <x v="0"/>
    <n v="0.60749999999999993"/>
    <x v="4"/>
    <n v="0.5"/>
    <n v="6.75"/>
    <x v="25"/>
    <n v="2.4299999999999997"/>
    <n v="8.9999999999999982"/>
  </r>
  <r>
    <x v="102"/>
    <x v="98"/>
    <s v="Thursday"/>
    <x v="9"/>
    <x v="0"/>
    <x v="102"/>
    <x v="103"/>
    <s v="tsheryn31@mtv.com"/>
    <s v="+1 (516) 826-3780"/>
    <x v="88"/>
    <x v="0"/>
    <s v="Yes"/>
    <x v="31"/>
    <x v="3"/>
    <x v="2"/>
    <n v="1.0101"/>
    <x v="2"/>
    <n v="0.5"/>
    <n v="7.77"/>
    <x v="41"/>
    <n v="1.0101"/>
    <n v="13"/>
  </r>
  <r>
    <x v="103"/>
    <x v="99"/>
    <s v="Wednesday"/>
    <x v="1"/>
    <x v="2"/>
    <x v="103"/>
    <x v="104"/>
    <s v="mredgrave32@cargocollective.com"/>
    <s v="+1 (413) 691-2892"/>
    <x v="64"/>
    <x v="0"/>
    <s v="Yes"/>
    <x v="46"/>
    <x v="1"/>
    <x v="1"/>
    <n v="0.49004999999999999"/>
    <x v="3"/>
    <n v="0.2"/>
    <n v="4.4550000000000001"/>
    <x v="77"/>
    <n v="1.4701499999999998"/>
    <n v="10.999999999999998"/>
  </r>
  <r>
    <x v="104"/>
    <x v="100"/>
    <s v="Wednesday"/>
    <x v="1"/>
    <x v="0"/>
    <x v="104"/>
    <x v="105"/>
    <s v="bfominov33@yale.edu"/>
    <n v="0"/>
    <x v="48"/>
    <x v="0"/>
    <s v="No"/>
    <x v="34"/>
    <x v="0"/>
    <x v="2"/>
    <n v="0.32219999999999993"/>
    <x v="1"/>
    <n v="0.5"/>
    <n v="5.3699999999999992"/>
    <x v="51"/>
    <n v="1.6109999999999998"/>
    <n v="6.0000000000000009"/>
  </r>
  <r>
    <x v="105"/>
    <x v="101"/>
    <s v="Tuesday"/>
    <x v="7"/>
    <x v="1"/>
    <x v="105"/>
    <x v="106"/>
    <s v="scritchlow34@un.org"/>
    <s v="+1 (804) 428-7292"/>
    <x v="8"/>
    <x v="0"/>
    <s v="No"/>
    <x v="17"/>
    <x v="2"/>
    <x v="0"/>
    <n v="1.0125"/>
    <x v="2"/>
    <n v="1"/>
    <n v="11.25"/>
    <x v="23"/>
    <n v="1.0125"/>
    <n v="9"/>
  </r>
  <r>
    <x v="106"/>
    <x v="102"/>
    <s v="Monday"/>
    <x v="8"/>
    <x v="0"/>
    <x v="106"/>
    <x v="107"/>
    <s v="msteptow35@earthlink.net"/>
    <s v="+353 (266) 235-5189"/>
    <x v="89"/>
    <x v="1"/>
    <s v="No"/>
    <x v="24"/>
    <x v="3"/>
    <x v="0"/>
    <n v="1.8915000000000002"/>
    <x v="2"/>
    <n v="1"/>
    <n v="14.55"/>
    <x v="78"/>
    <n v="1.8915000000000002"/>
    <n v="13"/>
  </r>
  <r>
    <x v="107"/>
    <x v="103"/>
    <s v="Wednesday"/>
    <x v="6"/>
    <x v="1"/>
    <x v="107"/>
    <x v="108"/>
    <n v="0"/>
    <s v="+1 (304) 532-7229"/>
    <x v="90"/>
    <x v="0"/>
    <s v="No"/>
    <x v="40"/>
    <x v="0"/>
    <x v="1"/>
    <n v="0.21509999999999996"/>
    <x v="4"/>
    <n v="0.2"/>
    <n v="3.5849999999999995"/>
    <x v="79"/>
    <n v="0.86039999999999983"/>
    <n v="6"/>
  </r>
  <r>
    <x v="108"/>
    <x v="104"/>
    <s v="Friday"/>
    <x v="3"/>
    <x v="0"/>
    <x v="108"/>
    <x v="109"/>
    <s v="imulliner37@pinterest.com"/>
    <s v="+44 (331) 777-9556"/>
    <x v="38"/>
    <x v="2"/>
    <s v="No"/>
    <x v="32"/>
    <x v="3"/>
    <x v="1"/>
    <n v="2.0605000000000002"/>
    <x v="2"/>
    <n v="1"/>
    <n v="15.85"/>
    <x v="80"/>
    <n v="2.0605000000000002"/>
    <n v="13"/>
  </r>
  <r>
    <x v="109"/>
    <x v="105"/>
    <s v="Tuesday"/>
    <x v="3"/>
    <x v="3"/>
    <x v="109"/>
    <x v="110"/>
    <s v="gstandley38@dion.ne.jp"/>
    <s v="+353 (521) 138-4331"/>
    <x v="91"/>
    <x v="1"/>
    <s v="Yes"/>
    <x v="7"/>
    <x v="3"/>
    <x v="1"/>
    <n v="0.61814999999999998"/>
    <x v="4"/>
    <n v="0.2"/>
    <n v="4.7549999999999999"/>
    <x v="81"/>
    <n v="2.4725999999999999"/>
    <n v="13"/>
  </r>
  <r>
    <x v="110"/>
    <x v="11"/>
    <s v="Tuesday"/>
    <x v="8"/>
    <x v="2"/>
    <x v="110"/>
    <x v="111"/>
    <s v="bdrage39@youku.com"/>
    <s v="+1 (937) 566-3449"/>
    <x v="4"/>
    <x v="0"/>
    <s v="No"/>
    <x v="23"/>
    <x v="3"/>
    <x v="1"/>
    <n v="1.2363"/>
    <x v="4"/>
    <n v="0.5"/>
    <n v="9.51"/>
    <x v="82"/>
    <n v="4.9451999999999998"/>
    <n v="13"/>
  </r>
  <r>
    <x v="111"/>
    <x v="106"/>
    <s v="Tuesday"/>
    <x v="7"/>
    <x v="0"/>
    <x v="111"/>
    <x v="112"/>
    <s v="myallop3a@fema.gov"/>
    <s v="+1 (907) 267-1236"/>
    <x v="92"/>
    <x v="0"/>
    <s v="Yes"/>
    <x v="6"/>
    <x v="1"/>
    <x v="2"/>
    <n v="0.80190000000000006"/>
    <x v="3"/>
    <n v="0.5"/>
    <n v="7.29"/>
    <x v="6"/>
    <n v="2.4057000000000004"/>
    <n v="11.000000000000002"/>
  </r>
  <r>
    <x v="112"/>
    <x v="107"/>
    <s v="Saturday"/>
    <x v="7"/>
    <x v="1"/>
    <x v="112"/>
    <x v="112"/>
    <s v="cswitsur3b@chronoengine.com"/>
    <s v="+1 (615) 791-3142"/>
    <x v="93"/>
    <x v="0"/>
    <s v="No"/>
    <x v="18"/>
    <x v="1"/>
    <x v="0"/>
    <n v="0.45374999999999999"/>
    <x v="2"/>
    <n v="0.2"/>
    <n v="4.125"/>
    <x v="83"/>
    <n v="0.45374999999999999"/>
    <n v="11"/>
  </r>
  <r>
    <x v="112"/>
    <x v="107"/>
    <s v="Saturday"/>
    <x v="7"/>
    <x v="1"/>
    <x v="112"/>
    <x v="112"/>
    <s v="cswitsur3b@chronoengine.com"/>
    <s v="+1 (615) 791-3142"/>
    <x v="93"/>
    <x v="0"/>
    <s v="No"/>
    <x v="29"/>
    <x v="2"/>
    <x v="1"/>
    <n v="0.34964999999999996"/>
    <x v="2"/>
    <n v="0.2"/>
    <n v="3.8849999999999998"/>
    <x v="84"/>
    <n v="0.34964999999999996"/>
    <n v="9"/>
  </r>
  <r>
    <x v="112"/>
    <x v="107"/>
    <s v="Saturday"/>
    <x v="7"/>
    <x v="1"/>
    <x v="112"/>
    <x v="113"/>
    <s v="cswitsur3b@chronoengine.com"/>
    <s v="+1 (615) 791-3142"/>
    <x v="93"/>
    <x v="0"/>
    <s v="No"/>
    <x v="3"/>
    <x v="1"/>
    <x v="0"/>
    <n v="1.5125"/>
    <x v="1"/>
    <n v="1"/>
    <n v="13.75"/>
    <x v="85"/>
    <n v="7.5625"/>
    <n v="11"/>
  </r>
  <r>
    <x v="113"/>
    <x v="108"/>
    <s v="Saturday"/>
    <x v="6"/>
    <x v="1"/>
    <x v="113"/>
    <x v="114"/>
    <s v="mludwell3e@blogger.com"/>
    <s v="+1 (303) 242-3542"/>
    <x v="29"/>
    <x v="0"/>
    <s v="Yes"/>
    <x v="20"/>
    <x v="2"/>
    <x v="2"/>
    <n v="0.5373"/>
    <x v="4"/>
    <n v="0.5"/>
    <n v="5.97"/>
    <x v="86"/>
    <n v="2.1492"/>
    <n v="9.0000000000000018"/>
  </r>
  <r>
    <x v="114"/>
    <x v="109"/>
    <s v="Sunday"/>
    <x v="1"/>
    <x v="2"/>
    <x v="114"/>
    <x v="115"/>
    <s v="dbeauchamp3f@usda.gov"/>
    <s v="+1 (203) 189-4256"/>
    <x v="94"/>
    <x v="0"/>
    <s v="No"/>
    <x v="26"/>
    <x v="3"/>
    <x v="1"/>
    <n v="4.7391499999999995"/>
    <x v="4"/>
    <n v="2.5"/>
    <n v="36.454999999999998"/>
    <x v="43"/>
    <n v="18.956599999999998"/>
    <n v="13"/>
  </r>
  <r>
    <x v="115"/>
    <x v="110"/>
    <s v="Saturday"/>
    <x v="8"/>
    <x v="0"/>
    <x v="115"/>
    <x v="116"/>
    <s v="srodliff3g@ted.com"/>
    <s v="+1 (757) 537-3012"/>
    <x v="95"/>
    <x v="0"/>
    <s v="Yes"/>
    <x v="21"/>
    <x v="3"/>
    <x v="0"/>
    <n v="0.56745000000000001"/>
    <x v="1"/>
    <n v="0.2"/>
    <n v="4.3650000000000002"/>
    <x v="26"/>
    <n v="2.83725"/>
    <n v="12.999999999999998"/>
  </r>
  <r>
    <x v="116"/>
    <x v="111"/>
    <s v="Thursday"/>
    <x v="5"/>
    <x v="0"/>
    <x v="116"/>
    <x v="117"/>
    <s v="swoodham3h@businesswire.com"/>
    <s v="+353 (190) 188-4918"/>
    <x v="96"/>
    <x v="1"/>
    <s v="Yes"/>
    <x v="22"/>
    <x v="3"/>
    <x v="0"/>
    <n v="1.1349"/>
    <x v="3"/>
    <n v="0.5"/>
    <n v="8.73"/>
    <x v="50"/>
    <n v="3.4047000000000001"/>
    <n v="13"/>
  </r>
  <r>
    <x v="117"/>
    <x v="112"/>
    <s v="Tuesday"/>
    <x v="2"/>
    <x v="3"/>
    <x v="117"/>
    <x v="118"/>
    <s v="hsynnot3i@about.com"/>
    <s v="+1 (907) 245-0601"/>
    <x v="92"/>
    <x v="0"/>
    <s v="No"/>
    <x v="17"/>
    <x v="2"/>
    <x v="0"/>
    <n v="1.0125"/>
    <x v="2"/>
    <n v="1"/>
    <n v="11.25"/>
    <x v="23"/>
    <n v="1.0125"/>
    <n v="9"/>
  </r>
  <r>
    <x v="118"/>
    <x v="113"/>
    <s v="Wednesday"/>
    <x v="11"/>
    <x v="1"/>
    <x v="118"/>
    <x v="119"/>
    <s v="rlepere3j@shop-pro.jp"/>
    <s v="+353 (792) 857-4513"/>
    <x v="75"/>
    <x v="1"/>
    <s v="No"/>
    <x v="5"/>
    <x v="3"/>
    <x v="2"/>
    <n v="1.6835"/>
    <x v="5"/>
    <n v="1"/>
    <n v="12.95"/>
    <x v="17"/>
    <n v="10.100999999999999"/>
    <n v="13"/>
  </r>
  <r>
    <x v="119"/>
    <x v="114"/>
    <s v="Tuesday"/>
    <x v="3"/>
    <x v="1"/>
    <x v="119"/>
    <x v="120"/>
    <s v="twoofinden3k@businesswire.com"/>
    <s v="+1 (701) 503-1067"/>
    <x v="97"/>
    <x v="0"/>
    <s v="No"/>
    <x v="19"/>
    <x v="2"/>
    <x v="0"/>
    <n v="0.60749999999999993"/>
    <x v="2"/>
    <n v="0.5"/>
    <n v="6.75"/>
    <x v="52"/>
    <n v="0.60749999999999993"/>
    <n v="8.9999999999999982"/>
  </r>
  <r>
    <x v="120"/>
    <x v="115"/>
    <s v="Saturday"/>
    <x v="2"/>
    <x v="0"/>
    <x v="120"/>
    <x v="121"/>
    <s v="edacca3l@google.pl"/>
    <s v="+1 (812) 921-5458"/>
    <x v="98"/>
    <x v="0"/>
    <s v="Yes"/>
    <x v="45"/>
    <x v="1"/>
    <x v="2"/>
    <n v="1.3365"/>
    <x v="2"/>
    <n v="1"/>
    <n v="12.15"/>
    <x v="87"/>
    <n v="1.3365"/>
    <n v="11"/>
  </r>
  <r>
    <x v="121"/>
    <x v="49"/>
    <s v="Friday"/>
    <x v="6"/>
    <x v="2"/>
    <x v="121"/>
    <x v="122"/>
    <n v="0"/>
    <s v="+353 (900) 633-2359"/>
    <x v="89"/>
    <x v="1"/>
    <s v="Yes"/>
    <x v="44"/>
    <x v="2"/>
    <x v="1"/>
    <n v="2.6806499999999995"/>
    <x v="1"/>
    <n v="2.5"/>
    <n v="29.784999999999997"/>
    <x v="74"/>
    <n v="13.403249999999998"/>
    <n v="9"/>
  </r>
  <r>
    <x v="122"/>
    <x v="116"/>
    <s v="Thursday"/>
    <x v="9"/>
    <x v="3"/>
    <x v="122"/>
    <x v="123"/>
    <s v="bhindsberg3n@blogs.com"/>
    <s v="+1 (704) 888-5303"/>
    <x v="63"/>
    <x v="0"/>
    <s v="Yes"/>
    <x v="6"/>
    <x v="1"/>
    <x v="2"/>
    <n v="0.80190000000000006"/>
    <x v="0"/>
    <n v="0.5"/>
    <n v="7.29"/>
    <x v="20"/>
    <n v="1.6038000000000001"/>
    <n v="11"/>
  </r>
  <r>
    <x v="123"/>
    <x v="117"/>
    <s v="Friday"/>
    <x v="2"/>
    <x v="3"/>
    <x v="123"/>
    <x v="124"/>
    <s v="orobins3o@salon.com"/>
    <s v="+1 (256) 196-8054"/>
    <x v="99"/>
    <x v="0"/>
    <s v="Yes"/>
    <x v="44"/>
    <x v="2"/>
    <x v="1"/>
    <n v="2.6806499999999995"/>
    <x v="1"/>
    <n v="2.5"/>
    <n v="29.784999999999997"/>
    <x v="74"/>
    <n v="13.403249999999998"/>
    <n v="9"/>
  </r>
  <r>
    <x v="124"/>
    <x v="118"/>
    <s v="Monday"/>
    <x v="5"/>
    <x v="1"/>
    <x v="124"/>
    <x v="125"/>
    <s v="osyseland3p@independent.co.uk"/>
    <s v="+1 (714) 895-0210"/>
    <x v="100"/>
    <x v="0"/>
    <s v="No"/>
    <x v="5"/>
    <x v="3"/>
    <x v="2"/>
    <n v="1.6835"/>
    <x v="2"/>
    <n v="1"/>
    <n v="12.95"/>
    <x v="2"/>
    <n v="1.6835"/>
    <n v="13"/>
  </r>
  <r>
    <x v="125"/>
    <x v="119"/>
    <s v="Saturday"/>
    <x v="2"/>
    <x v="2"/>
    <x v="125"/>
    <x v="126"/>
    <n v="0"/>
    <n v="0"/>
    <x v="41"/>
    <x v="0"/>
    <s v="Yes"/>
    <x v="28"/>
    <x v="1"/>
    <x v="0"/>
    <n v="3.4787499999999998"/>
    <x v="3"/>
    <n v="2.5"/>
    <n v="31.624999999999996"/>
    <x v="88"/>
    <n v="10.436249999999999"/>
    <n v="11.000000000000002"/>
  </r>
  <r>
    <x v="126"/>
    <x v="120"/>
    <s v="Friday"/>
    <x v="10"/>
    <x v="1"/>
    <x v="126"/>
    <x v="127"/>
    <s v="bmcamish2e@tripadvisor.com"/>
    <n v="0"/>
    <x v="101"/>
    <x v="0"/>
    <s v="Yes"/>
    <x v="42"/>
    <x v="2"/>
    <x v="1"/>
    <n v="0.69929999999999992"/>
    <x v="1"/>
    <n v="0.5"/>
    <n v="7.77"/>
    <x v="5"/>
    <n v="3.4964999999999997"/>
    <n v="9.0000000000000018"/>
  </r>
  <r>
    <x v="127"/>
    <x v="121"/>
    <s v="Thursday"/>
    <x v="2"/>
    <x v="1"/>
    <x v="127"/>
    <x v="128"/>
    <s v="lkeenleyside3s@topsy.com"/>
    <s v="+1 (636) 713-5124"/>
    <x v="10"/>
    <x v="0"/>
    <s v="No"/>
    <x v="16"/>
    <x v="2"/>
    <x v="2"/>
    <n v="0.26865"/>
    <x v="4"/>
    <n v="0.2"/>
    <n v="2.9849999999999999"/>
    <x v="22"/>
    <n v="1.0746"/>
    <n v="9.0000000000000018"/>
  </r>
  <r>
    <x v="128"/>
    <x v="122"/>
    <s v="Thursday"/>
    <x v="6"/>
    <x v="2"/>
    <x v="128"/>
    <x v="129"/>
    <n v="0"/>
    <s v="+353 (994) 611-5746"/>
    <x v="102"/>
    <x v="1"/>
    <s v="No"/>
    <x v="10"/>
    <x v="1"/>
    <x v="1"/>
    <n v="3.7570499999999996"/>
    <x v="3"/>
    <n v="2.5"/>
    <n v="34.154999999999994"/>
    <x v="89"/>
    <n v="11.271149999999999"/>
    <n v="11.000000000000002"/>
  </r>
  <r>
    <x v="129"/>
    <x v="123"/>
    <s v="Thursday"/>
    <x v="10"/>
    <x v="1"/>
    <x v="129"/>
    <x v="130"/>
    <n v="0"/>
    <s v="+1 (808) 815-5051"/>
    <x v="103"/>
    <x v="0"/>
    <s v="No"/>
    <x v="45"/>
    <x v="1"/>
    <x v="2"/>
    <n v="1.3365"/>
    <x v="4"/>
    <n v="1"/>
    <n v="12.15"/>
    <x v="90"/>
    <n v="5.3460000000000001"/>
    <n v="11"/>
  </r>
  <r>
    <x v="130"/>
    <x v="124"/>
    <s v="Wednesday"/>
    <x v="10"/>
    <x v="0"/>
    <x v="130"/>
    <x v="131"/>
    <n v="0"/>
    <s v="+1 (951) 638-0879"/>
    <x v="78"/>
    <x v="0"/>
    <s v="Yes"/>
    <x v="5"/>
    <x v="3"/>
    <x v="2"/>
    <n v="1.6835"/>
    <x v="5"/>
    <n v="1"/>
    <n v="12.95"/>
    <x v="17"/>
    <n v="10.100999999999999"/>
    <n v="13"/>
  </r>
  <r>
    <x v="131"/>
    <x v="125"/>
    <s v="Friday"/>
    <x v="5"/>
    <x v="2"/>
    <x v="131"/>
    <x v="132"/>
    <s v="vkundt3w@bigcartel.com"/>
    <s v="+353 (472) 791-2507"/>
    <x v="104"/>
    <x v="1"/>
    <s v="Yes"/>
    <x v="27"/>
    <x v="3"/>
    <x v="2"/>
    <n v="3.8720499999999998"/>
    <x v="2"/>
    <n v="2.5"/>
    <n v="29.784999999999997"/>
    <x v="91"/>
    <n v="3.8720499999999998"/>
    <n v="13"/>
  </r>
  <r>
    <x v="132"/>
    <x v="126"/>
    <s v="Tuesday"/>
    <x v="5"/>
    <x v="3"/>
    <x v="132"/>
    <x v="133"/>
    <s v="bbett3x@google.de"/>
    <s v="+1 (202) 632-9905"/>
    <x v="41"/>
    <x v="0"/>
    <s v="Yes"/>
    <x v="29"/>
    <x v="2"/>
    <x v="1"/>
    <n v="0.34964999999999996"/>
    <x v="4"/>
    <n v="0.2"/>
    <n v="3.8849999999999998"/>
    <x v="42"/>
    <n v="1.3985999999999998"/>
    <n v="9"/>
  </r>
  <r>
    <x v="133"/>
    <x v="127"/>
    <s v="Wednesday"/>
    <x v="8"/>
    <x v="2"/>
    <x v="133"/>
    <x v="134"/>
    <n v="0"/>
    <n v="0"/>
    <x v="105"/>
    <x v="1"/>
    <s v="Yes"/>
    <x v="10"/>
    <x v="1"/>
    <x v="1"/>
    <n v="3.7570499999999996"/>
    <x v="4"/>
    <n v="2.5"/>
    <n v="34.154999999999994"/>
    <x v="56"/>
    <n v="15.028199999999998"/>
    <n v="11"/>
  </r>
  <r>
    <x v="134"/>
    <x v="128"/>
    <s v="Wednesday"/>
    <x v="0"/>
    <x v="3"/>
    <x v="134"/>
    <x v="135"/>
    <s v="dstaite3z@scientificamerican.com"/>
    <s v="+1 (713) 478-3937"/>
    <x v="13"/>
    <x v="0"/>
    <s v="No"/>
    <x v="22"/>
    <x v="3"/>
    <x v="0"/>
    <n v="1.1349"/>
    <x v="0"/>
    <n v="0.5"/>
    <n v="8.73"/>
    <x v="92"/>
    <n v="2.2698"/>
    <n v="13"/>
  </r>
  <r>
    <x v="135"/>
    <x v="103"/>
    <s v="Wednesday"/>
    <x v="6"/>
    <x v="1"/>
    <x v="135"/>
    <x v="136"/>
    <s v="wkeyse40@apple.com"/>
    <s v="+1 (650) 947-8867"/>
    <x v="106"/>
    <x v="0"/>
    <s v="Yes"/>
    <x v="10"/>
    <x v="1"/>
    <x v="1"/>
    <n v="3.7570499999999996"/>
    <x v="0"/>
    <n v="2.5"/>
    <n v="34.154999999999994"/>
    <x v="93"/>
    <n v="7.5140999999999991"/>
    <n v="11"/>
  </r>
  <r>
    <x v="136"/>
    <x v="129"/>
    <s v="Sunday"/>
    <x v="8"/>
    <x v="0"/>
    <x v="136"/>
    <x v="137"/>
    <s v="oclausenthue41@marriott.com"/>
    <s v="+1 (915) 558-6109"/>
    <x v="87"/>
    <x v="0"/>
    <s v="No"/>
    <x v="21"/>
    <x v="3"/>
    <x v="0"/>
    <n v="0.56745000000000001"/>
    <x v="4"/>
    <n v="0.2"/>
    <n v="4.3650000000000002"/>
    <x v="92"/>
    <n v="2.2698"/>
    <n v="13"/>
  </r>
  <r>
    <x v="137"/>
    <x v="130"/>
    <s v="Sunday"/>
    <x v="2"/>
    <x v="3"/>
    <x v="137"/>
    <x v="137"/>
    <s v="lfrancisco42@fema.gov"/>
    <s v="+1 (775) 346-9758"/>
    <x v="107"/>
    <x v="0"/>
    <s v="No"/>
    <x v="24"/>
    <x v="3"/>
    <x v="0"/>
    <n v="1.8915000000000002"/>
    <x v="3"/>
    <n v="1"/>
    <n v="14.55"/>
    <x v="34"/>
    <n v="5.6745000000000001"/>
    <n v="12.999999999999998"/>
  </r>
  <r>
    <x v="137"/>
    <x v="130"/>
    <s v="Sunday"/>
    <x v="2"/>
    <x v="3"/>
    <x v="137"/>
    <x v="138"/>
    <s v="lfrancisco42@fema.gov"/>
    <s v="+1 (775) 346-9758"/>
    <x v="107"/>
    <x v="0"/>
    <s v="No"/>
    <x v="3"/>
    <x v="1"/>
    <x v="0"/>
    <n v="1.5125"/>
    <x v="0"/>
    <n v="1"/>
    <n v="13.75"/>
    <x v="3"/>
    <n v="3.0249999999999999"/>
    <n v="11"/>
  </r>
  <r>
    <x v="138"/>
    <x v="131"/>
    <s v="Tuesday"/>
    <x v="9"/>
    <x v="1"/>
    <x v="138"/>
    <x v="139"/>
    <s v="gskingle44@clickbank.net"/>
    <s v="+1 (801) 886-5886"/>
    <x v="108"/>
    <x v="0"/>
    <s v="Yes"/>
    <x v="15"/>
    <x v="1"/>
    <x v="2"/>
    <n v="0.40095000000000003"/>
    <x v="1"/>
    <n v="0.2"/>
    <n v="3.645"/>
    <x v="94"/>
    <n v="2.00475"/>
    <n v="10.999999999999998"/>
  </r>
  <r>
    <x v="139"/>
    <x v="132"/>
    <s v="Sunday"/>
    <x v="7"/>
    <x v="3"/>
    <x v="139"/>
    <x v="140"/>
    <n v="0"/>
    <s v="+1 (305) 345-2788"/>
    <x v="109"/>
    <x v="0"/>
    <s v="Yes"/>
    <x v="37"/>
    <x v="2"/>
    <x v="0"/>
    <n v="2.3287499999999994"/>
    <x v="0"/>
    <n v="2.5"/>
    <n v="25.874999999999996"/>
    <x v="95"/>
    <n v="4.6574999999999989"/>
    <n v="9"/>
  </r>
  <r>
    <x v="140"/>
    <x v="133"/>
    <s v="Saturday"/>
    <x v="3"/>
    <x v="3"/>
    <x v="140"/>
    <x v="141"/>
    <s v="jbalsillie46@princeton.edu"/>
    <s v="+1 (540) 905-2213"/>
    <x v="110"/>
    <x v="0"/>
    <s v="Yes"/>
    <x v="5"/>
    <x v="3"/>
    <x v="2"/>
    <n v="1.6835"/>
    <x v="2"/>
    <n v="1"/>
    <n v="12.95"/>
    <x v="2"/>
    <n v="1.6835"/>
    <n v="13"/>
  </r>
  <r>
    <x v="141"/>
    <x v="134"/>
    <s v="Sunday"/>
    <x v="7"/>
    <x v="3"/>
    <x v="141"/>
    <x v="142"/>
    <n v="0"/>
    <s v="+1 (515) 508-1573"/>
    <x v="111"/>
    <x v="0"/>
    <s v="Yes"/>
    <x v="17"/>
    <x v="2"/>
    <x v="0"/>
    <n v="1.0125"/>
    <x v="3"/>
    <n v="1"/>
    <n v="11.25"/>
    <x v="65"/>
    <n v="3.0374999999999996"/>
    <n v="8.9999999999999982"/>
  </r>
  <r>
    <x v="142"/>
    <x v="113"/>
    <s v="Wednesday"/>
    <x v="11"/>
    <x v="1"/>
    <x v="142"/>
    <x v="143"/>
    <s v="bleffek48@ning.com"/>
    <s v="+1 (808) 815-3474"/>
    <x v="103"/>
    <x v="0"/>
    <s v="Yes"/>
    <x v="13"/>
    <x v="0"/>
    <x v="0"/>
    <n v="1.3730999999999998"/>
    <x v="3"/>
    <n v="2.5"/>
    <n v="22.884999999999998"/>
    <x v="96"/>
    <n v="4.1192999999999991"/>
    <n v="5.9999999999999982"/>
  </r>
  <r>
    <x v="143"/>
    <x v="135"/>
    <s v="Sunday"/>
    <x v="1"/>
    <x v="1"/>
    <x v="143"/>
    <x v="144"/>
    <n v="0"/>
    <s v="+1 (754) 664-6126"/>
    <x v="42"/>
    <x v="0"/>
    <s v="No"/>
    <x v="25"/>
    <x v="0"/>
    <x v="2"/>
    <n v="0.16109999999999997"/>
    <x v="2"/>
    <n v="0.2"/>
    <n v="2.6849999999999996"/>
    <x v="97"/>
    <n v="0.16109999999999997"/>
    <n v="6"/>
  </r>
  <r>
    <x v="144"/>
    <x v="35"/>
    <s v="Monday"/>
    <x v="7"/>
    <x v="1"/>
    <x v="144"/>
    <x v="145"/>
    <s v="jpray4a@youtube.com"/>
    <s v="+1 (215) 771-6504"/>
    <x v="11"/>
    <x v="0"/>
    <s v="No"/>
    <x v="30"/>
    <x v="2"/>
    <x v="2"/>
    <n v="2.0596499999999995"/>
    <x v="1"/>
    <n v="2.5"/>
    <n v="22.884999999999998"/>
    <x v="15"/>
    <n v="10.298249999999998"/>
    <n v="9"/>
  </r>
  <r>
    <x v="145"/>
    <x v="136"/>
    <s v="Monday"/>
    <x v="1"/>
    <x v="0"/>
    <x v="145"/>
    <x v="146"/>
    <s v="gholborn4b@ow.ly"/>
    <s v="+1 (203) 577-5788"/>
    <x v="112"/>
    <x v="0"/>
    <s v="Yes"/>
    <x v="37"/>
    <x v="2"/>
    <x v="0"/>
    <n v="2.3287499999999994"/>
    <x v="5"/>
    <n v="2.5"/>
    <n v="25.874999999999996"/>
    <x v="71"/>
    <n v="13.972499999999997"/>
    <n v="9"/>
  </r>
  <r>
    <x v="146"/>
    <x v="137"/>
    <s v="Saturday"/>
    <x v="7"/>
    <x v="0"/>
    <x v="146"/>
    <x v="147"/>
    <s v="fkeinrat4c@dailymail.co.uk"/>
    <s v="+1 (817) 785-7050"/>
    <x v="113"/>
    <x v="0"/>
    <s v="Yes"/>
    <x v="37"/>
    <x v="2"/>
    <x v="0"/>
    <n v="2.3287499999999994"/>
    <x v="3"/>
    <n v="2.5"/>
    <n v="25.874999999999996"/>
    <x v="57"/>
    <n v="6.9862499999999983"/>
    <n v="9"/>
  </r>
  <r>
    <x v="147"/>
    <x v="138"/>
    <s v="Sunday"/>
    <x v="1"/>
    <x v="1"/>
    <x v="147"/>
    <x v="148"/>
    <s v="pyea4d@aol.com"/>
    <s v="+353 (885) 555-9183"/>
    <x v="114"/>
    <x v="1"/>
    <s v="No"/>
    <x v="11"/>
    <x v="0"/>
    <x v="2"/>
    <n v="1.2350999999999999"/>
    <x v="3"/>
    <n v="2.5"/>
    <n v="20.584999999999997"/>
    <x v="98"/>
    <n v="3.7052999999999994"/>
    <n v="5.9999999999999991"/>
  </r>
  <r>
    <x v="148"/>
    <x v="139"/>
    <s v="Friday"/>
    <x v="0"/>
    <x v="0"/>
    <x v="148"/>
    <x v="149"/>
    <n v="0"/>
    <s v="+1 (423) 485-6650"/>
    <x v="115"/>
    <x v="0"/>
    <s v="Yes"/>
    <x v="11"/>
    <x v="0"/>
    <x v="2"/>
    <n v="1.2350999999999999"/>
    <x v="5"/>
    <n v="2.5"/>
    <n v="20.584999999999997"/>
    <x v="99"/>
    <n v="7.4105999999999987"/>
    <n v="5.9999999999999991"/>
  </r>
  <r>
    <x v="149"/>
    <x v="140"/>
    <s v="Friday"/>
    <x v="8"/>
    <x v="1"/>
    <x v="149"/>
    <x v="150"/>
    <n v="0"/>
    <s v="+1 (503) 774-7836"/>
    <x v="12"/>
    <x v="0"/>
    <s v="No"/>
    <x v="26"/>
    <x v="3"/>
    <x v="1"/>
    <n v="4.7391499999999995"/>
    <x v="5"/>
    <n v="2.5"/>
    <n v="36.454999999999998"/>
    <x v="100"/>
    <n v="28.434899999999999"/>
    <n v="13"/>
  </r>
  <r>
    <x v="150"/>
    <x v="141"/>
    <s v="Tuesday"/>
    <x v="4"/>
    <x v="3"/>
    <x v="150"/>
    <x v="151"/>
    <s v="kswede4g@addthis.com"/>
    <s v="+1 (405) 535-0273"/>
    <x v="101"/>
    <x v="0"/>
    <s v="No"/>
    <x v="1"/>
    <x v="1"/>
    <x v="0"/>
    <n v="0.90749999999999997"/>
    <x v="4"/>
    <n v="0.5"/>
    <n v="8.25"/>
    <x v="101"/>
    <n v="3.63"/>
    <n v="11"/>
  </r>
  <r>
    <x v="151"/>
    <x v="142"/>
    <s v="Monday"/>
    <x v="4"/>
    <x v="1"/>
    <x v="151"/>
    <x v="152"/>
    <s v="lrubrow4h@microsoft.com"/>
    <s v="+1 (202) 503-9022"/>
    <x v="41"/>
    <x v="0"/>
    <s v="No"/>
    <x v="42"/>
    <x v="2"/>
    <x v="1"/>
    <n v="0.69929999999999992"/>
    <x v="3"/>
    <n v="0.5"/>
    <n v="7.77"/>
    <x v="102"/>
    <n v="2.0978999999999997"/>
    <n v="9"/>
  </r>
  <r>
    <x v="152"/>
    <x v="143"/>
    <s v="Monday"/>
    <x v="11"/>
    <x v="1"/>
    <x v="152"/>
    <x v="153"/>
    <s v="dtift4i@netvibes.com"/>
    <s v="+1 (336) 766-8518"/>
    <x v="116"/>
    <x v="0"/>
    <s v="Yes"/>
    <x v="6"/>
    <x v="1"/>
    <x v="2"/>
    <n v="0.80190000000000006"/>
    <x v="3"/>
    <n v="0.5"/>
    <n v="7.29"/>
    <x v="6"/>
    <n v="2.4057000000000004"/>
    <n v="11.000000000000002"/>
  </r>
  <r>
    <x v="153"/>
    <x v="144"/>
    <s v="Monday"/>
    <x v="1"/>
    <x v="0"/>
    <x v="153"/>
    <x v="154"/>
    <s v="gschonfeld4j@oracle.com"/>
    <s v="+1 (571) 238-0580"/>
    <x v="117"/>
    <x v="0"/>
    <s v="No"/>
    <x v="25"/>
    <x v="0"/>
    <x v="2"/>
    <n v="0.16109999999999997"/>
    <x v="5"/>
    <n v="0.2"/>
    <n v="2.6849999999999996"/>
    <x v="103"/>
    <n v="0.96659999999999979"/>
    <n v="5.9999999999999991"/>
  </r>
  <r>
    <x v="154"/>
    <x v="145"/>
    <s v="Thursday"/>
    <x v="9"/>
    <x v="3"/>
    <x v="154"/>
    <x v="155"/>
    <s v="cfeye4k@google.co.jp"/>
    <s v="+353 (471) 184-7815"/>
    <x v="118"/>
    <x v="1"/>
    <s v="No"/>
    <x v="6"/>
    <x v="1"/>
    <x v="2"/>
    <n v="0.80190000000000006"/>
    <x v="4"/>
    <n v="0.5"/>
    <n v="7.29"/>
    <x v="104"/>
    <n v="3.2076000000000002"/>
    <n v="11"/>
  </r>
  <r>
    <x v="155"/>
    <x v="146"/>
    <s v="Sunday"/>
    <x v="10"/>
    <x v="1"/>
    <x v="155"/>
    <x v="156"/>
    <n v="0"/>
    <s v="+1 (262) 320-1474"/>
    <x v="119"/>
    <x v="0"/>
    <s v="Yes"/>
    <x v="39"/>
    <x v="0"/>
    <x v="2"/>
    <n v="0.53699999999999992"/>
    <x v="5"/>
    <n v="1"/>
    <n v="8.9499999999999993"/>
    <x v="59"/>
    <n v="3.2219999999999995"/>
    <n v="6"/>
  </r>
  <r>
    <x v="156"/>
    <x v="147"/>
    <s v="Monday"/>
    <x v="6"/>
    <x v="1"/>
    <x v="156"/>
    <x v="157"/>
    <n v="0"/>
    <s v="+1 (305) 419-8626"/>
    <x v="120"/>
    <x v="0"/>
    <s v="Yes"/>
    <x v="34"/>
    <x v="0"/>
    <x v="2"/>
    <n v="0.32219999999999993"/>
    <x v="1"/>
    <n v="0.5"/>
    <n v="5.3699999999999992"/>
    <x v="51"/>
    <n v="1.6109999999999998"/>
    <n v="6.0000000000000009"/>
  </r>
  <r>
    <x v="157"/>
    <x v="148"/>
    <s v="Thursday"/>
    <x v="3"/>
    <x v="2"/>
    <x v="157"/>
    <x v="158"/>
    <s v="tfero4n@comsenz.com"/>
    <s v="+1 (262) 954-6859"/>
    <x v="119"/>
    <x v="0"/>
    <s v="Yes"/>
    <x v="1"/>
    <x v="1"/>
    <x v="0"/>
    <n v="0.90749999999999997"/>
    <x v="1"/>
    <n v="0.5"/>
    <n v="8.25"/>
    <x v="1"/>
    <n v="4.5374999999999996"/>
    <n v="10.999999999999998"/>
  </r>
  <r>
    <x v="158"/>
    <x v="149"/>
    <s v="Saturday"/>
    <x v="4"/>
    <x v="0"/>
    <x v="158"/>
    <x v="159"/>
    <n v="0"/>
    <s v="+353 (479) 865-9222"/>
    <x v="118"/>
    <x v="1"/>
    <s v="No"/>
    <x v="19"/>
    <x v="2"/>
    <x v="0"/>
    <n v="0.60749999999999993"/>
    <x v="5"/>
    <n v="0.5"/>
    <n v="6.75"/>
    <x v="61"/>
    <n v="3.6449999999999996"/>
    <n v="8.9999999999999982"/>
  </r>
  <r>
    <x v="159"/>
    <x v="150"/>
    <s v="Wednesday"/>
    <x v="6"/>
    <x v="2"/>
    <x v="159"/>
    <x v="160"/>
    <s v="fdauney4p@sphinn.com"/>
    <s v="+353 (669) 355-6726"/>
    <x v="121"/>
    <x v="1"/>
    <s v="No"/>
    <x v="39"/>
    <x v="0"/>
    <x v="2"/>
    <n v="0.53699999999999992"/>
    <x v="0"/>
    <n v="1"/>
    <n v="8.9499999999999993"/>
    <x v="105"/>
    <n v="1.0739999999999998"/>
    <n v="6"/>
  </r>
  <r>
    <x v="160"/>
    <x v="151"/>
    <s v="Thursday"/>
    <x v="7"/>
    <x v="1"/>
    <x v="160"/>
    <x v="161"/>
    <s v="searley4q@youku.com"/>
    <n v="0"/>
    <x v="122"/>
    <x v="2"/>
    <s v="No"/>
    <x v="10"/>
    <x v="1"/>
    <x v="1"/>
    <n v="3.7570499999999996"/>
    <x v="0"/>
    <n v="2.5"/>
    <n v="34.154999999999994"/>
    <x v="93"/>
    <n v="7.5140999999999991"/>
    <n v="11"/>
  </r>
  <r>
    <x v="161"/>
    <x v="13"/>
    <s v="Wednesday"/>
    <x v="6"/>
    <x v="0"/>
    <x v="161"/>
    <x v="162"/>
    <s v="mchamberlayne4r@bigcartel.com"/>
    <s v="+1 (813) 801-0026"/>
    <x v="47"/>
    <x v="0"/>
    <s v="Yes"/>
    <x v="28"/>
    <x v="1"/>
    <x v="0"/>
    <n v="3.4787499999999998"/>
    <x v="0"/>
    <n v="2.5"/>
    <n v="31.624999999999996"/>
    <x v="40"/>
    <n v="6.9574999999999996"/>
    <n v="11"/>
  </r>
  <r>
    <x v="162"/>
    <x v="79"/>
    <s v="Wednesday"/>
    <x v="9"/>
    <x v="1"/>
    <x v="162"/>
    <x v="163"/>
    <s v="bflaherty4s@moonfruit.com"/>
    <n v="0"/>
    <x v="123"/>
    <x v="1"/>
    <s v="No"/>
    <x v="6"/>
    <x v="1"/>
    <x v="2"/>
    <n v="0.80190000000000006"/>
    <x v="3"/>
    <n v="0.5"/>
    <n v="7.29"/>
    <x v="6"/>
    <n v="2.4057000000000004"/>
    <n v="11.000000000000002"/>
  </r>
  <r>
    <x v="163"/>
    <x v="152"/>
    <s v="Wednesday"/>
    <x v="1"/>
    <x v="2"/>
    <x v="163"/>
    <x v="164"/>
    <s v="ocolbeck4t@sina.com.cn"/>
    <s v="+1 (334) 441-4420"/>
    <x v="124"/>
    <x v="0"/>
    <s v="No"/>
    <x v="13"/>
    <x v="0"/>
    <x v="0"/>
    <n v="1.3730999999999998"/>
    <x v="4"/>
    <n v="2.5"/>
    <n v="22.884999999999998"/>
    <x v="21"/>
    <n v="5.4923999999999991"/>
    <n v="6"/>
  </r>
  <r>
    <x v="164"/>
    <x v="153"/>
    <s v="Saturday"/>
    <x v="9"/>
    <x v="0"/>
    <x v="164"/>
    <x v="165"/>
    <n v="0"/>
    <s v="+1 (775) 947-1470"/>
    <x v="125"/>
    <x v="0"/>
    <s v="Yes"/>
    <x v="10"/>
    <x v="1"/>
    <x v="1"/>
    <n v="3.7570499999999996"/>
    <x v="5"/>
    <n v="2.5"/>
    <n v="34.154999999999994"/>
    <x v="106"/>
    <n v="22.542299999999997"/>
    <n v="11.000000000000002"/>
  </r>
  <r>
    <x v="165"/>
    <x v="154"/>
    <s v="Saturday"/>
    <x v="8"/>
    <x v="1"/>
    <x v="165"/>
    <x v="166"/>
    <s v="ehobbing4v@nsw.gov.au"/>
    <s v="+1 (478) 206-7670"/>
    <x v="126"/>
    <x v="0"/>
    <s v="Yes"/>
    <x v="28"/>
    <x v="1"/>
    <x v="0"/>
    <n v="3.4787499999999998"/>
    <x v="0"/>
    <n v="2.5"/>
    <n v="31.624999999999996"/>
    <x v="40"/>
    <n v="6.9574999999999996"/>
    <n v="11"/>
  </r>
  <r>
    <x v="166"/>
    <x v="155"/>
    <s v="Tuesday"/>
    <x v="6"/>
    <x v="3"/>
    <x v="166"/>
    <x v="167"/>
    <s v="othynne4w@auda.org.au"/>
    <s v="+1 (562) 132-7323"/>
    <x v="127"/>
    <x v="0"/>
    <s v="Yes"/>
    <x v="10"/>
    <x v="1"/>
    <x v="1"/>
    <n v="3.7570499999999996"/>
    <x v="2"/>
    <n v="2.5"/>
    <n v="34.154999999999994"/>
    <x v="107"/>
    <n v="3.7570499999999996"/>
    <n v="11"/>
  </r>
  <r>
    <x v="167"/>
    <x v="156"/>
    <s v="Friday"/>
    <x v="7"/>
    <x v="3"/>
    <x v="167"/>
    <x v="168"/>
    <s v="eheining4x@flickr.com"/>
    <n v="0"/>
    <x v="128"/>
    <x v="0"/>
    <s v="Yes"/>
    <x v="4"/>
    <x v="0"/>
    <x v="1"/>
    <n v="1.6490999999999998"/>
    <x v="4"/>
    <n v="2.5"/>
    <n v="27.484999999999996"/>
    <x v="108"/>
    <n v="6.5963999999999992"/>
    <n v="6.0000000000000009"/>
  </r>
  <r>
    <x v="168"/>
    <x v="22"/>
    <s v="Tuesday"/>
    <x v="7"/>
    <x v="0"/>
    <x v="168"/>
    <x v="169"/>
    <s v="kmelloi4y@imdb.com"/>
    <s v="+1 (315) 525-0805"/>
    <x v="36"/>
    <x v="0"/>
    <s v="No"/>
    <x v="2"/>
    <x v="2"/>
    <x v="1"/>
    <n v="1.1655"/>
    <x v="0"/>
    <n v="1"/>
    <n v="12.95"/>
    <x v="109"/>
    <n v="2.331"/>
    <n v="9"/>
  </r>
  <r>
    <x v="169"/>
    <x v="157"/>
    <s v="Tuesday"/>
    <x v="9"/>
    <x v="0"/>
    <x v="169"/>
    <x v="170"/>
    <n v="0"/>
    <s v="+353 (232) 652-5145"/>
    <x v="129"/>
    <x v="1"/>
    <s v="No"/>
    <x v="16"/>
    <x v="2"/>
    <x v="2"/>
    <n v="0.26865"/>
    <x v="2"/>
    <n v="0.2"/>
    <n v="2.9849999999999999"/>
    <x v="55"/>
    <n v="0.26865"/>
    <n v="9.0000000000000018"/>
  </r>
  <r>
    <x v="170"/>
    <x v="158"/>
    <s v="Friday"/>
    <x v="6"/>
    <x v="3"/>
    <x v="170"/>
    <x v="170"/>
    <s v="amussen50@51.la"/>
    <s v="+1 (212) 630-8669"/>
    <x v="130"/>
    <x v="0"/>
    <s v="No"/>
    <x v="46"/>
    <x v="1"/>
    <x v="1"/>
    <n v="0.49004999999999999"/>
    <x v="1"/>
    <n v="0.2"/>
    <n v="4.4550000000000001"/>
    <x v="110"/>
    <n v="2.45025"/>
    <n v="11.000000000000002"/>
  </r>
  <r>
    <x v="170"/>
    <x v="158"/>
    <s v="Friday"/>
    <x v="6"/>
    <x v="3"/>
    <x v="170"/>
    <x v="171"/>
    <s v="amussen50@51.la"/>
    <s v="+1 (212) 630-8669"/>
    <x v="130"/>
    <x v="0"/>
    <s v="No"/>
    <x v="20"/>
    <x v="2"/>
    <x v="2"/>
    <n v="0.5373"/>
    <x v="1"/>
    <n v="0.5"/>
    <n v="5.97"/>
    <x v="44"/>
    <n v="2.6865000000000001"/>
    <n v="9.0000000000000018"/>
  </r>
  <r>
    <x v="171"/>
    <x v="78"/>
    <s v="Monday"/>
    <x v="6"/>
    <x v="1"/>
    <x v="171"/>
    <x v="172"/>
    <s v="amundford52@nbcnews.com"/>
    <s v="+1 (434) 738-7279"/>
    <x v="131"/>
    <x v="0"/>
    <s v="No"/>
    <x v="34"/>
    <x v="0"/>
    <x v="2"/>
    <n v="0.32219999999999993"/>
    <x v="5"/>
    <n v="0.5"/>
    <n v="5.3699999999999992"/>
    <x v="111"/>
    <n v="1.9331999999999996"/>
    <n v="5.9999999999999991"/>
  </r>
  <r>
    <x v="172"/>
    <x v="159"/>
    <s v="Friday"/>
    <x v="11"/>
    <x v="1"/>
    <x v="172"/>
    <x v="173"/>
    <s v="twalas53@google.ca"/>
    <s v="+1 (214) 205-7809"/>
    <x v="132"/>
    <x v="0"/>
    <s v="No"/>
    <x v="18"/>
    <x v="1"/>
    <x v="0"/>
    <n v="0.45374999999999999"/>
    <x v="0"/>
    <n v="0.2"/>
    <n v="4.125"/>
    <x v="112"/>
    <n v="0.90749999999999997"/>
    <n v="11"/>
  </r>
  <r>
    <x v="173"/>
    <x v="160"/>
    <s v="Tuesday"/>
    <x v="2"/>
    <x v="1"/>
    <x v="173"/>
    <x v="174"/>
    <s v="iblazewicz54@thetimes.co.uk"/>
    <s v="+1 (612) 683-3450"/>
    <x v="30"/>
    <x v="0"/>
    <s v="No"/>
    <x v="42"/>
    <x v="2"/>
    <x v="1"/>
    <n v="0.69929999999999992"/>
    <x v="4"/>
    <n v="0.5"/>
    <n v="7.77"/>
    <x v="113"/>
    <n v="2.7971999999999997"/>
    <n v="9"/>
  </r>
  <r>
    <x v="174"/>
    <x v="161"/>
    <s v="Friday"/>
    <x v="4"/>
    <x v="0"/>
    <x v="174"/>
    <x v="175"/>
    <s v="arizzetti55@naver.com"/>
    <s v="+1 (517) 237-7606"/>
    <x v="133"/>
    <x v="0"/>
    <s v="Yes"/>
    <x v="6"/>
    <x v="1"/>
    <x v="2"/>
    <n v="0.80190000000000006"/>
    <x v="1"/>
    <n v="0.5"/>
    <n v="7.29"/>
    <x v="114"/>
    <n v="4.0095000000000001"/>
    <n v="10.999999999999998"/>
  </r>
  <r>
    <x v="175"/>
    <x v="162"/>
    <s v="Wednesday"/>
    <x v="3"/>
    <x v="0"/>
    <x v="175"/>
    <x v="176"/>
    <s v="mmeriet56@noaa.gov"/>
    <s v="+1 (701) 560-2604"/>
    <x v="25"/>
    <x v="0"/>
    <s v="No"/>
    <x v="13"/>
    <x v="0"/>
    <x v="0"/>
    <n v="1.3730999999999998"/>
    <x v="3"/>
    <n v="2.5"/>
    <n v="22.884999999999998"/>
    <x v="96"/>
    <n v="4.1192999999999991"/>
    <n v="5.9999999999999982"/>
  </r>
  <r>
    <x v="176"/>
    <x v="70"/>
    <s v="Sunday"/>
    <x v="6"/>
    <x v="2"/>
    <x v="176"/>
    <x v="177"/>
    <s v="lpratt57@netvibes.com"/>
    <n v="0"/>
    <x v="92"/>
    <x v="0"/>
    <s v="Yes"/>
    <x v="22"/>
    <x v="3"/>
    <x v="0"/>
    <n v="1.1349"/>
    <x v="1"/>
    <n v="0.5"/>
    <n v="8.73"/>
    <x v="34"/>
    <n v="5.6745000000000001"/>
    <n v="12.999999999999998"/>
  </r>
  <r>
    <x v="177"/>
    <x v="163"/>
    <s v="Tuesday"/>
    <x v="5"/>
    <x v="2"/>
    <x v="177"/>
    <x v="178"/>
    <s v="akitchingham58@com.com"/>
    <s v="+1 (405) 645-2204"/>
    <x v="101"/>
    <x v="0"/>
    <s v="Yes"/>
    <x v="46"/>
    <x v="1"/>
    <x v="1"/>
    <n v="0.49004999999999999"/>
    <x v="2"/>
    <n v="0.2"/>
    <n v="4.4550000000000001"/>
    <x v="115"/>
    <n v="0.49004999999999999"/>
    <n v="11"/>
  </r>
  <r>
    <x v="178"/>
    <x v="153"/>
    <s v="Saturday"/>
    <x v="9"/>
    <x v="0"/>
    <x v="178"/>
    <x v="179"/>
    <s v="bbartholin59@xinhuanet.com"/>
    <s v="+1 (918) 720-2715"/>
    <x v="134"/>
    <x v="0"/>
    <s v="Yes"/>
    <x v="24"/>
    <x v="3"/>
    <x v="0"/>
    <n v="1.8915000000000002"/>
    <x v="3"/>
    <n v="1"/>
    <n v="14.55"/>
    <x v="34"/>
    <n v="5.6745000000000001"/>
    <n v="12.999999999999998"/>
  </r>
  <r>
    <x v="179"/>
    <x v="164"/>
    <s v="Wednesday"/>
    <x v="4"/>
    <x v="3"/>
    <x v="179"/>
    <x v="180"/>
    <s v="mprinn5a@usa.gov"/>
    <s v="+1 (734) 909-6836"/>
    <x v="135"/>
    <x v="0"/>
    <s v="Yes"/>
    <x v="43"/>
    <x v="3"/>
    <x v="0"/>
    <n v="4.3504499999999995"/>
    <x v="2"/>
    <n v="2.5"/>
    <n v="33.464999999999996"/>
    <x v="116"/>
    <n v="4.3504499999999995"/>
    <n v="13"/>
  </r>
  <r>
    <x v="180"/>
    <x v="165"/>
    <s v="Friday"/>
    <x v="8"/>
    <x v="0"/>
    <x v="180"/>
    <x v="181"/>
    <s v="abaudino5b@netvibes.com"/>
    <s v="+1 (202) 328-7869"/>
    <x v="41"/>
    <x v="0"/>
    <s v="Yes"/>
    <x v="12"/>
    <x v="3"/>
    <x v="2"/>
    <n v="0.50505"/>
    <x v="1"/>
    <n v="0.2"/>
    <n v="3.8849999999999998"/>
    <x v="117"/>
    <n v="2.5252499999999998"/>
    <n v="13"/>
  </r>
  <r>
    <x v="181"/>
    <x v="166"/>
    <s v="Sunday"/>
    <x v="6"/>
    <x v="3"/>
    <x v="181"/>
    <x v="182"/>
    <s v="ppetrushanko5c@blinklist.com"/>
    <s v="+353 (540) 480-2145"/>
    <x v="136"/>
    <x v="1"/>
    <s v="Yes"/>
    <x v="45"/>
    <x v="1"/>
    <x v="2"/>
    <n v="1.3365"/>
    <x v="5"/>
    <n v="1"/>
    <n v="12.15"/>
    <x v="118"/>
    <n v="8.0190000000000001"/>
    <n v="10.999999999999998"/>
  </r>
  <r>
    <x v="182"/>
    <x v="167"/>
    <s v="Thursday"/>
    <x v="6"/>
    <x v="2"/>
    <x v="182"/>
    <x v="183"/>
    <n v="0"/>
    <s v="+1 (602) 411-5038"/>
    <x v="137"/>
    <x v="0"/>
    <s v="No"/>
    <x v="33"/>
    <x v="1"/>
    <x v="1"/>
    <n v="1.6335"/>
    <x v="3"/>
    <n v="1"/>
    <n v="14.85"/>
    <x v="69"/>
    <n v="4.9005000000000001"/>
    <n v="11.000000000000002"/>
  </r>
  <r>
    <x v="183"/>
    <x v="168"/>
    <s v="Wednesday"/>
    <x v="2"/>
    <x v="1"/>
    <x v="183"/>
    <x v="184"/>
    <s v="elaird5e@bing.com"/>
    <s v="+1 (330) 112-0053"/>
    <x v="138"/>
    <x v="0"/>
    <s v="No"/>
    <x v="6"/>
    <x v="1"/>
    <x v="2"/>
    <n v="0.80190000000000006"/>
    <x v="1"/>
    <n v="0.5"/>
    <n v="7.29"/>
    <x v="114"/>
    <n v="4.0095000000000001"/>
    <n v="10.999999999999998"/>
  </r>
  <r>
    <x v="184"/>
    <x v="169"/>
    <s v="Tuesday"/>
    <x v="3"/>
    <x v="0"/>
    <x v="184"/>
    <x v="185"/>
    <s v="mhowsden5f@infoseek.co.jp"/>
    <s v="+1 (901) 806-9640"/>
    <x v="139"/>
    <x v="0"/>
    <s v="No"/>
    <x v="2"/>
    <x v="2"/>
    <x v="1"/>
    <n v="1.1655"/>
    <x v="3"/>
    <n v="1"/>
    <n v="12.95"/>
    <x v="5"/>
    <n v="3.4965000000000002"/>
    <n v="9.0000000000000018"/>
  </r>
  <r>
    <x v="185"/>
    <x v="170"/>
    <s v="Sunday"/>
    <x v="5"/>
    <x v="1"/>
    <x v="185"/>
    <x v="185"/>
    <s v="ncuttler5g@parallels.com"/>
    <n v="0"/>
    <x v="41"/>
    <x v="0"/>
    <s v="No"/>
    <x v="38"/>
    <x v="1"/>
    <x v="1"/>
    <n v="0.98009999999999997"/>
    <x v="5"/>
    <n v="0.5"/>
    <n v="8.91"/>
    <x v="119"/>
    <n v="5.8805999999999994"/>
    <n v="10.999999999999998"/>
  </r>
  <r>
    <x v="185"/>
    <x v="170"/>
    <s v="Sunday"/>
    <x v="5"/>
    <x v="1"/>
    <x v="185"/>
    <x v="185"/>
    <s v="ncuttler5g@parallels.com"/>
    <n v="0"/>
    <x v="41"/>
    <x v="0"/>
    <s v="No"/>
    <x v="27"/>
    <x v="3"/>
    <x v="2"/>
    <n v="3.8720499999999998"/>
    <x v="0"/>
    <n v="2.5"/>
    <n v="29.784999999999997"/>
    <x v="120"/>
    <n v="7.7440999999999995"/>
    <n v="13"/>
  </r>
  <r>
    <x v="185"/>
    <x v="170"/>
    <s v="Sunday"/>
    <x v="5"/>
    <x v="1"/>
    <x v="185"/>
    <x v="185"/>
    <s v="ncuttler5g@parallels.com"/>
    <n v="0"/>
    <x v="41"/>
    <x v="0"/>
    <s v="No"/>
    <x v="27"/>
    <x v="3"/>
    <x v="2"/>
    <n v="3.8720499999999998"/>
    <x v="3"/>
    <n v="2.5"/>
    <n v="29.784999999999997"/>
    <x v="49"/>
    <n v="11.616149999999999"/>
    <n v="13"/>
  </r>
  <r>
    <x v="185"/>
    <x v="170"/>
    <s v="Sunday"/>
    <x v="5"/>
    <x v="1"/>
    <x v="185"/>
    <x v="185"/>
    <s v="ncuttler5g@parallels.com"/>
    <n v="0"/>
    <x v="41"/>
    <x v="0"/>
    <s v="No"/>
    <x v="23"/>
    <x v="3"/>
    <x v="1"/>
    <n v="1.2363"/>
    <x v="4"/>
    <n v="0.5"/>
    <n v="9.51"/>
    <x v="82"/>
    <n v="4.9451999999999998"/>
    <n v="13"/>
  </r>
  <r>
    <x v="185"/>
    <x v="170"/>
    <s v="Sunday"/>
    <x v="5"/>
    <x v="1"/>
    <x v="185"/>
    <x v="186"/>
    <s v="ncuttler5g@parallels.com"/>
    <n v="0"/>
    <x v="41"/>
    <x v="0"/>
    <s v="No"/>
    <x v="3"/>
    <x v="1"/>
    <x v="0"/>
    <n v="1.5125"/>
    <x v="3"/>
    <n v="1"/>
    <n v="13.75"/>
    <x v="1"/>
    <n v="4.5374999999999996"/>
    <n v="10.999999999999998"/>
  </r>
  <r>
    <x v="186"/>
    <x v="171"/>
    <s v="Thursday"/>
    <x v="8"/>
    <x v="1"/>
    <x v="186"/>
    <x v="187"/>
    <n v="0"/>
    <s v="+1 (801) 581-0444"/>
    <x v="34"/>
    <x v="0"/>
    <s v="No"/>
    <x v="23"/>
    <x v="3"/>
    <x v="1"/>
    <n v="1.2363"/>
    <x v="5"/>
    <n v="0.5"/>
    <n v="9.51"/>
    <x v="30"/>
    <n v="7.4177999999999997"/>
    <n v="12.999999999999998"/>
  </r>
  <r>
    <x v="187"/>
    <x v="172"/>
    <s v="Sunday"/>
    <x v="7"/>
    <x v="1"/>
    <x v="187"/>
    <x v="188"/>
    <s v="tfelip5m@typepad.com"/>
    <s v="+1 (518) 651-0940"/>
    <x v="140"/>
    <x v="0"/>
    <s v="Yes"/>
    <x v="27"/>
    <x v="3"/>
    <x v="2"/>
    <n v="3.8720499999999998"/>
    <x v="5"/>
    <n v="2.5"/>
    <n v="29.784999999999997"/>
    <x v="39"/>
    <n v="23.232299999999999"/>
    <n v="13"/>
  </r>
  <r>
    <x v="188"/>
    <x v="173"/>
    <s v="Wednesday"/>
    <x v="10"/>
    <x v="2"/>
    <x v="188"/>
    <x v="189"/>
    <s v="vle5n@disqus.com"/>
    <s v="+1 (864) 694-6658"/>
    <x v="141"/>
    <x v="0"/>
    <s v="No"/>
    <x v="7"/>
    <x v="3"/>
    <x v="1"/>
    <n v="0.61814999999999998"/>
    <x v="2"/>
    <n v="0.2"/>
    <n v="4.7549999999999999"/>
    <x v="7"/>
    <n v="0.61814999999999998"/>
    <n v="13"/>
  </r>
  <r>
    <x v="189"/>
    <x v="174"/>
    <s v="Wednesday"/>
    <x v="2"/>
    <x v="3"/>
    <x v="189"/>
    <x v="190"/>
    <n v="0"/>
    <s v="+1 (914) 915-4328"/>
    <x v="142"/>
    <x v="0"/>
    <s v="No"/>
    <x v="3"/>
    <x v="1"/>
    <x v="0"/>
    <n v="1.5125"/>
    <x v="5"/>
    <n v="1"/>
    <n v="13.75"/>
    <x v="121"/>
    <n v="9.0749999999999993"/>
    <n v="10.999999999999998"/>
  </r>
  <r>
    <x v="190"/>
    <x v="175"/>
    <s v="Saturday"/>
    <x v="10"/>
    <x v="3"/>
    <x v="190"/>
    <x v="191"/>
    <n v="0"/>
    <s v="+1 (202) 137-6867"/>
    <x v="41"/>
    <x v="0"/>
    <s v="Yes"/>
    <x v="25"/>
    <x v="0"/>
    <x v="2"/>
    <n v="0.16109999999999997"/>
    <x v="3"/>
    <n v="0.2"/>
    <n v="2.6849999999999996"/>
    <x v="36"/>
    <n v="0.4832999999999999"/>
    <n v="5.9999999999999991"/>
  </r>
  <r>
    <x v="191"/>
    <x v="176"/>
    <s v="Friday"/>
    <x v="4"/>
    <x v="1"/>
    <x v="191"/>
    <x v="192"/>
    <s v="npoolman5q@howstuffworks.com"/>
    <n v="0"/>
    <x v="63"/>
    <x v="0"/>
    <s v="No"/>
    <x v="17"/>
    <x v="2"/>
    <x v="0"/>
    <n v="1.0125"/>
    <x v="0"/>
    <n v="1"/>
    <n v="11.25"/>
    <x v="122"/>
    <n v="2.0249999999999999"/>
    <n v="9"/>
  </r>
  <r>
    <x v="192"/>
    <x v="142"/>
    <s v="Monday"/>
    <x v="4"/>
    <x v="1"/>
    <x v="192"/>
    <x v="193"/>
    <s v="oduny5r@constantcontact.com"/>
    <s v="+1 (806) 181-9003"/>
    <x v="143"/>
    <x v="0"/>
    <s v="Yes"/>
    <x v="19"/>
    <x v="2"/>
    <x v="0"/>
    <n v="0.60749999999999993"/>
    <x v="5"/>
    <n v="0.5"/>
    <n v="6.75"/>
    <x v="61"/>
    <n v="3.6449999999999996"/>
    <n v="8.9999999999999982"/>
  </r>
  <r>
    <x v="193"/>
    <x v="177"/>
    <s v="Friday"/>
    <x v="8"/>
    <x v="2"/>
    <x v="193"/>
    <x v="194"/>
    <s v="chalfhide5s@google.ru"/>
    <s v="+353 (885) 827-8865"/>
    <x v="144"/>
    <x v="1"/>
    <s v="Yes"/>
    <x v="6"/>
    <x v="1"/>
    <x v="2"/>
    <n v="0.80190000000000006"/>
    <x v="4"/>
    <n v="0.5"/>
    <n v="7.29"/>
    <x v="104"/>
    <n v="3.2076000000000002"/>
    <n v="11"/>
  </r>
  <r>
    <x v="194"/>
    <x v="178"/>
    <s v="Thursday"/>
    <x v="7"/>
    <x v="3"/>
    <x v="194"/>
    <x v="195"/>
    <s v="fmalecky5t@list-manage.com"/>
    <s v="+44 (738) 660-4264"/>
    <x v="145"/>
    <x v="2"/>
    <s v="No"/>
    <x v="19"/>
    <x v="2"/>
    <x v="0"/>
    <n v="0.60749999999999993"/>
    <x v="2"/>
    <n v="0.5"/>
    <n v="6.75"/>
    <x v="52"/>
    <n v="0.60749999999999993"/>
    <n v="8.9999999999999982"/>
  </r>
  <r>
    <x v="195"/>
    <x v="179"/>
    <s v="Monday"/>
    <x v="7"/>
    <x v="0"/>
    <x v="195"/>
    <x v="196"/>
    <s v="aattwater5u@wikia.com"/>
    <s v="+1 (434) 821-8618"/>
    <x v="131"/>
    <x v="0"/>
    <s v="Yes"/>
    <x v="5"/>
    <x v="3"/>
    <x v="2"/>
    <n v="1.6835"/>
    <x v="4"/>
    <n v="1"/>
    <n v="12.95"/>
    <x v="67"/>
    <n v="6.734"/>
    <n v="13"/>
  </r>
  <r>
    <x v="196"/>
    <x v="180"/>
    <s v="Sunday"/>
    <x v="6"/>
    <x v="1"/>
    <x v="196"/>
    <x v="197"/>
    <s v="mwhellans5v@mapquest.com"/>
    <n v="0"/>
    <x v="15"/>
    <x v="0"/>
    <s v="No"/>
    <x v="38"/>
    <x v="1"/>
    <x v="1"/>
    <n v="0.98009999999999997"/>
    <x v="5"/>
    <n v="0.5"/>
    <n v="8.91"/>
    <x v="119"/>
    <n v="5.8805999999999994"/>
    <n v="10.999999999999998"/>
  </r>
  <r>
    <x v="197"/>
    <x v="181"/>
    <s v="Tuesday"/>
    <x v="6"/>
    <x v="3"/>
    <x v="197"/>
    <x v="198"/>
    <s v="dcamilletti5w@businesswire.com"/>
    <s v="+1 (540) 722-6065"/>
    <x v="110"/>
    <x v="0"/>
    <s v="Yes"/>
    <x v="15"/>
    <x v="1"/>
    <x v="2"/>
    <n v="0.40095000000000003"/>
    <x v="4"/>
    <n v="0.2"/>
    <n v="3.645"/>
    <x v="20"/>
    <n v="1.6038000000000001"/>
    <n v="11"/>
  </r>
  <r>
    <x v="198"/>
    <x v="182"/>
    <s v="Saturday"/>
    <x v="6"/>
    <x v="2"/>
    <x v="198"/>
    <x v="199"/>
    <s v="egalgey5x@wufoo.com"/>
    <s v="+1 (718) 311-6732"/>
    <x v="15"/>
    <x v="0"/>
    <s v="No"/>
    <x v="11"/>
    <x v="0"/>
    <x v="2"/>
    <n v="1.2350999999999999"/>
    <x v="2"/>
    <n v="2.5"/>
    <n v="20.584999999999997"/>
    <x v="123"/>
    <n v="1.2350999999999999"/>
    <n v="6.0000000000000009"/>
  </r>
  <r>
    <x v="199"/>
    <x v="183"/>
    <s v="Wednesday"/>
    <x v="11"/>
    <x v="0"/>
    <x v="199"/>
    <x v="200"/>
    <s v="mhame5y@newsvine.com"/>
    <s v="+353 (649) 297-0884"/>
    <x v="146"/>
    <x v="1"/>
    <s v="No"/>
    <x v="32"/>
    <x v="3"/>
    <x v="1"/>
    <n v="2.0605000000000002"/>
    <x v="0"/>
    <n v="1"/>
    <n v="15.85"/>
    <x v="124"/>
    <n v="4.1210000000000004"/>
    <n v="13"/>
  </r>
  <r>
    <x v="200"/>
    <x v="184"/>
    <s v="Monday"/>
    <x v="9"/>
    <x v="0"/>
    <x v="200"/>
    <x v="201"/>
    <s v="igurnee5z@usnews.com"/>
    <s v="+1 (801) 642-0352"/>
    <x v="147"/>
    <x v="0"/>
    <s v="No"/>
    <x v="12"/>
    <x v="3"/>
    <x v="2"/>
    <n v="0.50505"/>
    <x v="5"/>
    <n v="0.2"/>
    <n v="3.8849999999999998"/>
    <x v="102"/>
    <n v="3.0303"/>
    <n v="13"/>
  </r>
  <r>
    <x v="201"/>
    <x v="185"/>
    <s v="Friday"/>
    <x v="7"/>
    <x v="1"/>
    <x v="201"/>
    <x v="202"/>
    <s v="asnowding60@comsenz.com"/>
    <s v="+1 (419) 996-2492"/>
    <x v="45"/>
    <x v="0"/>
    <s v="Yes"/>
    <x v="24"/>
    <x v="3"/>
    <x v="0"/>
    <n v="1.8915000000000002"/>
    <x v="4"/>
    <n v="1"/>
    <n v="14.55"/>
    <x v="125"/>
    <n v="7.5660000000000007"/>
    <n v="13"/>
  </r>
  <r>
    <x v="202"/>
    <x v="186"/>
    <s v="Wednesday"/>
    <x v="9"/>
    <x v="3"/>
    <x v="202"/>
    <x v="203"/>
    <s v="gpoinsett61@berkeley.edu"/>
    <s v="+1 (626) 451-7397"/>
    <x v="148"/>
    <x v="0"/>
    <s v="No"/>
    <x v="38"/>
    <x v="1"/>
    <x v="1"/>
    <n v="0.98009999999999997"/>
    <x v="4"/>
    <n v="0.5"/>
    <n v="8.91"/>
    <x v="70"/>
    <n v="3.9203999999999999"/>
    <n v="11"/>
  </r>
  <r>
    <x v="203"/>
    <x v="187"/>
    <s v="Saturday"/>
    <x v="5"/>
    <x v="1"/>
    <x v="203"/>
    <x v="204"/>
    <s v="rfurman62@t.co"/>
    <s v="+353 (829) 808-4788"/>
    <x v="149"/>
    <x v="1"/>
    <s v="Yes"/>
    <x v="17"/>
    <x v="2"/>
    <x v="0"/>
    <n v="1.0125"/>
    <x v="1"/>
    <n v="1"/>
    <n v="11.25"/>
    <x v="126"/>
    <n v="5.0625"/>
    <n v="9"/>
  </r>
  <r>
    <x v="204"/>
    <x v="148"/>
    <s v="Thursday"/>
    <x v="3"/>
    <x v="2"/>
    <x v="204"/>
    <x v="204"/>
    <s v="ccrosier63@xrea.com"/>
    <s v="+1 (816) 578-2743"/>
    <x v="150"/>
    <x v="0"/>
    <s v="No"/>
    <x v="40"/>
    <x v="0"/>
    <x v="1"/>
    <n v="0.21509999999999996"/>
    <x v="3"/>
    <n v="0.2"/>
    <n v="3.5849999999999995"/>
    <x v="127"/>
    <n v="0.64529999999999987"/>
    <n v="5.9999999999999991"/>
  </r>
  <r>
    <x v="204"/>
    <x v="148"/>
    <s v="Thursday"/>
    <x v="3"/>
    <x v="2"/>
    <x v="204"/>
    <x v="205"/>
    <s v="ccrosier63@xrea.com"/>
    <s v="+1 (816) 578-2743"/>
    <x v="150"/>
    <x v="0"/>
    <s v="No"/>
    <x v="36"/>
    <x v="0"/>
    <x v="0"/>
    <n v="0.17909999999999998"/>
    <x v="1"/>
    <n v="0.2"/>
    <n v="2.9849999999999999"/>
    <x v="128"/>
    <n v="0.89549999999999996"/>
    <n v="6.0000000000000009"/>
  </r>
  <r>
    <x v="205"/>
    <x v="188"/>
    <s v="Saturday"/>
    <x v="11"/>
    <x v="1"/>
    <x v="205"/>
    <x v="206"/>
    <s v="lrushmer65@europa.eu"/>
    <s v="+1 (949) 869-7598"/>
    <x v="151"/>
    <x v="0"/>
    <s v="Yes"/>
    <x v="2"/>
    <x v="2"/>
    <x v="1"/>
    <n v="1.1655"/>
    <x v="5"/>
    <n v="1"/>
    <n v="12.95"/>
    <x v="17"/>
    <n v="6.9930000000000003"/>
    <n v="9.0000000000000018"/>
  </r>
  <r>
    <x v="206"/>
    <x v="189"/>
    <s v="Wednesday"/>
    <x v="0"/>
    <x v="3"/>
    <x v="206"/>
    <x v="207"/>
    <s v="wedinborough66@github.io"/>
    <s v="+1 (516) 445-4950"/>
    <x v="152"/>
    <x v="0"/>
    <s v="No"/>
    <x v="31"/>
    <x v="3"/>
    <x v="2"/>
    <n v="1.0101"/>
    <x v="3"/>
    <n v="0.5"/>
    <n v="7.77"/>
    <x v="102"/>
    <n v="3.0303"/>
    <n v="13"/>
  </r>
  <r>
    <x v="207"/>
    <x v="190"/>
    <s v="Monday"/>
    <x v="7"/>
    <x v="3"/>
    <x v="207"/>
    <x v="208"/>
    <n v="0"/>
    <s v="+1 (202) 650-1803"/>
    <x v="41"/>
    <x v="0"/>
    <s v="Yes"/>
    <x v="33"/>
    <x v="1"/>
    <x v="1"/>
    <n v="1.6335"/>
    <x v="4"/>
    <n v="1"/>
    <n v="14.85"/>
    <x v="48"/>
    <n v="6.5339999999999998"/>
    <n v="11"/>
  </r>
  <r>
    <x v="208"/>
    <x v="191"/>
    <s v="Monday"/>
    <x v="4"/>
    <x v="3"/>
    <x v="208"/>
    <x v="209"/>
    <s v="kbromehead68@un.org"/>
    <s v="+1 (646) 586-9964"/>
    <x v="15"/>
    <x v="0"/>
    <s v="Yes"/>
    <x v="27"/>
    <x v="3"/>
    <x v="2"/>
    <n v="3.8720499999999998"/>
    <x v="4"/>
    <n v="2.5"/>
    <n v="29.784999999999997"/>
    <x v="129"/>
    <n v="15.488199999999999"/>
    <n v="13"/>
  </r>
  <r>
    <x v="209"/>
    <x v="192"/>
    <s v="Friday"/>
    <x v="5"/>
    <x v="1"/>
    <x v="209"/>
    <x v="210"/>
    <s v="ewesterman69@si.edu"/>
    <s v="+353 (343) 455-4020"/>
    <x v="62"/>
    <x v="1"/>
    <s v="No"/>
    <x v="40"/>
    <x v="0"/>
    <x v="1"/>
    <n v="0.21509999999999996"/>
    <x v="4"/>
    <n v="0.2"/>
    <n v="3.5849999999999995"/>
    <x v="79"/>
    <n v="0.86039999999999983"/>
    <n v="6"/>
  </r>
  <r>
    <x v="210"/>
    <x v="193"/>
    <s v="Wednesday"/>
    <x v="10"/>
    <x v="3"/>
    <x v="210"/>
    <x v="211"/>
    <s v="ahutchens6a@amazonaws.com"/>
    <s v="+1 (913) 108-5997"/>
    <x v="153"/>
    <x v="0"/>
    <s v="No"/>
    <x v="37"/>
    <x v="2"/>
    <x v="0"/>
    <n v="2.3287499999999994"/>
    <x v="1"/>
    <n v="2.5"/>
    <n v="25.874999999999996"/>
    <x v="130"/>
    <n v="11.643749999999997"/>
    <n v="9"/>
  </r>
  <r>
    <x v="211"/>
    <x v="194"/>
    <s v="Wednesday"/>
    <x v="10"/>
    <x v="3"/>
    <x v="211"/>
    <x v="212"/>
    <s v="nwyvill6b@naver.com"/>
    <s v="+44 (872) 383-2829"/>
    <x v="154"/>
    <x v="2"/>
    <s v="Yes"/>
    <x v="25"/>
    <x v="0"/>
    <x v="2"/>
    <n v="0.16109999999999997"/>
    <x v="5"/>
    <n v="0.2"/>
    <n v="2.6849999999999996"/>
    <x v="103"/>
    <n v="0.96659999999999979"/>
    <n v="5.9999999999999991"/>
  </r>
  <r>
    <x v="212"/>
    <x v="195"/>
    <s v="Tuesday"/>
    <x v="1"/>
    <x v="1"/>
    <x v="212"/>
    <x v="213"/>
    <s v="bmathon6c@barnesandnoble.com"/>
    <s v="+1 (916) 915-5069"/>
    <x v="155"/>
    <x v="0"/>
    <s v="No"/>
    <x v="40"/>
    <x v="0"/>
    <x v="1"/>
    <n v="0.21509999999999996"/>
    <x v="1"/>
    <n v="0.2"/>
    <n v="3.5849999999999995"/>
    <x v="131"/>
    <n v="1.0754999999999999"/>
    <n v="6.0000000000000009"/>
  </r>
  <r>
    <x v="213"/>
    <x v="196"/>
    <s v="Saturday"/>
    <x v="6"/>
    <x v="1"/>
    <x v="213"/>
    <x v="214"/>
    <s v="kstreight6d@about.com"/>
    <s v="+1 (570) 873-3891"/>
    <x v="156"/>
    <x v="0"/>
    <s v="No"/>
    <x v="21"/>
    <x v="3"/>
    <x v="0"/>
    <n v="0.56745000000000001"/>
    <x v="0"/>
    <n v="0.2"/>
    <n v="4.3650000000000002"/>
    <x v="31"/>
    <n v="1.1349"/>
    <n v="13"/>
  </r>
  <r>
    <x v="214"/>
    <x v="197"/>
    <s v="Wednesday"/>
    <x v="7"/>
    <x v="1"/>
    <x v="214"/>
    <x v="215"/>
    <s v="pcutchie6e@globo.com"/>
    <s v="+1 (336) 679-7755"/>
    <x v="116"/>
    <x v="0"/>
    <s v="No"/>
    <x v="37"/>
    <x v="2"/>
    <x v="0"/>
    <n v="2.3287499999999994"/>
    <x v="0"/>
    <n v="2.5"/>
    <n v="25.874999999999996"/>
    <x v="95"/>
    <n v="4.6574999999999989"/>
    <n v="9"/>
  </r>
  <r>
    <x v="215"/>
    <x v="198"/>
    <s v="Wednesday"/>
    <x v="1"/>
    <x v="0"/>
    <x v="215"/>
    <x v="216"/>
    <n v="0"/>
    <s v="+1 (302) 746-8950"/>
    <x v="55"/>
    <x v="0"/>
    <s v="Yes"/>
    <x v="21"/>
    <x v="3"/>
    <x v="0"/>
    <n v="0.56745000000000001"/>
    <x v="0"/>
    <n v="0.2"/>
    <n v="4.3650000000000002"/>
    <x v="31"/>
    <n v="1.1349"/>
    <n v="13"/>
  </r>
  <r>
    <x v="216"/>
    <x v="199"/>
    <s v="Sunday"/>
    <x v="1"/>
    <x v="3"/>
    <x v="216"/>
    <x v="217"/>
    <s v="cgheraldi6g@opera.com"/>
    <s v="+44 (494) 875-2364"/>
    <x v="44"/>
    <x v="2"/>
    <s v="No"/>
    <x v="7"/>
    <x v="3"/>
    <x v="1"/>
    <n v="0.61814999999999998"/>
    <x v="1"/>
    <n v="0.2"/>
    <n v="4.7549999999999999"/>
    <x v="29"/>
    <n v="3.0907499999999999"/>
    <n v="13"/>
  </r>
  <r>
    <x v="217"/>
    <x v="200"/>
    <s v="Tuesday"/>
    <x v="6"/>
    <x v="1"/>
    <x v="217"/>
    <x v="218"/>
    <s v="bkenwell6h@over-blog.com"/>
    <s v="+1 (808) 836-6023"/>
    <x v="103"/>
    <x v="0"/>
    <s v="No"/>
    <x v="18"/>
    <x v="1"/>
    <x v="0"/>
    <n v="0.45374999999999999"/>
    <x v="1"/>
    <n v="0.2"/>
    <n v="4.125"/>
    <x v="132"/>
    <n v="2.2687499999999998"/>
    <n v="10.999999999999998"/>
  </r>
  <r>
    <x v="218"/>
    <x v="201"/>
    <s v="Thursday"/>
    <x v="10"/>
    <x v="2"/>
    <x v="218"/>
    <x v="219"/>
    <s v="tsutty6i@google.es"/>
    <s v="+1 (212) 586-1957"/>
    <x v="15"/>
    <x v="0"/>
    <s v="No"/>
    <x v="26"/>
    <x v="3"/>
    <x v="1"/>
    <n v="4.7391499999999995"/>
    <x v="2"/>
    <n v="2.5"/>
    <n v="36.454999999999998"/>
    <x v="133"/>
    <n v="4.7391499999999995"/>
    <n v="13"/>
  </r>
  <r>
    <x v="219"/>
    <x v="202"/>
    <s v="Tuesday"/>
    <x v="8"/>
    <x v="0"/>
    <x v="219"/>
    <x v="220"/>
    <n v="0"/>
    <n v="0"/>
    <x v="157"/>
    <x v="1"/>
    <s v="No"/>
    <x v="26"/>
    <x v="3"/>
    <x v="1"/>
    <n v="4.7391499999999995"/>
    <x v="1"/>
    <n v="2.5"/>
    <n v="36.454999999999998"/>
    <x v="134"/>
    <n v="23.695749999999997"/>
    <n v="13"/>
  </r>
  <r>
    <x v="220"/>
    <x v="203"/>
    <s v="Wednesday"/>
    <x v="10"/>
    <x v="3"/>
    <x v="220"/>
    <x v="221"/>
    <s v="charce6k@cafepress.com"/>
    <s v="+353 (444) 423-0673"/>
    <x v="158"/>
    <x v="1"/>
    <s v="No"/>
    <x v="27"/>
    <x v="3"/>
    <x v="2"/>
    <n v="3.8720499999999998"/>
    <x v="3"/>
    <n v="2.5"/>
    <n v="29.784999999999997"/>
    <x v="49"/>
    <n v="11.616149999999999"/>
    <n v="13"/>
  </r>
  <r>
    <x v="221"/>
    <x v="204"/>
    <s v="Sunday"/>
    <x v="4"/>
    <x v="2"/>
    <x v="221"/>
    <x v="222"/>
    <n v="0"/>
    <s v="+1 (513) 461-0440"/>
    <x v="159"/>
    <x v="0"/>
    <s v="Yes"/>
    <x v="40"/>
    <x v="0"/>
    <x v="1"/>
    <n v="0.21509999999999996"/>
    <x v="2"/>
    <n v="0.2"/>
    <n v="3.5849999999999995"/>
    <x v="60"/>
    <n v="0.21509999999999996"/>
    <n v="6"/>
  </r>
  <r>
    <x v="222"/>
    <x v="205"/>
    <s v="Monday"/>
    <x v="9"/>
    <x v="3"/>
    <x v="222"/>
    <x v="223"/>
    <s v="fdrysdale6m@symantec.com"/>
    <s v="+1 (989) 215-5282"/>
    <x v="67"/>
    <x v="0"/>
    <s v="Yes"/>
    <x v="13"/>
    <x v="0"/>
    <x v="0"/>
    <n v="1.3730999999999998"/>
    <x v="0"/>
    <n v="2.5"/>
    <n v="22.884999999999998"/>
    <x v="135"/>
    <n v="2.7461999999999995"/>
    <n v="6"/>
  </r>
  <r>
    <x v="223"/>
    <x v="206"/>
    <s v="Thursday"/>
    <x v="10"/>
    <x v="3"/>
    <x v="223"/>
    <x v="224"/>
    <s v="dmagowan6n@fc2.com"/>
    <s v="+1 (307) 159-5237"/>
    <x v="160"/>
    <x v="0"/>
    <s v="No"/>
    <x v="33"/>
    <x v="1"/>
    <x v="1"/>
    <n v="1.6335"/>
    <x v="4"/>
    <n v="1"/>
    <n v="14.85"/>
    <x v="48"/>
    <n v="6.5339999999999998"/>
    <n v="11"/>
  </r>
  <r>
    <x v="224"/>
    <x v="207"/>
    <s v="Thursday"/>
    <x v="1"/>
    <x v="3"/>
    <x v="224"/>
    <x v="225"/>
    <n v="0"/>
    <n v="0"/>
    <x v="161"/>
    <x v="0"/>
    <s v="Yes"/>
    <x v="37"/>
    <x v="2"/>
    <x v="0"/>
    <n v="2.3287499999999994"/>
    <x v="5"/>
    <n v="2.5"/>
    <n v="25.874999999999996"/>
    <x v="71"/>
    <n v="13.972499999999997"/>
    <n v="9"/>
  </r>
  <r>
    <x v="225"/>
    <x v="208"/>
    <s v="Tuesday"/>
    <x v="0"/>
    <x v="3"/>
    <x v="225"/>
    <x v="226"/>
    <n v="0"/>
    <s v="+1 (678) 222-0967"/>
    <x v="162"/>
    <x v="0"/>
    <s v="No"/>
    <x v="13"/>
    <x v="0"/>
    <x v="0"/>
    <n v="1.3730999999999998"/>
    <x v="0"/>
    <n v="2.5"/>
    <n v="22.884999999999998"/>
    <x v="135"/>
    <n v="2.7461999999999995"/>
    <n v="6"/>
  </r>
  <r>
    <x v="226"/>
    <x v="209"/>
    <s v="Saturday"/>
    <x v="6"/>
    <x v="3"/>
    <x v="226"/>
    <x v="227"/>
    <s v="srushbrooke6q@youku.com"/>
    <s v="+1 (916) 214-5665"/>
    <x v="155"/>
    <x v="0"/>
    <s v="Yes"/>
    <x v="45"/>
    <x v="1"/>
    <x v="2"/>
    <n v="1.3365"/>
    <x v="3"/>
    <n v="1"/>
    <n v="12.15"/>
    <x v="114"/>
    <n v="4.0095000000000001"/>
    <n v="10.999999999999998"/>
  </r>
  <r>
    <x v="227"/>
    <x v="210"/>
    <s v="Saturday"/>
    <x v="7"/>
    <x v="3"/>
    <x v="227"/>
    <x v="228"/>
    <s v="tdrynan6r@deviantart.com"/>
    <s v="+1 (813) 619-0579"/>
    <x v="47"/>
    <x v="0"/>
    <s v="Yes"/>
    <x v="6"/>
    <x v="1"/>
    <x v="2"/>
    <n v="0.80190000000000006"/>
    <x v="4"/>
    <n v="0.5"/>
    <n v="7.29"/>
    <x v="104"/>
    <n v="3.2076000000000002"/>
    <n v="11"/>
  </r>
  <r>
    <x v="228"/>
    <x v="211"/>
    <s v="Saturday"/>
    <x v="5"/>
    <x v="2"/>
    <x v="228"/>
    <x v="229"/>
    <s v="eyurkov6s@hud.gov"/>
    <s v="+1 (808) 320-5976"/>
    <x v="103"/>
    <x v="0"/>
    <s v="No"/>
    <x v="43"/>
    <x v="3"/>
    <x v="0"/>
    <n v="4.3504499999999995"/>
    <x v="4"/>
    <n v="2.5"/>
    <n v="33.464999999999996"/>
    <x v="136"/>
    <n v="17.401799999999998"/>
    <n v="13"/>
  </r>
  <r>
    <x v="229"/>
    <x v="212"/>
    <s v="Thursday"/>
    <x v="8"/>
    <x v="3"/>
    <x v="229"/>
    <x v="230"/>
    <s v="lmallan6t@state.gov"/>
    <s v="+1 (225) 484-4771"/>
    <x v="163"/>
    <x v="0"/>
    <s v="Yes"/>
    <x v="7"/>
    <x v="3"/>
    <x v="1"/>
    <n v="0.61814999999999998"/>
    <x v="1"/>
    <n v="0.2"/>
    <n v="4.7549999999999999"/>
    <x v="29"/>
    <n v="3.0907499999999999"/>
    <n v="13"/>
  </r>
  <r>
    <x v="230"/>
    <x v="213"/>
    <s v="Sunday"/>
    <x v="9"/>
    <x v="1"/>
    <x v="230"/>
    <x v="231"/>
    <s v="gbentjens6u@netlog.com"/>
    <s v="+44 (610) 153-1208"/>
    <x v="164"/>
    <x v="2"/>
    <s v="No"/>
    <x v="5"/>
    <x v="3"/>
    <x v="2"/>
    <n v="1.6835"/>
    <x v="3"/>
    <n v="1"/>
    <n v="12.95"/>
    <x v="5"/>
    <n v="5.0504999999999995"/>
    <n v="13"/>
  </r>
  <r>
    <x v="231"/>
    <x v="63"/>
    <s v="Tuesday"/>
    <x v="7"/>
    <x v="3"/>
    <x v="231"/>
    <x v="232"/>
    <n v="0"/>
    <s v="+353 (382) 208-0531"/>
    <x v="165"/>
    <x v="1"/>
    <s v="Yes"/>
    <x v="40"/>
    <x v="0"/>
    <x v="1"/>
    <n v="0.21509999999999996"/>
    <x v="5"/>
    <n v="0.2"/>
    <n v="3.5849999999999995"/>
    <x v="137"/>
    <n v="1.2905999999999997"/>
    <n v="5.9999999999999991"/>
  </r>
  <r>
    <x v="232"/>
    <x v="214"/>
    <s v="Tuesday"/>
    <x v="2"/>
    <x v="3"/>
    <x v="232"/>
    <x v="233"/>
    <s v="lentwistle6w@omniture.com"/>
    <s v="+1 (612) 972-1256"/>
    <x v="30"/>
    <x v="0"/>
    <s v="Yes"/>
    <x v="9"/>
    <x v="2"/>
    <x v="2"/>
    <n v="0.89549999999999985"/>
    <x v="2"/>
    <n v="1"/>
    <n v="9.9499999999999993"/>
    <x v="138"/>
    <n v="0.89549999999999985"/>
    <n v="9"/>
  </r>
  <r>
    <x v="233"/>
    <x v="215"/>
    <s v="Friday"/>
    <x v="4"/>
    <x v="3"/>
    <x v="233"/>
    <x v="234"/>
    <s v="zkiffe74@cyberchimps.com"/>
    <s v="+1 (414) 703-7269"/>
    <x v="166"/>
    <x v="0"/>
    <s v="Yes"/>
    <x v="32"/>
    <x v="3"/>
    <x v="1"/>
    <n v="2.0605000000000002"/>
    <x v="2"/>
    <n v="1"/>
    <n v="15.85"/>
    <x v="80"/>
    <n v="2.0605000000000002"/>
    <n v="13"/>
  </r>
  <r>
    <x v="234"/>
    <x v="216"/>
    <s v="Tuesday"/>
    <x v="10"/>
    <x v="3"/>
    <x v="234"/>
    <x v="235"/>
    <s v="macott6y@pagesperso-orange.fr"/>
    <s v="+1 (704) 892-0605"/>
    <x v="63"/>
    <x v="0"/>
    <s v="Yes"/>
    <x v="36"/>
    <x v="0"/>
    <x v="0"/>
    <n v="0.17909999999999998"/>
    <x v="2"/>
    <n v="0.2"/>
    <n v="2.9849999999999999"/>
    <x v="55"/>
    <n v="0.17909999999999998"/>
    <n v="6"/>
  </r>
  <r>
    <x v="235"/>
    <x v="217"/>
    <s v="Sunday"/>
    <x v="1"/>
    <x v="1"/>
    <x v="235"/>
    <x v="236"/>
    <s v="cheaviside6z@rediff.com"/>
    <s v="+1 (602) 260-2399"/>
    <x v="167"/>
    <x v="0"/>
    <s v="Yes"/>
    <x v="3"/>
    <x v="1"/>
    <x v="0"/>
    <n v="1.5125"/>
    <x v="1"/>
    <n v="1"/>
    <n v="13.75"/>
    <x v="85"/>
    <n v="7.5625"/>
    <n v="11"/>
  </r>
  <r>
    <x v="236"/>
    <x v="218"/>
    <s v="Saturday"/>
    <x v="3"/>
    <x v="2"/>
    <x v="236"/>
    <x v="237"/>
    <n v="0"/>
    <s v="+1 (212) 360-7479"/>
    <x v="168"/>
    <x v="0"/>
    <s v="No"/>
    <x v="9"/>
    <x v="2"/>
    <x v="2"/>
    <n v="0.89549999999999985"/>
    <x v="3"/>
    <n v="1"/>
    <n v="9.9499999999999993"/>
    <x v="44"/>
    <n v="2.6864999999999997"/>
    <n v="9"/>
  </r>
  <r>
    <x v="237"/>
    <x v="219"/>
    <s v="Tuesday"/>
    <x v="11"/>
    <x v="1"/>
    <x v="237"/>
    <x v="238"/>
    <s v="lkernan71@wsj.com"/>
    <s v="+1 (217) 146-0949"/>
    <x v="169"/>
    <x v="0"/>
    <s v="No"/>
    <x v="24"/>
    <x v="3"/>
    <x v="0"/>
    <n v="1.8915000000000002"/>
    <x v="4"/>
    <n v="1"/>
    <n v="14.55"/>
    <x v="125"/>
    <n v="7.5660000000000007"/>
    <n v="13"/>
  </r>
  <r>
    <x v="238"/>
    <x v="220"/>
    <s v="Wednesday"/>
    <x v="7"/>
    <x v="1"/>
    <x v="238"/>
    <x v="239"/>
    <s v="rmclae72@dailymotion.com"/>
    <n v="0"/>
    <x v="170"/>
    <x v="2"/>
    <s v="No"/>
    <x v="35"/>
    <x v="0"/>
    <x v="1"/>
    <n v="0.43019999999999992"/>
    <x v="4"/>
    <n v="0.5"/>
    <n v="7.169999999999999"/>
    <x v="139"/>
    <n v="1.7207999999999997"/>
    <n v="6"/>
  </r>
  <r>
    <x v="239"/>
    <x v="114"/>
    <s v="Tuesday"/>
    <x v="3"/>
    <x v="1"/>
    <x v="239"/>
    <x v="233"/>
    <s v="cblowfelde73@ustream.tv"/>
    <s v="+1 (520) 951-0585"/>
    <x v="31"/>
    <x v="0"/>
    <s v="No"/>
    <x v="35"/>
    <x v="0"/>
    <x v="1"/>
    <n v="0.43019999999999992"/>
    <x v="3"/>
    <n v="0.5"/>
    <n v="7.169999999999999"/>
    <x v="137"/>
    <n v="1.2905999999999997"/>
    <n v="5.9999999999999991"/>
  </r>
  <r>
    <x v="240"/>
    <x v="221"/>
    <s v="Thursday"/>
    <x v="4"/>
    <x v="3"/>
    <x v="233"/>
    <x v="240"/>
    <s v="zkiffe74@cyberchimps.com"/>
    <s v="+1 (414) 703-7269"/>
    <x v="166"/>
    <x v="0"/>
    <s v="Yes"/>
    <x v="22"/>
    <x v="3"/>
    <x v="0"/>
    <n v="1.1349"/>
    <x v="0"/>
    <n v="0.5"/>
    <n v="8.73"/>
    <x v="92"/>
    <n v="2.2698"/>
    <n v="13"/>
  </r>
  <r>
    <x v="241"/>
    <x v="222"/>
    <s v="Monday"/>
    <x v="8"/>
    <x v="2"/>
    <x v="240"/>
    <x v="241"/>
    <s v="docalleran75@ucla.edu"/>
    <s v="+1 (954) 368-3867"/>
    <x v="171"/>
    <x v="0"/>
    <s v="Yes"/>
    <x v="47"/>
    <x v="1"/>
    <x v="2"/>
    <n v="3.07395"/>
    <x v="2"/>
    <n v="2.5"/>
    <n v="27.945"/>
    <x v="140"/>
    <n v="3.07395"/>
    <n v="11"/>
  </r>
  <r>
    <x v="242"/>
    <x v="188"/>
    <s v="Saturday"/>
    <x v="11"/>
    <x v="1"/>
    <x v="241"/>
    <x v="242"/>
    <s v="ccromwell76@desdev.cn"/>
    <s v="+1 (562) 516-6052"/>
    <x v="127"/>
    <x v="0"/>
    <s v="No"/>
    <x v="47"/>
    <x v="1"/>
    <x v="2"/>
    <n v="3.07395"/>
    <x v="1"/>
    <n v="2.5"/>
    <n v="27.945"/>
    <x v="141"/>
    <n v="15.36975"/>
    <n v="11"/>
  </r>
  <r>
    <x v="243"/>
    <x v="223"/>
    <s v="Tuesday"/>
    <x v="1"/>
    <x v="1"/>
    <x v="242"/>
    <x v="243"/>
    <s v="ihay77@lulu.com"/>
    <s v="+44 (878) 199-6257"/>
    <x v="172"/>
    <x v="2"/>
    <s v="No"/>
    <x v="36"/>
    <x v="0"/>
    <x v="0"/>
    <n v="0.17909999999999998"/>
    <x v="0"/>
    <n v="0.2"/>
    <n v="2.9849999999999999"/>
    <x v="9"/>
    <n v="0.35819999999999996"/>
    <n v="6"/>
  </r>
  <r>
    <x v="244"/>
    <x v="224"/>
    <s v="Saturday"/>
    <x v="11"/>
    <x v="3"/>
    <x v="243"/>
    <x v="244"/>
    <s v="ttaffarello78@sciencedaily.com"/>
    <n v="0"/>
    <x v="10"/>
    <x v="0"/>
    <s v="Yes"/>
    <x v="4"/>
    <x v="0"/>
    <x v="1"/>
    <n v="1.6490999999999998"/>
    <x v="2"/>
    <n v="2.5"/>
    <n v="27.484999999999996"/>
    <x v="142"/>
    <n v="1.6490999999999998"/>
    <n v="6.0000000000000009"/>
  </r>
  <r>
    <x v="245"/>
    <x v="83"/>
    <s v="Thursday"/>
    <x v="6"/>
    <x v="0"/>
    <x v="244"/>
    <x v="245"/>
    <s v="mcanty79@jigsy.com"/>
    <s v="+1 (814) 215-3753"/>
    <x v="173"/>
    <x v="0"/>
    <s v="Yes"/>
    <x v="41"/>
    <x v="0"/>
    <x v="1"/>
    <n v="0.71699999999999997"/>
    <x v="1"/>
    <n v="1"/>
    <n v="11.95"/>
    <x v="143"/>
    <n v="3.585"/>
    <n v="6"/>
  </r>
  <r>
    <x v="246"/>
    <x v="104"/>
    <s v="Friday"/>
    <x v="3"/>
    <x v="0"/>
    <x v="245"/>
    <x v="246"/>
    <s v="jkopke7a@auda.org.au"/>
    <s v="+1 (253) 638-4435"/>
    <x v="174"/>
    <x v="0"/>
    <s v="No"/>
    <x v="3"/>
    <x v="1"/>
    <x v="0"/>
    <n v="1.5125"/>
    <x v="3"/>
    <n v="1"/>
    <n v="13.75"/>
    <x v="1"/>
    <n v="4.5374999999999996"/>
    <n v="10.999999999999998"/>
  </r>
  <r>
    <x v="247"/>
    <x v="225"/>
    <s v="Monday"/>
    <x v="8"/>
    <x v="0"/>
    <x v="246"/>
    <x v="247"/>
    <n v="0"/>
    <s v="+1 (571) 479-3812"/>
    <x v="8"/>
    <x v="0"/>
    <s v="No"/>
    <x v="43"/>
    <x v="3"/>
    <x v="0"/>
    <n v="4.3504499999999995"/>
    <x v="4"/>
    <n v="2.5"/>
    <n v="33.464999999999996"/>
    <x v="136"/>
    <n v="17.401799999999998"/>
    <n v="13"/>
  </r>
  <r>
    <x v="248"/>
    <x v="226"/>
    <s v="Monday"/>
    <x v="5"/>
    <x v="2"/>
    <x v="247"/>
    <x v="248"/>
    <n v="0"/>
    <s v="+353 (336) 656-6944"/>
    <x v="175"/>
    <x v="1"/>
    <s v="Yes"/>
    <x v="41"/>
    <x v="0"/>
    <x v="1"/>
    <n v="0.71699999999999997"/>
    <x v="1"/>
    <n v="1"/>
    <n v="11.95"/>
    <x v="143"/>
    <n v="3.585"/>
    <n v="6"/>
  </r>
  <r>
    <x v="249"/>
    <x v="227"/>
    <s v="Tuesday"/>
    <x v="10"/>
    <x v="3"/>
    <x v="248"/>
    <x v="249"/>
    <s v="vhellmore7d@bbc.co.uk"/>
    <s v="+1 (501) 899-4038"/>
    <x v="28"/>
    <x v="0"/>
    <s v="Yes"/>
    <x v="20"/>
    <x v="2"/>
    <x v="2"/>
    <n v="0.5373"/>
    <x v="2"/>
    <n v="0.5"/>
    <n v="5.97"/>
    <x v="9"/>
    <n v="0.5373"/>
    <n v="9.0000000000000018"/>
  </r>
  <r>
    <x v="250"/>
    <x v="180"/>
    <s v="Sunday"/>
    <x v="6"/>
    <x v="1"/>
    <x v="249"/>
    <x v="250"/>
    <s v="mseawright7e@nbcnews.com"/>
    <s v="+44 (638) 528-2467"/>
    <x v="176"/>
    <x v="2"/>
    <s v="No"/>
    <x v="45"/>
    <x v="1"/>
    <x v="2"/>
    <n v="1.3365"/>
    <x v="0"/>
    <n v="1"/>
    <n v="12.15"/>
    <x v="76"/>
    <n v="2.673"/>
    <n v="11"/>
  </r>
  <r>
    <x v="251"/>
    <x v="228"/>
    <s v="Saturday"/>
    <x v="5"/>
    <x v="1"/>
    <x v="250"/>
    <x v="195"/>
    <s v="snortheast7f@mashable.com"/>
    <s v="+1 (775) 344-1930"/>
    <x v="125"/>
    <x v="0"/>
    <s v="Yes"/>
    <x v="15"/>
    <x v="1"/>
    <x v="2"/>
    <n v="0.40095000000000003"/>
    <x v="5"/>
    <n v="0.2"/>
    <n v="3.645"/>
    <x v="6"/>
    <n v="2.4057000000000004"/>
    <n v="11.000000000000002"/>
  </r>
  <r>
    <x v="252"/>
    <x v="229"/>
    <s v="Thursday"/>
    <x v="11"/>
    <x v="0"/>
    <x v="195"/>
    <x v="251"/>
    <s v="aattwater5u@wikia.com"/>
    <s v="+1 (434) 821-8618"/>
    <x v="131"/>
    <x v="0"/>
    <s v="Yes"/>
    <x v="9"/>
    <x v="2"/>
    <x v="2"/>
    <n v="0.89549999999999985"/>
    <x v="0"/>
    <n v="1"/>
    <n v="9.9499999999999993"/>
    <x v="0"/>
    <n v="1.7909999999999997"/>
    <n v="9"/>
  </r>
  <r>
    <x v="253"/>
    <x v="230"/>
    <s v="Monday"/>
    <x v="5"/>
    <x v="1"/>
    <x v="251"/>
    <x v="252"/>
    <s v="mfearon7h@reverbnation.com"/>
    <s v="+1 (972) 686-6332"/>
    <x v="177"/>
    <x v="0"/>
    <s v="No"/>
    <x v="16"/>
    <x v="2"/>
    <x v="2"/>
    <n v="0.26865"/>
    <x v="0"/>
    <n v="0.2"/>
    <n v="2.9849999999999999"/>
    <x v="9"/>
    <n v="0.5373"/>
    <n v="9.0000000000000018"/>
  </r>
  <r>
    <x v="254"/>
    <x v="231"/>
    <s v="Tuesday"/>
    <x v="2"/>
    <x v="0"/>
    <x v="252"/>
    <x v="253"/>
    <n v="0"/>
    <n v="0"/>
    <x v="178"/>
    <x v="1"/>
    <s v="Yes"/>
    <x v="6"/>
    <x v="1"/>
    <x v="2"/>
    <n v="0.80190000000000006"/>
    <x v="2"/>
    <n v="0.5"/>
    <n v="7.29"/>
    <x v="35"/>
    <n v="0.80190000000000006"/>
    <n v="11"/>
  </r>
  <r>
    <x v="255"/>
    <x v="80"/>
    <s v="Wednesday"/>
    <x v="5"/>
    <x v="3"/>
    <x v="253"/>
    <x v="254"/>
    <s v="jsisneros7j@a8.net"/>
    <s v="+1 (919) 448-8909"/>
    <x v="179"/>
    <x v="0"/>
    <s v="Yes"/>
    <x v="16"/>
    <x v="2"/>
    <x v="2"/>
    <n v="0.26865"/>
    <x v="4"/>
    <n v="0.2"/>
    <n v="2.9849999999999999"/>
    <x v="22"/>
    <n v="1.0746"/>
    <n v="9.0000000000000018"/>
  </r>
  <r>
    <x v="256"/>
    <x v="232"/>
    <s v="Friday"/>
    <x v="3"/>
    <x v="1"/>
    <x v="254"/>
    <x v="255"/>
    <s v="zcarlson7k@bigcartel.com"/>
    <s v="+353 (259) 651-4128"/>
    <x v="180"/>
    <x v="1"/>
    <s v="Yes"/>
    <x v="41"/>
    <x v="0"/>
    <x v="1"/>
    <n v="0.71699999999999997"/>
    <x v="5"/>
    <n v="1"/>
    <n v="11.95"/>
    <x v="144"/>
    <n v="4.3019999999999996"/>
    <n v="6.0000000000000009"/>
  </r>
  <r>
    <x v="257"/>
    <x v="233"/>
    <s v="Saturday"/>
    <x v="8"/>
    <x v="2"/>
    <x v="255"/>
    <x v="256"/>
    <s v="wmaddox7l@timesonline.co.uk"/>
    <s v="+1 (917) 310-4684"/>
    <x v="15"/>
    <x v="0"/>
    <s v="No"/>
    <x v="29"/>
    <x v="2"/>
    <x v="1"/>
    <n v="0.34964999999999996"/>
    <x v="0"/>
    <n v="0.2"/>
    <n v="3.8849999999999998"/>
    <x v="41"/>
    <n v="0.69929999999999992"/>
    <n v="9"/>
  </r>
  <r>
    <x v="258"/>
    <x v="234"/>
    <s v="Wednesday"/>
    <x v="1"/>
    <x v="3"/>
    <x v="256"/>
    <x v="257"/>
    <s v="dhedlestone7m@craigslist.org"/>
    <s v="+1 (203) 768-3169"/>
    <x v="94"/>
    <x v="0"/>
    <s v="No"/>
    <x v="37"/>
    <x v="2"/>
    <x v="0"/>
    <n v="2.3287499999999994"/>
    <x v="2"/>
    <n v="2.5"/>
    <n v="25.874999999999996"/>
    <x v="145"/>
    <n v="2.3287499999999994"/>
    <n v="9"/>
  </r>
  <r>
    <x v="259"/>
    <x v="235"/>
    <s v="Monday"/>
    <x v="1"/>
    <x v="2"/>
    <x v="257"/>
    <x v="258"/>
    <s v="tcrowthe7n@europa.eu"/>
    <s v="+1 (419) 561-6809"/>
    <x v="45"/>
    <x v="0"/>
    <s v="No"/>
    <x v="10"/>
    <x v="1"/>
    <x v="1"/>
    <n v="3.7570499999999996"/>
    <x v="5"/>
    <n v="2.5"/>
    <n v="34.154999999999994"/>
    <x v="106"/>
    <n v="22.542299999999997"/>
    <n v="11.000000000000002"/>
  </r>
  <r>
    <x v="260"/>
    <x v="236"/>
    <s v="Wednesday"/>
    <x v="1"/>
    <x v="3"/>
    <x v="258"/>
    <x v="259"/>
    <s v="dbury7o@tinyurl.com"/>
    <s v="+353 (262) 842-7103"/>
    <x v="181"/>
    <x v="1"/>
    <s v="Yes"/>
    <x v="4"/>
    <x v="0"/>
    <x v="1"/>
    <n v="1.6490999999999998"/>
    <x v="4"/>
    <n v="2.5"/>
    <n v="27.484999999999996"/>
    <x v="108"/>
    <n v="6.5963999999999992"/>
    <n v="6.0000000000000009"/>
  </r>
  <r>
    <x v="261"/>
    <x v="237"/>
    <s v="Friday"/>
    <x v="9"/>
    <x v="3"/>
    <x v="259"/>
    <x v="260"/>
    <s v="gbroadbear7p@omniture.com"/>
    <s v="+1 (573) 758-1104"/>
    <x v="182"/>
    <x v="0"/>
    <s v="No"/>
    <x v="33"/>
    <x v="1"/>
    <x v="1"/>
    <n v="1.6335"/>
    <x v="5"/>
    <n v="1"/>
    <n v="14.85"/>
    <x v="146"/>
    <n v="9.8010000000000002"/>
    <n v="11.000000000000002"/>
  </r>
  <r>
    <x v="262"/>
    <x v="238"/>
    <s v="Saturday"/>
    <x v="3"/>
    <x v="0"/>
    <x v="260"/>
    <x v="261"/>
    <s v="epalfrey7q@devhub.com"/>
    <s v="+1 (260) 500-7893"/>
    <x v="51"/>
    <x v="0"/>
    <s v="Yes"/>
    <x v="29"/>
    <x v="2"/>
    <x v="1"/>
    <n v="0.34964999999999996"/>
    <x v="0"/>
    <n v="0.2"/>
    <n v="3.8849999999999998"/>
    <x v="41"/>
    <n v="0.69929999999999992"/>
    <n v="9"/>
  </r>
  <r>
    <x v="263"/>
    <x v="52"/>
    <s v="Monday"/>
    <x v="10"/>
    <x v="0"/>
    <x v="261"/>
    <x v="262"/>
    <s v="pmetrick7r@rakuten.co.jp"/>
    <s v="+1 (314) 572-2164"/>
    <x v="10"/>
    <x v="0"/>
    <s v="Yes"/>
    <x v="43"/>
    <x v="3"/>
    <x v="0"/>
    <n v="4.3504499999999995"/>
    <x v="2"/>
    <n v="2.5"/>
    <n v="33.464999999999996"/>
    <x v="116"/>
    <n v="4.3504499999999995"/>
    <n v="13"/>
  </r>
  <r>
    <x v="264"/>
    <x v="146"/>
    <s v="Sunday"/>
    <x v="10"/>
    <x v="1"/>
    <x v="262"/>
    <x v="263"/>
    <n v="0"/>
    <s v="+1 (208) 826-3825"/>
    <x v="12"/>
    <x v="0"/>
    <s v="Yes"/>
    <x v="1"/>
    <x v="1"/>
    <x v="0"/>
    <n v="0.90749999999999997"/>
    <x v="1"/>
    <n v="0.5"/>
    <n v="8.25"/>
    <x v="1"/>
    <n v="4.5374999999999996"/>
    <n v="10.999999999999998"/>
  </r>
  <r>
    <x v="265"/>
    <x v="239"/>
    <s v="Thursday"/>
    <x v="4"/>
    <x v="1"/>
    <x v="263"/>
    <x v="264"/>
    <s v="kkarby7t@sbwire.com"/>
    <s v="+1 (303) 516-4935"/>
    <x v="183"/>
    <x v="0"/>
    <s v="Yes"/>
    <x v="33"/>
    <x v="1"/>
    <x v="1"/>
    <n v="1.6335"/>
    <x v="4"/>
    <n v="1"/>
    <n v="14.85"/>
    <x v="48"/>
    <n v="6.5339999999999998"/>
    <n v="11"/>
  </r>
  <r>
    <x v="266"/>
    <x v="240"/>
    <s v="Sunday"/>
    <x v="10"/>
    <x v="0"/>
    <x v="264"/>
    <x v="265"/>
    <s v="fcrumpe7u@ftc.gov"/>
    <s v="+44 (564) 507-1056"/>
    <x v="184"/>
    <x v="2"/>
    <s v="No"/>
    <x v="42"/>
    <x v="2"/>
    <x v="1"/>
    <n v="0.69929999999999992"/>
    <x v="2"/>
    <n v="0.5"/>
    <n v="7.77"/>
    <x v="41"/>
    <n v="0.69929999999999992"/>
    <n v="9"/>
  </r>
  <r>
    <x v="267"/>
    <x v="241"/>
    <s v="Sunday"/>
    <x v="1"/>
    <x v="0"/>
    <x v="265"/>
    <x v="266"/>
    <s v="achatto7v@sakura.ne.jp"/>
    <s v="+44 (522) 740-3583"/>
    <x v="172"/>
    <x v="2"/>
    <s v="Yes"/>
    <x v="34"/>
    <x v="0"/>
    <x v="2"/>
    <n v="0.32219999999999993"/>
    <x v="2"/>
    <n v="0.5"/>
    <n v="5.3699999999999992"/>
    <x v="147"/>
    <n v="0.32219999999999993"/>
    <n v="6"/>
  </r>
  <r>
    <x v="268"/>
    <x v="242"/>
    <s v="Saturday"/>
    <x v="5"/>
    <x v="3"/>
    <x v="266"/>
    <x v="267"/>
    <n v="0"/>
    <s v="+1 (502) 913-2943"/>
    <x v="185"/>
    <x v="0"/>
    <s v="No"/>
    <x v="28"/>
    <x v="1"/>
    <x v="0"/>
    <n v="3.4787499999999998"/>
    <x v="3"/>
    <n v="2.5"/>
    <n v="31.624999999999996"/>
    <x v="88"/>
    <n v="10.436249999999999"/>
    <n v="11.000000000000002"/>
  </r>
  <r>
    <x v="269"/>
    <x v="243"/>
    <s v="Saturday"/>
    <x v="2"/>
    <x v="3"/>
    <x v="267"/>
    <x v="268"/>
    <n v="0"/>
    <s v="+1 (716) 790-4379"/>
    <x v="73"/>
    <x v="0"/>
    <s v="No"/>
    <x v="26"/>
    <x v="3"/>
    <x v="1"/>
    <n v="4.7391499999999995"/>
    <x v="2"/>
    <n v="2.5"/>
    <n v="36.454999999999998"/>
    <x v="133"/>
    <n v="4.7391499999999995"/>
    <n v="13"/>
  </r>
  <r>
    <x v="270"/>
    <x v="244"/>
    <s v="Thursday"/>
    <x v="7"/>
    <x v="0"/>
    <x v="268"/>
    <x v="269"/>
    <s v="bmergue7y@umn.edu"/>
    <n v="0"/>
    <x v="186"/>
    <x v="0"/>
    <s v="Yes"/>
    <x v="14"/>
    <x v="2"/>
    <x v="0"/>
    <n v="0.30374999999999996"/>
    <x v="4"/>
    <n v="0.2"/>
    <n v="3.375"/>
    <x v="72"/>
    <n v="1.2149999999999999"/>
    <n v="8.9999999999999982"/>
  </r>
  <r>
    <x v="271"/>
    <x v="245"/>
    <s v="Monday"/>
    <x v="5"/>
    <x v="2"/>
    <x v="269"/>
    <x v="270"/>
    <s v="kpatise7z@jigsy.com"/>
    <s v="+1 (617) 552-8968"/>
    <x v="35"/>
    <x v="0"/>
    <s v="No"/>
    <x v="40"/>
    <x v="0"/>
    <x v="1"/>
    <n v="0.21509999999999996"/>
    <x v="4"/>
    <n v="0.2"/>
    <n v="3.5849999999999995"/>
    <x v="79"/>
    <n v="0.86039999999999983"/>
    <n v="6"/>
  </r>
  <r>
    <x v="272"/>
    <x v="246"/>
    <s v="Wednesday"/>
    <x v="6"/>
    <x v="1"/>
    <x v="270"/>
    <x v="271"/>
    <n v="0"/>
    <s v="+353 (968) 887-1849"/>
    <x v="187"/>
    <x v="1"/>
    <s v="Yes"/>
    <x v="1"/>
    <x v="1"/>
    <x v="0"/>
    <n v="0.90749999999999997"/>
    <x v="2"/>
    <n v="0.5"/>
    <n v="8.25"/>
    <x v="112"/>
    <n v="0.90749999999999997"/>
    <n v="11"/>
  </r>
  <r>
    <x v="273"/>
    <x v="247"/>
    <s v="Sunday"/>
    <x v="11"/>
    <x v="0"/>
    <x v="271"/>
    <x v="272"/>
    <n v="0"/>
    <n v="0"/>
    <x v="188"/>
    <x v="0"/>
    <s v="Yes"/>
    <x v="25"/>
    <x v="0"/>
    <x v="2"/>
    <n v="0.16109999999999997"/>
    <x v="1"/>
    <n v="0.2"/>
    <n v="2.6849999999999996"/>
    <x v="148"/>
    <n v="0.80549999999999988"/>
    <n v="6.0000000000000009"/>
  </r>
  <r>
    <x v="274"/>
    <x v="248"/>
    <s v="Thursday"/>
    <x v="7"/>
    <x v="1"/>
    <x v="272"/>
    <x v="273"/>
    <s v="dduke82@vkontakte.ru"/>
    <s v="+1 (626) 268-7265"/>
    <x v="6"/>
    <x v="0"/>
    <s v="No"/>
    <x v="9"/>
    <x v="2"/>
    <x v="2"/>
    <n v="0.89549999999999985"/>
    <x v="1"/>
    <n v="1"/>
    <n v="9.9499999999999993"/>
    <x v="12"/>
    <n v="4.4774999999999991"/>
    <n v="8.9999999999999982"/>
  </r>
  <r>
    <x v="275"/>
    <x v="249"/>
    <s v="Wednesday"/>
    <x v="9"/>
    <x v="3"/>
    <x v="273"/>
    <x v="274"/>
    <n v="0"/>
    <n v="0"/>
    <x v="96"/>
    <x v="1"/>
    <s v="No"/>
    <x v="1"/>
    <x v="1"/>
    <x v="0"/>
    <n v="0.90749999999999997"/>
    <x v="0"/>
    <n v="0.5"/>
    <n v="8.25"/>
    <x v="38"/>
    <n v="1.8149999999999999"/>
    <n v="11"/>
  </r>
  <r>
    <x v="276"/>
    <x v="250"/>
    <s v="Monday"/>
    <x v="11"/>
    <x v="1"/>
    <x v="274"/>
    <x v="275"/>
    <s v="ihussey84@mapy.cz"/>
    <n v="0"/>
    <x v="38"/>
    <x v="0"/>
    <s v="No"/>
    <x v="20"/>
    <x v="2"/>
    <x v="2"/>
    <n v="0.5373"/>
    <x v="3"/>
    <n v="0.5"/>
    <n v="5.97"/>
    <x v="8"/>
    <n v="1.6118999999999999"/>
    <n v="9"/>
  </r>
  <r>
    <x v="277"/>
    <x v="251"/>
    <s v="Saturday"/>
    <x v="6"/>
    <x v="1"/>
    <x v="275"/>
    <x v="276"/>
    <s v="cpinkerton85@upenn.edu"/>
    <s v="+1 (202) 727-7464"/>
    <x v="117"/>
    <x v="0"/>
    <s v="No"/>
    <x v="20"/>
    <x v="2"/>
    <x v="2"/>
    <n v="0.5373"/>
    <x v="1"/>
    <n v="0.5"/>
    <n v="5.97"/>
    <x v="44"/>
    <n v="2.6865000000000001"/>
    <n v="9.0000000000000018"/>
  </r>
  <r>
    <x v="278"/>
    <x v="177"/>
    <s v="Friday"/>
    <x v="8"/>
    <x v="2"/>
    <x v="276"/>
    <x v="277"/>
    <n v="0"/>
    <s v="+1 (203) 722-1559"/>
    <x v="189"/>
    <x v="0"/>
    <s v="No"/>
    <x v="33"/>
    <x v="1"/>
    <x v="1"/>
    <n v="1.6335"/>
    <x v="3"/>
    <n v="1"/>
    <n v="14.85"/>
    <x v="69"/>
    <n v="4.9005000000000001"/>
    <n v="11.000000000000002"/>
  </r>
  <r>
    <x v="279"/>
    <x v="252"/>
    <s v="Friday"/>
    <x v="3"/>
    <x v="3"/>
    <x v="277"/>
    <x v="278"/>
    <n v="0"/>
    <n v="0"/>
    <x v="140"/>
    <x v="0"/>
    <s v="No"/>
    <x v="3"/>
    <x v="1"/>
    <x v="0"/>
    <n v="1.5125"/>
    <x v="0"/>
    <n v="1"/>
    <n v="13.75"/>
    <x v="3"/>
    <n v="3.0249999999999999"/>
    <n v="11"/>
  </r>
  <r>
    <x v="280"/>
    <x v="253"/>
    <s v="Sunday"/>
    <x v="5"/>
    <x v="0"/>
    <x v="278"/>
    <x v="279"/>
    <s v="dvizor88@furl.net"/>
    <s v="+1 (941) 130-0581"/>
    <x v="53"/>
    <x v="0"/>
    <s v="Yes"/>
    <x v="8"/>
    <x v="0"/>
    <x v="0"/>
    <n v="0.35819999999999996"/>
    <x v="5"/>
    <n v="0.5"/>
    <n v="5.97"/>
    <x v="27"/>
    <n v="2.1491999999999996"/>
    <n v="5.9999999999999982"/>
  </r>
  <r>
    <x v="281"/>
    <x v="254"/>
    <s v="Wednesday"/>
    <x v="6"/>
    <x v="1"/>
    <x v="279"/>
    <x v="280"/>
    <s v="esedgebeer89@oaic.gov.au"/>
    <s v="+1 (305) 898-4252"/>
    <x v="190"/>
    <x v="0"/>
    <s v="Yes"/>
    <x v="34"/>
    <x v="0"/>
    <x v="2"/>
    <n v="0.32219999999999993"/>
    <x v="3"/>
    <n v="0.5"/>
    <n v="5.3699999999999992"/>
    <x v="103"/>
    <n v="0.96659999999999979"/>
    <n v="5.9999999999999991"/>
  </r>
  <r>
    <x v="282"/>
    <x v="227"/>
    <s v="Tuesday"/>
    <x v="10"/>
    <x v="3"/>
    <x v="280"/>
    <x v="281"/>
    <s v="klestrange8a@lulu.com"/>
    <s v="+1 (404) 479-6402"/>
    <x v="161"/>
    <x v="0"/>
    <s v="Yes"/>
    <x v="46"/>
    <x v="1"/>
    <x v="1"/>
    <n v="0.49004999999999999"/>
    <x v="5"/>
    <n v="0.2"/>
    <n v="4.4550000000000001"/>
    <x v="149"/>
    <n v="2.9402999999999997"/>
    <n v="10.999999999999998"/>
  </r>
  <r>
    <x v="283"/>
    <x v="110"/>
    <s v="Saturday"/>
    <x v="8"/>
    <x v="0"/>
    <x v="281"/>
    <x v="282"/>
    <s v="ltanti8b@techcrunch.com"/>
    <s v="+1 (361) 383-8015"/>
    <x v="191"/>
    <x v="0"/>
    <s v="Yes"/>
    <x v="10"/>
    <x v="1"/>
    <x v="1"/>
    <n v="3.7570499999999996"/>
    <x v="5"/>
    <n v="2.5"/>
    <n v="34.154999999999994"/>
    <x v="106"/>
    <n v="22.542299999999997"/>
    <n v="11.000000000000002"/>
  </r>
  <r>
    <x v="284"/>
    <x v="182"/>
    <s v="Saturday"/>
    <x v="6"/>
    <x v="2"/>
    <x v="282"/>
    <x v="283"/>
    <s v="ade8c@1und1.de"/>
    <s v="+1 (808) 868-6669"/>
    <x v="103"/>
    <x v="0"/>
    <s v="Yes"/>
    <x v="2"/>
    <x v="2"/>
    <x v="1"/>
    <n v="1.1655"/>
    <x v="3"/>
    <n v="1"/>
    <n v="12.95"/>
    <x v="5"/>
    <n v="3.4965000000000002"/>
    <n v="9.0000000000000018"/>
  </r>
  <r>
    <x v="285"/>
    <x v="255"/>
    <s v="Monday"/>
    <x v="0"/>
    <x v="3"/>
    <x v="283"/>
    <x v="284"/>
    <s v="tjedrachowicz8d@acquirethisname.com"/>
    <s v="+1 (512) 635-4547"/>
    <x v="79"/>
    <x v="0"/>
    <s v="Yes"/>
    <x v="12"/>
    <x v="3"/>
    <x v="2"/>
    <n v="0.50505"/>
    <x v="4"/>
    <n v="0.2"/>
    <n v="3.8849999999999998"/>
    <x v="42"/>
    <n v="2.0202"/>
    <n v="13"/>
  </r>
  <r>
    <x v="286"/>
    <x v="256"/>
    <s v="Thursday"/>
    <x v="7"/>
    <x v="0"/>
    <x v="284"/>
    <x v="285"/>
    <s v="pstonner8e@moonfruit.com"/>
    <s v="+1 (410) 158-5285"/>
    <x v="192"/>
    <x v="0"/>
    <s v="No"/>
    <x v="19"/>
    <x v="2"/>
    <x v="0"/>
    <n v="0.60749999999999993"/>
    <x v="2"/>
    <n v="0.5"/>
    <n v="6.75"/>
    <x v="52"/>
    <n v="0.60749999999999993"/>
    <n v="8.9999999999999982"/>
  </r>
  <r>
    <x v="287"/>
    <x v="3"/>
    <s v="Wednesday"/>
    <x v="3"/>
    <x v="1"/>
    <x v="285"/>
    <x v="286"/>
    <s v="dtingly8f@goo.ne.jp"/>
    <n v="0"/>
    <x v="193"/>
    <x v="0"/>
    <s v="Yes"/>
    <x v="47"/>
    <x v="1"/>
    <x v="2"/>
    <n v="3.07395"/>
    <x v="4"/>
    <n v="2.5"/>
    <n v="27.945"/>
    <x v="150"/>
    <n v="12.2958"/>
    <n v="11"/>
  </r>
  <r>
    <x v="288"/>
    <x v="257"/>
    <s v="Sunday"/>
    <x v="9"/>
    <x v="0"/>
    <x v="286"/>
    <x v="287"/>
    <s v="crushe8n@about.me"/>
    <s v="+1 (704) 883-8274"/>
    <x v="63"/>
    <x v="0"/>
    <s v="Yes"/>
    <x v="29"/>
    <x v="2"/>
    <x v="1"/>
    <n v="0.34964999999999996"/>
    <x v="2"/>
    <n v="0.2"/>
    <n v="3.8849999999999998"/>
    <x v="84"/>
    <n v="0.34964999999999996"/>
    <n v="9"/>
  </r>
  <r>
    <x v="289"/>
    <x v="258"/>
    <s v="Wednesday"/>
    <x v="11"/>
    <x v="0"/>
    <x v="287"/>
    <x v="288"/>
    <s v="bchecci8h@usa.gov"/>
    <s v="+44 (237) 377-1917"/>
    <x v="194"/>
    <x v="2"/>
    <s v="No"/>
    <x v="21"/>
    <x v="3"/>
    <x v="0"/>
    <n v="0.56745000000000001"/>
    <x v="1"/>
    <n v="0.2"/>
    <n v="4.3650000000000002"/>
    <x v="26"/>
    <n v="2.83725"/>
    <n v="12.999999999999998"/>
  </r>
  <r>
    <x v="290"/>
    <x v="259"/>
    <s v="Saturday"/>
    <x v="10"/>
    <x v="3"/>
    <x v="288"/>
    <x v="289"/>
    <s v="jbagot8i@mac.com"/>
    <s v="+1 (402) 659-3815"/>
    <x v="195"/>
    <x v="0"/>
    <s v="No"/>
    <x v="36"/>
    <x v="0"/>
    <x v="0"/>
    <n v="0.17909999999999998"/>
    <x v="1"/>
    <n v="0.2"/>
    <n v="2.9849999999999999"/>
    <x v="128"/>
    <n v="0.89549999999999996"/>
    <n v="6.0000000000000009"/>
  </r>
  <r>
    <x v="291"/>
    <x v="260"/>
    <s v="Sunday"/>
    <x v="4"/>
    <x v="1"/>
    <x v="289"/>
    <x v="290"/>
    <s v="ebeeble8j@soundcloud.com"/>
    <s v="+1 (513) 141-9892"/>
    <x v="159"/>
    <x v="0"/>
    <s v="Yes"/>
    <x v="17"/>
    <x v="2"/>
    <x v="0"/>
    <n v="1.0125"/>
    <x v="3"/>
    <n v="1"/>
    <n v="11.25"/>
    <x v="65"/>
    <n v="3.0374999999999996"/>
    <n v="8.9999999999999982"/>
  </r>
  <r>
    <x v="292"/>
    <x v="261"/>
    <s v="Friday"/>
    <x v="1"/>
    <x v="2"/>
    <x v="290"/>
    <x v="291"/>
    <s v="cfluin8k@flickr.com"/>
    <n v="0"/>
    <x v="172"/>
    <x v="2"/>
    <s v="No"/>
    <x v="17"/>
    <x v="2"/>
    <x v="0"/>
    <n v="1.0125"/>
    <x v="3"/>
    <n v="1"/>
    <n v="11.25"/>
    <x v="65"/>
    <n v="3.0374999999999996"/>
    <n v="8.9999999999999982"/>
  </r>
  <r>
    <x v="293"/>
    <x v="262"/>
    <s v="Monday"/>
    <x v="10"/>
    <x v="3"/>
    <x v="291"/>
    <x v="292"/>
    <s v="ebletsor8l@vinaora.com"/>
    <s v="+1 (860) 182-4246"/>
    <x v="196"/>
    <x v="0"/>
    <s v="Yes"/>
    <x v="21"/>
    <x v="3"/>
    <x v="0"/>
    <n v="0.56745000000000001"/>
    <x v="5"/>
    <n v="0.2"/>
    <n v="4.3650000000000002"/>
    <x v="50"/>
    <n v="3.4047000000000001"/>
    <n v="13"/>
  </r>
  <r>
    <x v="294"/>
    <x v="263"/>
    <s v="Tuesday"/>
    <x v="4"/>
    <x v="2"/>
    <x v="292"/>
    <x v="286"/>
    <s v="pbrydell8m@bloglovin.com"/>
    <s v="+353 (522) 527-0155"/>
    <x v="65"/>
    <x v="1"/>
    <s v="No"/>
    <x v="33"/>
    <x v="1"/>
    <x v="1"/>
    <n v="1.6335"/>
    <x v="2"/>
    <n v="1"/>
    <n v="14.85"/>
    <x v="151"/>
    <n v="1.6335"/>
    <n v="11"/>
  </r>
  <r>
    <x v="295"/>
    <x v="212"/>
    <s v="Thursday"/>
    <x v="8"/>
    <x v="3"/>
    <x v="286"/>
    <x v="293"/>
    <s v="crushe8n@about.me"/>
    <s v="+1 (704) 883-8274"/>
    <x v="63"/>
    <x v="0"/>
    <s v="Yes"/>
    <x v="28"/>
    <x v="1"/>
    <x v="0"/>
    <n v="3.4787499999999998"/>
    <x v="5"/>
    <n v="2.5"/>
    <n v="31.624999999999996"/>
    <x v="152"/>
    <n v="20.872499999999999"/>
    <n v="11.000000000000002"/>
  </r>
  <r>
    <x v="296"/>
    <x v="187"/>
    <s v="Saturday"/>
    <x v="5"/>
    <x v="1"/>
    <x v="293"/>
    <x v="294"/>
    <s v="nleethem8o@mac.com"/>
    <s v="+1 (318) 839-1492"/>
    <x v="117"/>
    <x v="0"/>
    <s v="Yes"/>
    <x v="8"/>
    <x v="0"/>
    <x v="0"/>
    <n v="0.35819999999999996"/>
    <x v="2"/>
    <n v="0.5"/>
    <n v="5.97"/>
    <x v="9"/>
    <n v="0.35819999999999996"/>
    <n v="6"/>
  </r>
  <r>
    <x v="297"/>
    <x v="248"/>
    <s v="Thursday"/>
    <x v="7"/>
    <x v="1"/>
    <x v="294"/>
    <x v="295"/>
    <s v="anesfield8p@people.com.cn"/>
    <s v="+44 (418) 372-8139"/>
    <x v="197"/>
    <x v="2"/>
    <s v="Yes"/>
    <x v="0"/>
    <x v="0"/>
    <x v="0"/>
    <n v="0.59699999999999998"/>
    <x v="3"/>
    <n v="1"/>
    <n v="9.9499999999999993"/>
    <x v="44"/>
    <n v="1.7909999999999999"/>
    <n v="6.0000000000000009"/>
  </r>
  <r>
    <x v="298"/>
    <x v="264"/>
    <s v="Sunday"/>
    <x v="3"/>
    <x v="1"/>
    <x v="295"/>
    <x v="296"/>
    <n v="0"/>
    <s v="+1 (702) 723-3139"/>
    <x v="198"/>
    <x v="0"/>
    <s v="No"/>
    <x v="39"/>
    <x v="0"/>
    <x v="2"/>
    <n v="0.53699999999999992"/>
    <x v="1"/>
    <n v="1"/>
    <n v="8.9499999999999993"/>
    <x v="153"/>
    <n v="2.6849999999999996"/>
    <n v="5.9999999999999991"/>
  </r>
  <r>
    <x v="299"/>
    <x v="265"/>
    <s v="Friday"/>
    <x v="9"/>
    <x v="0"/>
    <x v="296"/>
    <x v="297"/>
    <s v="mbrockway8r@ibm.com"/>
    <s v="+1 (515) 216-0617"/>
    <x v="111"/>
    <x v="0"/>
    <s v="Yes"/>
    <x v="10"/>
    <x v="1"/>
    <x v="1"/>
    <n v="3.7570499999999996"/>
    <x v="2"/>
    <n v="2.5"/>
    <n v="34.154999999999994"/>
    <x v="107"/>
    <n v="3.7570499999999996"/>
    <n v="11"/>
  </r>
  <r>
    <x v="300"/>
    <x v="266"/>
    <s v="Tuesday"/>
    <x v="1"/>
    <x v="0"/>
    <x v="297"/>
    <x v="298"/>
    <s v="nlush8s@dedecms.com"/>
    <s v="+353 (360) 805-4030"/>
    <x v="104"/>
    <x v="1"/>
    <s v="No"/>
    <x v="10"/>
    <x v="1"/>
    <x v="1"/>
    <n v="3.7570499999999996"/>
    <x v="5"/>
    <n v="2.5"/>
    <n v="34.154999999999994"/>
    <x v="106"/>
    <n v="22.542299999999997"/>
    <n v="11.000000000000002"/>
  </r>
  <r>
    <x v="301"/>
    <x v="267"/>
    <s v="Saturday"/>
    <x v="6"/>
    <x v="0"/>
    <x v="298"/>
    <x v="299"/>
    <s v="smcmillian8t@csmonitor.com"/>
    <s v="+1 (330) 407-0631"/>
    <x v="199"/>
    <x v="0"/>
    <s v="No"/>
    <x v="6"/>
    <x v="1"/>
    <x v="2"/>
    <n v="0.80190000000000006"/>
    <x v="3"/>
    <n v="0.5"/>
    <n v="7.29"/>
    <x v="6"/>
    <n v="2.4057000000000004"/>
    <n v="11.000000000000002"/>
  </r>
  <r>
    <x v="302"/>
    <x v="204"/>
    <s v="Sunday"/>
    <x v="4"/>
    <x v="2"/>
    <x v="299"/>
    <x v="300"/>
    <s v="tbennison8u@google.cn"/>
    <s v="+1 (561) 413-7904"/>
    <x v="200"/>
    <x v="0"/>
    <s v="Yes"/>
    <x v="37"/>
    <x v="2"/>
    <x v="0"/>
    <n v="2.3287499999999994"/>
    <x v="0"/>
    <n v="2.5"/>
    <n v="25.874999999999996"/>
    <x v="95"/>
    <n v="4.6574999999999989"/>
    <n v="9"/>
  </r>
  <r>
    <x v="303"/>
    <x v="268"/>
    <s v="Tuesday"/>
    <x v="2"/>
    <x v="0"/>
    <x v="300"/>
    <x v="300"/>
    <s v="gtweed8v@yolasite.com"/>
    <n v="0"/>
    <x v="74"/>
    <x v="0"/>
    <s v="Yes"/>
    <x v="18"/>
    <x v="1"/>
    <x v="0"/>
    <n v="0.45374999999999999"/>
    <x v="0"/>
    <n v="0.2"/>
    <n v="4.125"/>
    <x v="112"/>
    <n v="0.90749999999999997"/>
    <n v="11"/>
  </r>
  <r>
    <x v="303"/>
    <x v="268"/>
    <s v="Tuesday"/>
    <x v="2"/>
    <x v="0"/>
    <x v="300"/>
    <x v="301"/>
    <s v="gtweed8v@yolasite.com"/>
    <n v="0"/>
    <x v="74"/>
    <x v="0"/>
    <s v="Yes"/>
    <x v="29"/>
    <x v="2"/>
    <x v="1"/>
    <n v="0.34964999999999996"/>
    <x v="1"/>
    <n v="0.2"/>
    <n v="3.8849999999999998"/>
    <x v="117"/>
    <n v="1.7482499999999999"/>
    <n v="9.0000000000000018"/>
  </r>
  <r>
    <x v="304"/>
    <x v="269"/>
    <s v="Saturday"/>
    <x v="9"/>
    <x v="3"/>
    <x v="301"/>
    <x v="302"/>
    <s v="ggoggin8x@wix.com"/>
    <s v="+353 (484) 159-9549"/>
    <x v="201"/>
    <x v="1"/>
    <s v="Yes"/>
    <x v="14"/>
    <x v="2"/>
    <x v="0"/>
    <n v="0.30374999999999996"/>
    <x v="5"/>
    <n v="0.2"/>
    <n v="3.375"/>
    <x v="16"/>
    <n v="1.8224999999999998"/>
    <n v="8.9999999999999982"/>
  </r>
  <r>
    <x v="305"/>
    <x v="145"/>
    <s v="Thursday"/>
    <x v="9"/>
    <x v="3"/>
    <x v="302"/>
    <x v="303"/>
    <s v="sjeyness8y@biglobe.ne.jp"/>
    <s v="+353 (460) 272-4069"/>
    <x v="202"/>
    <x v="1"/>
    <s v="No"/>
    <x v="31"/>
    <x v="3"/>
    <x v="2"/>
    <n v="1.0101"/>
    <x v="3"/>
    <n v="0.5"/>
    <n v="7.77"/>
    <x v="102"/>
    <n v="3.0303"/>
    <n v="13"/>
  </r>
  <r>
    <x v="306"/>
    <x v="270"/>
    <s v="Saturday"/>
    <x v="1"/>
    <x v="1"/>
    <x v="303"/>
    <x v="304"/>
    <s v="dbonhome8z@shinystat.com"/>
    <s v="+1 (865) 238-4985"/>
    <x v="203"/>
    <x v="0"/>
    <s v="Yes"/>
    <x v="15"/>
    <x v="1"/>
    <x v="2"/>
    <n v="0.40095000000000003"/>
    <x v="1"/>
    <n v="0.2"/>
    <n v="3.645"/>
    <x v="94"/>
    <n v="2.00475"/>
    <n v="10.999999999999998"/>
  </r>
  <r>
    <x v="307"/>
    <x v="271"/>
    <s v="Saturday"/>
    <x v="2"/>
    <x v="0"/>
    <x v="304"/>
    <x v="305"/>
    <n v="0"/>
    <s v="+1 (913) 671-7118"/>
    <x v="153"/>
    <x v="0"/>
    <s v="No"/>
    <x v="3"/>
    <x v="1"/>
    <x v="0"/>
    <n v="1.5125"/>
    <x v="2"/>
    <n v="1"/>
    <n v="13.75"/>
    <x v="154"/>
    <n v="1.5125"/>
    <n v="11"/>
  </r>
  <r>
    <x v="308"/>
    <x v="272"/>
    <s v="Thursday"/>
    <x v="2"/>
    <x v="2"/>
    <x v="305"/>
    <x v="306"/>
    <s v="tle91@epa.gov"/>
    <s v="+1 (415) 176-8216"/>
    <x v="204"/>
    <x v="0"/>
    <s v="Yes"/>
    <x v="44"/>
    <x v="2"/>
    <x v="1"/>
    <n v="2.6806499999999995"/>
    <x v="2"/>
    <n v="2.5"/>
    <n v="29.784999999999997"/>
    <x v="91"/>
    <n v="2.6806499999999995"/>
    <n v="9"/>
  </r>
  <r>
    <x v="309"/>
    <x v="252"/>
    <s v="Friday"/>
    <x v="3"/>
    <x v="3"/>
    <x v="306"/>
    <x v="307"/>
    <n v="0"/>
    <s v="+1 (205) 680-5859"/>
    <x v="38"/>
    <x v="0"/>
    <s v="No"/>
    <x v="39"/>
    <x v="0"/>
    <x v="2"/>
    <n v="0.53699999999999992"/>
    <x v="1"/>
    <n v="1"/>
    <n v="8.9499999999999993"/>
    <x v="153"/>
    <n v="2.6849999999999996"/>
    <n v="5.9999999999999991"/>
  </r>
  <r>
    <x v="310"/>
    <x v="273"/>
    <s v="Wednesday"/>
    <x v="8"/>
    <x v="0"/>
    <x v="307"/>
    <x v="308"/>
    <s v="balldridge93@yandex.ru"/>
    <s v="+1 (646) 561-0082"/>
    <x v="130"/>
    <x v="0"/>
    <s v="Yes"/>
    <x v="39"/>
    <x v="0"/>
    <x v="2"/>
    <n v="0.53699999999999992"/>
    <x v="1"/>
    <n v="1"/>
    <n v="8.9499999999999993"/>
    <x v="153"/>
    <n v="2.6849999999999996"/>
    <n v="5.9999999999999991"/>
  </r>
  <r>
    <x v="311"/>
    <x v="274"/>
    <s v="Tuesday"/>
    <x v="1"/>
    <x v="0"/>
    <x v="308"/>
    <x v="309"/>
    <n v="0"/>
    <s v="+1 (915) 761-6081"/>
    <x v="87"/>
    <x v="0"/>
    <s v="Yes"/>
    <x v="23"/>
    <x v="3"/>
    <x v="1"/>
    <n v="1.2363"/>
    <x v="4"/>
    <n v="0.5"/>
    <n v="9.51"/>
    <x v="82"/>
    <n v="4.9451999999999998"/>
    <n v="13"/>
  </r>
  <r>
    <x v="312"/>
    <x v="275"/>
    <s v="Monday"/>
    <x v="3"/>
    <x v="2"/>
    <x v="309"/>
    <x v="298"/>
    <s v="lgoodger95@guardian.co.uk"/>
    <n v="0"/>
    <x v="155"/>
    <x v="0"/>
    <s v="Yes"/>
    <x v="34"/>
    <x v="0"/>
    <x v="2"/>
    <n v="0.32219999999999993"/>
    <x v="4"/>
    <n v="0.5"/>
    <n v="5.3699999999999992"/>
    <x v="155"/>
    <n v="1.2887999999999997"/>
    <n v="6"/>
  </r>
  <r>
    <x v="313"/>
    <x v="276"/>
    <s v="Wednesday"/>
    <x v="11"/>
    <x v="0"/>
    <x v="298"/>
    <x v="310"/>
    <s v="smcmillian8t@csmonitor.com"/>
    <s v="+1 (330) 407-0631"/>
    <x v="199"/>
    <x v="0"/>
    <s v="No"/>
    <x v="34"/>
    <x v="0"/>
    <x v="2"/>
    <n v="0.32219999999999993"/>
    <x v="3"/>
    <n v="0.5"/>
    <n v="5.3699999999999992"/>
    <x v="103"/>
    <n v="0.96659999999999979"/>
    <n v="5.9999999999999991"/>
  </r>
  <r>
    <x v="314"/>
    <x v="277"/>
    <s v="Sunday"/>
    <x v="1"/>
    <x v="3"/>
    <x v="310"/>
    <x v="311"/>
    <s v="cdrewett97@wikipedia.org"/>
    <s v="+1 (561) 651-3098"/>
    <x v="205"/>
    <x v="0"/>
    <s v="Yes"/>
    <x v="13"/>
    <x v="0"/>
    <x v="0"/>
    <n v="1.3730999999999998"/>
    <x v="2"/>
    <n v="2.5"/>
    <n v="22.884999999999998"/>
    <x v="156"/>
    <n v="1.3730999999999998"/>
    <n v="6"/>
  </r>
  <r>
    <x v="315"/>
    <x v="278"/>
    <s v="Monday"/>
    <x v="3"/>
    <x v="0"/>
    <x v="311"/>
    <x v="312"/>
    <s v="qparsons98@blogtalkradio.com"/>
    <s v="+1 (323) 848-5169"/>
    <x v="6"/>
    <x v="0"/>
    <s v="Yes"/>
    <x v="20"/>
    <x v="2"/>
    <x v="2"/>
    <n v="0.5373"/>
    <x v="3"/>
    <n v="0.5"/>
    <n v="5.97"/>
    <x v="8"/>
    <n v="1.6118999999999999"/>
    <n v="9"/>
  </r>
  <r>
    <x v="316"/>
    <x v="279"/>
    <s v="Wednesday"/>
    <x v="0"/>
    <x v="0"/>
    <x v="312"/>
    <x v="313"/>
    <s v="vceely99@auda.org.au"/>
    <s v="+1 (410) 876-8486"/>
    <x v="192"/>
    <x v="0"/>
    <s v="Yes"/>
    <x v="8"/>
    <x v="0"/>
    <x v="0"/>
    <n v="0.35819999999999996"/>
    <x v="4"/>
    <n v="0.5"/>
    <n v="5.97"/>
    <x v="86"/>
    <n v="1.4327999999999999"/>
    <n v="6"/>
  </r>
  <r>
    <x v="317"/>
    <x v="280"/>
    <s v="Friday"/>
    <x v="7"/>
    <x v="0"/>
    <x v="313"/>
    <x v="314"/>
    <n v="0"/>
    <n v="0"/>
    <x v="147"/>
    <x v="0"/>
    <s v="No"/>
    <x v="41"/>
    <x v="0"/>
    <x v="1"/>
    <n v="0.71699999999999997"/>
    <x v="1"/>
    <n v="1"/>
    <n v="11.95"/>
    <x v="143"/>
    <n v="3.585"/>
    <n v="6"/>
  </r>
  <r>
    <x v="318"/>
    <x v="281"/>
    <s v="Monday"/>
    <x v="10"/>
    <x v="3"/>
    <x v="314"/>
    <x v="315"/>
    <s v="cvasiliev9b@discuz.net"/>
    <s v="+1 (214) 507-8264"/>
    <x v="132"/>
    <x v="0"/>
    <s v="Yes"/>
    <x v="7"/>
    <x v="3"/>
    <x v="1"/>
    <n v="0.61814999999999998"/>
    <x v="5"/>
    <n v="0.2"/>
    <n v="4.7549999999999999"/>
    <x v="32"/>
    <n v="3.7088999999999999"/>
    <n v="12.999999999999998"/>
  </r>
  <r>
    <x v="319"/>
    <x v="282"/>
    <s v="Thursday"/>
    <x v="3"/>
    <x v="1"/>
    <x v="315"/>
    <x v="306"/>
    <s v="tomoylan9c@liveinternet.ru"/>
    <s v="+44 (911) 807-7254"/>
    <x v="206"/>
    <x v="2"/>
    <s v="No"/>
    <x v="17"/>
    <x v="2"/>
    <x v="0"/>
    <n v="1.0125"/>
    <x v="4"/>
    <n v="1"/>
    <n v="11.25"/>
    <x v="157"/>
    <n v="4.05"/>
    <n v="9"/>
  </r>
  <r>
    <x v="320"/>
    <x v="283"/>
    <s v="Sunday"/>
    <x v="7"/>
    <x v="1"/>
    <x v="306"/>
    <x v="316"/>
    <n v="0"/>
    <s v="+1 (205) 680-5859"/>
    <x v="38"/>
    <x v="0"/>
    <s v="No"/>
    <x v="47"/>
    <x v="1"/>
    <x v="2"/>
    <n v="3.07395"/>
    <x v="0"/>
    <n v="2.5"/>
    <n v="27.945"/>
    <x v="158"/>
    <n v="6.1478999999999999"/>
    <n v="11"/>
  </r>
  <r>
    <x v="321"/>
    <x v="284"/>
    <s v="Saturday"/>
    <x v="1"/>
    <x v="3"/>
    <x v="316"/>
    <x v="317"/>
    <s v="wfetherston9e@constantcontact.com"/>
    <s v="+1 (212) 724-3420"/>
    <x v="15"/>
    <x v="0"/>
    <s v="No"/>
    <x v="33"/>
    <x v="1"/>
    <x v="1"/>
    <n v="1.6335"/>
    <x v="4"/>
    <n v="1"/>
    <n v="14.85"/>
    <x v="48"/>
    <n v="6.5339999999999998"/>
    <n v="11"/>
  </r>
  <r>
    <x v="322"/>
    <x v="285"/>
    <s v="Monday"/>
    <x v="6"/>
    <x v="1"/>
    <x v="317"/>
    <x v="318"/>
    <s v="erasmus9f@techcrunch.com"/>
    <s v="+1 (617) 830-9474"/>
    <x v="35"/>
    <x v="0"/>
    <s v="Yes"/>
    <x v="15"/>
    <x v="1"/>
    <x v="2"/>
    <n v="0.40095000000000003"/>
    <x v="0"/>
    <n v="0.2"/>
    <n v="3.645"/>
    <x v="35"/>
    <n v="0.80190000000000006"/>
    <n v="11"/>
  </r>
  <r>
    <x v="323"/>
    <x v="286"/>
    <s v="Monday"/>
    <x v="6"/>
    <x v="0"/>
    <x v="318"/>
    <x v="319"/>
    <s v="wgiorgioni9g@wikipedia.org"/>
    <s v="+1 (415) 960-7198"/>
    <x v="204"/>
    <x v="0"/>
    <s v="Yes"/>
    <x v="6"/>
    <x v="1"/>
    <x v="2"/>
    <n v="0.80190000000000006"/>
    <x v="2"/>
    <n v="0.5"/>
    <n v="7.29"/>
    <x v="35"/>
    <n v="0.80190000000000006"/>
    <n v="11"/>
  </r>
  <r>
    <x v="324"/>
    <x v="287"/>
    <s v="Sunday"/>
    <x v="7"/>
    <x v="0"/>
    <x v="319"/>
    <x v="319"/>
    <s v="lscargle9h@myspace.com"/>
    <s v="+1 (317) 136-7045"/>
    <x v="207"/>
    <x v="0"/>
    <s v="No"/>
    <x v="38"/>
    <x v="1"/>
    <x v="1"/>
    <n v="0.98009999999999997"/>
    <x v="0"/>
    <n v="0.5"/>
    <n v="8.91"/>
    <x v="58"/>
    <n v="1.9601999999999999"/>
    <n v="11"/>
  </r>
  <r>
    <x v="324"/>
    <x v="287"/>
    <s v="Sunday"/>
    <x v="7"/>
    <x v="0"/>
    <x v="319"/>
    <x v="320"/>
    <s v="lscargle9h@myspace.com"/>
    <s v="+1 (317) 136-7045"/>
    <x v="207"/>
    <x v="0"/>
    <s v="No"/>
    <x v="31"/>
    <x v="3"/>
    <x v="2"/>
    <n v="1.0101"/>
    <x v="1"/>
    <n v="0.5"/>
    <n v="7.77"/>
    <x v="5"/>
    <n v="5.0504999999999995"/>
    <n v="13"/>
  </r>
  <r>
    <x v="325"/>
    <x v="288"/>
    <s v="Thursday"/>
    <x v="3"/>
    <x v="0"/>
    <x v="320"/>
    <x v="321"/>
    <s v="nclimance9j@europa.eu"/>
    <n v="0"/>
    <x v="208"/>
    <x v="0"/>
    <s v="No"/>
    <x v="34"/>
    <x v="0"/>
    <x v="2"/>
    <n v="0.32219999999999993"/>
    <x v="5"/>
    <n v="0.5"/>
    <n v="5.3699999999999992"/>
    <x v="111"/>
    <n v="1.9331999999999996"/>
    <n v="5.9999999999999991"/>
  </r>
  <r>
    <x v="326"/>
    <x v="250"/>
    <s v="Monday"/>
    <x v="11"/>
    <x v="1"/>
    <x v="321"/>
    <x v="322"/>
    <n v="0"/>
    <s v="+353 (950) 306-4776"/>
    <x v="209"/>
    <x v="1"/>
    <s v="Yes"/>
    <x v="0"/>
    <x v="0"/>
    <x v="0"/>
    <n v="0.59699999999999998"/>
    <x v="0"/>
    <n v="1"/>
    <n v="9.9499999999999993"/>
    <x v="0"/>
    <n v="1.194"/>
    <n v="6.0000000000000009"/>
  </r>
  <r>
    <x v="327"/>
    <x v="289"/>
    <s v="Sunday"/>
    <x v="4"/>
    <x v="3"/>
    <x v="322"/>
    <x v="323"/>
    <s v="asnazle9l@oracle.com"/>
    <s v="+1 (334) 193-6359"/>
    <x v="124"/>
    <x v="0"/>
    <s v="No"/>
    <x v="41"/>
    <x v="0"/>
    <x v="1"/>
    <n v="0.71699999999999997"/>
    <x v="1"/>
    <n v="1"/>
    <n v="11.95"/>
    <x v="143"/>
    <n v="3.585"/>
    <n v="6"/>
  </r>
  <r>
    <x v="328"/>
    <x v="290"/>
    <s v="Friday"/>
    <x v="5"/>
    <x v="1"/>
    <x v="323"/>
    <x v="324"/>
    <s v="rworg9m@arstechnica.com"/>
    <s v="+1 (214) 985-2470"/>
    <x v="68"/>
    <x v="0"/>
    <s v="Yes"/>
    <x v="42"/>
    <x v="2"/>
    <x v="1"/>
    <n v="0.69929999999999992"/>
    <x v="3"/>
    <n v="0.5"/>
    <n v="7.77"/>
    <x v="102"/>
    <n v="2.0978999999999997"/>
    <n v="9"/>
  </r>
  <r>
    <x v="329"/>
    <x v="291"/>
    <s v="Saturday"/>
    <x v="4"/>
    <x v="2"/>
    <x v="324"/>
    <x v="325"/>
    <s v="ldanes9n@umn.edu"/>
    <s v="+1 (785) 398-5129"/>
    <x v="210"/>
    <x v="0"/>
    <s v="No"/>
    <x v="24"/>
    <x v="3"/>
    <x v="0"/>
    <n v="1.8915000000000002"/>
    <x v="3"/>
    <n v="1"/>
    <n v="14.55"/>
    <x v="34"/>
    <n v="5.6745000000000001"/>
    <n v="12.999999999999998"/>
  </r>
  <r>
    <x v="330"/>
    <x v="292"/>
    <s v="Wednesday"/>
    <x v="9"/>
    <x v="0"/>
    <x v="325"/>
    <x v="326"/>
    <s v="skeynd9o@narod.ru"/>
    <s v="+1 (903) 299-3053"/>
    <x v="211"/>
    <x v="0"/>
    <s v="No"/>
    <x v="10"/>
    <x v="1"/>
    <x v="1"/>
    <n v="3.7570499999999996"/>
    <x v="5"/>
    <n v="2.5"/>
    <n v="34.154999999999994"/>
    <x v="106"/>
    <n v="22.542299999999997"/>
    <n v="11.000000000000002"/>
  </r>
  <r>
    <x v="331"/>
    <x v="293"/>
    <s v="Friday"/>
    <x v="2"/>
    <x v="2"/>
    <x v="326"/>
    <x v="327"/>
    <s v="ddaveridge9p@arstechnica.com"/>
    <s v="+1 (213) 474-2139"/>
    <x v="6"/>
    <x v="0"/>
    <s v="No"/>
    <x v="40"/>
    <x v="0"/>
    <x v="1"/>
    <n v="0.21509999999999996"/>
    <x v="4"/>
    <n v="0.2"/>
    <n v="3.5849999999999995"/>
    <x v="79"/>
    <n v="0.86039999999999983"/>
    <n v="6"/>
  </r>
  <r>
    <x v="332"/>
    <x v="294"/>
    <s v="Tuesday"/>
    <x v="5"/>
    <x v="0"/>
    <x v="327"/>
    <x v="328"/>
    <s v="jawdry9q@utexas.edu"/>
    <s v="+1 (318) 747-7610"/>
    <x v="212"/>
    <x v="0"/>
    <s v="No"/>
    <x v="20"/>
    <x v="2"/>
    <x v="2"/>
    <n v="0.5373"/>
    <x v="4"/>
    <n v="0.5"/>
    <n v="5.97"/>
    <x v="86"/>
    <n v="2.1492"/>
    <n v="9.0000000000000018"/>
  </r>
  <r>
    <x v="333"/>
    <x v="295"/>
    <s v="Sunday"/>
    <x v="3"/>
    <x v="3"/>
    <x v="328"/>
    <x v="306"/>
    <s v="eryles9r@fastcompany.com"/>
    <s v="+1 (208) 760-1705"/>
    <x v="213"/>
    <x v="0"/>
    <s v="No"/>
    <x v="17"/>
    <x v="2"/>
    <x v="0"/>
    <n v="1.0125"/>
    <x v="0"/>
    <n v="1"/>
    <n v="11.25"/>
    <x v="122"/>
    <n v="2.0249999999999999"/>
    <n v="9"/>
  </r>
  <r>
    <x v="334"/>
    <x v="296"/>
    <s v="Tuesday"/>
    <x v="1"/>
    <x v="3"/>
    <x v="306"/>
    <x v="329"/>
    <n v="0"/>
    <s v="+1 (205) 680-5859"/>
    <x v="38"/>
    <x v="0"/>
    <s v="No"/>
    <x v="6"/>
    <x v="1"/>
    <x v="2"/>
    <n v="0.80190000000000006"/>
    <x v="1"/>
    <n v="0.5"/>
    <n v="7.29"/>
    <x v="114"/>
    <n v="4.0095000000000001"/>
    <n v="10.999999999999998"/>
  </r>
  <r>
    <x v="335"/>
    <x v="297"/>
    <s v="Thursday"/>
    <x v="4"/>
    <x v="3"/>
    <x v="329"/>
    <x v="330"/>
    <n v="0"/>
    <s v="+1 (334) 191-0127"/>
    <x v="124"/>
    <x v="0"/>
    <s v="Yes"/>
    <x v="19"/>
    <x v="2"/>
    <x v="0"/>
    <n v="0.60749999999999993"/>
    <x v="4"/>
    <n v="0.5"/>
    <n v="6.75"/>
    <x v="25"/>
    <n v="2.4299999999999997"/>
    <n v="8.9999999999999982"/>
  </r>
  <r>
    <x v="336"/>
    <x v="298"/>
    <s v="Saturday"/>
    <x v="10"/>
    <x v="3"/>
    <x v="330"/>
    <x v="331"/>
    <s v="jcaldicott9u@usda.gov"/>
    <n v="0"/>
    <x v="214"/>
    <x v="0"/>
    <s v="No"/>
    <x v="37"/>
    <x v="2"/>
    <x v="0"/>
    <n v="2.3287499999999994"/>
    <x v="5"/>
    <n v="2.5"/>
    <n v="25.874999999999996"/>
    <x v="71"/>
    <n v="13.972499999999997"/>
    <n v="9"/>
  </r>
  <r>
    <x v="337"/>
    <x v="299"/>
    <s v="Friday"/>
    <x v="1"/>
    <x v="1"/>
    <x v="331"/>
    <x v="332"/>
    <s v="mvedmore9v@a8.net"/>
    <s v="+1 (336) 366-8873"/>
    <x v="116"/>
    <x v="0"/>
    <s v="Yes"/>
    <x v="30"/>
    <x v="2"/>
    <x v="2"/>
    <n v="2.0596499999999995"/>
    <x v="1"/>
    <n v="2.5"/>
    <n v="22.884999999999998"/>
    <x v="15"/>
    <n v="10.298249999999998"/>
    <n v="9"/>
  </r>
  <r>
    <x v="338"/>
    <x v="300"/>
    <s v="Friday"/>
    <x v="6"/>
    <x v="2"/>
    <x v="332"/>
    <x v="333"/>
    <s v="wromao9w@chronoengine.com"/>
    <s v="+1 (916) 623-2394"/>
    <x v="155"/>
    <x v="0"/>
    <s v="Yes"/>
    <x v="5"/>
    <x v="3"/>
    <x v="2"/>
    <n v="1.6835"/>
    <x v="4"/>
    <n v="1"/>
    <n v="12.95"/>
    <x v="67"/>
    <n v="6.734"/>
    <n v="13"/>
  </r>
  <r>
    <x v="339"/>
    <x v="301"/>
    <s v="Thursday"/>
    <x v="0"/>
    <x v="1"/>
    <x v="333"/>
    <x v="334"/>
    <n v="0"/>
    <s v="+1 (512) 200-9234"/>
    <x v="215"/>
    <x v="0"/>
    <s v="No"/>
    <x v="37"/>
    <x v="2"/>
    <x v="0"/>
    <n v="2.3287499999999994"/>
    <x v="5"/>
    <n v="2.5"/>
    <n v="25.874999999999996"/>
    <x v="71"/>
    <n v="13.972499999999997"/>
    <n v="9"/>
  </r>
  <r>
    <x v="340"/>
    <x v="302"/>
    <s v="Tuesday"/>
    <x v="5"/>
    <x v="0"/>
    <x v="334"/>
    <x v="335"/>
    <s v="tcotmore9y@amazonaws.com"/>
    <s v="+1 (571) 250-3012"/>
    <x v="216"/>
    <x v="0"/>
    <s v="No"/>
    <x v="44"/>
    <x v="2"/>
    <x v="1"/>
    <n v="2.6806499999999995"/>
    <x v="2"/>
    <n v="2.5"/>
    <n v="29.784999999999997"/>
    <x v="91"/>
    <n v="2.6806499999999995"/>
    <n v="9"/>
  </r>
  <r>
    <x v="341"/>
    <x v="303"/>
    <s v="Monday"/>
    <x v="8"/>
    <x v="0"/>
    <x v="335"/>
    <x v="336"/>
    <s v="yskipsey9z@spotify.com"/>
    <s v="+44 (257) 759-9950"/>
    <x v="217"/>
    <x v="2"/>
    <s v="No"/>
    <x v="40"/>
    <x v="0"/>
    <x v="1"/>
    <n v="0.21509999999999996"/>
    <x v="5"/>
    <n v="0.2"/>
    <n v="3.5849999999999995"/>
    <x v="137"/>
    <n v="1.2905999999999997"/>
    <n v="5.9999999999999991"/>
  </r>
  <r>
    <x v="342"/>
    <x v="304"/>
    <s v="Saturday"/>
    <x v="3"/>
    <x v="3"/>
    <x v="336"/>
    <x v="336"/>
    <s v="ncorpsa0@gmpg.org"/>
    <s v="+1 (803) 730-8217"/>
    <x v="182"/>
    <x v="0"/>
    <s v="No"/>
    <x v="11"/>
    <x v="0"/>
    <x v="2"/>
    <n v="1.2350999999999999"/>
    <x v="0"/>
    <n v="2.5"/>
    <n v="20.584999999999997"/>
    <x v="13"/>
    <n v="2.4701999999999997"/>
    <n v="6.0000000000000009"/>
  </r>
  <r>
    <x v="342"/>
    <x v="304"/>
    <s v="Saturday"/>
    <x v="3"/>
    <x v="3"/>
    <x v="336"/>
    <x v="337"/>
    <s v="ncorpsa0@gmpg.org"/>
    <s v="+1 (803) 730-8217"/>
    <x v="182"/>
    <x v="0"/>
    <s v="No"/>
    <x v="8"/>
    <x v="0"/>
    <x v="0"/>
    <n v="0.35819999999999996"/>
    <x v="2"/>
    <n v="0.5"/>
    <n v="5.97"/>
    <x v="9"/>
    <n v="0.35819999999999996"/>
    <n v="6"/>
  </r>
  <r>
    <x v="343"/>
    <x v="305"/>
    <s v="Thursday"/>
    <x v="5"/>
    <x v="2"/>
    <x v="337"/>
    <x v="338"/>
    <s v="fbabbera2@stanford.edu"/>
    <s v="+1 (623) 550-6050"/>
    <x v="167"/>
    <x v="0"/>
    <s v="Yes"/>
    <x v="33"/>
    <x v="1"/>
    <x v="1"/>
    <n v="1.6335"/>
    <x v="1"/>
    <n v="1"/>
    <n v="14.85"/>
    <x v="159"/>
    <n v="8.1675000000000004"/>
    <n v="11"/>
  </r>
  <r>
    <x v="344"/>
    <x v="196"/>
    <s v="Saturday"/>
    <x v="6"/>
    <x v="1"/>
    <x v="338"/>
    <x v="339"/>
    <s v="kloxtona3@opensource.org"/>
    <n v="0"/>
    <x v="218"/>
    <x v="0"/>
    <s v="No"/>
    <x v="24"/>
    <x v="3"/>
    <x v="0"/>
    <n v="1.8915000000000002"/>
    <x v="5"/>
    <n v="1"/>
    <n v="14.55"/>
    <x v="75"/>
    <n v="11.349"/>
    <n v="12.999999999999998"/>
  </r>
  <r>
    <x v="345"/>
    <x v="110"/>
    <s v="Saturday"/>
    <x v="8"/>
    <x v="0"/>
    <x v="339"/>
    <x v="340"/>
    <s v="ptoffula4@posterous.com"/>
    <s v="+1 (310) 210-6841"/>
    <x v="74"/>
    <x v="0"/>
    <s v="Yes"/>
    <x v="45"/>
    <x v="1"/>
    <x v="2"/>
    <n v="1.3365"/>
    <x v="5"/>
    <n v="1"/>
    <n v="12.15"/>
    <x v="118"/>
    <n v="8.0190000000000001"/>
    <n v="10.999999999999998"/>
  </r>
  <r>
    <x v="346"/>
    <x v="24"/>
    <s v="Saturday"/>
    <x v="0"/>
    <x v="1"/>
    <x v="340"/>
    <x v="341"/>
    <s v="cgwinnetta5@behance.net"/>
    <n v="0"/>
    <x v="219"/>
    <x v="0"/>
    <s v="No"/>
    <x v="31"/>
    <x v="3"/>
    <x v="2"/>
    <n v="1.0101"/>
    <x v="2"/>
    <n v="0.5"/>
    <n v="7.77"/>
    <x v="41"/>
    <n v="1.0101"/>
    <n v="13"/>
  </r>
  <r>
    <x v="347"/>
    <x v="306"/>
    <s v="Thursday"/>
    <x v="10"/>
    <x v="3"/>
    <x v="341"/>
    <x v="342"/>
    <n v="0"/>
    <s v="+1 (757) 211-0153"/>
    <x v="95"/>
    <x v="0"/>
    <s v="No"/>
    <x v="6"/>
    <x v="1"/>
    <x v="2"/>
    <n v="0.80190000000000006"/>
    <x v="5"/>
    <n v="0.5"/>
    <n v="7.29"/>
    <x v="160"/>
    <n v="4.8114000000000008"/>
    <n v="11.000000000000002"/>
  </r>
  <r>
    <x v="348"/>
    <x v="307"/>
    <s v="Friday"/>
    <x v="2"/>
    <x v="1"/>
    <x v="342"/>
    <x v="343"/>
    <n v="0"/>
    <n v="0"/>
    <x v="141"/>
    <x v="0"/>
    <s v="Yes"/>
    <x v="21"/>
    <x v="3"/>
    <x v="0"/>
    <n v="0.56745000000000001"/>
    <x v="0"/>
    <n v="0.2"/>
    <n v="4.3650000000000002"/>
    <x v="31"/>
    <n v="1.1349"/>
    <n v="13"/>
  </r>
  <r>
    <x v="349"/>
    <x v="308"/>
    <s v="Wednesday"/>
    <x v="5"/>
    <x v="2"/>
    <x v="343"/>
    <x v="344"/>
    <s v="lflaoniera8@wordpress.org"/>
    <s v="+1 (718) 586-2839"/>
    <x v="142"/>
    <x v="0"/>
    <s v="No"/>
    <x v="28"/>
    <x v="1"/>
    <x v="0"/>
    <n v="3.4787499999999998"/>
    <x v="0"/>
    <n v="2.5"/>
    <n v="31.624999999999996"/>
    <x v="40"/>
    <n v="6.9574999999999996"/>
    <n v="11"/>
  </r>
  <r>
    <x v="350"/>
    <x v="309"/>
    <s v="Monday"/>
    <x v="10"/>
    <x v="0"/>
    <x v="344"/>
    <x v="345"/>
    <n v="0"/>
    <n v="0"/>
    <x v="198"/>
    <x v="0"/>
    <s v="Yes"/>
    <x v="38"/>
    <x v="1"/>
    <x v="1"/>
    <n v="0.98009999999999997"/>
    <x v="2"/>
    <n v="0.5"/>
    <n v="8.91"/>
    <x v="161"/>
    <n v="0.98009999999999997"/>
    <n v="11"/>
  </r>
  <r>
    <x v="351"/>
    <x v="310"/>
    <s v="Tuesday"/>
    <x v="10"/>
    <x v="0"/>
    <x v="345"/>
    <x v="346"/>
    <s v="ccatchesideaa@macromedia.com"/>
    <s v="+1 (801) 121-6042"/>
    <x v="147"/>
    <x v="0"/>
    <s v="Yes"/>
    <x v="45"/>
    <x v="1"/>
    <x v="2"/>
    <n v="1.3365"/>
    <x v="0"/>
    <n v="1"/>
    <n v="12.15"/>
    <x v="76"/>
    <n v="2.673"/>
    <n v="11"/>
  </r>
  <r>
    <x v="352"/>
    <x v="311"/>
    <s v="Tuesday"/>
    <x v="5"/>
    <x v="2"/>
    <x v="346"/>
    <x v="347"/>
    <s v="cgibbonsonab@accuweather.com"/>
    <s v="+1 (206) 848-3585"/>
    <x v="208"/>
    <x v="0"/>
    <s v="Yes"/>
    <x v="42"/>
    <x v="2"/>
    <x v="1"/>
    <n v="0.69929999999999992"/>
    <x v="5"/>
    <n v="0.5"/>
    <n v="7.77"/>
    <x v="162"/>
    <n v="4.1957999999999993"/>
    <n v="9"/>
  </r>
  <r>
    <x v="353"/>
    <x v="132"/>
    <s v="Sunday"/>
    <x v="7"/>
    <x v="3"/>
    <x v="347"/>
    <x v="348"/>
    <s v="tfarraac@behance.net"/>
    <s v="+1 (432) 648-9589"/>
    <x v="220"/>
    <x v="0"/>
    <s v="No"/>
    <x v="35"/>
    <x v="0"/>
    <x v="1"/>
    <n v="0.43019999999999992"/>
    <x v="5"/>
    <n v="0.5"/>
    <n v="7.169999999999999"/>
    <x v="163"/>
    <n v="2.5811999999999995"/>
    <n v="5.9999999999999991"/>
  </r>
  <r>
    <x v="354"/>
    <x v="312"/>
    <s v="Thursday"/>
    <x v="1"/>
    <x v="2"/>
    <x v="348"/>
    <x v="349"/>
    <n v="0"/>
    <s v="+353 (772) 127-7148"/>
    <x v="221"/>
    <x v="1"/>
    <s v="Yes"/>
    <x v="20"/>
    <x v="2"/>
    <x v="2"/>
    <n v="0.5373"/>
    <x v="3"/>
    <n v="0.5"/>
    <n v="5.97"/>
    <x v="8"/>
    <n v="1.6118999999999999"/>
    <n v="9"/>
  </r>
  <r>
    <x v="355"/>
    <x v="313"/>
    <s v="Wednesday"/>
    <x v="7"/>
    <x v="3"/>
    <x v="349"/>
    <x v="350"/>
    <s v="gbamfieldae@yellowpages.com"/>
    <s v="+1 (214) 200-7886"/>
    <x v="222"/>
    <x v="0"/>
    <s v="Yes"/>
    <x v="23"/>
    <x v="3"/>
    <x v="1"/>
    <n v="1.2363"/>
    <x v="4"/>
    <n v="0.5"/>
    <n v="9.51"/>
    <x v="82"/>
    <n v="4.9451999999999998"/>
    <n v="13"/>
  </r>
  <r>
    <x v="356"/>
    <x v="156"/>
    <s v="Friday"/>
    <x v="7"/>
    <x v="3"/>
    <x v="350"/>
    <x v="351"/>
    <s v="whollingdaleaf@about.me"/>
    <s v="+1 (937) 354-2653"/>
    <x v="4"/>
    <x v="0"/>
    <s v="Yes"/>
    <x v="14"/>
    <x v="2"/>
    <x v="0"/>
    <n v="0.30374999999999996"/>
    <x v="0"/>
    <n v="0.2"/>
    <n v="3.375"/>
    <x v="52"/>
    <n v="0.60749999999999993"/>
    <n v="8.9999999999999982"/>
  </r>
  <r>
    <x v="357"/>
    <x v="314"/>
    <s v="Wednesday"/>
    <x v="0"/>
    <x v="3"/>
    <x v="351"/>
    <x v="352"/>
    <s v="jdeag@xrea.com"/>
    <s v="+1 (616) 966-1581"/>
    <x v="16"/>
    <x v="0"/>
    <s v="Yes"/>
    <x v="8"/>
    <x v="0"/>
    <x v="0"/>
    <n v="0.35819999999999996"/>
    <x v="2"/>
    <n v="0.5"/>
    <n v="5.97"/>
    <x v="9"/>
    <n v="0.35819999999999996"/>
    <n v="6"/>
  </r>
  <r>
    <x v="358"/>
    <x v="315"/>
    <s v="Friday"/>
    <x v="6"/>
    <x v="0"/>
    <x v="352"/>
    <x v="353"/>
    <s v="vskulletah@tinyurl.com"/>
    <s v="+353 (215) 420-1467"/>
    <x v="146"/>
    <x v="1"/>
    <s v="No"/>
    <x v="25"/>
    <x v="0"/>
    <x v="2"/>
    <n v="0.16109999999999997"/>
    <x v="3"/>
    <n v="0.2"/>
    <n v="2.6849999999999996"/>
    <x v="36"/>
    <n v="0.4832999999999999"/>
    <n v="5.9999999999999991"/>
  </r>
  <r>
    <x v="359"/>
    <x v="316"/>
    <s v="Wednesday"/>
    <x v="1"/>
    <x v="1"/>
    <x v="353"/>
    <x v="354"/>
    <s v="jrudeforthai@wunderground.com"/>
    <s v="+353 (232) 377-5407"/>
    <x v="223"/>
    <x v="1"/>
    <s v="Yes"/>
    <x v="42"/>
    <x v="2"/>
    <x v="1"/>
    <n v="0.69929999999999992"/>
    <x v="3"/>
    <n v="0.5"/>
    <n v="7.77"/>
    <x v="102"/>
    <n v="2.0978999999999997"/>
    <n v="9"/>
  </r>
  <r>
    <x v="360"/>
    <x v="317"/>
    <s v="Tuesday"/>
    <x v="3"/>
    <x v="0"/>
    <x v="354"/>
    <x v="306"/>
    <s v="atomaszewskiaj@answers.com"/>
    <n v="0"/>
    <x v="224"/>
    <x v="2"/>
    <s v="Yes"/>
    <x v="35"/>
    <x v="0"/>
    <x v="1"/>
    <n v="0.43019999999999992"/>
    <x v="5"/>
    <n v="0.5"/>
    <n v="7.169999999999999"/>
    <x v="163"/>
    <n v="2.5811999999999995"/>
    <n v="5.9999999999999991"/>
  </r>
  <r>
    <x v="361"/>
    <x v="318"/>
    <s v="Monday"/>
    <x v="10"/>
    <x v="1"/>
    <x v="306"/>
    <x v="355"/>
    <n v="0"/>
    <s v="+1 (205) 680-5859"/>
    <x v="38"/>
    <x v="0"/>
    <s v="No"/>
    <x v="31"/>
    <x v="3"/>
    <x v="2"/>
    <n v="1.0101"/>
    <x v="3"/>
    <n v="0.5"/>
    <n v="7.77"/>
    <x v="102"/>
    <n v="3.0303"/>
    <n v="13"/>
  </r>
  <r>
    <x v="362"/>
    <x v="182"/>
    <s v="Saturday"/>
    <x v="6"/>
    <x v="2"/>
    <x v="355"/>
    <x v="356"/>
    <s v="pbessal@qq.com"/>
    <s v="+1 (949) 121-4600"/>
    <x v="6"/>
    <x v="0"/>
    <s v="Yes"/>
    <x v="16"/>
    <x v="2"/>
    <x v="2"/>
    <n v="0.26865"/>
    <x v="1"/>
    <n v="0.2"/>
    <n v="2.9849999999999999"/>
    <x v="128"/>
    <n v="1.3432500000000001"/>
    <n v="9.0000000000000018"/>
  </r>
  <r>
    <x v="363"/>
    <x v="319"/>
    <s v="Friday"/>
    <x v="4"/>
    <x v="3"/>
    <x v="356"/>
    <x v="357"/>
    <s v="ewindressam@marketwatch.com"/>
    <s v="+1 (443) 619-7953"/>
    <x v="192"/>
    <x v="0"/>
    <s v="No"/>
    <x v="6"/>
    <x v="1"/>
    <x v="2"/>
    <n v="0.80190000000000006"/>
    <x v="3"/>
    <n v="0.5"/>
    <n v="7.29"/>
    <x v="6"/>
    <n v="2.4057000000000004"/>
    <n v="11.000000000000002"/>
  </r>
  <r>
    <x v="364"/>
    <x v="320"/>
    <s v="Wednesday"/>
    <x v="5"/>
    <x v="0"/>
    <x v="357"/>
    <x v="358"/>
    <n v="0"/>
    <s v="+1 (717) 990-3931"/>
    <x v="225"/>
    <x v="0"/>
    <s v="Yes"/>
    <x v="38"/>
    <x v="1"/>
    <x v="1"/>
    <n v="0.98009999999999997"/>
    <x v="5"/>
    <n v="0.5"/>
    <n v="8.91"/>
    <x v="119"/>
    <n v="5.8805999999999994"/>
    <n v="10.999999999999998"/>
  </r>
  <r>
    <x v="365"/>
    <x v="321"/>
    <s v="Sunday"/>
    <x v="10"/>
    <x v="3"/>
    <x v="358"/>
    <x v="359"/>
    <n v="0"/>
    <s v="+1 (469) 579-2051"/>
    <x v="68"/>
    <x v="0"/>
    <s v="No"/>
    <x v="44"/>
    <x v="2"/>
    <x v="1"/>
    <n v="2.6806499999999995"/>
    <x v="4"/>
    <n v="2.5"/>
    <n v="29.784999999999997"/>
    <x v="129"/>
    <n v="10.722599999999998"/>
    <n v="9"/>
  </r>
  <r>
    <x v="366"/>
    <x v="322"/>
    <s v="Wednesday"/>
    <x v="9"/>
    <x v="1"/>
    <x v="359"/>
    <x v="360"/>
    <s v="vbaumadierap@google.cn"/>
    <s v="+1 (816) 987-4857"/>
    <x v="77"/>
    <x v="0"/>
    <s v="Yes"/>
    <x v="22"/>
    <x v="3"/>
    <x v="0"/>
    <n v="1.1349"/>
    <x v="1"/>
    <n v="0.5"/>
    <n v="8.73"/>
    <x v="34"/>
    <n v="5.6745000000000001"/>
    <n v="12.999999999999998"/>
  </r>
  <r>
    <x v="367"/>
    <x v="128"/>
    <s v="Wednesday"/>
    <x v="0"/>
    <x v="3"/>
    <x v="360"/>
    <x v="361"/>
    <n v="0"/>
    <s v="+1 (217) 713-5108"/>
    <x v="64"/>
    <x v="0"/>
    <s v="Yes"/>
    <x v="16"/>
    <x v="2"/>
    <x v="2"/>
    <n v="0.26865"/>
    <x v="5"/>
    <n v="0.2"/>
    <n v="2.9849999999999999"/>
    <x v="8"/>
    <n v="1.6118999999999999"/>
    <n v="9"/>
  </r>
  <r>
    <x v="368"/>
    <x v="323"/>
    <s v="Thursday"/>
    <x v="0"/>
    <x v="1"/>
    <x v="361"/>
    <x v="362"/>
    <s v="sweldsar@wired.com"/>
    <s v="+1 (203) 568-7058"/>
    <x v="226"/>
    <x v="0"/>
    <s v="Yes"/>
    <x v="33"/>
    <x v="1"/>
    <x v="1"/>
    <n v="1.6335"/>
    <x v="1"/>
    <n v="1"/>
    <n v="14.85"/>
    <x v="159"/>
    <n v="8.1675000000000004"/>
    <n v="11"/>
  </r>
  <r>
    <x v="369"/>
    <x v="324"/>
    <s v="Monday"/>
    <x v="7"/>
    <x v="3"/>
    <x v="362"/>
    <x v="363"/>
    <s v="msarvaras@artisteer.com"/>
    <s v="+1 (404) 401-6865"/>
    <x v="227"/>
    <x v="0"/>
    <s v="Yes"/>
    <x v="12"/>
    <x v="3"/>
    <x v="2"/>
    <n v="0.50505"/>
    <x v="3"/>
    <n v="0.2"/>
    <n v="3.8849999999999998"/>
    <x v="14"/>
    <n v="1.51515"/>
    <n v="13"/>
  </r>
  <r>
    <x v="370"/>
    <x v="325"/>
    <s v="Tuesday"/>
    <x v="6"/>
    <x v="0"/>
    <x v="363"/>
    <x v="364"/>
    <s v="ahavickat@nsw.gov.au"/>
    <s v="+1 (828) 769-0743"/>
    <x v="228"/>
    <x v="0"/>
    <s v="Yes"/>
    <x v="31"/>
    <x v="3"/>
    <x v="2"/>
    <n v="1.0101"/>
    <x v="3"/>
    <n v="0.5"/>
    <n v="7.77"/>
    <x v="102"/>
    <n v="3.0303"/>
    <n v="13"/>
  </r>
  <r>
    <x v="371"/>
    <x v="326"/>
    <s v="Thursday"/>
    <x v="10"/>
    <x v="1"/>
    <x v="364"/>
    <x v="365"/>
    <s v="sdivinyau@ask.com"/>
    <n v="0"/>
    <x v="50"/>
    <x v="0"/>
    <s v="Yes"/>
    <x v="6"/>
    <x v="1"/>
    <x v="2"/>
    <n v="0.80190000000000006"/>
    <x v="0"/>
    <n v="0.5"/>
    <n v="7.29"/>
    <x v="20"/>
    <n v="1.6038000000000001"/>
    <n v="11"/>
  </r>
  <r>
    <x v="372"/>
    <x v="327"/>
    <s v="Thursday"/>
    <x v="7"/>
    <x v="3"/>
    <x v="365"/>
    <x v="366"/>
    <s v="inorquoyav@businessweek.com"/>
    <n v="0"/>
    <x v="30"/>
    <x v="0"/>
    <s v="No"/>
    <x v="19"/>
    <x v="2"/>
    <x v="0"/>
    <n v="0.60749999999999993"/>
    <x v="0"/>
    <n v="0.5"/>
    <n v="6.75"/>
    <x v="72"/>
    <n v="1.2149999999999999"/>
    <n v="8.9999999999999982"/>
  </r>
  <r>
    <x v="373"/>
    <x v="328"/>
    <s v="Monday"/>
    <x v="0"/>
    <x v="1"/>
    <x v="366"/>
    <x v="366"/>
    <s v="aiddisonaw@usa.gov"/>
    <s v="+1 (714) 658-0310"/>
    <x v="100"/>
    <x v="0"/>
    <s v="No"/>
    <x v="33"/>
    <x v="1"/>
    <x v="1"/>
    <n v="1.6335"/>
    <x v="5"/>
    <n v="1"/>
    <n v="14.85"/>
    <x v="146"/>
    <n v="9.8010000000000002"/>
    <n v="11.000000000000002"/>
  </r>
  <r>
    <x v="373"/>
    <x v="328"/>
    <s v="Monday"/>
    <x v="0"/>
    <x v="1"/>
    <x v="366"/>
    <x v="367"/>
    <s v="aiddisonaw@usa.gov"/>
    <s v="+1 (714) 658-0310"/>
    <x v="100"/>
    <x v="0"/>
    <s v="No"/>
    <x v="29"/>
    <x v="2"/>
    <x v="1"/>
    <n v="0.34964999999999996"/>
    <x v="2"/>
    <n v="0.2"/>
    <n v="3.8849999999999998"/>
    <x v="84"/>
    <n v="0.34964999999999996"/>
    <n v="9"/>
  </r>
  <r>
    <x v="374"/>
    <x v="128"/>
    <s v="Wednesday"/>
    <x v="0"/>
    <x v="3"/>
    <x v="367"/>
    <x v="368"/>
    <s v="rlongfielday@bluehost.com"/>
    <s v="+1 (612) 210-6966"/>
    <x v="30"/>
    <x v="0"/>
    <s v="No"/>
    <x v="4"/>
    <x v="0"/>
    <x v="1"/>
    <n v="1.6490999999999998"/>
    <x v="4"/>
    <n v="2.5"/>
    <n v="27.484999999999996"/>
    <x v="108"/>
    <n v="6.5963999999999992"/>
    <n v="6.0000000000000009"/>
  </r>
  <r>
    <x v="375"/>
    <x v="329"/>
    <s v="Sunday"/>
    <x v="0"/>
    <x v="1"/>
    <x v="368"/>
    <x v="369"/>
    <s v="gkislingburyaz@samsung.com"/>
    <n v="0"/>
    <x v="41"/>
    <x v="0"/>
    <s v="Yes"/>
    <x v="31"/>
    <x v="3"/>
    <x v="2"/>
    <n v="1.0101"/>
    <x v="5"/>
    <n v="0.5"/>
    <n v="7.77"/>
    <x v="162"/>
    <n v="6.0606"/>
    <n v="13"/>
  </r>
  <r>
    <x v="376"/>
    <x v="330"/>
    <s v="Thursday"/>
    <x v="11"/>
    <x v="3"/>
    <x v="369"/>
    <x v="370"/>
    <s v="xgibbonsb0@artisteer.com"/>
    <s v="+1 (909) 614-0008"/>
    <x v="39"/>
    <x v="0"/>
    <s v="No"/>
    <x v="42"/>
    <x v="2"/>
    <x v="1"/>
    <n v="0.69929999999999992"/>
    <x v="1"/>
    <n v="0.5"/>
    <n v="7.77"/>
    <x v="5"/>
    <n v="3.4964999999999997"/>
    <n v="9.0000000000000018"/>
  </r>
  <r>
    <x v="377"/>
    <x v="331"/>
    <s v="Thursday"/>
    <x v="0"/>
    <x v="0"/>
    <x v="370"/>
    <x v="371"/>
    <s v="fparresb1@imageshack.us"/>
    <s v="+1 (585) 672-4256"/>
    <x v="36"/>
    <x v="0"/>
    <s v="Yes"/>
    <x v="31"/>
    <x v="3"/>
    <x v="2"/>
    <n v="1.0101"/>
    <x v="4"/>
    <n v="0.5"/>
    <n v="7.77"/>
    <x v="113"/>
    <n v="4.0404"/>
    <n v="13"/>
  </r>
  <r>
    <x v="378"/>
    <x v="332"/>
    <s v="Wednesday"/>
    <x v="2"/>
    <x v="0"/>
    <x v="371"/>
    <x v="372"/>
    <s v="gsibrayb2@wsj.com"/>
    <s v="+1 (360) 389-5295"/>
    <x v="18"/>
    <x v="0"/>
    <s v="Yes"/>
    <x v="16"/>
    <x v="2"/>
    <x v="2"/>
    <n v="0.26865"/>
    <x v="5"/>
    <n v="0.2"/>
    <n v="2.9849999999999999"/>
    <x v="8"/>
    <n v="1.6118999999999999"/>
    <n v="9"/>
  </r>
  <r>
    <x v="379"/>
    <x v="333"/>
    <s v="Friday"/>
    <x v="6"/>
    <x v="0"/>
    <x v="372"/>
    <x v="373"/>
    <s v="ihotchkinb3@mit.edu"/>
    <s v="+44 (387) 464-9544"/>
    <x v="229"/>
    <x v="2"/>
    <s v="No"/>
    <x v="47"/>
    <x v="1"/>
    <x v="2"/>
    <n v="3.07395"/>
    <x v="5"/>
    <n v="2.5"/>
    <n v="27.945"/>
    <x v="164"/>
    <n v="18.4437"/>
    <n v="10.999999999999998"/>
  </r>
  <r>
    <x v="380"/>
    <x v="334"/>
    <s v="Sunday"/>
    <x v="5"/>
    <x v="1"/>
    <x v="373"/>
    <x v="374"/>
    <s v="nbroadberrieb4@gnu.org"/>
    <s v="+1 (202) 327-2217"/>
    <x v="41"/>
    <x v="0"/>
    <s v="No"/>
    <x v="32"/>
    <x v="3"/>
    <x v="1"/>
    <n v="2.0605000000000002"/>
    <x v="4"/>
    <n v="1"/>
    <n v="15.85"/>
    <x v="165"/>
    <n v="8.2420000000000009"/>
    <n v="13"/>
  </r>
  <r>
    <x v="381"/>
    <x v="335"/>
    <s v="Monday"/>
    <x v="5"/>
    <x v="0"/>
    <x v="374"/>
    <x v="375"/>
    <s v="rpithcockb5@yellowbook.com"/>
    <s v="+1 (865) 655-9540"/>
    <x v="203"/>
    <x v="0"/>
    <s v="Yes"/>
    <x v="21"/>
    <x v="3"/>
    <x v="0"/>
    <n v="0.56745000000000001"/>
    <x v="0"/>
    <n v="0.2"/>
    <n v="4.3650000000000002"/>
    <x v="31"/>
    <n v="1.1349"/>
    <n v="13"/>
  </r>
  <r>
    <x v="382"/>
    <x v="336"/>
    <s v="Wednesday"/>
    <x v="10"/>
    <x v="0"/>
    <x v="375"/>
    <x v="376"/>
    <s v="gcroysdaleb6@nih.gov"/>
    <s v="+1 (304) 384-2939"/>
    <x v="27"/>
    <x v="0"/>
    <s v="Yes"/>
    <x v="39"/>
    <x v="0"/>
    <x v="2"/>
    <n v="0.53699999999999992"/>
    <x v="3"/>
    <n v="1"/>
    <n v="8.9499999999999993"/>
    <x v="166"/>
    <n v="1.6109999999999998"/>
    <n v="6"/>
  </r>
  <r>
    <x v="383"/>
    <x v="337"/>
    <s v="Friday"/>
    <x v="8"/>
    <x v="1"/>
    <x v="376"/>
    <x v="377"/>
    <s v="bgozzettb7@github.com"/>
    <s v="+1 (214) 700-0229"/>
    <x v="68"/>
    <x v="0"/>
    <s v="No"/>
    <x v="7"/>
    <x v="3"/>
    <x v="1"/>
    <n v="0.61814999999999998"/>
    <x v="0"/>
    <n v="0.2"/>
    <n v="4.7549999999999999"/>
    <x v="54"/>
    <n v="1.2363"/>
    <n v="13"/>
  </r>
  <r>
    <x v="384"/>
    <x v="80"/>
    <s v="Wednesday"/>
    <x v="5"/>
    <x v="3"/>
    <x v="377"/>
    <x v="378"/>
    <s v="tcraggsb8@house.gov"/>
    <s v="+353 (239) 197-6142"/>
    <x v="230"/>
    <x v="1"/>
    <s v="No"/>
    <x v="9"/>
    <x v="2"/>
    <x v="2"/>
    <n v="0.89549999999999985"/>
    <x v="4"/>
    <n v="1"/>
    <n v="9.9499999999999993"/>
    <x v="10"/>
    <n v="3.5819999999999994"/>
    <n v="9"/>
  </r>
  <r>
    <x v="385"/>
    <x v="338"/>
    <s v="Wednesday"/>
    <x v="9"/>
    <x v="3"/>
    <x v="378"/>
    <x v="379"/>
    <s v="lcullrfordb9@xing.com"/>
    <s v="+1 (530) 998-9789"/>
    <x v="231"/>
    <x v="0"/>
    <s v="Yes"/>
    <x v="1"/>
    <x v="1"/>
    <x v="0"/>
    <n v="0.90749999999999997"/>
    <x v="3"/>
    <n v="0.5"/>
    <n v="8.25"/>
    <x v="167"/>
    <n v="2.7225000000000001"/>
    <n v="11"/>
  </r>
  <r>
    <x v="386"/>
    <x v="339"/>
    <s v="Sunday"/>
    <x v="3"/>
    <x v="1"/>
    <x v="379"/>
    <x v="380"/>
    <s v="arizonba@xing.com"/>
    <s v="+1 (501) 732-3644"/>
    <x v="28"/>
    <x v="0"/>
    <s v="Yes"/>
    <x v="3"/>
    <x v="1"/>
    <x v="0"/>
    <n v="1.5125"/>
    <x v="1"/>
    <n v="1"/>
    <n v="13.75"/>
    <x v="85"/>
    <n v="7.5625"/>
    <n v="11"/>
  </r>
  <r>
    <x v="387"/>
    <x v="340"/>
    <s v="Thursday"/>
    <x v="10"/>
    <x v="2"/>
    <x v="380"/>
    <x v="381"/>
    <n v="0"/>
    <s v="+353 (764) 294-5957"/>
    <x v="232"/>
    <x v="1"/>
    <s v="No"/>
    <x v="1"/>
    <x v="1"/>
    <x v="0"/>
    <n v="0.90749999999999997"/>
    <x v="5"/>
    <n v="0.5"/>
    <n v="8.25"/>
    <x v="168"/>
    <n v="5.4450000000000003"/>
    <n v="11"/>
  </r>
  <r>
    <x v="388"/>
    <x v="177"/>
    <s v="Friday"/>
    <x v="8"/>
    <x v="2"/>
    <x v="381"/>
    <x v="382"/>
    <s v="fmiellbc@spiegel.de"/>
    <s v="+1 (732) 770-5368"/>
    <x v="233"/>
    <x v="0"/>
    <s v="Yes"/>
    <x v="37"/>
    <x v="2"/>
    <x v="0"/>
    <n v="2.3287499999999994"/>
    <x v="0"/>
    <n v="2.5"/>
    <n v="25.874999999999996"/>
    <x v="95"/>
    <n v="4.6574999999999989"/>
    <n v="9"/>
  </r>
  <r>
    <x v="389"/>
    <x v="341"/>
    <s v="Thursday"/>
    <x v="4"/>
    <x v="1"/>
    <x v="382"/>
    <x v="383"/>
    <n v="0"/>
    <s v="+353 (677) 415-3920"/>
    <x v="234"/>
    <x v="1"/>
    <s v="Yes"/>
    <x v="32"/>
    <x v="3"/>
    <x v="1"/>
    <n v="2.0605000000000002"/>
    <x v="3"/>
    <n v="1"/>
    <n v="15.85"/>
    <x v="46"/>
    <n v="6.1815000000000007"/>
    <n v="13.000000000000004"/>
  </r>
  <r>
    <x v="390"/>
    <x v="342"/>
    <s v="Thursday"/>
    <x v="0"/>
    <x v="1"/>
    <x v="383"/>
    <x v="384"/>
    <n v="0"/>
    <s v="+1 (415) 414-0382"/>
    <x v="204"/>
    <x v="0"/>
    <s v="No"/>
    <x v="29"/>
    <x v="2"/>
    <x v="1"/>
    <n v="0.34964999999999996"/>
    <x v="4"/>
    <n v="0.2"/>
    <n v="3.8849999999999998"/>
    <x v="42"/>
    <n v="1.3985999999999998"/>
    <n v="9"/>
  </r>
  <r>
    <x v="391"/>
    <x v="343"/>
    <s v="Thursday"/>
    <x v="11"/>
    <x v="1"/>
    <x v="384"/>
    <x v="385"/>
    <n v="0"/>
    <s v="+1 (337) 322-9762"/>
    <x v="235"/>
    <x v="0"/>
    <s v="Yes"/>
    <x v="24"/>
    <x v="3"/>
    <x v="0"/>
    <n v="1.8915000000000002"/>
    <x v="5"/>
    <n v="1"/>
    <n v="14.55"/>
    <x v="75"/>
    <n v="11.349"/>
    <n v="12.999999999999998"/>
  </r>
  <r>
    <x v="392"/>
    <x v="344"/>
    <s v="Monday"/>
    <x v="3"/>
    <x v="1"/>
    <x v="385"/>
    <x v="386"/>
    <n v="0"/>
    <s v="+1 (619) 481-1493"/>
    <x v="236"/>
    <x v="0"/>
    <s v="Yes"/>
    <x v="17"/>
    <x v="2"/>
    <x v="0"/>
    <n v="1.0125"/>
    <x v="1"/>
    <n v="1"/>
    <n v="11.25"/>
    <x v="126"/>
    <n v="5.0625"/>
    <n v="9"/>
  </r>
  <r>
    <x v="393"/>
    <x v="47"/>
    <s v="Monday"/>
    <x v="4"/>
    <x v="3"/>
    <x v="386"/>
    <x v="387"/>
    <s v="wspringallbh@jugem.jp"/>
    <s v="+1 (626) 495-9253"/>
    <x v="237"/>
    <x v="0"/>
    <s v="Yes"/>
    <x v="26"/>
    <x v="3"/>
    <x v="1"/>
    <n v="4.7391499999999995"/>
    <x v="2"/>
    <n v="2.5"/>
    <n v="36.454999999999998"/>
    <x v="133"/>
    <n v="4.7391499999999995"/>
    <n v="13"/>
  </r>
  <r>
    <x v="394"/>
    <x v="345"/>
    <s v="Tuesday"/>
    <x v="9"/>
    <x v="0"/>
    <x v="387"/>
    <x v="388"/>
    <n v="0"/>
    <s v="+1 (903) 801-9492"/>
    <x v="211"/>
    <x v="0"/>
    <s v="Yes"/>
    <x v="40"/>
    <x v="0"/>
    <x v="1"/>
    <n v="0.21509999999999996"/>
    <x v="3"/>
    <n v="0.2"/>
    <n v="3.5849999999999995"/>
    <x v="127"/>
    <n v="0.64529999999999987"/>
    <n v="5.9999999999999991"/>
  </r>
  <r>
    <x v="395"/>
    <x v="169"/>
    <s v="Tuesday"/>
    <x v="3"/>
    <x v="0"/>
    <x v="388"/>
    <x v="389"/>
    <s v="ghawkyensbj@census.gov"/>
    <n v="0"/>
    <x v="235"/>
    <x v="0"/>
    <s v="No"/>
    <x v="36"/>
    <x v="0"/>
    <x v="0"/>
    <n v="0.17909999999999998"/>
    <x v="3"/>
    <n v="0.2"/>
    <n v="2.9849999999999999"/>
    <x v="169"/>
    <n v="0.53729999999999989"/>
    <n v="5.9999999999999982"/>
  </r>
  <r>
    <x v="396"/>
    <x v="346"/>
    <s v="Wednesday"/>
    <x v="6"/>
    <x v="3"/>
    <x v="389"/>
    <x v="390"/>
    <n v="0"/>
    <s v="+1 (937) 683-0925"/>
    <x v="4"/>
    <x v="0"/>
    <s v="Yes"/>
    <x v="42"/>
    <x v="2"/>
    <x v="1"/>
    <n v="0.69929999999999992"/>
    <x v="3"/>
    <n v="0.5"/>
    <n v="7.77"/>
    <x v="102"/>
    <n v="2.0978999999999997"/>
    <n v="9"/>
  </r>
  <r>
    <x v="397"/>
    <x v="347"/>
    <s v="Saturday"/>
    <x v="0"/>
    <x v="1"/>
    <x v="390"/>
    <x v="391"/>
    <n v="0"/>
    <s v="+1 (602) 598-9823"/>
    <x v="167"/>
    <x v="0"/>
    <s v="Yes"/>
    <x v="44"/>
    <x v="2"/>
    <x v="1"/>
    <n v="2.6806499999999995"/>
    <x v="2"/>
    <n v="2.5"/>
    <n v="29.784999999999997"/>
    <x v="91"/>
    <n v="2.6806499999999995"/>
    <n v="9"/>
  </r>
  <r>
    <x v="398"/>
    <x v="348"/>
    <s v="Saturday"/>
    <x v="11"/>
    <x v="3"/>
    <x v="391"/>
    <x v="392"/>
    <s v="bmcgilvrabm@so-net.ne.jp"/>
    <n v="0"/>
    <x v="155"/>
    <x v="0"/>
    <s v="Yes"/>
    <x v="44"/>
    <x v="2"/>
    <x v="1"/>
    <n v="2.6806499999999995"/>
    <x v="1"/>
    <n v="2.5"/>
    <n v="29.784999999999997"/>
    <x v="74"/>
    <n v="13.403249999999998"/>
    <n v="9"/>
  </r>
  <r>
    <x v="399"/>
    <x v="349"/>
    <s v="Monday"/>
    <x v="1"/>
    <x v="2"/>
    <x v="392"/>
    <x v="347"/>
    <s v="adanzeybn@github.com"/>
    <s v="+1 (402) 633-9913"/>
    <x v="195"/>
    <x v="0"/>
    <s v="Yes"/>
    <x v="22"/>
    <x v="3"/>
    <x v="0"/>
    <n v="1.1349"/>
    <x v="2"/>
    <n v="0.5"/>
    <n v="8.73"/>
    <x v="31"/>
    <n v="1.1349"/>
    <n v="13"/>
  </r>
  <r>
    <x v="400"/>
    <x v="350"/>
    <s v="Wednesday"/>
    <x v="10"/>
    <x v="3"/>
    <x v="347"/>
    <x v="347"/>
    <s v="tfarraac@behance.net"/>
    <s v="+1 (432) 648-9589"/>
    <x v="220"/>
    <x v="0"/>
    <s v="No"/>
    <x v="31"/>
    <x v="3"/>
    <x v="2"/>
    <n v="1.0101"/>
    <x v="4"/>
    <n v="0.5"/>
    <n v="7.77"/>
    <x v="113"/>
    <n v="4.0404"/>
    <n v="13"/>
  </r>
  <r>
    <x v="400"/>
    <x v="350"/>
    <s v="Wednesday"/>
    <x v="10"/>
    <x v="3"/>
    <x v="347"/>
    <x v="393"/>
    <s v="tfarraac@behance.net"/>
    <s v="+1 (432) 648-9589"/>
    <x v="220"/>
    <x v="0"/>
    <s v="No"/>
    <x v="30"/>
    <x v="2"/>
    <x v="2"/>
    <n v="2.0596499999999995"/>
    <x v="5"/>
    <n v="2.5"/>
    <n v="22.884999999999998"/>
    <x v="170"/>
    <n v="12.357899999999997"/>
    <n v="8.9999999999999982"/>
  </r>
  <r>
    <x v="401"/>
    <x v="54"/>
    <s v="Friday"/>
    <x v="10"/>
    <x v="3"/>
    <x v="393"/>
    <x v="394"/>
    <n v="0"/>
    <s v="+1 (608) 617-1365"/>
    <x v="238"/>
    <x v="0"/>
    <s v="No"/>
    <x v="20"/>
    <x v="2"/>
    <x v="2"/>
    <n v="0.5373"/>
    <x v="1"/>
    <n v="0.5"/>
    <n v="5.97"/>
    <x v="44"/>
    <n v="2.6865000000000001"/>
    <n v="9.0000000000000018"/>
  </r>
  <r>
    <x v="402"/>
    <x v="237"/>
    <s v="Friday"/>
    <x v="9"/>
    <x v="3"/>
    <x v="394"/>
    <x v="395"/>
    <n v="0"/>
    <s v="+1 (304) 604-2131"/>
    <x v="27"/>
    <x v="0"/>
    <s v="No"/>
    <x v="8"/>
    <x v="0"/>
    <x v="0"/>
    <n v="0.35819999999999996"/>
    <x v="3"/>
    <n v="0.5"/>
    <n v="5.97"/>
    <x v="8"/>
    <n v="1.0745999999999998"/>
    <n v="5.9999999999999982"/>
  </r>
  <r>
    <x v="403"/>
    <x v="351"/>
    <s v="Monday"/>
    <x v="3"/>
    <x v="1"/>
    <x v="395"/>
    <x v="396"/>
    <s v="ydombrellbs@dedecms.com"/>
    <s v="+1 (501) 136-0040"/>
    <x v="28"/>
    <x v="0"/>
    <s v="Yes"/>
    <x v="38"/>
    <x v="1"/>
    <x v="1"/>
    <n v="0.98009999999999997"/>
    <x v="3"/>
    <n v="0.5"/>
    <n v="8.91"/>
    <x v="149"/>
    <n v="2.9402999999999997"/>
    <n v="10.999999999999998"/>
  </r>
  <r>
    <x v="404"/>
    <x v="352"/>
    <s v="Friday"/>
    <x v="3"/>
    <x v="1"/>
    <x v="396"/>
    <x v="397"/>
    <s v="adarthbt@t.co"/>
    <s v="+1 (907) 557-6903"/>
    <x v="92"/>
    <x v="0"/>
    <s v="No"/>
    <x v="39"/>
    <x v="0"/>
    <x v="2"/>
    <n v="0.53699999999999992"/>
    <x v="0"/>
    <n v="1"/>
    <n v="8.9499999999999993"/>
    <x v="105"/>
    <n v="1.0739999999999998"/>
    <n v="6"/>
  </r>
  <r>
    <x v="405"/>
    <x v="102"/>
    <s v="Monday"/>
    <x v="8"/>
    <x v="0"/>
    <x v="397"/>
    <x v="398"/>
    <s v="mdarrigoebu@hud.gov"/>
    <s v="+353 (973) 320-9537"/>
    <x v="239"/>
    <x v="1"/>
    <s v="Yes"/>
    <x v="40"/>
    <x v="0"/>
    <x v="1"/>
    <n v="0.21509999999999996"/>
    <x v="4"/>
    <n v="0.2"/>
    <n v="3.5849999999999995"/>
    <x v="79"/>
    <n v="0.86039999999999983"/>
    <n v="6"/>
  </r>
  <r>
    <x v="406"/>
    <x v="353"/>
    <s v="Thursday"/>
    <x v="4"/>
    <x v="1"/>
    <x v="398"/>
    <x v="399"/>
    <n v="0"/>
    <s v="+1 (562) 331-4713"/>
    <x v="204"/>
    <x v="0"/>
    <s v="Yes"/>
    <x v="37"/>
    <x v="2"/>
    <x v="0"/>
    <n v="2.3287499999999994"/>
    <x v="3"/>
    <n v="2.5"/>
    <n v="25.874999999999996"/>
    <x v="57"/>
    <n v="6.9862499999999983"/>
    <n v="9"/>
  </r>
  <r>
    <x v="407"/>
    <x v="354"/>
    <s v="Monday"/>
    <x v="7"/>
    <x v="0"/>
    <x v="399"/>
    <x v="347"/>
    <s v="mackrillbw@bandcamp.com"/>
    <s v="+1 (330) 603-2373"/>
    <x v="138"/>
    <x v="0"/>
    <s v="No"/>
    <x v="41"/>
    <x v="0"/>
    <x v="1"/>
    <n v="0.71699999999999997"/>
    <x v="1"/>
    <n v="1"/>
    <n v="11.95"/>
    <x v="143"/>
    <n v="3.585"/>
    <n v="6"/>
  </r>
  <r>
    <x v="408"/>
    <x v="135"/>
    <s v="Sunday"/>
    <x v="1"/>
    <x v="1"/>
    <x v="347"/>
    <x v="400"/>
    <s v="tfarraac@behance.net"/>
    <s v="+1 (432) 648-9589"/>
    <x v="220"/>
    <x v="0"/>
    <s v="No"/>
    <x v="2"/>
    <x v="2"/>
    <x v="1"/>
    <n v="1.1655"/>
    <x v="5"/>
    <n v="1"/>
    <n v="12.95"/>
    <x v="17"/>
    <n v="6.9930000000000003"/>
    <n v="9.0000000000000018"/>
  </r>
  <r>
    <x v="409"/>
    <x v="343"/>
    <s v="Thursday"/>
    <x v="11"/>
    <x v="1"/>
    <x v="400"/>
    <x v="401"/>
    <s v="mkippenby@dion.ne.jp"/>
    <s v="+1 (601) 262-2557"/>
    <x v="240"/>
    <x v="0"/>
    <s v="Yes"/>
    <x v="25"/>
    <x v="0"/>
    <x v="2"/>
    <n v="0.16109999999999997"/>
    <x v="0"/>
    <n v="0.2"/>
    <n v="2.6849999999999996"/>
    <x v="147"/>
    <n v="0.32219999999999993"/>
    <n v="6"/>
  </r>
  <r>
    <x v="410"/>
    <x v="89"/>
    <s v="Monday"/>
    <x v="8"/>
    <x v="1"/>
    <x v="401"/>
    <x v="402"/>
    <s v="wransonbz@ted.com"/>
    <s v="+353 (376) 165-2897"/>
    <x v="241"/>
    <x v="1"/>
    <s v="Yes"/>
    <x v="47"/>
    <x v="1"/>
    <x v="2"/>
    <n v="3.07395"/>
    <x v="3"/>
    <n v="2.5"/>
    <n v="27.945"/>
    <x v="171"/>
    <n v="9.2218499999999999"/>
    <n v="10.999999999999998"/>
  </r>
  <r>
    <x v="411"/>
    <x v="355"/>
    <s v="Monday"/>
    <x v="9"/>
    <x v="0"/>
    <x v="402"/>
    <x v="403"/>
    <n v="0"/>
    <s v="+1 (360) 347-6756"/>
    <x v="166"/>
    <x v="0"/>
    <s v="No"/>
    <x v="17"/>
    <x v="2"/>
    <x v="0"/>
    <n v="1.0125"/>
    <x v="0"/>
    <n v="1"/>
    <n v="11.25"/>
    <x v="122"/>
    <n v="2.0249999999999999"/>
    <n v="9"/>
  </r>
  <r>
    <x v="412"/>
    <x v="204"/>
    <s v="Sunday"/>
    <x v="4"/>
    <x v="2"/>
    <x v="403"/>
    <x v="404"/>
    <s v="lrignoldc1@miibeian.gov.cn"/>
    <s v="+1 (916) 472-7804"/>
    <x v="155"/>
    <x v="0"/>
    <s v="Yes"/>
    <x v="43"/>
    <x v="3"/>
    <x v="0"/>
    <n v="4.3504499999999995"/>
    <x v="5"/>
    <n v="2.5"/>
    <n v="33.464999999999996"/>
    <x v="172"/>
    <n v="26.102699999999999"/>
    <n v="13"/>
  </r>
  <r>
    <x v="413"/>
    <x v="356"/>
    <s v="Sunday"/>
    <x v="9"/>
    <x v="0"/>
    <x v="404"/>
    <x v="405"/>
    <n v="0"/>
    <s v="+1 (617) 535-7583"/>
    <x v="35"/>
    <x v="0"/>
    <s v="No"/>
    <x v="17"/>
    <x v="2"/>
    <x v="0"/>
    <n v="1.0125"/>
    <x v="5"/>
    <n v="1"/>
    <n v="11.25"/>
    <x v="173"/>
    <n v="6.0749999999999993"/>
    <n v="8.9999999999999982"/>
  </r>
  <r>
    <x v="414"/>
    <x v="357"/>
    <s v="Sunday"/>
    <x v="11"/>
    <x v="1"/>
    <x v="405"/>
    <x v="406"/>
    <s v="crowthornc3@msn.com"/>
    <s v="+1 (785) 380-3311"/>
    <x v="210"/>
    <x v="0"/>
    <s v="No"/>
    <x v="1"/>
    <x v="1"/>
    <x v="0"/>
    <n v="0.90749999999999997"/>
    <x v="2"/>
    <n v="0.5"/>
    <n v="8.25"/>
    <x v="112"/>
    <n v="0.90749999999999997"/>
    <n v="11"/>
  </r>
  <r>
    <x v="415"/>
    <x v="300"/>
    <s v="Friday"/>
    <x v="6"/>
    <x v="2"/>
    <x v="406"/>
    <x v="407"/>
    <s v="orylandc4@deviantart.com"/>
    <s v="+1 (701) 417-3513"/>
    <x v="97"/>
    <x v="0"/>
    <s v="Yes"/>
    <x v="7"/>
    <x v="3"/>
    <x v="1"/>
    <n v="0.61814999999999998"/>
    <x v="0"/>
    <n v="0.2"/>
    <n v="4.7549999999999999"/>
    <x v="54"/>
    <n v="1.2363"/>
    <n v="13"/>
  </r>
  <r>
    <x v="416"/>
    <x v="358"/>
    <s v="Sunday"/>
    <x v="4"/>
    <x v="1"/>
    <x v="407"/>
    <x v="408"/>
    <n v="0"/>
    <s v="+1 (832) 263-0050"/>
    <x v="13"/>
    <x v="0"/>
    <s v="No"/>
    <x v="27"/>
    <x v="3"/>
    <x v="2"/>
    <n v="3.8720499999999998"/>
    <x v="2"/>
    <n v="2.5"/>
    <n v="29.784999999999997"/>
    <x v="91"/>
    <n v="3.8720499999999998"/>
    <n v="13"/>
  </r>
  <r>
    <x v="417"/>
    <x v="161"/>
    <s v="Friday"/>
    <x v="4"/>
    <x v="0"/>
    <x v="408"/>
    <x v="409"/>
    <s v="msesonck@census.gov"/>
    <s v="+1 (206) 642-0902"/>
    <x v="208"/>
    <x v="0"/>
    <s v="No"/>
    <x v="31"/>
    <x v="3"/>
    <x v="2"/>
    <n v="1.0101"/>
    <x v="0"/>
    <n v="0.5"/>
    <n v="7.77"/>
    <x v="42"/>
    <n v="2.0202"/>
    <n v="13"/>
  </r>
  <r>
    <x v="418"/>
    <x v="129"/>
    <s v="Sunday"/>
    <x v="8"/>
    <x v="0"/>
    <x v="409"/>
    <x v="410"/>
    <s v="craglessc7@webmd.com"/>
    <s v="+353 (736) 602-8469"/>
    <x v="14"/>
    <x v="1"/>
    <s v="No"/>
    <x v="38"/>
    <x v="1"/>
    <x v="1"/>
    <n v="0.98009999999999997"/>
    <x v="4"/>
    <n v="0.5"/>
    <n v="8.91"/>
    <x v="70"/>
    <n v="3.9203999999999999"/>
    <n v="11"/>
  </r>
  <r>
    <x v="419"/>
    <x v="359"/>
    <s v="Wednesday"/>
    <x v="10"/>
    <x v="1"/>
    <x v="410"/>
    <x v="411"/>
    <s v="fhollowsc8@blogtalkradio.com"/>
    <s v="+1 (716) 632-6865"/>
    <x v="73"/>
    <x v="0"/>
    <s v="Yes"/>
    <x v="37"/>
    <x v="2"/>
    <x v="0"/>
    <n v="2.3287499999999994"/>
    <x v="4"/>
    <n v="2.5"/>
    <n v="25.874999999999996"/>
    <x v="68"/>
    <n v="9.3149999999999977"/>
    <n v="9"/>
  </r>
  <r>
    <x v="420"/>
    <x v="360"/>
    <s v="Thursday"/>
    <x v="8"/>
    <x v="0"/>
    <x v="411"/>
    <x v="412"/>
    <s v="llathleiffc9@nationalgeographic.com"/>
    <s v="+353 (895) 566-0110"/>
    <x v="180"/>
    <x v="1"/>
    <s v="Yes"/>
    <x v="45"/>
    <x v="1"/>
    <x v="2"/>
    <n v="1.3365"/>
    <x v="3"/>
    <n v="1"/>
    <n v="12.15"/>
    <x v="114"/>
    <n v="4.0095000000000001"/>
    <n v="10.999999999999998"/>
  </r>
  <r>
    <x v="421"/>
    <x v="361"/>
    <s v="Wednesday"/>
    <x v="2"/>
    <x v="1"/>
    <x v="412"/>
    <x v="413"/>
    <s v="kheadsca@jalbum.net"/>
    <s v="+1 (484) 131-2636"/>
    <x v="242"/>
    <x v="0"/>
    <s v="No"/>
    <x v="35"/>
    <x v="0"/>
    <x v="1"/>
    <n v="0.43019999999999992"/>
    <x v="1"/>
    <n v="0.5"/>
    <n v="7.169999999999999"/>
    <x v="66"/>
    <n v="2.1509999999999998"/>
    <n v="6.0000000000000009"/>
  </r>
  <r>
    <x v="422"/>
    <x v="362"/>
    <s v="Tuesday"/>
    <x v="10"/>
    <x v="1"/>
    <x v="413"/>
    <x v="414"/>
    <s v="tbownecb@unicef.org"/>
    <s v="+353 (540) 432-8009"/>
    <x v="243"/>
    <x v="1"/>
    <s v="Yes"/>
    <x v="46"/>
    <x v="1"/>
    <x v="1"/>
    <n v="0.49004999999999999"/>
    <x v="1"/>
    <n v="0.2"/>
    <n v="4.4550000000000001"/>
    <x v="110"/>
    <n v="2.45025"/>
    <n v="11.000000000000002"/>
  </r>
  <r>
    <x v="423"/>
    <x v="363"/>
    <s v="Tuesday"/>
    <x v="3"/>
    <x v="1"/>
    <x v="414"/>
    <x v="415"/>
    <s v="rjacquemardcc@acquirethisname.com"/>
    <s v="+353 (959) 389-1521"/>
    <x v="244"/>
    <x v="1"/>
    <s v="No"/>
    <x v="18"/>
    <x v="1"/>
    <x v="0"/>
    <n v="0.45374999999999999"/>
    <x v="5"/>
    <n v="0.2"/>
    <n v="4.125"/>
    <x v="167"/>
    <n v="2.7225000000000001"/>
    <n v="11"/>
  </r>
  <r>
    <x v="424"/>
    <x v="364"/>
    <s v="Friday"/>
    <x v="11"/>
    <x v="0"/>
    <x v="415"/>
    <x v="416"/>
    <s v="kwarmancd@printfriendly.com"/>
    <n v="0"/>
    <x v="201"/>
    <x v="1"/>
    <s v="Yes"/>
    <x v="43"/>
    <x v="3"/>
    <x v="0"/>
    <n v="4.3504499999999995"/>
    <x v="0"/>
    <n v="2.5"/>
    <n v="33.464999999999996"/>
    <x v="174"/>
    <n v="8.700899999999999"/>
    <n v="13"/>
  </r>
  <r>
    <x v="425"/>
    <x v="85"/>
    <s v="Tuesday"/>
    <x v="9"/>
    <x v="0"/>
    <x v="416"/>
    <x v="417"/>
    <s v="wcholomince@about.com"/>
    <s v="+44 (512) 340-9049"/>
    <x v="38"/>
    <x v="2"/>
    <s v="Yes"/>
    <x v="22"/>
    <x v="3"/>
    <x v="0"/>
    <n v="1.1349"/>
    <x v="2"/>
    <n v="0.5"/>
    <n v="8.73"/>
    <x v="31"/>
    <n v="1.1349"/>
    <n v="13"/>
  </r>
  <r>
    <x v="426"/>
    <x v="365"/>
    <s v="Wednesday"/>
    <x v="6"/>
    <x v="3"/>
    <x v="417"/>
    <x v="418"/>
    <s v="abraidmancf@census.gov"/>
    <n v="0"/>
    <x v="167"/>
    <x v="0"/>
    <s v="No"/>
    <x v="8"/>
    <x v="0"/>
    <x v="0"/>
    <n v="0.35819999999999996"/>
    <x v="3"/>
    <n v="0.5"/>
    <n v="5.97"/>
    <x v="8"/>
    <n v="1.0745999999999998"/>
    <n v="5.9999999999999982"/>
  </r>
  <r>
    <x v="427"/>
    <x v="366"/>
    <s v="Monday"/>
    <x v="1"/>
    <x v="2"/>
    <x v="418"/>
    <x v="419"/>
    <s v="pdurbancg@symantec.com"/>
    <s v="+353 (709) 884-1892"/>
    <x v="245"/>
    <x v="1"/>
    <s v="No"/>
    <x v="35"/>
    <x v="0"/>
    <x v="1"/>
    <n v="0.43019999999999992"/>
    <x v="2"/>
    <n v="0.5"/>
    <n v="7.169999999999999"/>
    <x v="53"/>
    <n v="0.43019999999999992"/>
    <n v="6"/>
  </r>
  <r>
    <x v="428"/>
    <x v="367"/>
    <s v="Thursday"/>
    <x v="5"/>
    <x v="1"/>
    <x v="419"/>
    <x v="420"/>
    <s v="aharroldch@miibeian.gov.cn"/>
    <s v="+1 (419) 153-2104"/>
    <x v="45"/>
    <x v="0"/>
    <s v="No"/>
    <x v="25"/>
    <x v="0"/>
    <x v="2"/>
    <n v="0.16109999999999997"/>
    <x v="0"/>
    <n v="0.2"/>
    <n v="2.6849999999999996"/>
    <x v="147"/>
    <n v="0.32219999999999993"/>
    <n v="6"/>
  </r>
  <r>
    <x v="429"/>
    <x v="142"/>
    <s v="Monday"/>
    <x v="4"/>
    <x v="1"/>
    <x v="420"/>
    <x v="421"/>
    <s v="spamphilonci@mlb.com"/>
    <s v="+353 (456) 630-8490"/>
    <x v="246"/>
    <x v="1"/>
    <s v="No"/>
    <x v="7"/>
    <x v="3"/>
    <x v="1"/>
    <n v="0.61814999999999998"/>
    <x v="1"/>
    <n v="0.2"/>
    <n v="4.7549999999999999"/>
    <x v="29"/>
    <n v="3.0907499999999999"/>
    <n v="13"/>
  </r>
  <r>
    <x v="430"/>
    <x v="368"/>
    <s v="Friday"/>
    <x v="10"/>
    <x v="0"/>
    <x v="421"/>
    <x v="408"/>
    <s v="mspurdencj@exblog.jp"/>
    <s v="+1 (704) 256-1371"/>
    <x v="63"/>
    <x v="0"/>
    <s v="Yes"/>
    <x v="11"/>
    <x v="0"/>
    <x v="2"/>
    <n v="1.2350999999999999"/>
    <x v="0"/>
    <n v="2.5"/>
    <n v="20.584999999999997"/>
    <x v="13"/>
    <n v="2.4701999999999997"/>
    <n v="6.0000000000000009"/>
  </r>
  <r>
    <x v="431"/>
    <x v="31"/>
    <s v="Wednesday"/>
    <x v="11"/>
    <x v="1"/>
    <x v="408"/>
    <x v="422"/>
    <s v="msesonck@census.gov"/>
    <s v="+1 (206) 642-0902"/>
    <x v="208"/>
    <x v="0"/>
    <s v="No"/>
    <x v="29"/>
    <x v="2"/>
    <x v="1"/>
    <n v="0.34964999999999996"/>
    <x v="3"/>
    <n v="0.2"/>
    <n v="3.8849999999999998"/>
    <x v="14"/>
    <n v="1.0489499999999998"/>
    <n v="9"/>
  </r>
  <r>
    <x v="432"/>
    <x v="369"/>
    <s v="Tuesday"/>
    <x v="4"/>
    <x v="2"/>
    <x v="422"/>
    <x v="423"/>
    <s v="npirronecl@weibo.com"/>
    <s v="+1 (570) 223-3194"/>
    <x v="156"/>
    <x v="0"/>
    <s v="No"/>
    <x v="23"/>
    <x v="3"/>
    <x v="1"/>
    <n v="1.2363"/>
    <x v="4"/>
    <n v="0.5"/>
    <n v="9.51"/>
    <x v="82"/>
    <n v="4.9451999999999998"/>
    <n v="13"/>
  </r>
  <r>
    <x v="433"/>
    <x v="370"/>
    <s v="Friday"/>
    <x v="3"/>
    <x v="1"/>
    <x v="423"/>
    <x v="424"/>
    <s v="rcawleycm@yellowbook.com"/>
    <n v="0"/>
    <x v="247"/>
    <x v="1"/>
    <s v="Yes"/>
    <x v="11"/>
    <x v="0"/>
    <x v="2"/>
    <n v="1.2350999999999999"/>
    <x v="4"/>
    <n v="2.5"/>
    <n v="20.584999999999997"/>
    <x v="18"/>
    <n v="4.9403999999999995"/>
    <n v="6.0000000000000009"/>
  </r>
  <r>
    <x v="434"/>
    <x v="371"/>
    <s v="Saturday"/>
    <x v="4"/>
    <x v="3"/>
    <x v="424"/>
    <x v="425"/>
    <s v="sbarribalcn@microsoft.com"/>
    <s v="+353 (310) 256-3698"/>
    <x v="248"/>
    <x v="1"/>
    <s v="Yes"/>
    <x v="7"/>
    <x v="3"/>
    <x v="1"/>
    <n v="0.61814999999999998"/>
    <x v="0"/>
    <n v="0.2"/>
    <n v="4.7549999999999999"/>
    <x v="54"/>
    <n v="1.2363"/>
    <n v="13"/>
  </r>
  <r>
    <x v="435"/>
    <x v="372"/>
    <s v="Sunday"/>
    <x v="2"/>
    <x v="3"/>
    <x v="425"/>
    <x v="426"/>
    <s v="aadamidesco@bizjournals.com"/>
    <s v="+44 (131) 485-2183"/>
    <x v="60"/>
    <x v="2"/>
    <s v="No"/>
    <x v="11"/>
    <x v="0"/>
    <x v="2"/>
    <n v="1.2350999999999999"/>
    <x v="0"/>
    <n v="2.5"/>
    <n v="20.584999999999997"/>
    <x v="13"/>
    <n v="2.4701999999999997"/>
    <n v="6.0000000000000009"/>
  </r>
  <r>
    <x v="436"/>
    <x v="373"/>
    <s v="Thursday"/>
    <x v="2"/>
    <x v="0"/>
    <x v="426"/>
    <x v="427"/>
    <s v="cthowescp@craigslist.org"/>
    <s v="+1 (585) 785-2424"/>
    <x v="36"/>
    <x v="0"/>
    <s v="No"/>
    <x v="23"/>
    <x v="3"/>
    <x v="1"/>
    <n v="1.2363"/>
    <x v="1"/>
    <n v="0.5"/>
    <n v="9.51"/>
    <x v="46"/>
    <n v="6.1814999999999998"/>
    <n v="13"/>
  </r>
  <r>
    <x v="437"/>
    <x v="374"/>
    <s v="Thursday"/>
    <x v="5"/>
    <x v="2"/>
    <x v="427"/>
    <x v="428"/>
    <s v="rwillowaycq@admin.ch"/>
    <s v="+1 (520) 126-8439"/>
    <x v="31"/>
    <x v="0"/>
    <s v="No"/>
    <x v="17"/>
    <x v="2"/>
    <x v="0"/>
    <n v="1.0125"/>
    <x v="4"/>
    <n v="1"/>
    <n v="11.25"/>
    <x v="157"/>
    <n v="4.05"/>
    <n v="9"/>
  </r>
  <r>
    <x v="438"/>
    <x v="319"/>
    <s v="Friday"/>
    <x v="4"/>
    <x v="3"/>
    <x v="428"/>
    <x v="429"/>
    <s v="aelwincr@privacy.gov.au"/>
    <s v="+1 (612) 244-0885"/>
    <x v="30"/>
    <x v="0"/>
    <s v="No"/>
    <x v="7"/>
    <x v="3"/>
    <x v="1"/>
    <n v="0.61814999999999998"/>
    <x v="1"/>
    <n v="0.2"/>
    <n v="4.7549999999999999"/>
    <x v="29"/>
    <n v="3.0907499999999999"/>
    <n v="13"/>
  </r>
  <r>
    <x v="439"/>
    <x v="375"/>
    <s v="Friday"/>
    <x v="5"/>
    <x v="0"/>
    <x v="429"/>
    <x v="430"/>
    <s v="abilbrookcs@booking.com"/>
    <s v="+353 (138) 323-3320"/>
    <x v="249"/>
    <x v="1"/>
    <s v="Yes"/>
    <x v="34"/>
    <x v="0"/>
    <x v="2"/>
    <n v="0.32219999999999993"/>
    <x v="3"/>
    <n v="0.5"/>
    <n v="5.3699999999999992"/>
    <x v="103"/>
    <n v="0.96659999999999979"/>
    <n v="5.9999999999999991"/>
  </r>
  <r>
    <x v="440"/>
    <x v="376"/>
    <s v="Friday"/>
    <x v="2"/>
    <x v="3"/>
    <x v="430"/>
    <x v="431"/>
    <s v="rmckallct@sakura.ne.jp"/>
    <s v="+44 (841) 988-2775"/>
    <x v="250"/>
    <x v="2"/>
    <s v="Yes"/>
    <x v="25"/>
    <x v="0"/>
    <x v="2"/>
    <n v="0.16109999999999997"/>
    <x v="4"/>
    <n v="0.2"/>
    <n v="2.6849999999999996"/>
    <x v="175"/>
    <n v="0.64439999999999986"/>
    <n v="6"/>
  </r>
  <r>
    <x v="441"/>
    <x v="377"/>
    <s v="Tuesday"/>
    <x v="7"/>
    <x v="3"/>
    <x v="431"/>
    <x v="432"/>
    <s v="bdailecu@vistaprint.com"/>
    <s v="+1 (770) 330-7785"/>
    <x v="161"/>
    <x v="0"/>
    <s v="Yes"/>
    <x v="9"/>
    <x v="2"/>
    <x v="2"/>
    <n v="0.89549999999999985"/>
    <x v="1"/>
    <n v="1"/>
    <n v="9.9499999999999993"/>
    <x v="12"/>
    <n v="4.4774999999999991"/>
    <n v="8.9999999999999982"/>
  </r>
  <r>
    <x v="442"/>
    <x v="378"/>
    <s v="Sunday"/>
    <x v="0"/>
    <x v="0"/>
    <x v="432"/>
    <x v="433"/>
    <s v="atrehernecv@state.tx.us"/>
    <s v="+353 (860) 359-7907"/>
    <x v="251"/>
    <x v="1"/>
    <s v="No"/>
    <x v="3"/>
    <x v="1"/>
    <x v="0"/>
    <n v="1.5125"/>
    <x v="0"/>
    <n v="1"/>
    <n v="13.75"/>
    <x v="3"/>
    <n v="3.0249999999999999"/>
    <n v="11"/>
  </r>
  <r>
    <x v="443"/>
    <x v="277"/>
    <s v="Sunday"/>
    <x v="1"/>
    <x v="3"/>
    <x v="433"/>
    <x v="434"/>
    <s v="abrentnallcw@biglobe.ne.jp"/>
    <s v="+44 (373) 897-1797"/>
    <x v="252"/>
    <x v="2"/>
    <s v="No"/>
    <x v="27"/>
    <x v="3"/>
    <x v="2"/>
    <n v="3.8720499999999998"/>
    <x v="4"/>
    <n v="2.5"/>
    <n v="29.784999999999997"/>
    <x v="129"/>
    <n v="15.488199999999999"/>
    <n v="13"/>
  </r>
  <r>
    <x v="444"/>
    <x v="379"/>
    <s v="Sunday"/>
    <x v="9"/>
    <x v="0"/>
    <x v="434"/>
    <x v="435"/>
    <s v="ddrinkallcx@psu.edu"/>
    <s v="+1 (865) 407-3871"/>
    <x v="203"/>
    <x v="0"/>
    <s v="Yes"/>
    <x v="11"/>
    <x v="0"/>
    <x v="2"/>
    <n v="1.2350999999999999"/>
    <x v="2"/>
    <n v="2.5"/>
    <n v="20.584999999999997"/>
    <x v="123"/>
    <n v="1.2350999999999999"/>
    <n v="6.0000000000000009"/>
  </r>
  <r>
    <x v="445"/>
    <x v="86"/>
    <s v="Sunday"/>
    <x v="9"/>
    <x v="3"/>
    <x v="435"/>
    <x v="436"/>
    <s v="dkornelcy@cyberchimps.com"/>
    <s v="+1 (989) 565-9120"/>
    <x v="253"/>
    <x v="0"/>
    <s v="Yes"/>
    <x v="16"/>
    <x v="2"/>
    <x v="2"/>
    <n v="0.26865"/>
    <x v="3"/>
    <n v="0.2"/>
    <n v="2.9849999999999999"/>
    <x v="169"/>
    <n v="0.80594999999999994"/>
    <n v="9"/>
  </r>
  <r>
    <x v="446"/>
    <x v="380"/>
    <s v="Monday"/>
    <x v="9"/>
    <x v="1"/>
    <x v="436"/>
    <x v="437"/>
    <s v="rlequeuxcz@newyorker.com"/>
    <s v="+1 (904) 161-6088"/>
    <x v="254"/>
    <x v="0"/>
    <s v="No"/>
    <x v="20"/>
    <x v="2"/>
    <x v="2"/>
    <n v="0.5373"/>
    <x v="2"/>
    <n v="0.5"/>
    <n v="5.97"/>
    <x v="9"/>
    <n v="0.5373"/>
    <n v="9.0000000000000018"/>
  </r>
  <r>
    <x v="447"/>
    <x v="381"/>
    <s v="Saturday"/>
    <x v="2"/>
    <x v="3"/>
    <x v="437"/>
    <x v="438"/>
    <s v="jmccaulld0@parallels.com"/>
    <n v="0"/>
    <x v="255"/>
    <x v="0"/>
    <s v="Yes"/>
    <x v="3"/>
    <x v="1"/>
    <x v="0"/>
    <n v="1.5125"/>
    <x v="3"/>
    <n v="1"/>
    <n v="13.75"/>
    <x v="1"/>
    <n v="4.5374999999999996"/>
    <n v="10.999999999999998"/>
  </r>
  <r>
    <x v="448"/>
    <x v="382"/>
    <s v="Monday"/>
    <x v="1"/>
    <x v="1"/>
    <x v="438"/>
    <x v="439"/>
    <s v="abrashda@plala.or.jp"/>
    <s v="+1 (917) 544-7136"/>
    <x v="256"/>
    <x v="0"/>
    <s v="Yes"/>
    <x v="46"/>
    <x v="1"/>
    <x v="1"/>
    <n v="0.49004999999999999"/>
    <x v="1"/>
    <n v="0.2"/>
    <n v="4.4550000000000001"/>
    <x v="110"/>
    <n v="2.45025"/>
    <n v="11.000000000000002"/>
  </r>
  <r>
    <x v="449"/>
    <x v="11"/>
    <s v="Tuesday"/>
    <x v="8"/>
    <x v="2"/>
    <x v="439"/>
    <x v="440"/>
    <s v="ahutchinsond2@imgur.com"/>
    <s v="+1 (404) 775-3251"/>
    <x v="227"/>
    <x v="0"/>
    <s v="Yes"/>
    <x v="19"/>
    <x v="2"/>
    <x v="0"/>
    <n v="0.60749999999999993"/>
    <x v="2"/>
    <n v="0.5"/>
    <n v="6.75"/>
    <x v="52"/>
    <n v="0.60749999999999993"/>
    <n v="8.9999999999999982"/>
  </r>
  <r>
    <x v="450"/>
    <x v="167"/>
    <s v="Thursday"/>
    <x v="6"/>
    <x v="2"/>
    <x v="440"/>
    <x v="441"/>
    <n v="0"/>
    <s v="+1 (785) 654-9564"/>
    <x v="210"/>
    <x v="0"/>
    <s v="Yes"/>
    <x v="43"/>
    <x v="3"/>
    <x v="0"/>
    <n v="4.3504499999999995"/>
    <x v="4"/>
    <n v="2.5"/>
    <n v="33.464999999999996"/>
    <x v="136"/>
    <n v="17.401799999999998"/>
    <n v="13"/>
  </r>
  <r>
    <x v="451"/>
    <x v="383"/>
    <s v="Saturday"/>
    <x v="10"/>
    <x v="3"/>
    <x v="441"/>
    <x v="442"/>
    <s v="rdriversd4@hexun.com"/>
    <s v="+1 (913) 127-4257"/>
    <x v="153"/>
    <x v="0"/>
    <s v="No"/>
    <x v="16"/>
    <x v="2"/>
    <x v="2"/>
    <n v="0.26865"/>
    <x v="0"/>
    <n v="0.2"/>
    <n v="2.9849999999999999"/>
    <x v="9"/>
    <n v="0.5373"/>
    <n v="9.0000000000000018"/>
  </r>
  <r>
    <x v="452"/>
    <x v="18"/>
    <s v="Friday"/>
    <x v="10"/>
    <x v="2"/>
    <x v="442"/>
    <x v="443"/>
    <s v="hzeald5@google.de"/>
    <s v="+1 (206) 775-4468"/>
    <x v="208"/>
    <x v="0"/>
    <s v="No"/>
    <x v="2"/>
    <x v="2"/>
    <x v="1"/>
    <n v="1.1655"/>
    <x v="0"/>
    <n v="1"/>
    <n v="12.95"/>
    <x v="109"/>
    <n v="2.331"/>
    <n v="9"/>
  </r>
  <r>
    <x v="453"/>
    <x v="84"/>
    <s v="Thursday"/>
    <x v="2"/>
    <x v="3"/>
    <x v="443"/>
    <x v="444"/>
    <s v="gsmallcombed6@ucla.edu"/>
    <s v="+353 (374) 810-4528"/>
    <x v="165"/>
    <x v="1"/>
    <s v="Yes"/>
    <x v="28"/>
    <x v="1"/>
    <x v="0"/>
    <n v="3.4787499999999998"/>
    <x v="2"/>
    <n v="2.5"/>
    <n v="31.624999999999996"/>
    <x v="176"/>
    <n v="3.4787499999999998"/>
    <n v="11"/>
  </r>
  <r>
    <x v="454"/>
    <x v="384"/>
    <s v="Monday"/>
    <x v="2"/>
    <x v="2"/>
    <x v="444"/>
    <x v="445"/>
    <s v="ddibleyd7@feedburner.com"/>
    <n v="0"/>
    <x v="257"/>
    <x v="0"/>
    <s v="No"/>
    <x v="21"/>
    <x v="3"/>
    <x v="0"/>
    <n v="0.56745000000000001"/>
    <x v="0"/>
    <n v="0.2"/>
    <n v="4.3650000000000002"/>
    <x v="31"/>
    <n v="1.1349"/>
    <n v="13"/>
  </r>
  <r>
    <x v="455"/>
    <x v="385"/>
    <s v="Friday"/>
    <x v="6"/>
    <x v="1"/>
    <x v="445"/>
    <x v="446"/>
    <s v="gdimitrioud8@chronoengine.com"/>
    <s v="+1 (585) 303-7337"/>
    <x v="36"/>
    <x v="0"/>
    <s v="Yes"/>
    <x v="46"/>
    <x v="1"/>
    <x v="1"/>
    <n v="0.49004999999999999"/>
    <x v="5"/>
    <n v="0.2"/>
    <n v="4.4550000000000001"/>
    <x v="149"/>
    <n v="2.9402999999999997"/>
    <n v="10.999999999999998"/>
  </r>
  <r>
    <x v="456"/>
    <x v="386"/>
    <s v="Monday"/>
    <x v="5"/>
    <x v="3"/>
    <x v="446"/>
    <x v="438"/>
    <s v="fflanagand9@woothemes.com"/>
    <s v="+1 (903) 455-7155"/>
    <x v="211"/>
    <x v="0"/>
    <s v="No"/>
    <x v="21"/>
    <x v="3"/>
    <x v="0"/>
    <n v="0.56745000000000001"/>
    <x v="5"/>
    <n v="0.2"/>
    <n v="4.3650000000000002"/>
    <x v="50"/>
    <n v="3.4047000000000001"/>
    <n v="13"/>
  </r>
  <r>
    <x v="457"/>
    <x v="387"/>
    <s v="Saturday"/>
    <x v="1"/>
    <x v="0"/>
    <x v="438"/>
    <x v="438"/>
    <s v="abrashda@plala.or.jp"/>
    <s v="+1 (917) 544-7136"/>
    <x v="256"/>
    <x v="0"/>
    <s v="Yes"/>
    <x v="39"/>
    <x v="0"/>
    <x v="2"/>
    <n v="0.53699999999999992"/>
    <x v="5"/>
    <n v="1"/>
    <n v="8.9499999999999993"/>
    <x v="59"/>
    <n v="3.2219999999999995"/>
    <n v="6"/>
  </r>
  <r>
    <x v="457"/>
    <x v="387"/>
    <s v="Saturday"/>
    <x v="1"/>
    <x v="0"/>
    <x v="438"/>
    <x v="438"/>
    <s v="abrashda@plala.or.jp"/>
    <s v="+1 (917) 544-7136"/>
    <x v="256"/>
    <x v="0"/>
    <s v="Yes"/>
    <x v="28"/>
    <x v="1"/>
    <x v="0"/>
    <n v="3.4787499999999998"/>
    <x v="4"/>
    <n v="2.5"/>
    <n v="31.624999999999996"/>
    <x v="177"/>
    <n v="13.914999999999999"/>
    <n v="11"/>
  </r>
  <r>
    <x v="457"/>
    <x v="387"/>
    <s v="Saturday"/>
    <x v="1"/>
    <x v="0"/>
    <x v="438"/>
    <x v="447"/>
    <s v="abrashda@plala.or.jp"/>
    <s v="+1 (917) 544-7136"/>
    <x v="256"/>
    <x v="0"/>
    <s v="Yes"/>
    <x v="18"/>
    <x v="1"/>
    <x v="0"/>
    <n v="0.45374999999999999"/>
    <x v="2"/>
    <n v="0.2"/>
    <n v="4.125"/>
    <x v="83"/>
    <n v="0.45374999999999999"/>
    <n v="11"/>
  </r>
  <r>
    <x v="458"/>
    <x v="388"/>
    <s v="Wednesday"/>
    <x v="7"/>
    <x v="0"/>
    <x v="447"/>
    <x v="448"/>
    <s v="nizhakovdd@aol.com"/>
    <s v="+44 (570) 683-9517"/>
    <x v="258"/>
    <x v="2"/>
    <s v="No"/>
    <x v="41"/>
    <x v="0"/>
    <x v="1"/>
    <n v="0.71699999999999997"/>
    <x v="0"/>
    <n v="1"/>
    <n v="11.95"/>
    <x v="178"/>
    <n v="1.4339999999999999"/>
    <n v="6"/>
  </r>
  <r>
    <x v="459"/>
    <x v="389"/>
    <s v="Saturday"/>
    <x v="10"/>
    <x v="1"/>
    <x v="448"/>
    <x v="449"/>
    <s v="skeetsde@answers.com"/>
    <s v="+1 (703) 230-2979"/>
    <x v="117"/>
    <x v="0"/>
    <s v="Yes"/>
    <x v="47"/>
    <x v="1"/>
    <x v="2"/>
    <n v="3.07395"/>
    <x v="1"/>
    <n v="2.5"/>
    <n v="27.945"/>
    <x v="141"/>
    <n v="15.36975"/>
    <n v="11"/>
  </r>
  <r>
    <x v="460"/>
    <x v="229"/>
    <s v="Thursday"/>
    <x v="11"/>
    <x v="0"/>
    <x v="449"/>
    <x v="450"/>
    <n v="0"/>
    <s v="+1 (801) 322-2923"/>
    <x v="147"/>
    <x v="0"/>
    <s v="Yes"/>
    <x v="27"/>
    <x v="3"/>
    <x v="2"/>
    <n v="3.8720499999999998"/>
    <x v="0"/>
    <n v="2.5"/>
    <n v="29.784999999999997"/>
    <x v="120"/>
    <n v="7.7440999999999995"/>
    <n v="13"/>
  </r>
  <r>
    <x v="461"/>
    <x v="390"/>
    <s v="Sunday"/>
    <x v="7"/>
    <x v="1"/>
    <x v="450"/>
    <x v="451"/>
    <s v="kcakedg@huffingtonpost.com"/>
    <n v="0"/>
    <x v="7"/>
    <x v="0"/>
    <s v="No"/>
    <x v="23"/>
    <x v="3"/>
    <x v="1"/>
    <n v="1.2363"/>
    <x v="5"/>
    <n v="0.5"/>
    <n v="9.51"/>
    <x v="30"/>
    <n v="7.4177999999999997"/>
    <n v="12.999999999999998"/>
  </r>
  <r>
    <x v="462"/>
    <x v="391"/>
    <s v="Thursday"/>
    <x v="3"/>
    <x v="1"/>
    <x v="451"/>
    <x v="452"/>
    <s v="mhanseddh@instagram.com"/>
    <s v="+353 (997) 520-7802"/>
    <x v="259"/>
    <x v="1"/>
    <s v="Yes"/>
    <x v="40"/>
    <x v="0"/>
    <x v="1"/>
    <n v="0.21509999999999996"/>
    <x v="5"/>
    <n v="0.2"/>
    <n v="3.5849999999999995"/>
    <x v="137"/>
    <n v="1.2905999999999997"/>
    <n v="5.9999999999999991"/>
  </r>
  <r>
    <x v="463"/>
    <x v="117"/>
    <s v="Friday"/>
    <x v="2"/>
    <x v="3"/>
    <x v="452"/>
    <x v="453"/>
    <s v="fkienleindi@trellian.com"/>
    <s v="+353 (972) 241-3434"/>
    <x v="260"/>
    <x v="1"/>
    <s v="Yes"/>
    <x v="22"/>
    <x v="3"/>
    <x v="0"/>
    <n v="1.1349"/>
    <x v="5"/>
    <n v="0.5"/>
    <n v="8.73"/>
    <x v="28"/>
    <n v="6.8094000000000001"/>
    <n v="13"/>
  </r>
  <r>
    <x v="464"/>
    <x v="392"/>
    <s v="Saturday"/>
    <x v="0"/>
    <x v="3"/>
    <x v="453"/>
    <x v="454"/>
    <s v="kegglestonedj@sphinn.com"/>
    <s v="+353 (452) 975-6438"/>
    <x v="260"/>
    <x v="1"/>
    <s v="No"/>
    <x v="45"/>
    <x v="1"/>
    <x v="2"/>
    <n v="1.3365"/>
    <x v="5"/>
    <n v="1"/>
    <n v="12.15"/>
    <x v="118"/>
    <n v="8.0190000000000001"/>
    <n v="10.999999999999998"/>
  </r>
  <r>
    <x v="465"/>
    <x v="393"/>
    <s v="Sunday"/>
    <x v="5"/>
    <x v="3"/>
    <x v="454"/>
    <x v="455"/>
    <s v="bsemkinsdk@unc.edu"/>
    <s v="+353 (209) 764-2690"/>
    <x v="261"/>
    <x v="1"/>
    <s v="Yes"/>
    <x v="36"/>
    <x v="0"/>
    <x v="0"/>
    <n v="0.17909999999999998"/>
    <x v="1"/>
    <n v="0.2"/>
    <n v="2.9849999999999999"/>
    <x v="128"/>
    <n v="0.89549999999999996"/>
    <n v="6.0000000000000009"/>
  </r>
  <r>
    <x v="466"/>
    <x v="394"/>
    <s v="Monday"/>
    <x v="2"/>
    <x v="0"/>
    <x v="455"/>
    <x v="456"/>
    <s v="slorenzettidl@is.gd"/>
    <s v="+1 (915) 581-0694"/>
    <x v="87"/>
    <x v="0"/>
    <s v="No"/>
    <x v="32"/>
    <x v="3"/>
    <x v="1"/>
    <n v="2.0605000000000002"/>
    <x v="5"/>
    <n v="1"/>
    <n v="15.85"/>
    <x v="179"/>
    <n v="12.363000000000001"/>
    <n v="13.000000000000004"/>
  </r>
  <r>
    <x v="467"/>
    <x v="137"/>
    <s v="Saturday"/>
    <x v="7"/>
    <x v="0"/>
    <x v="456"/>
    <x v="457"/>
    <s v="bgiannazzidm@apple.com"/>
    <s v="+1 (754) 827-8970"/>
    <x v="42"/>
    <x v="0"/>
    <s v="No"/>
    <x v="31"/>
    <x v="3"/>
    <x v="2"/>
    <n v="1.0101"/>
    <x v="0"/>
    <n v="0.5"/>
    <n v="7.77"/>
    <x v="42"/>
    <n v="2.0202"/>
    <n v="13"/>
  </r>
  <r>
    <x v="468"/>
    <x v="395"/>
    <s v="Sunday"/>
    <x v="0"/>
    <x v="3"/>
    <x v="457"/>
    <x v="458"/>
    <n v="0"/>
    <s v="+1 (317) 595-9406"/>
    <x v="207"/>
    <x v="0"/>
    <s v="No"/>
    <x v="12"/>
    <x v="3"/>
    <x v="2"/>
    <n v="0.50505"/>
    <x v="5"/>
    <n v="0.2"/>
    <n v="3.8849999999999998"/>
    <x v="102"/>
    <n v="3.0303"/>
    <n v="13"/>
  </r>
  <r>
    <x v="469"/>
    <x v="396"/>
    <s v="Monday"/>
    <x v="10"/>
    <x v="2"/>
    <x v="458"/>
    <x v="459"/>
    <s v="ulethbrigdo@hc360.com"/>
    <s v="+1 (414) 580-9714"/>
    <x v="166"/>
    <x v="0"/>
    <s v="Yes"/>
    <x v="18"/>
    <x v="1"/>
    <x v="0"/>
    <n v="0.45374999999999999"/>
    <x v="2"/>
    <n v="0.2"/>
    <n v="4.125"/>
    <x v="83"/>
    <n v="0.45374999999999999"/>
    <n v="11"/>
  </r>
  <r>
    <x v="470"/>
    <x v="189"/>
    <s v="Wednesday"/>
    <x v="0"/>
    <x v="3"/>
    <x v="459"/>
    <x v="460"/>
    <s v="sfarnishdp@dmoz.org"/>
    <s v="+44 (847) 377-8172"/>
    <x v="194"/>
    <x v="2"/>
    <s v="No"/>
    <x v="8"/>
    <x v="0"/>
    <x v="0"/>
    <n v="0.35819999999999996"/>
    <x v="5"/>
    <n v="0.5"/>
    <n v="5.97"/>
    <x v="27"/>
    <n v="2.1491999999999996"/>
    <n v="5.9999999999999982"/>
  </r>
  <r>
    <x v="471"/>
    <x v="8"/>
    <s v="Wednesday"/>
    <x v="7"/>
    <x v="3"/>
    <x v="460"/>
    <x v="461"/>
    <s v="fjecockdq@unicef.org"/>
    <s v="+1 (225) 116-2959"/>
    <x v="163"/>
    <x v="0"/>
    <s v="No"/>
    <x v="32"/>
    <x v="3"/>
    <x v="1"/>
    <n v="2.0605000000000002"/>
    <x v="0"/>
    <n v="1"/>
    <n v="15.85"/>
    <x v="124"/>
    <n v="4.1210000000000004"/>
    <n v="13"/>
  </r>
  <r>
    <x v="472"/>
    <x v="397"/>
    <s v="Monday"/>
    <x v="0"/>
    <x v="0"/>
    <x v="461"/>
    <x v="462"/>
    <n v="0"/>
    <s v="+1 (203) 490-3839"/>
    <x v="189"/>
    <x v="0"/>
    <s v="Yes"/>
    <x v="32"/>
    <x v="3"/>
    <x v="1"/>
    <n v="2.0605000000000002"/>
    <x v="1"/>
    <n v="1"/>
    <n v="15.85"/>
    <x v="180"/>
    <n v="10.302500000000002"/>
    <n v="13.000000000000004"/>
  </r>
  <r>
    <x v="473"/>
    <x v="398"/>
    <s v="Monday"/>
    <x v="3"/>
    <x v="1"/>
    <x v="462"/>
    <x v="463"/>
    <s v="hpallisterds@ning.com"/>
    <s v="+1 (850) 517-1353"/>
    <x v="48"/>
    <x v="0"/>
    <s v="No"/>
    <x v="15"/>
    <x v="1"/>
    <x v="2"/>
    <n v="0.40095000000000003"/>
    <x v="3"/>
    <n v="0.2"/>
    <n v="3.645"/>
    <x v="47"/>
    <n v="1.2028500000000002"/>
    <n v="11.000000000000002"/>
  </r>
  <r>
    <x v="474"/>
    <x v="399"/>
    <s v="Friday"/>
    <x v="1"/>
    <x v="1"/>
    <x v="463"/>
    <x v="464"/>
    <s v="cmershdt@drupal.org"/>
    <s v="+353 (343) 889-4565"/>
    <x v="262"/>
    <x v="1"/>
    <s v="No"/>
    <x v="9"/>
    <x v="2"/>
    <x v="2"/>
    <n v="0.89549999999999985"/>
    <x v="4"/>
    <n v="1"/>
    <n v="9.9499999999999993"/>
    <x v="10"/>
    <n v="3.5819999999999994"/>
    <n v="9"/>
  </r>
  <r>
    <x v="475"/>
    <x v="400"/>
    <s v="Tuesday"/>
    <x v="11"/>
    <x v="3"/>
    <x v="464"/>
    <x v="465"/>
    <s v="murione5@alexa.com"/>
    <s v="+353 (715) 989-0283"/>
    <x v="263"/>
    <x v="1"/>
    <s v="Yes"/>
    <x v="0"/>
    <x v="0"/>
    <x v="0"/>
    <n v="0.59699999999999998"/>
    <x v="1"/>
    <n v="1"/>
    <n v="9.9499999999999993"/>
    <x v="12"/>
    <n v="2.9849999999999999"/>
    <n v="6"/>
  </r>
  <r>
    <x v="476"/>
    <x v="401"/>
    <s v="Sunday"/>
    <x v="1"/>
    <x v="3"/>
    <x v="465"/>
    <x v="466"/>
    <n v="0"/>
    <s v="+353 (160) 183-4278"/>
    <x v="146"/>
    <x v="1"/>
    <s v="Yes"/>
    <x v="25"/>
    <x v="0"/>
    <x v="2"/>
    <n v="0.16109999999999997"/>
    <x v="3"/>
    <n v="0.2"/>
    <n v="2.6849999999999996"/>
    <x v="36"/>
    <n v="0.4832999999999999"/>
    <n v="5.9999999999999991"/>
  </r>
  <r>
    <x v="477"/>
    <x v="402"/>
    <s v="Monday"/>
    <x v="2"/>
    <x v="3"/>
    <x v="466"/>
    <x v="467"/>
    <n v="0"/>
    <s v="+1 (616) 511-3898"/>
    <x v="16"/>
    <x v="0"/>
    <s v="No"/>
    <x v="41"/>
    <x v="0"/>
    <x v="1"/>
    <n v="0.71699999999999997"/>
    <x v="4"/>
    <n v="1"/>
    <n v="11.95"/>
    <x v="62"/>
    <n v="2.8679999999999999"/>
    <n v="6"/>
  </r>
  <r>
    <x v="478"/>
    <x v="6"/>
    <s v="Wednesday"/>
    <x v="4"/>
    <x v="0"/>
    <x v="467"/>
    <x v="467"/>
    <s v="gduckerdx@patch.com"/>
    <s v="+44 (749) 987-9016"/>
    <x v="197"/>
    <x v="2"/>
    <s v="No"/>
    <x v="36"/>
    <x v="0"/>
    <x v="0"/>
    <n v="0.17909999999999998"/>
    <x v="4"/>
    <n v="0.2"/>
    <n v="2.9849999999999999"/>
    <x v="22"/>
    <n v="0.71639999999999993"/>
    <n v="6"/>
  </r>
  <r>
    <x v="478"/>
    <x v="6"/>
    <s v="Wednesday"/>
    <x v="4"/>
    <x v="0"/>
    <x v="467"/>
    <x v="467"/>
    <s v="gduckerdx@patch.com"/>
    <s v="+44 (749) 987-9016"/>
    <x v="197"/>
    <x v="2"/>
    <s v="No"/>
    <x v="18"/>
    <x v="1"/>
    <x v="0"/>
    <n v="0.45374999999999999"/>
    <x v="4"/>
    <n v="0.2"/>
    <n v="4.125"/>
    <x v="38"/>
    <n v="1.8149999999999999"/>
    <n v="11"/>
  </r>
  <r>
    <x v="478"/>
    <x v="6"/>
    <s v="Wednesday"/>
    <x v="4"/>
    <x v="0"/>
    <x v="467"/>
    <x v="467"/>
    <s v="gduckerdx@patch.com"/>
    <s v="+44 (749) 987-9016"/>
    <x v="197"/>
    <x v="2"/>
    <s v="No"/>
    <x v="5"/>
    <x v="3"/>
    <x v="2"/>
    <n v="1.6835"/>
    <x v="4"/>
    <n v="1"/>
    <n v="12.95"/>
    <x v="67"/>
    <n v="6.734"/>
    <n v="13"/>
  </r>
  <r>
    <x v="478"/>
    <x v="6"/>
    <s v="Wednesday"/>
    <x v="4"/>
    <x v="0"/>
    <x v="467"/>
    <x v="468"/>
    <s v="gduckerdx@patch.com"/>
    <s v="+44 (749) 987-9016"/>
    <x v="197"/>
    <x v="2"/>
    <s v="No"/>
    <x v="7"/>
    <x v="3"/>
    <x v="1"/>
    <n v="0.61814999999999998"/>
    <x v="3"/>
    <n v="0.2"/>
    <n v="4.7549999999999999"/>
    <x v="181"/>
    <n v="1.8544499999999999"/>
    <n v="12.999999999999998"/>
  </r>
  <r>
    <x v="479"/>
    <x v="403"/>
    <s v="Thursday"/>
    <x v="10"/>
    <x v="2"/>
    <x v="468"/>
    <x v="469"/>
    <s v="wstearleye1@census.gov"/>
    <s v="+1 (336) 213-3687"/>
    <x v="264"/>
    <x v="0"/>
    <s v="No"/>
    <x v="21"/>
    <x v="3"/>
    <x v="0"/>
    <n v="0.56745000000000001"/>
    <x v="5"/>
    <n v="0.2"/>
    <n v="4.3650000000000002"/>
    <x v="50"/>
    <n v="3.4047000000000001"/>
    <n v="13"/>
  </r>
  <r>
    <x v="480"/>
    <x v="404"/>
    <s v="Saturday"/>
    <x v="9"/>
    <x v="3"/>
    <x v="469"/>
    <x v="470"/>
    <s v="dwincere2@marriott.com"/>
    <s v="+1 (915) 676-6367"/>
    <x v="87"/>
    <x v="0"/>
    <s v="Yes"/>
    <x v="2"/>
    <x v="2"/>
    <x v="1"/>
    <n v="1.1655"/>
    <x v="0"/>
    <n v="1"/>
    <n v="12.95"/>
    <x v="109"/>
    <n v="2.331"/>
    <n v="9"/>
  </r>
  <r>
    <x v="481"/>
    <x v="21"/>
    <s v="Wednesday"/>
    <x v="10"/>
    <x v="0"/>
    <x v="470"/>
    <x v="471"/>
    <s v="plyfielde3@baidu.com"/>
    <s v="+1 (216) 614-9325"/>
    <x v="265"/>
    <x v="0"/>
    <s v="Yes"/>
    <x v="44"/>
    <x v="2"/>
    <x v="1"/>
    <n v="2.6806499999999995"/>
    <x v="3"/>
    <n v="2.5"/>
    <n v="29.784999999999997"/>
    <x v="49"/>
    <n v="8.0419499999999982"/>
    <n v="8.9999999999999982"/>
  </r>
  <r>
    <x v="482"/>
    <x v="239"/>
    <s v="Thursday"/>
    <x v="4"/>
    <x v="1"/>
    <x v="471"/>
    <x v="464"/>
    <s v="hperrise4@studiopress.com"/>
    <s v="+353 (954) 293-8675"/>
    <x v="266"/>
    <x v="1"/>
    <s v="No"/>
    <x v="31"/>
    <x v="3"/>
    <x v="2"/>
    <n v="1.0101"/>
    <x v="5"/>
    <n v="0.5"/>
    <n v="7.77"/>
    <x v="162"/>
    <n v="6.0606"/>
    <n v="13"/>
  </r>
  <r>
    <x v="483"/>
    <x v="405"/>
    <s v="Saturday"/>
    <x v="11"/>
    <x v="0"/>
    <x v="464"/>
    <x v="472"/>
    <s v="murione5@alexa.com"/>
    <s v="+353 (715) 989-0283"/>
    <x v="263"/>
    <x v="1"/>
    <s v="Yes"/>
    <x v="9"/>
    <x v="2"/>
    <x v="2"/>
    <n v="0.89549999999999985"/>
    <x v="3"/>
    <n v="1"/>
    <n v="9.9499999999999993"/>
    <x v="44"/>
    <n v="2.6864999999999997"/>
    <n v="9"/>
  </r>
  <r>
    <x v="484"/>
    <x v="292"/>
    <s v="Wednesday"/>
    <x v="9"/>
    <x v="0"/>
    <x v="472"/>
    <x v="473"/>
    <s v="ckide6@narod.ru"/>
    <s v="+353 (866) 707-2603"/>
    <x v="230"/>
    <x v="1"/>
    <s v="Yes"/>
    <x v="40"/>
    <x v="0"/>
    <x v="1"/>
    <n v="0.21509999999999996"/>
    <x v="3"/>
    <n v="0.2"/>
    <n v="3.5849999999999995"/>
    <x v="127"/>
    <n v="0.64529999999999987"/>
    <n v="5.9999999999999991"/>
  </r>
  <r>
    <x v="485"/>
    <x v="117"/>
    <s v="Friday"/>
    <x v="2"/>
    <x v="3"/>
    <x v="473"/>
    <x v="474"/>
    <s v="cbeinee7@xinhuanet.com"/>
    <s v="+1 (205) 468-0236"/>
    <x v="38"/>
    <x v="0"/>
    <s v="Yes"/>
    <x v="14"/>
    <x v="2"/>
    <x v="0"/>
    <n v="0.30374999999999996"/>
    <x v="4"/>
    <n v="0.2"/>
    <n v="3.375"/>
    <x v="72"/>
    <n v="1.2149999999999999"/>
    <n v="8.9999999999999982"/>
  </r>
  <r>
    <x v="486"/>
    <x v="406"/>
    <s v="Monday"/>
    <x v="6"/>
    <x v="0"/>
    <x v="474"/>
    <x v="475"/>
    <s v="cbakeupe8@globo.com"/>
    <s v="+1 (320) 375-8504"/>
    <x v="267"/>
    <x v="0"/>
    <s v="No"/>
    <x v="32"/>
    <x v="3"/>
    <x v="1"/>
    <n v="2.0605000000000002"/>
    <x v="3"/>
    <n v="1"/>
    <n v="15.85"/>
    <x v="46"/>
    <n v="6.1815000000000007"/>
    <n v="13.000000000000004"/>
  </r>
  <r>
    <x v="487"/>
    <x v="407"/>
    <s v="Tuesday"/>
    <x v="5"/>
    <x v="2"/>
    <x v="475"/>
    <x v="476"/>
    <s v="nhelkine9@example.com"/>
    <n v="0"/>
    <x v="11"/>
    <x v="0"/>
    <s v="No"/>
    <x v="32"/>
    <x v="3"/>
    <x v="1"/>
    <n v="2.0605000000000002"/>
    <x v="1"/>
    <n v="1"/>
    <n v="15.85"/>
    <x v="180"/>
    <n v="10.302500000000002"/>
    <n v="13.000000000000004"/>
  </r>
  <r>
    <x v="488"/>
    <x v="408"/>
    <s v="Saturday"/>
    <x v="9"/>
    <x v="1"/>
    <x v="476"/>
    <x v="477"/>
    <s v="pwitheringtonea@networkadvertising.org"/>
    <s v="+1 (810) 202-8870"/>
    <x v="135"/>
    <x v="0"/>
    <s v="Yes"/>
    <x v="21"/>
    <x v="3"/>
    <x v="0"/>
    <n v="0.56745000000000001"/>
    <x v="5"/>
    <n v="0.2"/>
    <n v="4.3650000000000002"/>
    <x v="50"/>
    <n v="3.4047000000000001"/>
    <n v="13"/>
  </r>
  <r>
    <x v="489"/>
    <x v="409"/>
    <s v="Friday"/>
    <x v="8"/>
    <x v="2"/>
    <x v="477"/>
    <x v="478"/>
    <s v="ttilzeyeb@hostgator.com"/>
    <s v="+1 (314) 876-7205"/>
    <x v="10"/>
    <x v="0"/>
    <s v="No"/>
    <x v="35"/>
    <x v="0"/>
    <x v="1"/>
    <n v="0.43019999999999992"/>
    <x v="3"/>
    <n v="0.5"/>
    <n v="7.169999999999999"/>
    <x v="137"/>
    <n v="1.2905999999999997"/>
    <n v="5.9999999999999991"/>
  </r>
  <r>
    <x v="490"/>
    <x v="410"/>
    <s v="Saturday"/>
    <x v="1"/>
    <x v="2"/>
    <x v="478"/>
    <x v="479"/>
    <n v="0"/>
    <s v="+1 (518) 562-5402"/>
    <x v="268"/>
    <x v="0"/>
    <s v="Yes"/>
    <x v="11"/>
    <x v="0"/>
    <x v="2"/>
    <n v="1.2350999999999999"/>
    <x v="1"/>
    <n v="2.5"/>
    <n v="20.584999999999997"/>
    <x v="182"/>
    <n v="6.1754999999999995"/>
    <n v="6.0000000000000009"/>
  </r>
  <r>
    <x v="491"/>
    <x v="127"/>
    <s v="Wednesday"/>
    <x v="8"/>
    <x v="2"/>
    <x v="479"/>
    <x v="480"/>
    <n v="0"/>
    <s v="+1 (863) 303-5561"/>
    <x v="269"/>
    <x v="0"/>
    <s v="No"/>
    <x v="12"/>
    <x v="3"/>
    <x v="2"/>
    <n v="0.50505"/>
    <x v="0"/>
    <n v="0.2"/>
    <n v="3.8849999999999998"/>
    <x v="41"/>
    <n v="1.0101"/>
    <n v="13"/>
  </r>
  <r>
    <x v="492"/>
    <x v="411"/>
    <s v="Tuesday"/>
    <x v="9"/>
    <x v="3"/>
    <x v="480"/>
    <x v="464"/>
    <s v="kimortsee@alexa.com"/>
    <s v="+1 (321) 156-1160"/>
    <x v="270"/>
    <x v="0"/>
    <s v="No"/>
    <x v="47"/>
    <x v="1"/>
    <x v="2"/>
    <n v="3.07395"/>
    <x v="1"/>
    <n v="2.5"/>
    <n v="27.945"/>
    <x v="141"/>
    <n v="15.36975"/>
    <n v="11"/>
  </r>
  <r>
    <x v="493"/>
    <x v="112"/>
    <s v="Tuesday"/>
    <x v="2"/>
    <x v="3"/>
    <x v="464"/>
    <x v="481"/>
    <s v="murione5@alexa.com"/>
    <s v="+353 (715) 989-0283"/>
    <x v="263"/>
    <x v="1"/>
    <s v="Yes"/>
    <x v="20"/>
    <x v="2"/>
    <x v="2"/>
    <n v="0.5373"/>
    <x v="0"/>
    <n v="0.5"/>
    <n v="5.97"/>
    <x v="22"/>
    <n v="1.0746"/>
    <n v="9.0000000000000018"/>
  </r>
  <r>
    <x v="494"/>
    <x v="412"/>
    <s v="Tuesday"/>
    <x v="0"/>
    <x v="1"/>
    <x v="481"/>
    <x v="481"/>
    <s v="marmisteadeg@blogtalkradio.com"/>
    <s v="+1 (504) 611-3400"/>
    <x v="32"/>
    <x v="0"/>
    <s v="No"/>
    <x v="12"/>
    <x v="3"/>
    <x v="2"/>
    <n v="0.50505"/>
    <x v="2"/>
    <n v="0.2"/>
    <n v="3.8849999999999998"/>
    <x v="84"/>
    <n v="0.50505"/>
    <n v="13"/>
  </r>
  <r>
    <x v="494"/>
    <x v="412"/>
    <s v="Tuesday"/>
    <x v="0"/>
    <x v="1"/>
    <x v="481"/>
    <x v="482"/>
    <s v="marmisteadeg@blogtalkradio.com"/>
    <s v="+1 (504) 611-3400"/>
    <x v="32"/>
    <x v="0"/>
    <s v="No"/>
    <x v="0"/>
    <x v="0"/>
    <x v="0"/>
    <n v="0.59699999999999998"/>
    <x v="4"/>
    <n v="1"/>
    <n v="9.9499999999999993"/>
    <x v="10"/>
    <n v="2.3879999999999999"/>
    <n v="6.0000000000000009"/>
  </r>
  <r>
    <x v="495"/>
    <x v="413"/>
    <s v="Sunday"/>
    <x v="1"/>
    <x v="0"/>
    <x v="482"/>
    <x v="483"/>
    <s v="vupstoneei@google.pl"/>
    <s v="+1 (785) 366-9983"/>
    <x v="210"/>
    <x v="0"/>
    <s v="No"/>
    <x v="8"/>
    <x v="0"/>
    <x v="0"/>
    <n v="0.35819999999999996"/>
    <x v="1"/>
    <n v="0.5"/>
    <n v="5.97"/>
    <x v="44"/>
    <n v="1.7909999999999999"/>
    <n v="6.0000000000000009"/>
  </r>
  <r>
    <x v="496"/>
    <x v="414"/>
    <s v="Sunday"/>
    <x v="7"/>
    <x v="3"/>
    <x v="483"/>
    <x v="484"/>
    <s v="bbeelbyej@rediff.com"/>
    <s v="+353 (537) 360-4393"/>
    <x v="271"/>
    <x v="1"/>
    <s v="No"/>
    <x v="27"/>
    <x v="3"/>
    <x v="2"/>
    <n v="3.8720499999999998"/>
    <x v="2"/>
    <n v="2.5"/>
    <n v="29.784999999999997"/>
    <x v="91"/>
    <n v="3.8720499999999998"/>
    <n v="13"/>
  </r>
  <r>
    <x v="497"/>
    <x v="415"/>
    <s v="Sunday"/>
    <x v="10"/>
    <x v="1"/>
    <x v="484"/>
    <x v="485"/>
    <n v="0"/>
    <s v="+1 (217) 450-8384"/>
    <x v="64"/>
    <x v="0"/>
    <s v="No"/>
    <x v="26"/>
    <x v="3"/>
    <x v="1"/>
    <n v="4.7391499999999995"/>
    <x v="0"/>
    <n v="2.5"/>
    <n v="36.454999999999998"/>
    <x v="37"/>
    <n v="9.4782999999999991"/>
    <n v="13"/>
  </r>
  <r>
    <x v="498"/>
    <x v="416"/>
    <s v="Sunday"/>
    <x v="2"/>
    <x v="3"/>
    <x v="485"/>
    <x v="486"/>
    <n v="0"/>
    <s v="+1 (856) 793-3491"/>
    <x v="272"/>
    <x v="0"/>
    <s v="Yes"/>
    <x v="25"/>
    <x v="0"/>
    <x v="2"/>
    <n v="0.16109999999999997"/>
    <x v="1"/>
    <n v="0.2"/>
    <n v="2.6849999999999996"/>
    <x v="148"/>
    <n v="0.80549999999999988"/>
    <n v="6.0000000000000009"/>
  </r>
  <r>
    <x v="499"/>
    <x v="417"/>
    <s v="Sunday"/>
    <x v="1"/>
    <x v="2"/>
    <x v="486"/>
    <x v="487"/>
    <s v="wspeechlyem@amazon.com"/>
    <s v="+1 (206) 440-5750"/>
    <x v="208"/>
    <x v="0"/>
    <s v="Yes"/>
    <x v="28"/>
    <x v="1"/>
    <x v="0"/>
    <n v="3.4787499999999998"/>
    <x v="4"/>
    <n v="2.5"/>
    <n v="31.624999999999996"/>
    <x v="177"/>
    <n v="13.914999999999999"/>
    <n v="11"/>
  </r>
  <r>
    <x v="500"/>
    <x v="418"/>
    <s v="Thursday"/>
    <x v="10"/>
    <x v="0"/>
    <x v="487"/>
    <x v="488"/>
    <s v="iphillpoten@buzzfeed.com"/>
    <s v="+44 (610) 826-3107"/>
    <x v="52"/>
    <x v="2"/>
    <s v="No"/>
    <x v="1"/>
    <x v="1"/>
    <x v="0"/>
    <n v="0.90749999999999997"/>
    <x v="1"/>
    <n v="0.5"/>
    <n v="8.25"/>
    <x v="1"/>
    <n v="4.5374999999999996"/>
    <n v="10.999999999999998"/>
  </r>
  <r>
    <x v="501"/>
    <x v="419"/>
    <s v="Sunday"/>
    <x v="8"/>
    <x v="3"/>
    <x v="488"/>
    <x v="489"/>
    <s v="lpennaccieo@statcounter.com"/>
    <s v="+1 (254) 597-0519"/>
    <x v="273"/>
    <x v="0"/>
    <s v="No"/>
    <x v="38"/>
    <x v="1"/>
    <x v="1"/>
    <n v="0.98009999999999997"/>
    <x v="5"/>
    <n v="0.5"/>
    <n v="8.91"/>
    <x v="119"/>
    <n v="5.8805999999999994"/>
    <n v="10.999999999999998"/>
  </r>
  <r>
    <x v="502"/>
    <x v="420"/>
    <s v="Thursday"/>
    <x v="4"/>
    <x v="0"/>
    <x v="489"/>
    <x v="490"/>
    <s v="sarpinep@moonfruit.com"/>
    <s v="+1 (804) 588-4160"/>
    <x v="8"/>
    <x v="0"/>
    <s v="No"/>
    <x v="0"/>
    <x v="0"/>
    <x v="0"/>
    <n v="0.59699999999999998"/>
    <x v="5"/>
    <n v="1"/>
    <n v="9.9499999999999993"/>
    <x v="33"/>
    <n v="3.5819999999999999"/>
    <n v="6.0000000000000009"/>
  </r>
  <r>
    <x v="503"/>
    <x v="421"/>
    <s v="Tuesday"/>
    <x v="8"/>
    <x v="2"/>
    <x v="490"/>
    <x v="491"/>
    <s v="dfrieseq@cargocollective.com"/>
    <s v="+1 (419) 138-9171"/>
    <x v="45"/>
    <x v="0"/>
    <s v="No"/>
    <x v="0"/>
    <x v="0"/>
    <x v="0"/>
    <n v="0.59699999999999998"/>
    <x v="5"/>
    <n v="1"/>
    <n v="9.9499999999999993"/>
    <x v="33"/>
    <n v="3.5819999999999999"/>
    <n v="6.0000000000000009"/>
  </r>
  <r>
    <x v="504"/>
    <x v="422"/>
    <s v="Sunday"/>
    <x v="4"/>
    <x v="2"/>
    <x v="491"/>
    <x v="492"/>
    <s v="rsharerer@flavors.me"/>
    <s v="+1 (304) 632-1951"/>
    <x v="90"/>
    <x v="0"/>
    <s v="No"/>
    <x v="39"/>
    <x v="0"/>
    <x v="2"/>
    <n v="0.53699999999999992"/>
    <x v="1"/>
    <n v="1"/>
    <n v="8.9499999999999993"/>
    <x v="153"/>
    <n v="2.6849999999999996"/>
    <n v="5.9999999999999991"/>
  </r>
  <r>
    <x v="505"/>
    <x v="423"/>
    <s v="Friday"/>
    <x v="5"/>
    <x v="1"/>
    <x v="492"/>
    <x v="493"/>
    <s v="nnasebyes@umich.edu"/>
    <s v="+1 (407) 225-7234"/>
    <x v="274"/>
    <x v="0"/>
    <s v="Yes"/>
    <x v="1"/>
    <x v="1"/>
    <x v="0"/>
    <n v="0.90749999999999997"/>
    <x v="0"/>
    <n v="0.5"/>
    <n v="8.25"/>
    <x v="38"/>
    <n v="1.8149999999999999"/>
    <n v="11"/>
  </r>
  <r>
    <x v="506"/>
    <x v="109"/>
    <s v="Sunday"/>
    <x v="1"/>
    <x v="2"/>
    <x v="493"/>
    <x v="494"/>
    <n v="0"/>
    <s v="+1 (214) 171-1701"/>
    <x v="68"/>
    <x v="0"/>
    <s v="No"/>
    <x v="34"/>
    <x v="0"/>
    <x v="2"/>
    <n v="0.32219999999999993"/>
    <x v="4"/>
    <n v="0.5"/>
    <n v="5.3699999999999992"/>
    <x v="155"/>
    <n v="1.2887999999999997"/>
    <n v="6"/>
  </r>
  <r>
    <x v="507"/>
    <x v="204"/>
    <s v="Sunday"/>
    <x v="4"/>
    <x v="2"/>
    <x v="494"/>
    <x v="495"/>
    <s v="koculleneu@ca.gov"/>
    <s v="+353 (284) 183-7528"/>
    <x v="72"/>
    <x v="1"/>
    <s v="Yes"/>
    <x v="13"/>
    <x v="0"/>
    <x v="0"/>
    <n v="1.3730999999999998"/>
    <x v="0"/>
    <n v="2.5"/>
    <n v="22.884999999999998"/>
    <x v="135"/>
    <n v="2.7461999999999995"/>
    <n v="6"/>
  </r>
  <r>
    <x v="508"/>
    <x v="424"/>
    <s v="Monday"/>
    <x v="4"/>
    <x v="2"/>
    <x v="495"/>
    <x v="464"/>
    <n v="0"/>
    <s v="+353 (316) 279-4429"/>
    <x v="104"/>
    <x v="1"/>
    <s v="No"/>
    <x v="7"/>
    <x v="3"/>
    <x v="1"/>
    <n v="0.61814999999999998"/>
    <x v="0"/>
    <n v="0.2"/>
    <n v="4.7549999999999999"/>
    <x v="54"/>
    <n v="1.2363"/>
    <n v="13"/>
  </r>
  <r>
    <x v="509"/>
    <x v="13"/>
    <s v="Wednesday"/>
    <x v="6"/>
    <x v="0"/>
    <x v="464"/>
    <x v="496"/>
    <s v="murione5@alexa.com"/>
    <s v="+353 (715) 989-0283"/>
    <x v="263"/>
    <x v="1"/>
    <s v="Yes"/>
    <x v="25"/>
    <x v="0"/>
    <x v="2"/>
    <n v="0.16109999999999997"/>
    <x v="3"/>
    <n v="0.2"/>
    <n v="2.6849999999999996"/>
    <x v="36"/>
    <n v="0.4832999999999999"/>
    <n v="5.9999999999999991"/>
  </r>
  <r>
    <x v="510"/>
    <x v="224"/>
    <s v="Saturday"/>
    <x v="11"/>
    <x v="3"/>
    <x v="496"/>
    <x v="497"/>
    <s v="hbranganex@woothemes.com"/>
    <n v="0"/>
    <x v="98"/>
    <x v="0"/>
    <s v="Yes"/>
    <x v="47"/>
    <x v="1"/>
    <x v="2"/>
    <n v="3.07395"/>
    <x v="4"/>
    <n v="2.5"/>
    <n v="27.945"/>
    <x v="150"/>
    <n v="12.2958"/>
    <n v="11"/>
  </r>
  <r>
    <x v="511"/>
    <x v="220"/>
    <s v="Wednesday"/>
    <x v="7"/>
    <x v="1"/>
    <x v="497"/>
    <x v="498"/>
    <s v="agallyoney@engadget.com"/>
    <n v="0"/>
    <x v="275"/>
    <x v="0"/>
    <s v="Yes"/>
    <x v="25"/>
    <x v="0"/>
    <x v="2"/>
    <n v="0.16109999999999997"/>
    <x v="4"/>
    <n v="0.2"/>
    <n v="2.6849999999999996"/>
    <x v="175"/>
    <n v="0.64439999999999986"/>
    <n v="6"/>
  </r>
  <r>
    <x v="512"/>
    <x v="91"/>
    <s v="Tuesday"/>
    <x v="7"/>
    <x v="1"/>
    <x v="498"/>
    <x v="499"/>
    <s v="bdomangeez@yahoo.co.jp"/>
    <n v="0"/>
    <x v="27"/>
    <x v="0"/>
    <s v="No"/>
    <x v="34"/>
    <x v="0"/>
    <x v="2"/>
    <n v="0.32219999999999993"/>
    <x v="1"/>
    <n v="0.5"/>
    <n v="5.3699999999999992"/>
    <x v="51"/>
    <n v="1.6109999999999998"/>
    <n v="6.0000000000000009"/>
  </r>
  <r>
    <x v="513"/>
    <x v="425"/>
    <s v="Monday"/>
    <x v="8"/>
    <x v="0"/>
    <x v="499"/>
    <x v="500"/>
    <s v="koslerf0@gmpg.org"/>
    <s v="+1 (517) 647-5356"/>
    <x v="133"/>
    <x v="0"/>
    <s v="Yes"/>
    <x v="32"/>
    <x v="3"/>
    <x v="1"/>
    <n v="2.0605000000000002"/>
    <x v="4"/>
    <n v="1"/>
    <n v="15.85"/>
    <x v="165"/>
    <n v="8.2420000000000009"/>
    <n v="13"/>
  </r>
  <r>
    <x v="514"/>
    <x v="426"/>
    <s v="Saturday"/>
    <x v="7"/>
    <x v="0"/>
    <x v="500"/>
    <x v="501"/>
    <n v="0"/>
    <s v="+353 (963) 987-6580"/>
    <x v="276"/>
    <x v="1"/>
    <s v="Yes"/>
    <x v="30"/>
    <x v="2"/>
    <x v="2"/>
    <n v="2.0596499999999995"/>
    <x v="2"/>
    <n v="2.5"/>
    <n v="22.884999999999998"/>
    <x v="156"/>
    <n v="2.0596499999999995"/>
    <n v="8.9999999999999982"/>
  </r>
  <r>
    <x v="515"/>
    <x v="427"/>
    <s v="Wednesday"/>
    <x v="5"/>
    <x v="1"/>
    <x v="501"/>
    <x v="502"/>
    <s v="zpellettf2@dailymotion.com"/>
    <s v="+1 (318) 218-5955"/>
    <x v="212"/>
    <x v="0"/>
    <s v="No"/>
    <x v="37"/>
    <x v="2"/>
    <x v="0"/>
    <n v="2.3287499999999994"/>
    <x v="4"/>
    <n v="2.5"/>
    <n v="25.874999999999996"/>
    <x v="68"/>
    <n v="9.3149999999999977"/>
    <n v="9"/>
  </r>
  <r>
    <x v="516"/>
    <x v="428"/>
    <s v="Saturday"/>
    <x v="2"/>
    <x v="1"/>
    <x v="502"/>
    <x v="503"/>
    <s v="isprakesf3@spiegel.de"/>
    <s v="+1 (408) 319-9787"/>
    <x v="7"/>
    <x v="0"/>
    <s v="No"/>
    <x v="4"/>
    <x v="0"/>
    <x v="1"/>
    <n v="1.6490999999999998"/>
    <x v="0"/>
    <n v="2.5"/>
    <n v="27.484999999999996"/>
    <x v="4"/>
    <n v="3.2981999999999996"/>
    <n v="6.0000000000000009"/>
  </r>
  <r>
    <x v="517"/>
    <x v="383"/>
    <s v="Saturday"/>
    <x v="10"/>
    <x v="3"/>
    <x v="503"/>
    <x v="504"/>
    <s v="hfromantf4@ucsd.edu"/>
    <s v="+1 (610) 156-1700"/>
    <x v="11"/>
    <x v="0"/>
    <s v="No"/>
    <x v="42"/>
    <x v="2"/>
    <x v="1"/>
    <n v="0.69929999999999992"/>
    <x v="0"/>
    <n v="0.5"/>
    <n v="7.77"/>
    <x v="42"/>
    <n v="1.3985999999999998"/>
    <n v="9"/>
  </r>
  <r>
    <x v="518"/>
    <x v="156"/>
    <s v="Friday"/>
    <x v="7"/>
    <x v="3"/>
    <x v="504"/>
    <x v="505"/>
    <s v="rflearf5@artisteer.com"/>
    <s v="+44 (271) 881-4912"/>
    <x v="172"/>
    <x v="2"/>
    <s v="No"/>
    <x v="12"/>
    <x v="3"/>
    <x v="2"/>
    <n v="0.50505"/>
    <x v="4"/>
    <n v="0.2"/>
    <n v="3.8849999999999998"/>
    <x v="42"/>
    <n v="2.0202"/>
    <n v="13"/>
  </r>
  <r>
    <x v="519"/>
    <x v="429"/>
    <s v="Friday"/>
    <x v="7"/>
    <x v="3"/>
    <x v="505"/>
    <x v="506"/>
    <n v="0"/>
    <s v="+353 (361) 732-3444"/>
    <x v="277"/>
    <x v="1"/>
    <s v="No"/>
    <x v="47"/>
    <x v="1"/>
    <x v="2"/>
    <n v="3.07395"/>
    <x v="3"/>
    <n v="2.5"/>
    <n v="27.945"/>
    <x v="171"/>
    <n v="9.2218499999999999"/>
    <n v="10.999999999999998"/>
  </r>
  <r>
    <x v="520"/>
    <x v="103"/>
    <s v="Wednesday"/>
    <x v="6"/>
    <x v="1"/>
    <x v="506"/>
    <x v="507"/>
    <s v="wlightollersf9@baidu.com"/>
    <s v="+1 (646) 793-8756"/>
    <x v="15"/>
    <x v="0"/>
    <s v="Yes"/>
    <x v="40"/>
    <x v="0"/>
    <x v="1"/>
    <n v="0.21509999999999996"/>
    <x v="3"/>
    <n v="0.2"/>
    <n v="3.5849999999999995"/>
    <x v="127"/>
    <n v="0.64529999999999987"/>
    <n v="5.9999999999999991"/>
  </r>
  <r>
    <x v="521"/>
    <x v="361"/>
    <s v="Wednesday"/>
    <x v="2"/>
    <x v="1"/>
    <x v="507"/>
    <x v="506"/>
    <s v="bmundenf8@elpais.com"/>
    <s v="+1 (405) 290-3207"/>
    <x v="101"/>
    <x v="0"/>
    <s v="Yes"/>
    <x v="46"/>
    <x v="1"/>
    <x v="1"/>
    <n v="0.49004999999999999"/>
    <x v="3"/>
    <n v="0.2"/>
    <n v="4.4550000000000001"/>
    <x v="77"/>
    <n v="1.4701499999999998"/>
    <n v="10.999999999999998"/>
  </r>
  <r>
    <x v="522"/>
    <x v="120"/>
    <s v="Friday"/>
    <x v="10"/>
    <x v="1"/>
    <x v="506"/>
    <x v="508"/>
    <s v="wlightollersf9@baidu.com"/>
    <s v="+1 (646) 793-8756"/>
    <x v="15"/>
    <x v="0"/>
    <s v="Yes"/>
    <x v="46"/>
    <x v="1"/>
    <x v="1"/>
    <n v="0.49004999999999999"/>
    <x v="4"/>
    <n v="0.2"/>
    <n v="4.4550000000000001"/>
    <x v="58"/>
    <n v="1.9601999999999999"/>
    <n v="11"/>
  </r>
  <r>
    <x v="523"/>
    <x v="430"/>
    <s v="Friday"/>
    <x v="9"/>
    <x v="3"/>
    <x v="508"/>
    <x v="509"/>
    <s v="nbrakespearfa@rediff.com"/>
    <s v="+1 (973) 380-3976"/>
    <x v="55"/>
    <x v="0"/>
    <s v="Yes"/>
    <x v="12"/>
    <x v="3"/>
    <x v="2"/>
    <n v="0.50505"/>
    <x v="5"/>
    <n v="0.2"/>
    <n v="3.8849999999999998"/>
    <x v="102"/>
    <n v="3.0303"/>
    <n v="13"/>
  </r>
  <r>
    <x v="524"/>
    <x v="125"/>
    <s v="Friday"/>
    <x v="5"/>
    <x v="2"/>
    <x v="509"/>
    <x v="510"/>
    <s v="mglawsopfb@reverbnation.com"/>
    <s v="+1 (203) 608-9937"/>
    <x v="226"/>
    <x v="0"/>
    <s v="No"/>
    <x v="15"/>
    <x v="1"/>
    <x v="2"/>
    <n v="0.40095000000000003"/>
    <x v="0"/>
    <n v="0.2"/>
    <n v="3.645"/>
    <x v="35"/>
    <n v="0.80190000000000006"/>
    <n v="11"/>
  </r>
  <r>
    <x v="525"/>
    <x v="431"/>
    <s v="Wednesday"/>
    <x v="7"/>
    <x v="0"/>
    <x v="510"/>
    <x v="511"/>
    <s v="galbertsfc@etsy.com"/>
    <s v="+44 (788) 686-0408"/>
    <x v="197"/>
    <x v="2"/>
    <s v="Yes"/>
    <x v="46"/>
    <x v="1"/>
    <x v="1"/>
    <n v="0.49004999999999999"/>
    <x v="4"/>
    <n v="0.2"/>
    <n v="4.4550000000000001"/>
    <x v="58"/>
    <n v="1.9601999999999999"/>
    <n v="11"/>
  </r>
  <r>
    <x v="526"/>
    <x v="40"/>
    <s v="Friday"/>
    <x v="0"/>
    <x v="3"/>
    <x v="511"/>
    <x v="512"/>
    <s v="vpolglasefd@about.me"/>
    <n v="0"/>
    <x v="45"/>
    <x v="0"/>
    <s v="No"/>
    <x v="3"/>
    <x v="1"/>
    <x v="0"/>
    <n v="1.5125"/>
    <x v="1"/>
    <n v="1"/>
    <n v="13.75"/>
    <x v="85"/>
    <n v="7.5625"/>
    <n v="11"/>
  </r>
  <r>
    <x v="527"/>
    <x v="432"/>
    <s v="Sunday"/>
    <x v="0"/>
    <x v="0"/>
    <x v="512"/>
    <x v="513"/>
    <n v="0"/>
    <s v="+44 (572) 727-1868"/>
    <x v="176"/>
    <x v="2"/>
    <s v="Yes"/>
    <x v="4"/>
    <x v="0"/>
    <x v="1"/>
    <n v="1.6490999999999998"/>
    <x v="0"/>
    <n v="2.5"/>
    <n v="27.484999999999996"/>
    <x v="4"/>
    <n v="3.2981999999999996"/>
    <n v="6.0000000000000009"/>
  </r>
  <r>
    <x v="528"/>
    <x v="254"/>
    <s v="Wednesday"/>
    <x v="6"/>
    <x v="1"/>
    <x v="513"/>
    <x v="514"/>
    <s v="sbuschff@so-net.ne.jp"/>
    <s v="+353 (953) 333-8754"/>
    <x v="278"/>
    <x v="1"/>
    <s v="No"/>
    <x v="3"/>
    <x v="1"/>
    <x v="0"/>
    <n v="1.5125"/>
    <x v="5"/>
    <n v="1"/>
    <n v="13.75"/>
    <x v="121"/>
    <n v="9.0749999999999993"/>
    <n v="10.999999999999998"/>
  </r>
  <r>
    <x v="529"/>
    <x v="219"/>
    <s v="Tuesday"/>
    <x v="11"/>
    <x v="1"/>
    <x v="514"/>
    <x v="464"/>
    <s v="craisbeckfg@webnode.com"/>
    <n v="0"/>
    <x v="212"/>
    <x v="0"/>
    <s v="Yes"/>
    <x v="21"/>
    <x v="3"/>
    <x v="0"/>
    <n v="0.56745000000000001"/>
    <x v="0"/>
    <n v="0.2"/>
    <n v="4.3650000000000002"/>
    <x v="31"/>
    <n v="1.1349"/>
    <n v="13"/>
  </r>
  <r>
    <x v="530"/>
    <x v="433"/>
    <s v="Saturday"/>
    <x v="11"/>
    <x v="1"/>
    <x v="464"/>
    <x v="515"/>
    <s v="murione5@alexa.com"/>
    <s v="+353 (715) 989-0283"/>
    <x v="263"/>
    <x v="1"/>
    <s v="Yes"/>
    <x v="33"/>
    <x v="1"/>
    <x v="1"/>
    <n v="1.6335"/>
    <x v="4"/>
    <n v="1"/>
    <n v="14.85"/>
    <x v="48"/>
    <n v="6.5339999999999998"/>
    <n v="11"/>
  </r>
  <r>
    <x v="531"/>
    <x v="434"/>
    <s v="Friday"/>
    <x v="4"/>
    <x v="1"/>
    <x v="515"/>
    <x v="516"/>
    <n v="0"/>
    <s v="+1 (859) 628-7241"/>
    <x v="193"/>
    <x v="0"/>
    <s v="Yes"/>
    <x v="12"/>
    <x v="3"/>
    <x v="2"/>
    <n v="0.50505"/>
    <x v="4"/>
    <n v="0.2"/>
    <n v="3.8849999999999998"/>
    <x v="42"/>
    <n v="2.0202"/>
    <n v="13"/>
  </r>
  <r>
    <x v="532"/>
    <x v="435"/>
    <s v="Saturday"/>
    <x v="8"/>
    <x v="2"/>
    <x v="516"/>
    <x v="517"/>
    <s v="raynoldfj@ustream.tv"/>
    <s v="+1 (414) 429-0919"/>
    <x v="166"/>
    <x v="0"/>
    <s v="Yes"/>
    <x v="2"/>
    <x v="2"/>
    <x v="1"/>
    <n v="1.1655"/>
    <x v="3"/>
    <n v="1"/>
    <n v="12.95"/>
    <x v="5"/>
    <n v="3.4965000000000002"/>
    <n v="9.0000000000000018"/>
  </r>
  <r>
    <x v="533"/>
    <x v="436"/>
    <s v="Saturday"/>
    <x v="2"/>
    <x v="1"/>
    <x v="517"/>
    <x v="518"/>
    <n v="0"/>
    <s v="+1 (281) 416-9557"/>
    <x v="279"/>
    <x v="0"/>
    <s v="Yes"/>
    <x v="28"/>
    <x v="1"/>
    <x v="0"/>
    <n v="3.4787499999999998"/>
    <x v="5"/>
    <n v="2.5"/>
    <n v="31.624999999999996"/>
    <x v="152"/>
    <n v="20.872499999999999"/>
    <n v="11.000000000000002"/>
  </r>
  <r>
    <x v="534"/>
    <x v="437"/>
    <s v="Sunday"/>
    <x v="3"/>
    <x v="0"/>
    <x v="518"/>
    <x v="519"/>
    <n v="0"/>
    <s v="+353 (652) 208-7526"/>
    <x v="280"/>
    <x v="1"/>
    <s v="Yes"/>
    <x v="16"/>
    <x v="2"/>
    <x v="2"/>
    <n v="0.26865"/>
    <x v="5"/>
    <n v="0.2"/>
    <n v="2.9849999999999999"/>
    <x v="8"/>
    <n v="1.6118999999999999"/>
    <n v="9"/>
  </r>
  <r>
    <x v="535"/>
    <x v="438"/>
    <s v="Tuesday"/>
    <x v="2"/>
    <x v="0"/>
    <x v="519"/>
    <x v="520"/>
    <s v="bgrecefm@naver.com"/>
    <s v="+44 (933) 508-3795"/>
    <x v="281"/>
    <x v="2"/>
    <s v="No"/>
    <x v="7"/>
    <x v="3"/>
    <x v="1"/>
    <n v="0.61814999999999998"/>
    <x v="5"/>
    <n v="0.2"/>
    <n v="4.7549999999999999"/>
    <x v="32"/>
    <n v="3.7088999999999999"/>
    <n v="12.999999999999998"/>
  </r>
  <r>
    <x v="536"/>
    <x v="439"/>
    <s v="Tuesday"/>
    <x v="1"/>
    <x v="3"/>
    <x v="520"/>
    <x v="521"/>
    <s v="dflintiffg1@e-recht24.de"/>
    <n v="0"/>
    <x v="282"/>
    <x v="2"/>
    <s v="No"/>
    <x v="3"/>
    <x v="1"/>
    <x v="0"/>
    <n v="1.5125"/>
    <x v="5"/>
    <n v="1"/>
    <n v="13.75"/>
    <x v="121"/>
    <n v="9.0749999999999993"/>
    <n v="10.999999999999998"/>
  </r>
  <r>
    <x v="537"/>
    <x v="175"/>
    <s v="Saturday"/>
    <x v="10"/>
    <x v="3"/>
    <x v="521"/>
    <x v="522"/>
    <s v="athysfo@cdc.gov"/>
    <s v="+1 (865) 217-6208"/>
    <x v="203"/>
    <x v="0"/>
    <s v="No"/>
    <x v="35"/>
    <x v="0"/>
    <x v="1"/>
    <n v="0.43019999999999992"/>
    <x v="0"/>
    <n v="0.5"/>
    <n v="7.169999999999999"/>
    <x v="79"/>
    <n v="0.86039999999999983"/>
    <n v="6"/>
  </r>
  <r>
    <x v="538"/>
    <x v="440"/>
    <s v="Sunday"/>
    <x v="2"/>
    <x v="3"/>
    <x v="522"/>
    <x v="523"/>
    <s v="jchuggfp@about.me"/>
    <s v="+1 (913) 466-8319"/>
    <x v="153"/>
    <x v="0"/>
    <s v="No"/>
    <x v="11"/>
    <x v="0"/>
    <x v="2"/>
    <n v="1.2350999999999999"/>
    <x v="4"/>
    <n v="2.5"/>
    <n v="20.584999999999997"/>
    <x v="18"/>
    <n v="4.9403999999999995"/>
    <n v="6.0000000000000009"/>
  </r>
  <r>
    <x v="539"/>
    <x v="441"/>
    <s v="Monday"/>
    <x v="0"/>
    <x v="1"/>
    <x v="523"/>
    <x v="524"/>
    <s v="akelstonfq@sakura.ne.jp"/>
    <s v="+1 (954) 981-8804"/>
    <x v="42"/>
    <x v="0"/>
    <s v="Yes"/>
    <x v="14"/>
    <x v="2"/>
    <x v="0"/>
    <n v="0.30374999999999996"/>
    <x v="5"/>
    <n v="0.2"/>
    <n v="3.375"/>
    <x v="16"/>
    <n v="1.8224999999999998"/>
    <n v="8.9999999999999982"/>
  </r>
  <r>
    <x v="540"/>
    <x v="442"/>
    <s v="Sunday"/>
    <x v="5"/>
    <x v="1"/>
    <x v="524"/>
    <x v="525"/>
    <n v="0"/>
    <s v="+353 (921) 742-1111"/>
    <x v="21"/>
    <x v="1"/>
    <s v="No"/>
    <x v="4"/>
    <x v="0"/>
    <x v="1"/>
    <n v="1.6490999999999998"/>
    <x v="5"/>
    <n v="2.5"/>
    <n v="27.484999999999996"/>
    <x v="183"/>
    <n v="9.8945999999999987"/>
    <n v="6.0000000000000009"/>
  </r>
  <r>
    <x v="541"/>
    <x v="443"/>
    <s v="Friday"/>
    <x v="11"/>
    <x v="1"/>
    <x v="525"/>
    <x v="520"/>
    <s v="cmottramfs@harvard.edu"/>
    <s v="+1 (512) 333-9861"/>
    <x v="79"/>
    <x v="0"/>
    <s v="Yes"/>
    <x v="7"/>
    <x v="3"/>
    <x v="1"/>
    <n v="0.61814999999999998"/>
    <x v="4"/>
    <n v="0.2"/>
    <n v="4.7549999999999999"/>
    <x v="81"/>
    <n v="2.4725999999999999"/>
    <n v="13"/>
  </r>
  <r>
    <x v="542"/>
    <x v="216"/>
    <s v="Tuesday"/>
    <x v="10"/>
    <x v="3"/>
    <x v="520"/>
    <x v="526"/>
    <s v="dflintiffg1@e-recht24.de"/>
    <n v="0"/>
    <x v="282"/>
    <x v="2"/>
    <s v="No"/>
    <x v="30"/>
    <x v="2"/>
    <x v="2"/>
    <n v="2.0596499999999995"/>
    <x v="5"/>
    <n v="2.5"/>
    <n v="22.884999999999998"/>
    <x v="170"/>
    <n v="12.357899999999997"/>
    <n v="8.9999999999999982"/>
  </r>
  <r>
    <x v="543"/>
    <x v="444"/>
    <s v="Tuesday"/>
    <x v="8"/>
    <x v="3"/>
    <x v="526"/>
    <x v="527"/>
    <s v="dsangwinfu@weebly.com"/>
    <s v="+1 (301) 879-4079"/>
    <x v="283"/>
    <x v="0"/>
    <s v="No"/>
    <x v="19"/>
    <x v="2"/>
    <x v="0"/>
    <n v="0.60749999999999993"/>
    <x v="4"/>
    <n v="0.5"/>
    <n v="6.75"/>
    <x v="25"/>
    <n v="2.4299999999999997"/>
    <n v="8.9999999999999982"/>
  </r>
  <r>
    <x v="544"/>
    <x v="37"/>
    <s v="Monday"/>
    <x v="4"/>
    <x v="2"/>
    <x v="527"/>
    <x v="528"/>
    <s v="eaizikowitzfv@virginia.edu"/>
    <s v="+44 (148) 635-3706"/>
    <x v="284"/>
    <x v="2"/>
    <s v="No"/>
    <x v="38"/>
    <x v="1"/>
    <x v="1"/>
    <n v="0.98009999999999997"/>
    <x v="4"/>
    <n v="0.5"/>
    <n v="8.91"/>
    <x v="70"/>
    <n v="3.9203999999999999"/>
    <n v="11"/>
  </r>
  <r>
    <x v="545"/>
    <x v="445"/>
    <s v="Tuesday"/>
    <x v="10"/>
    <x v="0"/>
    <x v="528"/>
    <x v="529"/>
    <n v="0"/>
    <n v="0"/>
    <x v="148"/>
    <x v="0"/>
    <s v="Yes"/>
    <x v="16"/>
    <x v="2"/>
    <x v="2"/>
    <n v="0.26865"/>
    <x v="0"/>
    <n v="0.2"/>
    <n v="2.9849999999999999"/>
    <x v="9"/>
    <n v="0.5373"/>
    <n v="9.0000000000000018"/>
  </r>
  <r>
    <x v="546"/>
    <x v="446"/>
    <s v="Tuesday"/>
    <x v="11"/>
    <x v="0"/>
    <x v="529"/>
    <x v="530"/>
    <s v="cvenourfx@ask.com"/>
    <s v="+1 (318) 578-8039"/>
    <x v="212"/>
    <x v="0"/>
    <s v="No"/>
    <x v="17"/>
    <x v="2"/>
    <x v="0"/>
    <n v="1.0125"/>
    <x v="5"/>
    <n v="1"/>
    <n v="11.25"/>
    <x v="173"/>
    <n v="6.0749999999999993"/>
    <n v="8.9999999999999982"/>
  </r>
  <r>
    <x v="547"/>
    <x v="245"/>
    <s v="Monday"/>
    <x v="5"/>
    <x v="2"/>
    <x v="530"/>
    <x v="531"/>
    <s v="mharbyfy@163.com"/>
    <n v="0"/>
    <x v="48"/>
    <x v="0"/>
    <s v="Yes"/>
    <x v="40"/>
    <x v="0"/>
    <x v="1"/>
    <n v="0.21509999999999996"/>
    <x v="5"/>
    <n v="0.2"/>
    <n v="3.5849999999999995"/>
    <x v="137"/>
    <n v="1.2905999999999997"/>
    <n v="5.9999999999999991"/>
  </r>
  <r>
    <x v="548"/>
    <x v="447"/>
    <s v="Friday"/>
    <x v="10"/>
    <x v="1"/>
    <x v="531"/>
    <x v="532"/>
    <s v="rthickpennyfz@cafepress.com"/>
    <s v="+1 (213) 234-9242"/>
    <x v="6"/>
    <x v="0"/>
    <s v="No"/>
    <x v="43"/>
    <x v="3"/>
    <x v="0"/>
    <n v="4.3504499999999995"/>
    <x v="0"/>
    <n v="2.5"/>
    <n v="33.464999999999996"/>
    <x v="174"/>
    <n v="8.700899999999999"/>
    <n v="13"/>
  </r>
  <r>
    <x v="549"/>
    <x v="448"/>
    <s v="Sunday"/>
    <x v="8"/>
    <x v="1"/>
    <x v="532"/>
    <x v="520"/>
    <s v="pormerodg0@redcross.org"/>
    <s v="+1 (919) 491-2772"/>
    <x v="285"/>
    <x v="0"/>
    <s v="No"/>
    <x v="16"/>
    <x v="2"/>
    <x v="2"/>
    <n v="0.26865"/>
    <x v="5"/>
    <n v="0.2"/>
    <n v="2.9849999999999999"/>
    <x v="8"/>
    <n v="1.6118999999999999"/>
    <n v="9"/>
  </r>
  <r>
    <x v="550"/>
    <x v="344"/>
    <s v="Monday"/>
    <x v="3"/>
    <x v="1"/>
    <x v="520"/>
    <x v="533"/>
    <s v="dflintiffg1@e-recht24.de"/>
    <n v="0"/>
    <x v="282"/>
    <x v="2"/>
    <s v="No"/>
    <x v="24"/>
    <x v="3"/>
    <x v="0"/>
    <n v="1.8915000000000002"/>
    <x v="4"/>
    <n v="1"/>
    <n v="14.55"/>
    <x v="125"/>
    <n v="7.5660000000000007"/>
    <n v="13"/>
  </r>
  <r>
    <x v="551"/>
    <x v="152"/>
    <s v="Wednesday"/>
    <x v="1"/>
    <x v="2"/>
    <x v="533"/>
    <x v="533"/>
    <s v="tzanettig2@gravatar.com"/>
    <s v="+353 (351) 897-2630"/>
    <x v="286"/>
    <x v="1"/>
    <s v="No"/>
    <x v="46"/>
    <x v="1"/>
    <x v="1"/>
    <n v="0.49004999999999999"/>
    <x v="3"/>
    <n v="0.2"/>
    <n v="4.4550000000000001"/>
    <x v="77"/>
    <n v="1.4701499999999998"/>
    <n v="10.999999999999998"/>
  </r>
  <r>
    <x v="551"/>
    <x v="152"/>
    <s v="Wednesday"/>
    <x v="1"/>
    <x v="2"/>
    <x v="533"/>
    <x v="534"/>
    <s v="tzanettig2@gravatar.com"/>
    <s v="+353 (351) 897-2630"/>
    <x v="286"/>
    <x v="1"/>
    <s v="No"/>
    <x v="19"/>
    <x v="2"/>
    <x v="0"/>
    <n v="0.60749999999999993"/>
    <x v="1"/>
    <n v="0.5"/>
    <n v="6.75"/>
    <x v="65"/>
    <n v="3.0374999999999996"/>
    <n v="8.9999999999999982"/>
  </r>
  <r>
    <x v="552"/>
    <x v="449"/>
    <s v="Thursday"/>
    <x v="5"/>
    <x v="3"/>
    <x v="534"/>
    <x v="535"/>
    <s v="rkirtleyg4@hatena.ne.jp"/>
    <s v="+1 (626) 635-6367"/>
    <x v="127"/>
    <x v="0"/>
    <s v="Yes"/>
    <x v="33"/>
    <x v="1"/>
    <x v="1"/>
    <n v="1.6335"/>
    <x v="3"/>
    <n v="1"/>
    <n v="14.85"/>
    <x v="69"/>
    <n v="4.9005000000000001"/>
    <n v="11.000000000000002"/>
  </r>
  <r>
    <x v="553"/>
    <x v="450"/>
    <s v="Friday"/>
    <x v="9"/>
    <x v="3"/>
    <x v="535"/>
    <x v="536"/>
    <s v="cclemencetg5@weather.com"/>
    <n v="0"/>
    <x v="38"/>
    <x v="2"/>
    <s v="Yes"/>
    <x v="38"/>
    <x v="1"/>
    <x v="1"/>
    <n v="0.98009999999999997"/>
    <x v="1"/>
    <n v="0.5"/>
    <n v="8.91"/>
    <x v="69"/>
    <n v="4.9005000000000001"/>
    <n v="11.000000000000002"/>
  </r>
  <r>
    <x v="554"/>
    <x v="451"/>
    <s v="Monday"/>
    <x v="2"/>
    <x v="1"/>
    <x v="536"/>
    <x v="537"/>
    <s v="rdonetg6@oakley.com"/>
    <s v="+1 (804) 583-2067"/>
    <x v="8"/>
    <x v="0"/>
    <s v="No"/>
    <x v="45"/>
    <x v="1"/>
    <x v="2"/>
    <n v="1.3365"/>
    <x v="1"/>
    <n v="1"/>
    <n v="12.15"/>
    <x v="184"/>
    <n v="6.6825000000000001"/>
    <n v="11"/>
  </r>
  <r>
    <x v="555"/>
    <x v="83"/>
    <s v="Thursday"/>
    <x v="6"/>
    <x v="0"/>
    <x v="537"/>
    <x v="538"/>
    <s v="sgaweng7@creativecommons.org"/>
    <s v="+1 (571) 317-3089"/>
    <x v="287"/>
    <x v="0"/>
    <s v="Yes"/>
    <x v="40"/>
    <x v="0"/>
    <x v="1"/>
    <n v="0.21509999999999996"/>
    <x v="2"/>
    <n v="0.2"/>
    <n v="3.5849999999999995"/>
    <x v="60"/>
    <n v="0.21509999999999996"/>
    <n v="6"/>
  </r>
  <r>
    <x v="556"/>
    <x v="452"/>
    <s v="Sunday"/>
    <x v="6"/>
    <x v="1"/>
    <x v="538"/>
    <x v="539"/>
    <s v="rreadieg8@guardian.co.uk"/>
    <s v="+1 (775) 993-8273"/>
    <x v="107"/>
    <x v="0"/>
    <s v="No"/>
    <x v="40"/>
    <x v="0"/>
    <x v="1"/>
    <n v="0.21509999999999996"/>
    <x v="5"/>
    <n v="0.2"/>
    <n v="3.5849999999999995"/>
    <x v="137"/>
    <n v="1.2905999999999997"/>
    <n v="5.9999999999999991"/>
  </r>
  <r>
    <x v="557"/>
    <x v="453"/>
    <s v="Friday"/>
    <x v="11"/>
    <x v="1"/>
    <x v="539"/>
    <x v="540"/>
    <s v="cverissimogh@theglobeandmail.com"/>
    <n v="0"/>
    <x v="26"/>
    <x v="2"/>
    <s v="Yes"/>
    <x v="1"/>
    <x v="1"/>
    <x v="0"/>
    <n v="0.90749999999999997"/>
    <x v="0"/>
    <n v="0.5"/>
    <n v="8.25"/>
    <x v="38"/>
    <n v="1.8149999999999999"/>
    <n v="11"/>
  </r>
  <r>
    <x v="558"/>
    <x v="454"/>
    <s v="Thursday"/>
    <x v="10"/>
    <x v="3"/>
    <x v="540"/>
    <x v="541"/>
    <n v="0"/>
    <s v="+1 (612) 477-9298"/>
    <x v="50"/>
    <x v="0"/>
    <s v="No"/>
    <x v="4"/>
    <x v="0"/>
    <x v="1"/>
    <n v="1.6490999999999998"/>
    <x v="3"/>
    <n v="2.5"/>
    <n v="27.484999999999996"/>
    <x v="185"/>
    <n v="4.9472999999999994"/>
    <n v="6.0000000000000009"/>
  </r>
  <r>
    <x v="559"/>
    <x v="455"/>
    <s v="Friday"/>
    <x v="6"/>
    <x v="1"/>
    <x v="541"/>
    <x v="542"/>
    <s v="bogb@elpais.com"/>
    <n v="0"/>
    <x v="99"/>
    <x v="0"/>
    <s v="Yes"/>
    <x v="31"/>
    <x v="3"/>
    <x v="2"/>
    <n v="1.0101"/>
    <x v="2"/>
    <n v="0.5"/>
    <n v="7.77"/>
    <x v="41"/>
    <n v="1.0101"/>
    <n v="13"/>
  </r>
  <r>
    <x v="560"/>
    <x v="456"/>
    <s v="Monday"/>
    <x v="3"/>
    <x v="3"/>
    <x v="542"/>
    <x v="543"/>
    <s v="vstansburygc@unblog.fr"/>
    <s v="+1 (915) 530-3435"/>
    <x v="87"/>
    <x v="0"/>
    <s v="Yes"/>
    <x v="8"/>
    <x v="0"/>
    <x v="0"/>
    <n v="0.35819999999999996"/>
    <x v="0"/>
    <n v="0.5"/>
    <n v="5.97"/>
    <x v="22"/>
    <n v="0.71639999999999993"/>
    <n v="6"/>
  </r>
  <r>
    <x v="561"/>
    <x v="373"/>
    <s v="Thursday"/>
    <x v="2"/>
    <x v="0"/>
    <x v="543"/>
    <x v="544"/>
    <s v="dheinonengd@printfriendly.com"/>
    <n v="0"/>
    <x v="288"/>
    <x v="0"/>
    <s v="No"/>
    <x v="10"/>
    <x v="1"/>
    <x v="1"/>
    <n v="3.7570499999999996"/>
    <x v="5"/>
    <n v="2.5"/>
    <n v="34.154999999999994"/>
    <x v="106"/>
    <n v="22.542299999999997"/>
    <n v="11.000000000000002"/>
  </r>
  <r>
    <x v="562"/>
    <x v="457"/>
    <s v="Wednesday"/>
    <x v="8"/>
    <x v="3"/>
    <x v="544"/>
    <x v="545"/>
    <s v="jshentonge@google.com.hk"/>
    <s v="+1 (650) 712-0135"/>
    <x v="106"/>
    <x v="0"/>
    <s v="Yes"/>
    <x v="28"/>
    <x v="1"/>
    <x v="0"/>
    <n v="3.4787499999999998"/>
    <x v="0"/>
    <n v="2.5"/>
    <n v="31.624999999999996"/>
    <x v="40"/>
    <n v="6.9574999999999996"/>
    <n v="11"/>
  </r>
  <r>
    <x v="563"/>
    <x v="458"/>
    <s v="Thursday"/>
    <x v="5"/>
    <x v="0"/>
    <x v="545"/>
    <x v="546"/>
    <s v="jwilkissongf@nba.com"/>
    <n v="0"/>
    <x v="289"/>
    <x v="0"/>
    <s v="Yes"/>
    <x v="25"/>
    <x v="0"/>
    <x v="2"/>
    <n v="0.16109999999999997"/>
    <x v="3"/>
    <n v="0.2"/>
    <n v="2.6849999999999996"/>
    <x v="36"/>
    <n v="0.4832999999999999"/>
    <n v="5.9999999999999991"/>
  </r>
  <r>
    <x v="564"/>
    <x v="264"/>
    <s v="Sunday"/>
    <x v="3"/>
    <x v="1"/>
    <x v="546"/>
    <x v="539"/>
    <n v="0"/>
    <s v="+1 (206) 275-3973"/>
    <x v="166"/>
    <x v="0"/>
    <s v="No"/>
    <x v="37"/>
    <x v="2"/>
    <x v="0"/>
    <n v="2.3287499999999994"/>
    <x v="0"/>
    <n v="2.5"/>
    <n v="25.874999999999996"/>
    <x v="95"/>
    <n v="4.6574999999999989"/>
    <n v="9"/>
  </r>
  <r>
    <x v="565"/>
    <x v="459"/>
    <s v="Friday"/>
    <x v="6"/>
    <x v="3"/>
    <x v="539"/>
    <x v="547"/>
    <s v="cverissimogh@theglobeandmail.com"/>
    <n v="0"/>
    <x v="26"/>
    <x v="2"/>
    <s v="Yes"/>
    <x v="47"/>
    <x v="1"/>
    <x v="2"/>
    <n v="3.07395"/>
    <x v="2"/>
    <n v="2.5"/>
    <n v="27.945"/>
    <x v="140"/>
    <n v="3.07395"/>
    <n v="11"/>
  </r>
  <r>
    <x v="566"/>
    <x v="460"/>
    <s v="Saturday"/>
    <x v="10"/>
    <x v="0"/>
    <x v="547"/>
    <x v="548"/>
    <s v="gstarcksgi@abc.net.au"/>
    <s v="+1 (423) 903-3146"/>
    <x v="115"/>
    <x v="0"/>
    <s v="No"/>
    <x v="44"/>
    <x v="2"/>
    <x v="1"/>
    <n v="2.6806499999999995"/>
    <x v="0"/>
    <n v="2.5"/>
    <n v="29.784999999999997"/>
    <x v="120"/>
    <n v="5.3612999999999991"/>
    <n v="9"/>
  </r>
  <r>
    <x v="567"/>
    <x v="461"/>
    <s v="Saturday"/>
    <x v="11"/>
    <x v="1"/>
    <x v="548"/>
    <x v="549"/>
    <n v="0"/>
    <n v="0"/>
    <x v="290"/>
    <x v="2"/>
    <s v="No"/>
    <x v="33"/>
    <x v="1"/>
    <x v="1"/>
    <n v="1.6335"/>
    <x v="2"/>
    <n v="1"/>
    <n v="14.85"/>
    <x v="151"/>
    <n v="1.6335"/>
    <n v="11"/>
  </r>
  <r>
    <x v="568"/>
    <x v="219"/>
    <s v="Tuesday"/>
    <x v="11"/>
    <x v="1"/>
    <x v="549"/>
    <x v="550"/>
    <s v="kscholardgk@sbwire.com"/>
    <s v="+1 (614) 199-9032"/>
    <x v="61"/>
    <x v="0"/>
    <s v="No"/>
    <x v="19"/>
    <x v="2"/>
    <x v="0"/>
    <n v="0.60749999999999993"/>
    <x v="1"/>
    <n v="0.5"/>
    <n v="6.75"/>
    <x v="65"/>
    <n v="3.0374999999999996"/>
    <n v="8.9999999999999982"/>
  </r>
  <r>
    <x v="569"/>
    <x v="462"/>
    <s v="Thursday"/>
    <x v="9"/>
    <x v="1"/>
    <x v="550"/>
    <x v="551"/>
    <s v="bkindleygl@wikimedia.org"/>
    <s v="+1 (650) 799-2315"/>
    <x v="148"/>
    <x v="0"/>
    <s v="Yes"/>
    <x v="26"/>
    <x v="3"/>
    <x v="1"/>
    <n v="4.7391499999999995"/>
    <x v="4"/>
    <n v="2.5"/>
    <n v="36.454999999999998"/>
    <x v="43"/>
    <n v="18.956599999999998"/>
    <n v="13"/>
  </r>
  <r>
    <x v="570"/>
    <x v="463"/>
    <s v="Sunday"/>
    <x v="4"/>
    <x v="0"/>
    <x v="551"/>
    <x v="552"/>
    <s v="khammettgm@dmoz.org"/>
    <s v="+1 (415) 825-4799"/>
    <x v="204"/>
    <x v="0"/>
    <s v="Yes"/>
    <x v="36"/>
    <x v="0"/>
    <x v="0"/>
    <n v="0.17909999999999998"/>
    <x v="4"/>
    <n v="0.2"/>
    <n v="2.9849999999999999"/>
    <x v="22"/>
    <n v="0.71639999999999993"/>
    <n v="6"/>
  </r>
  <r>
    <x v="571"/>
    <x v="464"/>
    <s v="Wednesday"/>
    <x v="5"/>
    <x v="1"/>
    <x v="552"/>
    <x v="553"/>
    <s v="ahulburtgn@fda.gov"/>
    <n v="0"/>
    <x v="212"/>
    <x v="0"/>
    <s v="Yes"/>
    <x v="16"/>
    <x v="2"/>
    <x v="2"/>
    <n v="0.26865"/>
    <x v="4"/>
    <n v="0.2"/>
    <n v="2.9849999999999999"/>
    <x v="22"/>
    <n v="1.0746"/>
    <n v="9.0000000000000018"/>
  </r>
  <r>
    <x v="572"/>
    <x v="465"/>
    <s v="Saturday"/>
    <x v="7"/>
    <x v="1"/>
    <x v="553"/>
    <x v="554"/>
    <s v="plauritzengo@photobucket.com"/>
    <s v="+1 (215) 308-0788"/>
    <x v="11"/>
    <x v="0"/>
    <s v="No"/>
    <x v="31"/>
    <x v="3"/>
    <x v="2"/>
    <n v="1.0101"/>
    <x v="2"/>
    <n v="0.5"/>
    <n v="7.77"/>
    <x v="41"/>
    <n v="1.0101"/>
    <n v="13"/>
  </r>
  <r>
    <x v="573"/>
    <x v="466"/>
    <s v="Monday"/>
    <x v="9"/>
    <x v="0"/>
    <x v="554"/>
    <x v="555"/>
    <s v="aburgwingp@redcross.org"/>
    <s v="+1 (314) 407-3962"/>
    <x v="9"/>
    <x v="0"/>
    <s v="Yes"/>
    <x v="4"/>
    <x v="0"/>
    <x v="1"/>
    <n v="1.6490999999999998"/>
    <x v="4"/>
    <n v="2.5"/>
    <n v="27.484999999999996"/>
    <x v="108"/>
    <n v="6.5963999999999992"/>
    <n v="6.0000000000000009"/>
  </r>
  <r>
    <x v="574"/>
    <x v="467"/>
    <s v="Saturday"/>
    <x v="5"/>
    <x v="0"/>
    <x v="555"/>
    <x v="556"/>
    <s v="erolingq@google.fr"/>
    <s v="+1 (419) 597-8743"/>
    <x v="45"/>
    <x v="0"/>
    <s v="Yes"/>
    <x v="46"/>
    <x v="1"/>
    <x v="1"/>
    <n v="0.49004999999999999"/>
    <x v="1"/>
    <n v="0.2"/>
    <n v="4.4550000000000001"/>
    <x v="110"/>
    <n v="2.45025"/>
    <n v="11.000000000000002"/>
  </r>
  <r>
    <x v="575"/>
    <x v="468"/>
    <s v="Sunday"/>
    <x v="2"/>
    <x v="0"/>
    <x v="556"/>
    <x v="557"/>
    <s v="dfowlegr@epa.gov"/>
    <n v="0"/>
    <x v="71"/>
    <x v="0"/>
    <s v="No"/>
    <x v="36"/>
    <x v="0"/>
    <x v="0"/>
    <n v="0.17909999999999998"/>
    <x v="3"/>
    <n v="0.2"/>
    <n v="2.9849999999999999"/>
    <x v="169"/>
    <n v="0.53729999999999989"/>
    <n v="5.9999999999999982"/>
  </r>
  <r>
    <x v="576"/>
    <x v="469"/>
    <s v="Friday"/>
    <x v="11"/>
    <x v="3"/>
    <x v="557"/>
    <x v="558"/>
    <n v="0"/>
    <s v="+353 (782) 457-9198"/>
    <x v="239"/>
    <x v="1"/>
    <s v="No"/>
    <x v="27"/>
    <x v="3"/>
    <x v="2"/>
    <n v="3.8720499999999998"/>
    <x v="4"/>
    <n v="2.5"/>
    <n v="29.784999999999997"/>
    <x v="129"/>
    <n v="15.488199999999999"/>
    <n v="13"/>
  </r>
  <r>
    <x v="577"/>
    <x v="470"/>
    <s v="Thursday"/>
    <x v="2"/>
    <x v="3"/>
    <x v="558"/>
    <x v="539"/>
    <s v="wpowleslandgt@soundcloud.com"/>
    <s v="+1 (412) 453-4798"/>
    <x v="291"/>
    <x v="0"/>
    <s v="Yes"/>
    <x v="44"/>
    <x v="2"/>
    <x v="1"/>
    <n v="2.6806499999999995"/>
    <x v="1"/>
    <n v="2.5"/>
    <n v="29.784999999999997"/>
    <x v="74"/>
    <n v="13.403249999999998"/>
    <n v="9"/>
  </r>
  <r>
    <x v="578"/>
    <x v="471"/>
    <s v="Tuesday"/>
    <x v="11"/>
    <x v="3"/>
    <x v="539"/>
    <x v="559"/>
    <s v="cverissimogh@theglobeandmail.com"/>
    <n v="0"/>
    <x v="26"/>
    <x v="2"/>
    <s v="Yes"/>
    <x v="26"/>
    <x v="3"/>
    <x v="1"/>
    <n v="4.7391499999999995"/>
    <x v="3"/>
    <n v="2.5"/>
    <n v="36.454999999999998"/>
    <x v="63"/>
    <n v="14.217449999999999"/>
    <n v="13"/>
  </r>
  <r>
    <x v="579"/>
    <x v="472"/>
    <s v="Sunday"/>
    <x v="6"/>
    <x v="2"/>
    <x v="559"/>
    <x v="560"/>
    <s v="lellinghamgv@sciencedaily.com"/>
    <s v="+1 (318) 670-8027"/>
    <x v="212"/>
    <x v="0"/>
    <s v="Yes"/>
    <x v="15"/>
    <x v="1"/>
    <x v="2"/>
    <n v="0.40095000000000003"/>
    <x v="2"/>
    <n v="0.2"/>
    <n v="3.645"/>
    <x v="186"/>
    <n v="0.40095000000000003"/>
    <n v="11"/>
  </r>
  <r>
    <x v="580"/>
    <x v="173"/>
    <s v="Wednesday"/>
    <x v="10"/>
    <x v="2"/>
    <x v="560"/>
    <x v="561"/>
    <n v="0"/>
    <n v="0"/>
    <x v="265"/>
    <x v="0"/>
    <s v="No"/>
    <x v="47"/>
    <x v="1"/>
    <x v="2"/>
    <n v="3.07395"/>
    <x v="0"/>
    <n v="2.5"/>
    <n v="27.945"/>
    <x v="158"/>
    <n v="6.1478999999999999"/>
    <n v="11"/>
  </r>
  <r>
    <x v="581"/>
    <x v="473"/>
    <s v="Thursday"/>
    <x v="11"/>
    <x v="3"/>
    <x v="561"/>
    <x v="562"/>
    <s v="afendtgx@forbes.com"/>
    <s v="+1 (414) 811-7606"/>
    <x v="166"/>
    <x v="0"/>
    <s v="Yes"/>
    <x v="21"/>
    <x v="3"/>
    <x v="0"/>
    <n v="0.56745000000000001"/>
    <x v="5"/>
    <n v="0.2"/>
    <n v="4.3650000000000002"/>
    <x v="50"/>
    <n v="3.4047000000000001"/>
    <n v="13"/>
  </r>
  <r>
    <x v="582"/>
    <x v="474"/>
    <s v="Saturday"/>
    <x v="7"/>
    <x v="0"/>
    <x v="562"/>
    <x v="563"/>
    <s v="acleyburngy@lycos.com"/>
    <s v="+1 (754) 355-3802"/>
    <x v="42"/>
    <x v="0"/>
    <s v="No"/>
    <x v="0"/>
    <x v="0"/>
    <x v="0"/>
    <n v="0.59699999999999998"/>
    <x v="4"/>
    <n v="1"/>
    <n v="9.9499999999999993"/>
    <x v="10"/>
    <n v="2.3879999999999999"/>
    <n v="6.0000000000000009"/>
  </r>
  <r>
    <x v="583"/>
    <x v="475"/>
    <s v="Tuesday"/>
    <x v="7"/>
    <x v="0"/>
    <x v="563"/>
    <x v="564"/>
    <s v="tcastiglionegz@xing.com"/>
    <s v="+1 (318) 820-6128"/>
    <x v="212"/>
    <x v="0"/>
    <s v="No"/>
    <x v="10"/>
    <x v="1"/>
    <x v="1"/>
    <n v="3.7570499999999996"/>
    <x v="0"/>
    <n v="2.5"/>
    <n v="34.154999999999994"/>
    <x v="93"/>
    <n v="7.5140999999999991"/>
    <n v="11"/>
  </r>
  <r>
    <x v="584"/>
    <x v="476"/>
    <s v="Friday"/>
    <x v="6"/>
    <x v="3"/>
    <x v="564"/>
    <x v="565"/>
    <n v="0"/>
    <s v="+353 (930) 704-1778"/>
    <x v="75"/>
    <x v="1"/>
    <s v="No"/>
    <x v="14"/>
    <x v="2"/>
    <x v="0"/>
    <n v="0.30374999999999996"/>
    <x v="4"/>
    <n v="0.2"/>
    <n v="3.375"/>
    <x v="72"/>
    <n v="1.2149999999999999"/>
    <n v="8.9999999999999982"/>
  </r>
  <r>
    <x v="585"/>
    <x v="431"/>
    <s v="Wednesday"/>
    <x v="7"/>
    <x v="0"/>
    <x v="565"/>
    <x v="539"/>
    <n v="0"/>
    <s v="+1 (916) 626-5223"/>
    <x v="155"/>
    <x v="0"/>
    <s v="No"/>
    <x v="8"/>
    <x v="0"/>
    <x v="0"/>
    <n v="0.35819999999999996"/>
    <x v="2"/>
    <n v="0.5"/>
    <n v="5.97"/>
    <x v="9"/>
    <n v="0.35819999999999996"/>
    <n v="6"/>
  </r>
  <r>
    <x v="586"/>
    <x v="477"/>
    <s v="Thursday"/>
    <x v="8"/>
    <x v="3"/>
    <x v="539"/>
    <x v="566"/>
    <s v="cverissimogh@theglobeandmail.com"/>
    <n v="0"/>
    <x v="26"/>
    <x v="2"/>
    <s v="Yes"/>
    <x v="8"/>
    <x v="0"/>
    <x v="0"/>
    <n v="0.35819999999999996"/>
    <x v="1"/>
    <n v="0.5"/>
    <n v="5.97"/>
    <x v="44"/>
    <n v="1.7909999999999999"/>
    <n v="6.0000000000000009"/>
  </r>
  <r>
    <x v="587"/>
    <x v="478"/>
    <s v="Wednesday"/>
    <x v="1"/>
    <x v="3"/>
    <x v="566"/>
    <x v="567"/>
    <s v="scouronneh3@mozilla.org"/>
    <s v="+1 (701) 894-8081"/>
    <x v="97"/>
    <x v="0"/>
    <s v="Yes"/>
    <x v="26"/>
    <x v="3"/>
    <x v="1"/>
    <n v="4.7391499999999995"/>
    <x v="0"/>
    <n v="2.5"/>
    <n v="36.454999999999998"/>
    <x v="37"/>
    <n v="9.4782999999999991"/>
    <n v="13"/>
  </r>
  <r>
    <x v="588"/>
    <x v="45"/>
    <s v="Tuesday"/>
    <x v="6"/>
    <x v="1"/>
    <x v="567"/>
    <x v="568"/>
    <s v="lflippellih4@github.io"/>
    <s v="+44 (200) 860-6521"/>
    <x v="292"/>
    <x v="2"/>
    <s v="No"/>
    <x v="28"/>
    <x v="1"/>
    <x v="0"/>
    <n v="3.4787499999999998"/>
    <x v="4"/>
    <n v="2.5"/>
    <n v="31.624999999999996"/>
    <x v="177"/>
    <n v="13.914999999999999"/>
    <n v="11"/>
  </r>
  <r>
    <x v="589"/>
    <x v="444"/>
    <s v="Tuesday"/>
    <x v="8"/>
    <x v="3"/>
    <x v="568"/>
    <x v="569"/>
    <s v="relizabethh5@live.com"/>
    <s v="+1 (918) 203-3263"/>
    <x v="134"/>
    <x v="0"/>
    <s v="No"/>
    <x v="43"/>
    <x v="3"/>
    <x v="0"/>
    <n v="4.3504499999999995"/>
    <x v="2"/>
    <n v="2.5"/>
    <n v="33.464999999999996"/>
    <x v="116"/>
    <n v="4.3504499999999995"/>
    <n v="13"/>
  </r>
  <r>
    <x v="590"/>
    <x v="479"/>
    <s v="Thursday"/>
    <x v="0"/>
    <x v="1"/>
    <x v="569"/>
    <x v="570"/>
    <s v="irenhardh6@i2i.jp"/>
    <s v="+1 (646) 225-6560"/>
    <x v="15"/>
    <x v="0"/>
    <s v="Yes"/>
    <x v="45"/>
    <x v="1"/>
    <x v="2"/>
    <n v="1.3365"/>
    <x v="5"/>
    <n v="1"/>
    <n v="12.15"/>
    <x v="118"/>
    <n v="8.0190000000000001"/>
    <n v="10.999999999999998"/>
  </r>
  <r>
    <x v="591"/>
    <x v="480"/>
    <s v="Sunday"/>
    <x v="5"/>
    <x v="2"/>
    <x v="570"/>
    <x v="571"/>
    <s v="wrocheh7@xinhuanet.com"/>
    <s v="+1 (317) 439-5584"/>
    <x v="293"/>
    <x v="0"/>
    <s v="Yes"/>
    <x v="31"/>
    <x v="3"/>
    <x v="2"/>
    <n v="1.0101"/>
    <x v="0"/>
    <n v="0.5"/>
    <n v="7.77"/>
    <x v="42"/>
    <n v="2.0202"/>
    <n v="13"/>
  </r>
  <r>
    <x v="592"/>
    <x v="481"/>
    <s v="Thursday"/>
    <x v="4"/>
    <x v="1"/>
    <x v="571"/>
    <x v="572"/>
    <s v="lalawayhh@weather.com"/>
    <n v="0"/>
    <x v="42"/>
    <x v="0"/>
    <s v="No"/>
    <x v="14"/>
    <x v="2"/>
    <x v="0"/>
    <n v="0.30374999999999996"/>
    <x v="5"/>
    <n v="0.2"/>
    <n v="3.375"/>
    <x v="16"/>
    <n v="1.8224999999999998"/>
    <n v="8.9999999999999982"/>
  </r>
  <r>
    <x v="593"/>
    <x v="478"/>
    <s v="Wednesday"/>
    <x v="1"/>
    <x v="3"/>
    <x v="572"/>
    <x v="573"/>
    <s v="codgaardh9@nsw.gov.au"/>
    <s v="+1 (503) 203-1484"/>
    <x v="12"/>
    <x v="0"/>
    <s v="No"/>
    <x v="2"/>
    <x v="2"/>
    <x v="1"/>
    <n v="1.1655"/>
    <x v="5"/>
    <n v="1"/>
    <n v="12.95"/>
    <x v="17"/>
    <n v="6.9930000000000003"/>
    <n v="9.0000000000000018"/>
  </r>
  <r>
    <x v="594"/>
    <x v="482"/>
    <s v="Sunday"/>
    <x v="6"/>
    <x v="0"/>
    <x v="573"/>
    <x v="574"/>
    <s v="bbyrdha@4shared.com"/>
    <n v="0"/>
    <x v="198"/>
    <x v="0"/>
    <s v="No"/>
    <x v="43"/>
    <x v="3"/>
    <x v="0"/>
    <n v="4.3504499999999995"/>
    <x v="4"/>
    <n v="2.5"/>
    <n v="33.464999999999996"/>
    <x v="136"/>
    <n v="17.401799999999998"/>
    <n v="13"/>
  </r>
  <r>
    <x v="595"/>
    <x v="353"/>
    <s v="Thursday"/>
    <x v="4"/>
    <x v="1"/>
    <x v="574"/>
    <x v="575"/>
    <n v="0"/>
    <s v="+44 (141) 640-7113"/>
    <x v="294"/>
    <x v="2"/>
    <s v="No"/>
    <x v="45"/>
    <x v="1"/>
    <x v="2"/>
    <n v="1.3365"/>
    <x v="2"/>
    <n v="1"/>
    <n v="12.15"/>
    <x v="87"/>
    <n v="1.3365"/>
    <n v="11"/>
  </r>
  <r>
    <x v="596"/>
    <x v="199"/>
    <s v="Sunday"/>
    <x v="1"/>
    <x v="3"/>
    <x v="575"/>
    <x v="576"/>
    <s v="dchardinhc@nhs.uk"/>
    <n v="0"/>
    <x v="295"/>
    <x v="1"/>
    <s v="Yes"/>
    <x v="28"/>
    <x v="1"/>
    <x v="0"/>
    <n v="3.4787499999999998"/>
    <x v="0"/>
    <n v="2.5"/>
    <n v="31.624999999999996"/>
    <x v="40"/>
    <n v="6.9574999999999996"/>
    <n v="11"/>
  </r>
  <r>
    <x v="597"/>
    <x v="372"/>
    <s v="Sunday"/>
    <x v="2"/>
    <x v="3"/>
    <x v="576"/>
    <x v="577"/>
    <s v="hradbonehd@newsvine.com"/>
    <s v="+1 (415) 968-9559"/>
    <x v="204"/>
    <x v="0"/>
    <s v="No"/>
    <x v="35"/>
    <x v="0"/>
    <x v="1"/>
    <n v="0.43019999999999992"/>
    <x v="1"/>
    <n v="0.5"/>
    <n v="7.169999999999999"/>
    <x v="66"/>
    <n v="2.1509999999999998"/>
    <n v="6.0000000000000009"/>
  </r>
  <r>
    <x v="598"/>
    <x v="267"/>
    <s v="Saturday"/>
    <x v="6"/>
    <x v="0"/>
    <x v="577"/>
    <x v="578"/>
    <s v="wbernthhe@miitbeian.gov.cn"/>
    <s v="+1 (412) 597-3861"/>
    <x v="291"/>
    <x v="0"/>
    <s v="No"/>
    <x v="37"/>
    <x v="2"/>
    <x v="0"/>
    <n v="2.3287499999999994"/>
    <x v="3"/>
    <n v="2.5"/>
    <n v="25.874999999999996"/>
    <x v="57"/>
    <n v="6.9862499999999983"/>
    <n v="9"/>
  </r>
  <r>
    <x v="599"/>
    <x v="480"/>
    <s v="Sunday"/>
    <x v="5"/>
    <x v="2"/>
    <x v="578"/>
    <x v="579"/>
    <s v="bacarsonhf@cnn.com"/>
    <s v="+1 (713) 418-6385"/>
    <x v="13"/>
    <x v="0"/>
    <s v="Yes"/>
    <x v="28"/>
    <x v="1"/>
    <x v="0"/>
    <n v="3.4787499999999998"/>
    <x v="0"/>
    <n v="2.5"/>
    <n v="31.624999999999996"/>
    <x v="40"/>
    <n v="6.9574999999999996"/>
    <n v="11"/>
  </r>
  <r>
    <x v="600"/>
    <x v="483"/>
    <s v="Friday"/>
    <x v="8"/>
    <x v="2"/>
    <x v="579"/>
    <x v="579"/>
    <s v="fbrighamhg@blog.com"/>
    <s v="+353 (620) 657-2946"/>
    <x v="296"/>
    <x v="1"/>
    <s v="Yes"/>
    <x v="46"/>
    <x v="1"/>
    <x v="1"/>
    <n v="0.49004999999999999"/>
    <x v="5"/>
    <n v="0.2"/>
    <n v="4.4550000000000001"/>
    <x v="149"/>
    <n v="2.9402999999999997"/>
    <n v="10.999999999999998"/>
  </r>
  <r>
    <x v="600"/>
    <x v="483"/>
    <s v="Friday"/>
    <x v="8"/>
    <x v="2"/>
    <x v="579"/>
    <x v="579"/>
    <s v="fbrighamhg@blog.com"/>
    <s v="+353 (620) 657-2946"/>
    <x v="296"/>
    <x v="1"/>
    <s v="Yes"/>
    <x v="31"/>
    <x v="3"/>
    <x v="2"/>
    <n v="1.0101"/>
    <x v="4"/>
    <n v="0.5"/>
    <n v="7.77"/>
    <x v="113"/>
    <n v="4.0404"/>
    <n v="13"/>
  </r>
  <r>
    <x v="600"/>
    <x v="483"/>
    <s v="Friday"/>
    <x v="8"/>
    <x v="2"/>
    <x v="579"/>
    <x v="579"/>
    <s v="fbrighamhg@blog.com"/>
    <s v="+353 (620) 657-2946"/>
    <x v="296"/>
    <x v="1"/>
    <s v="Yes"/>
    <x v="16"/>
    <x v="2"/>
    <x v="2"/>
    <n v="0.26865"/>
    <x v="2"/>
    <n v="0.2"/>
    <n v="2.9849999999999999"/>
    <x v="55"/>
    <n v="0.26865"/>
    <n v="9.0000000000000018"/>
  </r>
  <r>
    <x v="600"/>
    <x v="483"/>
    <s v="Friday"/>
    <x v="8"/>
    <x v="2"/>
    <x v="579"/>
    <x v="580"/>
    <s v="fbrighamhg@blog.com"/>
    <s v="+353 (620) 657-2946"/>
    <x v="296"/>
    <x v="1"/>
    <s v="Yes"/>
    <x v="11"/>
    <x v="0"/>
    <x v="2"/>
    <n v="1.2350999999999999"/>
    <x v="1"/>
    <n v="2.5"/>
    <n v="20.584999999999997"/>
    <x v="182"/>
    <n v="6.1754999999999995"/>
    <n v="6.0000000000000009"/>
  </r>
  <r>
    <x v="601"/>
    <x v="484"/>
    <s v="Thursday"/>
    <x v="3"/>
    <x v="3"/>
    <x v="580"/>
    <x v="581"/>
    <s v="myoxenhk@google.com"/>
    <s v="+1 (213) 241-8051"/>
    <x v="6"/>
    <x v="0"/>
    <s v="No"/>
    <x v="38"/>
    <x v="1"/>
    <x v="1"/>
    <n v="0.98009999999999997"/>
    <x v="4"/>
    <n v="0.5"/>
    <n v="8.91"/>
    <x v="70"/>
    <n v="3.9203999999999999"/>
    <n v="11"/>
  </r>
  <r>
    <x v="602"/>
    <x v="485"/>
    <s v="Saturday"/>
    <x v="9"/>
    <x v="0"/>
    <x v="581"/>
    <x v="582"/>
    <s v="gmcgavinhl@histats.com"/>
    <s v="+1 (570) 745-7589"/>
    <x v="156"/>
    <x v="0"/>
    <s v="No"/>
    <x v="41"/>
    <x v="0"/>
    <x v="1"/>
    <n v="0.71699999999999997"/>
    <x v="4"/>
    <n v="1"/>
    <n v="11.95"/>
    <x v="62"/>
    <n v="2.8679999999999999"/>
    <n v="6"/>
  </r>
  <r>
    <x v="603"/>
    <x v="486"/>
    <s v="Sunday"/>
    <x v="8"/>
    <x v="3"/>
    <x v="582"/>
    <x v="583"/>
    <s v="luttermarehm@engadget.com"/>
    <s v="+1 (817) 793-6871"/>
    <x v="177"/>
    <x v="0"/>
    <s v="No"/>
    <x v="24"/>
    <x v="3"/>
    <x v="0"/>
    <n v="1.8915000000000002"/>
    <x v="3"/>
    <n v="1"/>
    <n v="14.55"/>
    <x v="34"/>
    <n v="5.6745000000000001"/>
    <n v="12.999999999999998"/>
  </r>
  <r>
    <x v="604"/>
    <x v="487"/>
    <s v="Monday"/>
    <x v="4"/>
    <x v="2"/>
    <x v="583"/>
    <x v="584"/>
    <s v="edambrogiohn@techcrunch.com"/>
    <s v="+1 (816) 196-1729"/>
    <x v="150"/>
    <x v="0"/>
    <s v="Yes"/>
    <x v="38"/>
    <x v="1"/>
    <x v="1"/>
    <n v="0.98009999999999997"/>
    <x v="4"/>
    <n v="0.5"/>
    <n v="8.91"/>
    <x v="70"/>
    <n v="3.9203999999999999"/>
    <n v="11"/>
  </r>
  <r>
    <x v="605"/>
    <x v="488"/>
    <s v="Tuesday"/>
    <x v="4"/>
    <x v="0"/>
    <x v="584"/>
    <x v="585"/>
    <s v="cwinchcombeho@jiathis.com"/>
    <s v="+1 (501) 772-4397"/>
    <x v="28"/>
    <x v="0"/>
    <s v="Yes"/>
    <x v="32"/>
    <x v="3"/>
    <x v="1"/>
    <n v="2.0605000000000002"/>
    <x v="5"/>
    <n v="1"/>
    <n v="15.85"/>
    <x v="179"/>
    <n v="12.363000000000001"/>
    <n v="13.000000000000004"/>
  </r>
  <r>
    <x v="606"/>
    <x v="489"/>
    <s v="Friday"/>
    <x v="10"/>
    <x v="3"/>
    <x v="585"/>
    <x v="586"/>
    <s v="bpaumierhp@umn.edu"/>
    <s v="+353 (777) 856-8236"/>
    <x v="297"/>
    <x v="1"/>
    <s v="Yes"/>
    <x v="28"/>
    <x v="1"/>
    <x v="0"/>
    <n v="3.4787499999999998"/>
    <x v="2"/>
    <n v="2.5"/>
    <n v="31.624999999999996"/>
    <x v="176"/>
    <n v="3.4787499999999998"/>
    <n v="11"/>
  </r>
  <r>
    <x v="607"/>
    <x v="162"/>
    <s v="Wednesday"/>
    <x v="3"/>
    <x v="0"/>
    <x v="586"/>
    <x v="587"/>
    <n v="0"/>
    <s v="+353 (573) 561-9754"/>
    <x v="280"/>
    <x v="1"/>
    <s v="Yes"/>
    <x v="37"/>
    <x v="2"/>
    <x v="0"/>
    <n v="2.3287499999999994"/>
    <x v="3"/>
    <n v="2.5"/>
    <n v="25.874999999999996"/>
    <x v="57"/>
    <n v="6.9862499999999983"/>
    <n v="9"/>
  </r>
  <r>
    <x v="608"/>
    <x v="490"/>
    <s v="Saturday"/>
    <x v="5"/>
    <x v="1"/>
    <x v="587"/>
    <x v="588"/>
    <s v="jcapeyhr@bravesites.com"/>
    <s v="+1 (814) 974-7878"/>
    <x v="173"/>
    <x v="0"/>
    <s v="Yes"/>
    <x v="12"/>
    <x v="3"/>
    <x v="2"/>
    <n v="0.50505"/>
    <x v="2"/>
    <n v="0.2"/>
    <n v="3.8849999999999998"/>
    <x v="84"/>
    <n v="0.50505"/>
    <n v="13"/>
  </r>
  <r>
    <x v="609"/>
    <x v="491"/>
    <s v="Friday"/>
    <x v="9"/>
    <x v="1"/>
    <x v="588"/>
    <x v="589"/>
    <s v="tmathonneti0@google.co.jp"/>
    <s v="+1 (614) 781-0396"/>
    <x v="61"/>
    <x v="0"/>
    <s v="No"/>
    <x v="4"/>
    <x v="0"/>
    <x v="1"/>
    <n v="1.6490999999999998"/>
    <x v="1"/>
    <n v="2.5"/>
    <n v="27.484999999999996"/>
    <x v="187"/>
    <n v="8.2454999999999998"/>
    <n v="6.0000000000000009"/>
  </r>
  <r>
    <x v="610"/>
    <x v="301"/>
    <s v="Thursday"/>
    <x v="0"/>
    <x v="1"/>
    <x v="589"/>
    <x v="590"/>
    <s v="ybasillht@theguardian.com"/>
    <s v="+1 (412) 297-2806"/>
    <x v="291"/>
    <x v="0"/>
    <s v="Yes"/>
    <x v="41"/>
    <x v="0"/>
    <x v="1"/>
    <n v="0.71699999999999997"/>
    <x v="3"/>
    <n v="1"/>
    <n v="11.95"/>
    <x v="66"/>
    <n v="2.1509999999999998"/>
    <n v="6.0000000000000009"/>
  </r>
  <r>
    <x v="611"/>
    <x v="194"/>
    <s v="Wednesday"/>
    <x v="10"/>
    <x v="3"/>
    <x v="590"/>
    <x v="591"/>
    <s v="mbaistowhu@i2i.jp"/>
    <s v="+44 (876) 508-3376"/>
    <x v="298"/>
    <x v="2"/>
    <s v="Yes"/>
    <x v="18"/>
    <x v="1"/>
    <x v="0"/>
    <n v="0.45374999999999999"/>
    <x v="0"/>
    <n v="0.2"/>
    <n v="4.125"/>
    <x v="112"/>
    <n v="0.90749999999999997"/>
    <n v="11"/>
  </r>
  <r>
    <x v="612"/>
    <x v="26"/>
    <s v="Monday"/>
    <x v="1"/>
    <x v="3"/>
    <x v="591"/>
    <x v="592"/>
    <s v="cpallanthv@typepad.com"/>
    <n v="0"/>
    <x v="68"/>
    <x v="0"/>
    <s v="Yes"/>
    <x v="10"/>
    <x v="1"/>
    <x v="1"/>
    <n v="3.7570499999999996"/>
    <x v="3"/>
    <n v="2.5"/>
    <n v="34.154999999999994"/>
    <x v="89"/>
    <n v="11.271149999999999"/>
    <n v="11.000000000000002"/>
  </r>
  <r>
    <x v="613"/>
    <x v="125"/>
    <s v="Friday"/>
    <x v="5"/>
    <x v="2"/>
    <x v="592"/>
    <x v="593"/>
    <n v="0"/>
    <s v="+1 (786) 445-8879"/>
    <x v="218"/>
    <x v="0"/>
    <s v="No"/>
    <x v="11"/>
    <x v="0"/>
    <x v="2"/>
    <n v="1.2350999999999999"/>
    <x v="0"/>
    <n v="2.5"/>
    <n v="20.584999999999997"/>
    <x v="13"/>
    <n v="2.4701999999999997"/>
    <n v="6.0000000000000009"/>
  </r>
  <r>
    <x v="614"/>
    <x v="492"/>
    <s v="Friday"/>
    <x v="7"/>
    <x v="3"/>
    <x v="593"/>
    <x v="594"/>
    <s v="dohx@redcross.org"/>
    <s v="+1 (325) 276-3690"/>
    <x v="299"/>
    <x v="0"/>
    <s v="Yes"/>
    <x v="30"/>
    <x v="2"/>
    <x v="2"/>
    <n v="2.0596499999999995"/>
    <x v="3"/>
    <n v="2.5"/>
    <n v="22.884999999999998"/>
    <x v="96"/>
    <n v="6.1789499999999986"/>
    <n v="8.9999999999999982"/>
  </r>
  <r>
    <x v="615"/>
    <x v="462"/>
    <s v="Thursday"/>
    <x v="9"/>
    <x v="1"/>
    <x v="594"/>
    <x v="595"/>
    <s v="drallinhy@howstuffworks.com"/>
    <s v="+1 (518) 981-1531"/>
    <x v="140"/>
    <x v="0"/>
    <s v="Yes"/>
    <x v="9"/>
    <x v="2"/>
    <x v="2"/>
    <n v="0.89549999999999985"/>
    <x v="2"/>
    <n v="1"/>
    <n v="9.9499999999999993"/>
    <x v="138"/>
    <n v="0.89549999999999985"/>
    <n v="9"/>
  </r>
  <r>
    <x v="616"/>
    <x v="493"/>
    <s v="Tuesday"/>
    <x v="11"/>
    <x v="1"/>
    <x v="595"/>
    <x v="588"/>
    <s v="achillhz@epa.gov"/>
    <s v="+44 (411) 344-1320"/>
    <x v="300"/>
    <x v="2"/>
    <s v="Yes"/>
    <x v="23"/>
    <x v="3"/>
    <x v="1"/>
    <n v="1.2363"/>
    <x v="3"/>
    <n v="0.5"/>
    <n v="9.51"/>
    <x v="32"/>
    <n v="3.7088999999999999"/>
    <n v="12.999999999999998"/>
  </r>
  <r>
    <x v="617"/>
    <x v="494"/>
    <s v="Sunday"/>
    <x v="10"/>
    <x v="3"/>
    <x v="588"/>
    <x v="596"/>
    <s v="tmathonneti0@google.co.jp"/>
    <s v="+1 (614) 781-0396"/>
    <x v="61"/>
    <x v="0"/>
    <s v="No"/>
    <x v="25"/>
    <x v="0"/>
    <x v="2"/>
    <n v="0.16109999999999997"/>
    <x v="5"/>
    <n v="0.2"/>
    <n v="2.6849999999999996"/>
    <x v="103"/>
    <n v="0.96659999999999979"/>
    <n v="5.9999999999999991"/>
  </r>
  <r>
    <x v="618"/>
    <x v="495"/>
    <s v="Friday"/>
    <x v="2"/>
    <x v="3"/>
    <x v="596"/>
    <x v="597"/>
    <s v="cdenysi1@is.gd"/>
    <s v="+44 (341) 297-2539"/>
    <x v="301"/>
    <x v="2"/>
    <s v="No"/>
    <x v="32"/>
    <x v="3"/>
    <x v="1"/>
    <n v="2.0605000000000002"/>
    <x v="5"/>
    <n v="1"/>
    <n v="15.85"/>
    <x v="179"/>
    <n v="12.363000000000001"/>
    <n v="13.000000000000004"/>
  </r>
  <r>
    <x v="619"/>
    <x v="496"/>
    <s v="Monday"/>
    <x v="10"/>
    <x v="0"/>
    <x v="597"/>
    <x v="598"/>
    <s v="cstebbingsi2@drupal.org"/>
    <s v="+1 (951) 986-4062"/>
    <x v="78"/>
    <x v="0"/>
    <s v="Yes"/>
    <x v="34"/>
    <x v="0"/>
    <x v="2"/>
    <n v="0.32219999999999993"/>
    <x v="2"/>
    <n v="0.5"/>
    <n v="5.3699999999999992"/>
    <x v="147"/>
    <n v="0.32219999999999993"/>
    <n v="6"/>
  </r>
  <r>
    <x v="620"/>
    <x v="497"/>
    <s v="Thursday"/>
    <x v="0"/>
    <x v="3"/>
    <x v="598"/>
    <x v="599"/>
    <n v="0"/>
    <s v="+1 (202) 931-2413"/>
    <x v="41"/>
    <x v="0"/>
    <s v="No"/>
    <x v="41"/>
    <x v="0"/>
    <x v="1"/>
    <n v="0.71699999999999997"/>
    <x v="4"/>
    <n v="1"/>
    <n v="11.95"/>
    <x v="62"/>
    <n v="2.8679999999999999"/>
    <n v="6"/>
  </r>
  <r>
    <x v="621"/>
    <x v="498"/>
    <s v="Monday"/>
    <x v="6"/>
    <x v="3"/>
    <x v="599"/>
    <x v="600"/>
    <s v="rzywickii4@ifeng.com"/>
    <n v="0"/>
    <x v="302"/>
    <x v="1"/>
    <s v="No"/>
    <x v="32"/>
    <x v="3"/>
    <x v="1"/>
    <n v="2.0605000000000002"/>
    <x v="4"/>
    <n v="1"/>
    <n v="15.85"/>
    <x v="165"/>
    <n v="8.2420000000000009"/>
    <n v="13"/>
  </r>
  <r>
    <x v="622"/>
    <x v="382"/>
    <s v="Monday"/>
    <x v="1"/>
    <x v="1"/>
    <x v="600"/>
    <x v="601"/>
    <s v="aburgetti5@moonfruit.com"/>
    <s v="+1 (419) 372-4746"/>
    <x v="45"/>
    <x v="0"/>
    <s v="No"/>
    <x v="37"/>
    <x v="2"/>
    <x v="0"/>
    <n v="2.3287499999999994"/>
    <x v="4"/>
    <n v="2.5"/>
    <n v="25.874999999999996"/>
    <x v="68"/>
    <n v="9.3149999999999977"/>
    <n v="9"/>
  </r>
  <r>
    <x v="623"/>
    <x v="499"/>
    <s v="Friday"/>
    <x v="4"/>
    <x v="0"/>
    <x v="601"/>
    <x v="602"/>
    <s v="mmalloyi6@seattletimes.com"/>
    <s v="+1 (202) 284-7115"/>
    <x v="41"/>
    <x v="0"/>
    <s v="No"/>
    <x v="30"/>
    <x v="2"/>
    <x v="2"/>
    <n v="2.0596499999999995"/>
    <x v="3"/>
    <n v="2.5"/>
    <n v="22.884999999999998"/>
    <x v="96"/>
    <n v="6.1789499999999986"/>
    <n v="8.9999999999999982"/>
  </r>
  <r>
    <x v="624"/>
    <x v="500"/>
    <s v="Friday"/>
    <x v="0"/>
    <x v="0"/>
    <x v="602"/>
    <x v="603"/>
    <s v="mmcparlandi7@w3.org"/>
    <n v="0"/>
    <x v="303"/>
    <x v="0"/>
    <s v="Yes"/>
    <x v="13"/>
    <x v="0"/>
    <x v="0"/>
    <n v="1.3730999999999998"/>
    <x v="0"/>
    <n v="2.5"/>
    <n v="22.884999999999998"/>
    <x v="135"/>
    <n v="2.7461999999999995"/>
    <n v="6"/>
  </r>
  <r>
    <x v="625"/>
    <x v="501"/>
    <s v="Saturday"/>
    <x v="7"/>
    <x v="1"/>
    <x v="603"/>
    <x v="604"/>
    <s v="sjennaroyi8@purevolume.com"/>
    <n v="0"/>
    <x v="24"/>
    <x v="0"/>
    <s v="No"/>
    <x v="5"/>
    <x v="3"/>
    <x v="2"/>
    <n v="1.6835"/>
    <x v="4"/>
    <n v="1"/>
    <n v="12.95"/>
    <x v="67"/>
    <n v="6.734"/>
    <n v="13"/>
  </r>
  <r>
    <x v="626"/>
    <x v="502"/>
    <s v="Wednesday"/>
    <x v="4"/>
    <x v="3"/>
    <x v="604"/>
    <x v="605"/>
    <s v="wplacei9@wsj.com"/>
    <s v="+1 (408) 106-8863"/>
    <x v="304"/>
    <x v="0"/>
    <s v="Yes"/>
    <x v="19"/>
    <x v="2"/>
    <x v="0"/>
    <n v="0.60749999999999993"/>
    <x v="0"/>
    <n v="0.5"/>
    <n v="6.75"/>
    <x v="72"/>
    <n v="1.2149999999999999"/>
    <n v="8.9999999999999982"/>
  </r>
  <r>
    <x v="627"/>
    <x v="503"/>
    <s v="Thursday"/>
    <x v="6"/>
    <x v="2"/>
    <x v="605"/>
    <x v="606"/>
    <s v="jmillettik@addtoany.com"/>
    <s v="+1 (919) 302-3228"/>
    <x v="285"/>
    <x v="0"/>
    <s v="Yes"/>
    <x v="1"/>
    <x v="1"/>
    <x v="0"/>
    <n v="0.90749999999999997"/>
    <x v="3"/>
    <n v="0.5"/>
    <n v="8.25"/>
    <x v="167"/>
    <n v="2.7225000000000001"/>
    <n v="11"/>
  </r>
  <r>
    <x v="628"/>
    <x v="504"/>
    <s v="Thursday"/>
    <x v="5"/>
    <x v="2"/>
    <x v="606"/>
    <x v="607"/>
    <s v="dgadsdenib@google.com.hk"/>
    <s v="+353 (847) 447-7835"/>
    <x v="305"/>
    <x v="1"/>
    <s v="Yes"/>
    <x v="30"/>
    <x v="2"/>
    <x v="2"/>
    <n v="2.0596499999999995"/>
    <x v="0"/>
    <n v="2.5"/>
    <n v="22.884999999999998"/>
    <x v="135"/>
    <n v="4.1192999999999991"/>
    <n v="8.9999999999999982"/>
  </r>
  <r>
    <x v="629"/>
    <x v="497"/>
    <s v="Thursday"/>
    <x v="0"/>
    <x v="3"/>
    <x v="607"/>
    <x v="608"/>
    <s v="vwakelinic@unesco.org"/>
    <s v="+1 (517) 163-7746"/>
    <x v="133"/>
    <x v="0"/>
    <s v="No"/>
    <x v="38"/>
    <x v="1"/>
    <x v="1"/>
    <n v="0.98009999999999997"/>
    <x v="5"/>
    <n v="0.5"/>
    <n v="8.91"/>
    <x v="119"/>
    <n v="5.8805999999999994"/>
    <n v="10.999999999999998"/>
  </r>
  <r>
    <x v="630"/>
    <x v="501"/>
    <s v="Saturday"/>
    <x v="7"/>
    <x v="1"/>
    <x v="608"/>
    <x v="609"/>
    <s v="acampsallid@zimbio.com"/>
    <s v="+1 (713) 339-5547"/>
    <x v="13"/>
    <x v="0"/>
    <s v="Yes"/>
    <x v="14"/>
    <x v="2"/>
    <x v="0"/>
    <n v="0.30374999999999996"/>
    <x v="5"/>
    <n v="0.2"/>
    <n v="3.375"/>
    <x v="16"/>
    <n v="1.8224999999999998"/>
    <n v="8.9999999999999982"/>
  </r>
  <r>
    <x v="631"/>
    <x v="1"/>
    <s v="Thursday"/>
    <x v="1"/>
    <x v="1"/>
    <x v="609"/>
    <x v="610"/>
    <s v="smosebyie@stanford.edu"/>
    <n v="0"/>
    <x v="306"/>
    <x v="0"/>
    <s v="No"/>
    <x v="27"/>
    <x v="3"/>
    <x v="2"/>
    <n v="3.8720499999999998"/>
    <x v="1"/>
    <n v="2.5"/>
    <n v="29.784999999999997"/>
    <x v="74"/>
    <n v="19.360250000000001"/>
    <n v="13.000000000000004"/>
  </r>
  <r>
    <x v="632"/>
    <x v="505"/>
    <s v="Saturday"/>
    <x v="6"/>
    <x v="0"/>
    <x v="610"/>
    <x v="611"/>
    <s v="cwassif@prweb.com"/>
    <n v="0"/>
    <x v="27"/>
    <x v="0"/>
    <s v="No"/>
    <x v="17"/>
    <x v="2"/>
    <x v="0"/>
    <n v="1.0125"/>
    <x v="5"/>
    <n v="1"/>
    <n v="11.25"/>
    <x v="173"/>
    <n v="6.0749999999999993"/>
    <n v="8.9999999999999982"/>
  </r>
  <r>
    <x v="633"/>
    <x v="506"/>
    <s v="Sunday"/>
    <x v="9"/>
    <x v="1"/>
    <x v="611"/>
    <x v="611"/>
    <s v="isjostromig@pbs.org"/>
    <s v="+1 (814) 359-4610"/>
    <x v="173"/>
    <x v="0"/>
    <s v="No"/>
    <x v="45"/>
    <x v="1"/>
    <x v="2"/>
    <n v="1.3365"/>
    <x v="5"/>
    <n v="1"/>
    <n v="12.15"/>
    <x v="118"/>
    <n v="8.0190000000000001"/>
    <n v="10.999999999999998"/>
  </r>
  <r>
    <x v="633"/>
    <x v="506"/>
    <s v="Sunday"/>
    <x v="9"/>
    <x v="1"/>
    <x v="611"/>
    <x v="612"/>
    <s v="isjostromig@pbs.org"/>
    <s v="+1 (814) 359-4610"/>
    <x v="173"/>
    <x v="0"/>
    <s v="No"/>
    <x v="12"/>
    <x v="3"/>
    <x v="2"/>
    <n v="0.50505"/>
    <x v="0"/>
    <n v="0.2"/>
    <n v="3.8849999999999998"/>
    <x v="41"/>
    <n v="1.0101"/>
    <n v="13"/>
  </r>
  <r>
    <x v="634"/>
    <x v="507"/>
    <s v="Friday"/>
    <x v="1"/>
    <x v="3"/>
    <x v="612"/>
    <x v="613"/>
    <s v="jbranchettii@bravesites.com"/>
    <s v="+1 (806) 376-6144"/>
    <x v="143"/>
    <x v="0"/>
    <s v="No"/>
    <x v="30"/>
    <x v="2"/>
    <x v="2"/>
    <n v="2.0596499999999995"/>
    <x v="4"/>
    <n v="2.5"/>
    <n v="22.884999999999998"/>
    <x v="21"/>
    <n v="8.2385999999999981"/>
    <n v="8.9999999999999982"/>
  </r>
  <r>
    <x v="635"/>
    <x v="508"/>
    <s v="Sunday"/>
    <x v="0"/>
    <x v="1"/>
    <x v="613"/>
    <x v="605"/>
    <s v="nrudlandij@blogs.com"/>
    <s v="+353 (445) 224-6111"/>
    <x v="307"/>
    <x v="1"/>
    <s v="No"/>
    <x v="9"/>
    <x v="2"/>
    <x v="2"/>
    <n v="0.89549999999999985"/>
    <x v="5"/>
    <n v="1"/>
    <n v="9.9499999999999993"/>
    <x v="33"/>
    <n v="5.3729999999999993"/>
    <n v="9"/>
  </r>
  <r>
    <x v="636"/>
    <x v="509"/>
    <s v="Wednesday"/>
    <x v="6"/>
    <x v="2"/>
    <x v="605"/>
    <x v="614"/>
    <s v="jmillettik@addtoany.com"/>
    <s v="+1 (919) 302-3228"/>
    <x v="285"/>
    <x v="0"/>
    <s v="Yes"/>
    <x v="4"/>
    <x v="0"/>
    <x v="1"/>
    <n v="1.6490999999999998"/>
    <x v="1"/>
    <n v="2.5"/>
    <n v="27.484999999999996"/>
    <x v="187"/>
    <n v="8.2454999999999998"/>
    <n v="6.0000000000000009"/>
  </r>
  <r>
    <x v="637"/>
    <x v="131"/>
    <s v="Tuesday"/>
    <x v="9"/>
    <x v="1"/>
    <x v="614"/>
    <x v="615"/>
    <s v="ftourryil@google.de"/>
    <s v="+1 (843) 243-1686"/>
    <x v="308"/>
    <x v="0"/>
    <s v="No"/>
    <x v="43"/>
    <x v="3"/>
    <x v="0"/>
    <n v="4.3504499999999995"/>
    <x v="0"/>
    <n v="2.5"/>
    <n v="33.464999999999996"/>
    <x v="174"/>
    <n v="8.700899999999999"/>
    <n v="13"/>
  </r>
  <r>
    <x v="638"/>
    <x v="510"/>
    <s v="Tuesday"/>
    <x v="5"/>
    <x v="0"/>
    <x v="615"/>
    <x v="616"/>
    <s v="cweatherallim@toplist.cz"/>
    <s v="+1 (315) 335-0182"/>
    <x v="309"/>
    <x v="0"/>
    <s v="Yes"/>
    <x v="21"/>
    <x v="3"/>
    <x v="0"/>
    <n v="0.56745000000000001"/>
    <x v="3"/>
    <n v="0.2"/>
    <n v="4.3650000000000002"/>
    <x v="73"/>
    <n v="1.70235"/>
    <n v="13"/>
  </r>
  <r>
    <x v="639"/>
    <x v="511"/>
    <s v="Tuesday"/>
    <x v="7"/>
    <x v="1"/>
    <x v="616"/>
    <x v="617"/>
    <s v="gheindrickin@usda.gov"/>
    <s v="+1 (229) 111-7292"/>
    <x v="227"/>
    <x v="0"/>
    <s v="No"/>
    <x v="41"/>
    <x v="0"/>
    <x v="1"/>
    <n v="0.71699999999999997"/>
    <x v="1"/>
    <n v="1"/>
    <n v="11.95"/>
    <x v="143"/>
    <n v="3.585"/>
    <n v="6"/>
  </r>
  <r>
    <x v="640"/>
    <x v="512"/>
    <s v="Thursday"/>
    <x v="6"/>
    <x v="3"/>
    <x v="617"/>
    <x v="618"/>
    <s v="limasonio@discuz.net"/>
    <n v="0"/>
    <x v="13"/>
    <x v="0"/>
    <s v="Yes"/>
    <x v="22"/>
    <x v="3"/>
    <x v="0"/>
    <n v="1.1349"/>
    <x v="1"/>
    <n v="0.5"/>
    <n v="8.73"/>
    <x v="34"/>
    <n v="5.6745000000000001"/>
    <n v="12.999999999999998"/>
  </r>
  <r>
    <x v="641"/>
    <x v="513"/>
    <s v="Wednesday"/>
    <x v="7"/>
    <x v="3"/>
    <x v="618"/>
    <x v="619"/>
    <s v="hsaillip@odnoklassniki.ru"/>
    <s v="+1 (913) 968-8024"/>
    <x v="77"/>
    <x v="0"/>
    <s v="Yes"/>
    <x v="3"/>
    <x v="1"/>
    <x v="0"/>
    <n v="1.5125"/>
    <x v="5"/>
    <n v="1"/>
    <n v="13.75"/>
    <x v="121"/>
    <n v="9.0749999999999993"/>
    <n v="10.999999999999998"/>
  </r>
  <r>
    <x v="642"/>
    <x v="514"/>
    <s v="Monday"/>
    <x v="9"/>
    <x v="1"/>
    <x v="619"/>
    <x v="620"/>
    <s v="hlarvoriq@last.fm"/>
    <s v="+1 (941) 779-2195"/>
    <x v="310"/>
    <x v="0"/>
    <s v="Yes"/>
    <x v="44"/>
    <x v="2"/>
    <x v="1"/>
    <n v="2.6806499999999995"/>
    <x v="5"/>
    <n v="2.5"/>
    <n v="29.784999999999997"/>
    <x v="39"/>
    <n v="16.083899999999996"/>
    <n v="8.9999999999999982"/>
  </r>
  <r>
    <x v="643"/>
    <x v="7"/>
    <s v="Monday"/>
    <x v="6"/>
    <x v="1"/>
    <x v="620"/>
    <x v="621"/>
    <n v="0"/>
    <s v="+1 (610) 942-2790"/>
    <x v="311"/>
    <x v="0"/>
    <s v="Yes"/>
    <x v="27"/>
    <x v="3"/>
    <x v="2"/>
    <n v="3.8720499999999998"/>
    <x v="4"/>
    <n v="2.5"/>
    <n v="29.784999999999997"/>
    <x v="129"/>
    <n v="15.488199999999999"/>
    <n v="13"/>
  </r>
  <r>
    <x v="644"/>
    <x v="481"/>
    <s v="Thursday"/>
    <x v="4"/>
    <x v="1"/>
    <x v="621"/>
    <x v="622"/>
    <n v="0"/>
    <s v="+1 (757) 101-9459"/>
    <x v="312"/>
    <x v="0"/>
    <s v="No"/>
    <x v="23"/>
    <x v="3"/>
    <x v="1"/>
    <n v="1.2363"/>
    <x v="1"/>
    <n v="0.5"/>
    <n v="9.51"/>
    <x v="46"/>
    <n v="6.1814999999999998"/>
    <n v="13"/>
  </r>
  <r>
    <x v="645"/>
    <x v="515"/>
    <s v="Sunday"/>
    <x v="4"/>
    <x v="1"/>
    <x v="622"/>
    <x v="623"/>
    <s v="cpenwardenit@mlb.com"/>
    <s v="+353 (765) 345-5590"/>
    <x v="230"/>
    <x v="1"/>
    <s v="No"/>
    <x v="22"/>
    <x v="3"/>
    <x v="0"/>
    <n v="1.1349"/>
    <x v="1"/>
    <n v="0.5"/>
    <n v="8.73"/>
    <x v="34"/>
    <n v="5.6745000000000001"/>
    <n v="12.999999999999998"/>
  </r>
  <r>
    <x v="646"/>
    <x v="516"/>
    <s v="Friday"/>
    <x v="6"/>
    <x v="1"/>
    <x v="623"/>
    <x v="624"/>
    <s v="mmiddisiu@dmoz.org"/>
    <s v="+1 (316) 736-9645"/>
    <x v="313"/>
    <x v="0"/>
    <s v="Yes"/>
    <x v="44"/>
    <x v="2"/>
    <x v="1"/>
    <n v="2.6806499999999995"/>
    <x v="5"/>
    <n v="2.5"/>
    <n v="29.784999999999997"/>
    <x v="39"/>
    <n v="16.083899999999996"/>
    <n v="8.9999999999999982"/>
  </r>
  <r>
    <x v="647"/>
    <x v="517"/>
    <s v="Friday"/>
    <x v="6"/>
    <x v="2"/>
    <x v="624"/>
    <x v="625"/>
    <s v="avairowiv@studiopress.com"/>
    <s v="+44 (236) 517-2586"/>
    <x v="300"/>
    <x v="2"/>
    <s v="No"/>
    <x v="4"/>
    <x v="0"/>
    <x v="1"/>
    <n v="1.6490999999999998"/>
    <x v="2"/>
    <n v="2.5"/>
    <n v="27.484999999999996"/>
    <x v="142"/>
    <n v="1.6490999999999998"/>
    <n v="6.0000000000000009"/>
  </r>
  <r>
    <x v="648"/>
    <x v="518"/>
    <s v="Thursday"/>
    <x v="2"/>
    <x v="1"/>
    <x v="625"/>
    <x v="626"/>
    <s v="agoldieiw@goo.gl"/>
    <n v="0"/>
    <x v="189"/>
    <x v="0"/>
    <s v="No"/>
    <x v="17"/>
    <x v="2"/>
    <x v="0"/>
    <n v="1.0125"/>
    <x v="1"/>
    <n v="1"/>
    <n v="11.25"/>
    <x v="126"/>
    <n v="5.0625"/>
    <n v="9"/>
  </r>
  <r>
    <x v="649"/>
    <x v="519"/>
    <s v="Sunday"/>
    <x v="0"/>
    <x v="3"/>
    <x v="626"/>
    <x v="627"/>
    <s v="nayrisix@t-online.de"/>
    <s v="+44 (627) 552-5656"/>
    <x v="44"/>
    <x v="2"/>
    <s v="Yes"/>
    <x v="7"/>
    <x v="3"/>
    <x v="1"/>
    <n v="0.61814999999999998"/>
    <x v="0"/>
    <n v="0.2"/>
    <n v="4.7549999999999999"/>
    <x v="54"/>
    <n v="1.2363"/>
    <n v="13"/>
  </r>
  <r>
    <x v="650"/>
    <x v="520"/>
    <s v="Saturday"/>
    <x v="9"/>
    <x v="0"/>
    <x v="627"/>
    <x v="628"/>
    <s v="lbenediktovichiy@wunderground.com"/>
    <s v="+1 (904) 330-1211"/>
    <x v="314"/>
    <x v="0"/>
    <s v="Yes"/>
    <x v="18"/>
    <x v="1"/>
    <x v="0"/>
    <n v="0.45374999999999999"/>
    <x v="0"/>
    <n v="0.2"/>
    <n v="4.125"/>
    <x v="112"/>
    <n v="0.90749999999999997"/>
    <n v="11"/>
  </r>
  <r>
    <x v="651"/>
    <x v="521"/>
    <s v="Monday"/>
    <x v="8"/>
    <x v="3"/>
    <x v="628"/>
    <x v="629"/>
    <s v="tjacobovitziz@cbc.ca"/>
    <s v="+1 (713) 642-2082"/>
    <x v="13"/>
    <x v="0"/>
    <s v="No"/>
    <x v="31"/>
    <x v="3"/>
    <x v="2"/>
    <n v="1.0101"/>
    <x v="5"/>
    <n v="0.5"/>
    <n v="7.77"/>
    <x v="162"/>
    <n v="6.0606"/>
    <n v="13"/>
  </r>
  <r>
    <x v="652"/>
    <x v="418"/>
    <s v="Thursday"/>
    <x v="10"/>
    <x v="0"/>
    <x v="629"/>
    <x v="630"/>
    <n v="0"/>
    <s v="+1 (971) 254-5295"/>
    <x v="12"/>
    <x v="0"/>
    <s v="No"/>
    <x v="41"/>
    <x v="0"/>
    <x v="1"/>
    <n v="0.71699999999999997"/>
    <x v="5"/>
    <n v="1"/>
    <n v="11.95"/>
    <x v="144"/>
    <n v="4.3019999999999996"/>
    <n v="6.0000000000000009"/>
  </r>
  <r>
    <x v="653"/>
    <x v="122"/>
    <s v="Thursday"/>
    <x v="6"/>
    <x v="2"/>
    <x v="630"/>
    <x v="631"/>
    <s v="jdruittj1@feedburner.com"/>
    <s v="+1 (650) 693-6904"/>
    <x v="148"/>
    <x v="0"/>
    <s v="Yes"/>
    <x v="26"/>
    <x v="3"/>
    <x v="1"/>
    <n v="4.7391499999999995"/>
    <x v="0"/>
    <n v="2.5"/>
    <n v="36.454999999999998"/>
    <x v="37"/>
    <n v="9.4782999999999991"/>
    <n v="13"/>
  </r>
  <r>
    <x v="654"/>
    <x v="423"/>
    <s v="Friday"/>
    <x v="5"/>
    <x v="1"/>
    <x v="631"/>
    <x v="632"/>
    <s v="dshortallj2@wikipedia.org"/>
    <s v="+1 (714) 917-8665"/>
    <x v="100"/>
    <x v="0"/>
    <s v="Yes"/>
    <x v="25"/>
    <x v="0"/>
    <x v="2"/>
    <n v="0.16109999999999997"/>
    <x v="3"/>
    <n v="0.2"/>
    <n v="2.6849999999999996"/>
    <x v="36"/>
    <n v="0.4832999999999999"/>
    <n v="5.9999999999999991"/>
  </r>
  <r>
    <x v="655"/>
    <x v="463"/>
    <s v="Sunday"/>
    <x v="4"/>
    <x v="0"/>
    <x v="632"/>
    <x v="633"/>
    <s v="wcottierj3@cafepress.com"/>
    <s v="+1 (408) 261-7902"/>
    <x v="7"/>
    <x v="0"/>
    <s v="No"/>
    <x v="1"/>
    <x v="1"/>
    <x v="0"/>
    <n v="0.90749999999999997"/>
    <x v="0"/>
    <n v="0.5"/>
    <n v="8.25"/>
    <x v="38"/>
    <n v="1.8149999999999999"/>
    <n v="11"/>
  </r>
  <r>
    <x v="656"/>
    <x v="273"/>
    <s v="Wednesday"/>
    <x v="8"/>
    <x v="0"/>
    <x v="633"/>
    <x v="634"/>
    <s v="kgrinstedj4@google.com.br"/>
    <s v="+353 (773) 225-6216"/>
    <x v="315"/>
    <x v="1"/>
    <s v="No"/>
    <x v="2"/>
    <x v="2"/>
    <x v="1"/>
    <n v="1.1655"/>
    <x v="1"/>
    <n v="1"/>
    <n v="12.95"/>
    <x v="188"/>
    <n v="5.8274999999999997"/>
    <n v="9"/>
  </r>
  <r>
    <x v="657"/>
    <x v="522"/>
    <s v="Sunday"/>
    <x v="5"/>
    <x v="1"/>
    <x v="634"/>
    <x v="635"/>
    <s v="dskynerj5@hubpages.com"/>
    <s v="+1 (719) 937-4913"/>
    <x v="71"/>
    <x v="0"/>
    <s v="No"/>
    <x v="19"/>
    <x v="2"/>
    <x v="0"/>
    <n v="0.60749999999999993"/>
    <x v="1"/>
    <n v="0.5"/>
    <n v="6.75"/>
    <x v="65"/>
    <n v="3.0374999999999996"/>
    <n v="8.9999999999999982"/>
  </r>
  <r>
    <x v="658"/>
    <x v="523"/>
    <s v="Tuesday"/>
    <x v="2"/>
    <x v="2"/>
    <x v="635"/>
    <x v="636"/>
    <n v="0"/>
    <n v="0"/>
    <x v="45"/>
    <x v="0"/>
    <s v="No"/>
    <x v="27"/>
    <x v="3"/>
    <x v="2"/>
    <n v="3.8720499999999998"/>
    <x v="5"/>
    <n v="2.5"/>
    <n v="29.784999999999997"/>
    <x v="39"/>
    <n v="23.232299999999999"/>
    <n v="13"/>
  </r>
  <r>
    <x v="659"/>
    <x v="260"/>
    <s v="Sunday"/>
    <x v="4"/>
    <x v="1"/>
    <x v="636"/>
    <x v="637"/>
    <s v="jdymokeje@prnewswire.com"/>
    <s v="+353 (390) 459-9269"/>
    <x v="75"/>
    <x v="1"/>
    <s v="No"/>
    <x v="17"/>
    <x v="2"/>
    <x v="0"/>
    <n v="1.0125"/>
    <x v="0"/>
    <n v="1"/>
    <n v="11.25"/>
    <x v="122"/>
    <n v="2.0249999999999999"/>
    <n v="9"/>
  </r>
  <r>
    <x v="660"/>
    <x v="331"/>
    <s v="Thursday"/>
    <x v="0"/>
    <x v="0"/>
    <x v="637"/>
    <x v="638"/>
    <s v="aweinmannj8@shinystat.com"/>
    <s v="+1 (513) 966-3308"/>
    <x v="159"/>
    <x v="0"/>
    <s v="No"/>
    <x v="5"/>
    <x v="3"/>
    <x v="2"/>
    <n v="1.6835"/>
    <x v="2"/>
    <n v="1"/>
    <n v="12.95"/>
    <x v="2"/>
    <n v="1.6835"/>
    <n v="13"/>
  </r>
  <r>
    <x v="661"/>
    <x v="524"/>
    <s v="Tuesday"/>
    <x v="1"/>
    <x v="3"/>
    <x v="638"/>
    <x v="639"/>
    <s v="eandriessenj9@europa.eu"/>
    <s v="+1 (314) 307-5250"/>
    <x v="10"/>
    <x v="0"/>
    <s v="Yes"/>
    <x v="37"/>
    <x v="2"/>
    <x v="0"/>
    <n v="2.3287499999999994"/>
    <x v="0"/>
    <n v="2.5"/>
    <n v="25.874999999999996"/>
    <x v="95"/>
    <n v="4.6574999999999989"/>
    <n v="9"/>
  </r>
  <r>
    <x v="662"/>
    <x v="525"/>
    <s v="Wednesday"/>
    <x v="6"/>
    <x v="3"/>
    <x v="639"/>
    <x v="640"/>
    <s v="rdeaconsonja@archive.org"/>
    <s v="+1 (914) 524-1161"/>
    <x v="316"/>
    <x v="0"/>
    <s v="No"/>
    <x v="6"/>
    <x v="1"/>
    <x v="2"/>
    <n v="0.80190000000000006"/>
    <x v="1"/>
    <n v="0.5"/>
    <n v="7.29"/>
    <x v="114"/>
    <n v="4.0095000000000001"/>
    <n v="10.999999999999998"/>
  </r>
  <r>
    <x v="663"/>
    <x v="526"/>
    <s v="Wednesday"/>
    <x v="8"/>
    <x v="1"/>
    <x v="640"/>
    <x v="641"/>
    <s v="dcarojb@twitter.com"/>
    <s v="+1 (410) 594-3041"/>
    <x v="192"/>
    <x v="0"/>
    <s v="Yes"/>
    <x v="26"/>
    <x v="3"/>
    <x v="1"/>
    <n v="4.7391499999999995"/>
    <x v="1"/>
    <n v="2.5"/>
    <n v="36.454999999999998"/>
    <x v="134"/>
    <n v="23.695749999999997"/>
    <n v="13"/>
  </r>
  <r>
    <x v="664"/>
    <x v="104"/>
    <s v="Friday"/>
    <x v="3"/>
    <x v="0"/>
    <x v="641"/>
    <x v="642"/>
    <s v="jbluckjc@imageshack.us"/>
    <s v="+1 (904) 875-3139"/>
    <x v="314"/>
    <x v="0"/>
    <s v="No"/>
    <x v="31"/>
    <x v="3"/>
    <x v="2"/>
    <n v="1.0101"/>
    <x v="4"/>
    <n v="0.5"/>
    <n v="7.77"/>
    <x v="113"/>
    <n v="4.0404"/>
    <n v="13"/>
  </r>
  <r>
    <x v="665"/>
    <x v="491"/>
    <s v="Friday"/>
    <x v="9"/>
    <x v="1"/>
    <x v="642"/>
    <x v="636"/>
    <n v="0"/>
    <n v="0"/>
    <x v="317"/>
    <x v="1"/>
    <s v="No"/>
    <x v="19"/>
    <x v="2"/>
    <x v="0"/>
    <n v="0.60749999999999993"/>
    <x v="3"/>
    <n v="0.5"/>
    <n v="6.75"/>
    <x v="16"/>
    <n v="1.8224999999999998"/>
    <n v="8.9999999999999982"/>
  </r>
  <r>
    <x v="666"/>
    <x v="157"/>
    <s v="Tuesday"/>
    <x v="9"/>
    <x v="0"/>
    <x v="636"/>
    <x v="643"/>
    <s v="jdymokeje@prnewswire.com"/>
    <s v="+353 (390) 459-9269"/>
    <x v="75"/>
    <x v="1"/>
    <s v="No"/>
    <x v="5"/>
    <x v="3"/>
    <x v="2"/>
    <n v="1.6835"/>
    <x v="0"/>
    <n v="1"/>
    <n v="12.95"/>
    <x v="109"/>
    <n v="3.367"/>
    <n v="13"/>
  </r>
  <r>
    <x v="667"/>
    <x v="527"/>
    <s v="Monday"/>
    <x v="8"/>
    <x v="1"/>
    <x v="643"/>
    <x v="644"/>
    <s v="otadmanjf@ft.com"/>
    <s v="+1 (305) 205-3682"/>
    <x v="218"/>
    <x v="0"/>
    <s v="Yes"/>
    <x v="20"/>
    <x v="2"/>
    <x v="2"/>
    <n v="0.5373"/>
    <x v="4"/>
    <n v="0.5"/>
    <n v="5.97"/>
    <x v="86"/>
    <n v="2.1492"/>
    <n v="9.0000000000000018"/>
  </r>
  <r>
    <x v="668"/>
    <x v="528"/>
    <s v="Saturday"/>
    <x v="0"/>
    <x v="0"/>
    <x v="644"/>
    <x v="645"/>
    <s v="bguddejg@dailymotion.com"/>
    <n v="0"/>
    <x v="204"/>
    <x v="0"/>
    <s v="No"/>
    <x v="23"/>
    <x v="3"/>
    <x v="1"/>
    <n v="1.2363"/>
    <x v="0"/>
    <n v="0.5"/>
    <n v="9.51"/>
    <x v="81"/>
    <n v="2.4725999999999999"/>
    <n v="13"/>
  </r>
  <r>
    <x v="669"/>
    <x v="99"/>
    <s v="Wednesday"/>
    <x v="1"/>
    <x v="2"/>
    <x v="645"/>
    <x v="646"/>
    <s v="nsictornesjh@buzzfeed.com"/>
    <s v="+353 (410) 713-0145"/>
    <x v="201"/>
    <x v="1"/>
    <s v="Yes"/>
    <x v="20"/>
    <x v="2"/>
    <x v="2"/>
    <n v="0.5373"/>
    <x v="1"/>
    <n v="0.5"/>
    <n v="5.97"/>
    <x v="44"/>
    <n v="2.6865000000000001"/>
    <n v="9.0000000000000018"/>
  </r>
  <r>
    <x v="670"/>
    <x v="529"/>
    <s v="Monday"/>
    <x v="2"/>
    <x v="0"/>
    <x v="646"/>
    <x v="647"/>
    <s v="vdunningji@independent.co.uk"/>
    <n v="0"/>
    <x v="17"/>
    <x v="0"/>
    <s v="Yes"/>
    <x v="42"/>
    <x v="2"/>
    <x v="1"/>
    <n v="0.69929999999999992"/>
    <x v="2"/>
    <n v="0.5"/>
    <n v="7.77"/>
    <x v="41"/>
    <n v="0.69929999999999992"/>
    <n v="9"/>
  </r>
  <r>
    <x v="671"/>
    <x v="530"/>
    <s v="Sunday"/>
    <x v="10"/>
    <x v="0"/>
    <x v="647"/>
    <x v="648"/>
    <n v="0"/>
    <s v="+353 (214) 406-4884"/>
    <x v="104"/>
    <x v="1"/>
    <s v="Yes"/>
    <x v="27"/>
    <x v="3"/>
    <x v="2"/>
    <n v="3.8720499999999998"/>
    <x v="4"/>
    <n v="2.5"/>
    <n v="29.784999999999997"/>
    <x v="129"/>
    <n v="15.488199999999999"/>
    <n v="13"/>
  </r>
  <r>
    <x v="672"/>
    <x v="531"/>
    <s v="Saturday"/>
    <x v="1"/>
    <x v="2"/>
    <x v="648"/>
    <x v="649"/>
    <n v="0"/>
    <s v="+1 (212) 163-1916"/>
    <x v="15"/>
    <x v="0"/>
    <s v="Yes"/>
    <x v="15"/>
    <x v="1"/>
    <x v="2"/>
    <n v="0.40095000000000003"/>
    <x v="5"/>
    <n v="0.2"/>
    <n v="3.645"/>
    <x v="6"/>
    <n v="2.4057000000000004"/>
    <n v="11.000000000000002"/>
  </r>
  <r>
    <x v="673"/>
    <x v="210"/>
    <s v="Saturday"/>
    <x v="7"/>
    <x v="3"/>
    <x v="649"/>
    <x v="650"/>
    <s v="sgehringjl@gnu.org"/>
    <s v="+1 (864) 940-7075"/>
    <x v="141"/>
    <x v="0"/>
    <s v="No"/>
    <x v="38"/>
    <x v="1"/>
    <x v="1"/>
    <n v="0.98009999999999997"/>
    <x v="0"/>
    <n v="0.5"/>
    <n v="8.91"/>
    <x v="58"/>
    <n v="1.9601999999999999"/>
    <n v="11"/>
  </r>
  <r>
    <x v="674"/>
    <x v="532"/>
    <s v="Sunday"/>
    <x v="1"/>
    <x v="1"/>
    <x v="650"/>
    <x v="651"/>
    <s v="bfallowesjm@purevolume.com"/>
    <s v="+1 (805) 975-3527"/>
    <x v="318"/>
    <x v="0"/>
    <s v="No"/>
    <x v="18"/>
    <x v="1"/>
    <x v="0"/>
    <n v="0.45374999999999999"/>
    <x v="3"/>
    <n v="0.2"/>
    <n v="4.125"/>
    <x v="24"/>
    <n v="1.3612500000000001"/>
    <n v="11"/>
  </r>
  <r>
    <x v="675"/>
    <x v="533"/>
    <s v="Saturday"/>
    <x v="6"/>
    <x v="0"/>
    <x v="651"/>
    <x v="652"/>
    <n v="0"/>
    <s v="+353 (861) 791-0313"/>
    <x v="319"/>
    <x v="1"/>
    <s v="No"/>
    <x v="5"/>
    <x v="3"/>
    <x v="2"/>
    <n v="1.6835"/>
    <x v="0"/>
    <n v="1"/>
    <n v="12.95"/>
    <x v="109"/>
    <n v="3.367"/>
    <n v="13"/>
  </r>
  <r>
    <x v="676"/>
    <x v="534"/>
    <s v="Thursday"/>
    <x v="9"/>
    <x v="0"/>
    <x v="652"/>
    <x v="653"/>
    <s v="sdejo@newsvine.com"/>
    <s v="+1 (314) 496-2561"/>
    <x v="10"/>
    <x v="0"/>
    <s v="Yes"/>
    <x v="19"/>
    <x v="2"/>
    <x v="0"/>
    <n v="0.60749999999999993"/>
    <x v="0"/>
    <n v="0.5"/>
    <n v="6.75"/>
    <x v="72"/>
    <n v="1.2149999999999999"/>
    <n v="8.9999999999999982"/>
  </r>
  <r>
    <x v="677"/>
    <x v="535"/>
    <s v="Sunday"/>
    <x v="4"/>
    <x v="0"/>
    <x v="653"/>
    <x v="654"/>
    <n v="0"/>
    <s v="+1 (260) 280-7251"/>
    <x v="51"/>
    <x v="0"/>
    <s v="Yes"/>
    <x v="38"/>
    <x v="1"/>
    <x v="1"/>
    <n v="0.98009999999999997"/>
    <x v="0"/>
    <n v="0.5"/>
    <n v="8.91"/>
    <x v="58"/>
    <n v="1.9601999999999999"/>
    <n v="11"/>
  </r>
  <r>
    <x v="678"/>
    <x v="536"/>
    <s v="Monday"/>
    <x v="8"/>
    <x v="2"/>
    <x v="654"/>
    <x v="655"/>
    <s v="scountjq@nba.com"/>
    <s v="+1 (952) 721-7276"/>
    <x v="320"/>
    <x v="0"/>
    <s v="No"/>
    <x v="1"/>
    <x v="1"/>
    <x v="0"/>
    <n v="0.90749999999999997"/>
    <x v="3"/>
    <n v="0.5"/>
    <n v="8.25"/>
    <x v="167"/>
    <n v="2.7225000000000001"/>
    <n v="11"/>
  </r>
  <r>
    <x v="679"/>
    <x v="537"/>
    <s v="Tuesday"/>
    <x v="10"/>
    <x v="2"/>
    <x v="655"/>
    <x v="656"/>
    <s v="sraglesjr@blogtalkradio.com"/>
    <s v="+1 (479) 494-1369"/>
    <x v="321"/>
    <x v="0"/>
    <s v="No"/>
    <x v="36"/>
    <x v="0"/>
    <x v="0"/>
    <n v="0.17909999999999998"/>
    <x v="5"/>
    <n v="0.2"/>
    <n v="2.9849999999999999"/>
    <x v="8"/>
    <n v="1.0745999999999998"/>
    <n v="5.9999999999999982"/>
  </r>
  <r>
    <x v="680"/>
    <x v="61"/>
    <s v="Sunday"/>
    <x v="1"/>
    <x v="0"/>
    <x v="656"/>
    <x v="657"/>
    <n v="0"/>
    <n v="0"/>
    <x v="217"/>
    <x v="2"/>
    <s v="No"/>
    <x v="1"/>
    <x v="1"/>
    <x v="0"/>
    <n v="0.90749999999999997"/>
    <x v="0"/>
    <n v="0.5"/>
    <n v="8.25"/>
    <x v="38"/>
    <n v="1.8149999999999999"/>
    <n v="11"/>
  </r>
  <r>
    <x v="681"/>
    <x v="242"/>
    <s v="Saturday"/>
    <x v="5"/>
    <x v="3"/>
    <x v="657"/>
    <x v="658"/>
    <s v="sbruunjt@blogtalkradio.com"/>
    <s v="+1 (209) 784-1969"/>
    <x v="83"/>
    <x v="0"/>
    <s v="No"/>
    <x v="36"/>
    <x v="0"/>
    <x v="0"/>
    <n v="0.17909999999999998"/>
    <x v="2"/>
    <n v="0.2"/>
    <n v="2.9849999999999999"/>
    <x v="55"/>
    <n v="0.17909999999999998"/>
    <n v="6"/>
  </r>
  <r>
    <x v="682"/>
    <x v="299"/>
    <s v="Friday"/>
    <x v="1"/>
    <x v="1"/>
    <x v="658"/>
    <x v="659"/>
    <s v="aplluju@dagondesign.com"/>
    <s v="+353 (915) 742-6707"/>
    <x v="322"/>
    <x v="1"/>
    <s v="Yes"/>
    <x v="15"/>
    <x v="1"/>
    <x v="2"/>
    <n v="0.40095000000000003"/>
    <x v="4"/>
    <n v="0.2"/>
    <n v="3.645"/>
    <x v="20"/>
    <n v="1.6038000000000001"/>
    <n v="11"/>
  </r>
  <r>
    <x v="683"/>
    <x v="343"/>
    <s v="Thursday"/>
    <x v="11"/>
    <x v="1"/>
    <x v="659"/>
    <x v="636"/>
    <s v="gcornierjv@techcrunch.com"/>
    <n v="0"/>
    <x v="47"/>
    <x v="0"/>
    <s v="No"/>
    <x v="33"/>
    <x v="1"/>
    <x v="1"/>
    <n v="1.6335"/>
    <x v="5"/>
    <n v="1"/>
    <n v="14.85"/>
    <x v="146"/>
    <n v="9.8010000000000002"/>
    <n v="11.000000000000002"/>
  </r>
  <r>
    <x v="684"/>
    <x v="538"/>
    <s v="Sunday"/>
    <x v="10"/>
    <x v="2"/>
    <x v="636"/>
    <x v="660"/>
    <s v="jdymokeje@prnewswire.com"/>
    <s v="+353 (390) 459-9269"/>
    <x v="75"/>
    <x v="1"/>
    <s v="No"/>
    <x v="41"/>
    <x v="0"/>
    <x v="1"/>
    <n v="0.71699999999999997"/>
    <x v="3"/>
    <n v="1"/>
    <n v="11.95"/>
    <x v="66"/>
    <n v="2.1509999999999998"/>
    <n v="6.0000000000000009"/>
  </r>
  <r>
    <x v="685"/>
    <x v="539"/>
    <s v="Wednesday"/>
    <x v="2"/>
    <x v="0"/>
    <x v="660"/>
    <x v="661"/>
    <s v="wharvisonjx@gizmodo.com"/>
    <s v="+1 (610) 316-8430"/>
    <x v="11"/>
    <x v="0"/>
    <s v="No"/>
    <x v="30"/>
    <x v="2"/>
    <x v="2"/>
    <n v="2.0596499999999995"/>
    <x v="3"/>
    <n v="2.5"/>
    <n v="22.884999999999998"/>
    <x v="96"/>
    <n v="6.1789499999999986"/>
    <n v="8.9999999999999982"/>
  </r>
  <r>
    <x v="686"/>
    <x v="27"/>
    <s v="Tuesday"/>
    <x v="1"/>
    <x v="1"/>
    <x v="661"/>
    <x v="662"/>
    <s v="dheafordjy@twitpic.com"/>
    <s v="+1 (325) 537-8835"/>
    <x v="299"/>
    <x v="0"/>
    <s v="No"/>
    <x v="5"/>
    <x v="3"/>
    <x v="2"/>
    <n v="1.6835"/>
    <x v="3"/>
    <n v="1"/>
    <n v="12.95"/>
    <x v="5"/>
    <n v="5.0504999999999995"/>
    <n v="13"/>
  </r>
  <r>
    <x v="687"/>
    <x v="540"/>
    <s v="Sunday"/>
    <x v="11"/>
    <x v="3"/>
    <x v="662"/>
    <x v="663"/>
    <s v="gfanthamjz@hexun.com"/>
    <s v="+1 (323) 878-8818"/>
    <x v="6"/>
    <x v="0"/>
    <s v="Yes"/>
    <x v="32"/>
    <x v="3"/>
    <x v="1"/>
    <n v="2.0605000000000002"/>
    <x v="1"/>
    <n v="1"/>
    <n v="15.85"/>
    <x v="180"/>
    <n v="10.302500000000002"/>
    <n v="13.000000000000004"/>
  </r>
  <r>
    <x v="688"/>
    <x v="541"/>
    <s v="Tuesday"/>
    <x v="4"/>
    <x v="1"/>
    <x v="663"/>
    <x v="664"/>
    <s v="rcrookshanksk0@unc.edu"/>
    <s v="+1 (517) 654-6004"/>
    <x v="133"/>
    <x v="0"/>
    <s v="Yes"/>
    <x v="6"/>
    <x v="1"/>
    <x v="2"/>
    <n v="0.80190000000000006"/>
    <x v="1"/>
    <n v="0.5"/>
    <n v="7.29"/>
    <x v="114"/>
    <n v="4.0095000000000001"/>
    <n v="10.999999999999998"/>
  </r>
  <r>
    <x v="689"/>
    <x v="390"/>
    <s v="Sunday"/>
    <x v="7"/>
    <x v="1"/>
    <x v="664"/>
    <x v="665"/>
    <s v="nleakek1@cmu.edu"/>
    <s v="+1 (786) 470-1233"/>
    <x v="120"/>
    <x v="0"/>
    <s v="Yes"/>
    <x v="36"/>
    <x v="0"/>
    <x v="0"/>
    <n v="0.17909999999999998"/>
    <x v="3"/>
    <n v="0.2"/>
    <n v="2.9849999999999999"/>
    <x v="169"/>
    <n v="0.53729999999999989"/>
    <n v="5.9999999999999982"/>
  </r>
  <r>
    <x v="690"/>
    <x v="396"/>
    <s v="Monday"/>
    <x v="10"/>
    <x v="2"/>
    <x v="665"/>
    <x v="666"/>
    <n v="0"/>
    <s v="+1 (562) 343-9707"/>
    <x v="127"/>
    <x v="0"/>
    <s v="No"/>
    <x v="45"/>
    <x v="1"/>
    <x v="2"/>
    <n v="1.3365"/>
    <x v="0"/>
    <n v="1"/>
    <n v="12.15"/>
    <x v="76"/>
    <n v="2.673"/>
    <n v="11"/>
  </r>
  <r>
    <x v="691"/>
    <x v="185"/>
    <s v="Friday"/>
    <x v="7"/>
    <x v="1"/>
    <x v="666"/>
    <x v="667"/>
    <s v="geilhersenk3@networksolutions.com"/>
    <s v="+1 (559) 791-5117"/>
    <x v="74"/>
    <x v="0"/>
    <s v="No"/>
    <x v="28"/>
    <x v="1"/>
    <x v="0"/>
    <n v="3.4787499999999998"/>
    <x v="0"/>
    <n v="2.5"/>
    <n v="31.624999999999996"/>
    <x v="40"/>
    <n v="6.9574999999999996"/>
    <n v="11"/>
  </r>
  <r>
    <x v="692"/>
    <x v="542"/>
    <s v="Wednesday"/>
    <x v="0"/>
    <x v="3"/>
    <x v="667"/>
    <x v="668"/>
    <n v="0"/>
    <s v="+1 (646) 228-3492"/>
    <x v="15"/>
    <x v="0"/>
    <s v="Yes"/>
    <x v="14"/>
    <x v="2"/>
    <x v="0"/>
    <n v="0.30374999999999996"/>
    <x v="0"/>
    <n v="0.2"/>
    <n v="3.375"/>
    <x v="52"/>
    <n v="0.60749999999999993"/>
    <n v="8.9999999999999982"/>
  </r>
  <r>
    <x v="693"/>
    <x v="117"/>
    <s v="Friday"/>
    <x v="2"/>
    <x v="3"/>
    <x v="668"/>
    <x v="669"/>
    <s v="caleixok5@globo.com"/>
    <s v="+1 (719) 241-4639"/>
    <x v="71"/>
    <x v="0"/>
    <s v="No"/>
    <x v="29"/>
    <x v="2"/>
    <x v="1"/>
    <n v="0.34964999999999996"/>
    <x v="5"/>
    <n v="0.2"/>
    <n v="3.8849999999999998"/>
    <x v="102"/>
    <n v="2.0978999999999997"/>
    <n v="9"/>
  </r>
  <r>
    <x v="694"/>
    <x v="543"/>
    <s v="Monday"/>
    <x v="4"/>
    <x v="2"/>
    <x v="669"/>
    <x v="670"/>
    <n v="0"/>
    <s v="+1 (562) 723-4457"/>
    <x v="323"/>
    <x v="0"/>
    <s v="No"/>
    <x v="26"/>
    <x v="3"/>
    <x v="1"/>
    <n v="4.7391499999999995"/>
    <x v="4"/>
    <n v="2.5"/>
    <n v="36.454999999999998"/>
    <x v="43"/>
    <n v="18.956599999999998"/>
    <n v="13"/>
  </r>
  <r>
    <x v="695"/>
    <x v="544"/>
    <s v="Tuesday"/>
    <x v="6"/>
    <x v="1"/>
    <x v="670"/>
    <x v="671"/>
    <s v="rtomkowiczk7@bravesites.com"/>
    <s v="+353 (849) 645-1593"/>
    <x v="324"/>
    <x v="1"/>
    <s v="Yes"/>
    <x v="8"/>
    <x v="0"/>
    <x v="0"/>
    <n v="0.35819999999999996"/>
    <x v="1"/>
    <n v="0.5"/>
    <n v="5.97"/>
    <x v="44"/>
    <n v="1.7909999999999999"/>
    <n v="6.0000000000000009"/>
  </r>
  <r>
    <x v="696"/>
    <x v="545"/>
    <s v="Friday"/>
    <x v="11"/>
    <x v="3"/>
    <x v="671"/>
    <x v="672"/>
    <s v="rhuscroftk8@jimdo.com"/>
    <s v="+1 (775) 223-5044"/>
    <x v="76"/>
    <x v="0"/>
    <s v="Yes"/>
    <x v="6"/>
    <x v="1"/>
    <x v="2"/>
    <n v="0.80190000000000006"/>
    <x v="3"/>
    <n v="0.5"/>
    <n v="7.29"/>
    <x v="6"/>
    <n v="2.4057000000000004"/>
    <n v="11.000000000000002"/>
  </r>
  <r>
    <x v="697"/>
    <x v="546"/>
    <s v="Monday"/>
    <x v="6"/>
    <x v="2"/>
    <x v="672"/>
    <x v="673"/>
    <s v="sscurrerk9@flavors.me"/>
    <s v="+44 (520) 402-1303"/>
    <x v="26"/>
    <x v="2"/>
    <s v="No"/>
    <x v="21"/>
    <x v="3"/>
    <x v="0"/>
    <n v="0.56745000000000001"/>
    <x v="2"/>
    <n v="0.2"/>
    <n v="4.3650000000000002"/>
    <x v="189"/>
    <n v="0.56745000000000001"/>
    <n v="13"/>
  </r>
  <r>
    <x v="698"/>
    <x v="420"/>
    <s v="Thursday"/>
    <x v="4"/>
    <x v="0"/>
    <x v="673"/>
    <x v="674"/>
    <s v="arudramka@prnewswire.com"/>
    <s v="+1 (702) 333-7442"/>
    <x v="198"/>
    <x v="0"/>
    <s v="No"/>
    <x v="26"/>
    <x v="3"/>
    <x v="1"/>
    <n v="4.7391499999999995"/>
    <x v="2"/>
    <n v="2.5"/>
    <n v="36.454999999999998"/>
    <x v="133"/>
    <n v="4.7391499999999995"/>
    <n v="13"/>
  </r>
  <r>
    <x v="699"/>
    <x v="547"/>
    <s v="Tuesday"/>
    <x v="4"/>
    <x v="1"/>
    <x v="674"/>
    <x v="675"/>
    <n v="0"/>
    <s v="+1 (302) 620-1205"/>
    <x v="325"/>
    <x v="0"/>
    <s v="Yes"/>
    <x v="12"/>
    <x v="3"/>
    <x v="2"/>
    <n v="0.50505"/>
    <x v="4"/>
    <n v="0.2"/>
    <n v="3.8849999999999998"/>
    <x v="42"/>
    <n v="2.0202"/>
    <n v="13"/>
  </r>
  <r>
    <x v="700"/>
    <x v="548"/>
    <s v="Monday"/>
    <x v="8"/>
    <x v="1"/>
    <x v="675"/>
    <x v="676"/>
    <s v="jmahakc@cyberchimps.com"/>
    <s v="+1 (702) 238-8287"/>
    <x v="76"/>
    <x v="0"/>
    <s v="No"/>
    <x v="46"/>
    <x v="1"/>
    <x v="1"/>
    <n v="0.49004999999999999"/>
    <x v="0"/>
    <n v="0.2"/>
    <n v="4.4550000000000001"/>
    <x v="161"/>
    <n v="0.98009999999999997"/>
    <n v="11"/>
  </r>
  <r>
    <x v="701"/>
    <x v="549"/>
    <s v="Tuesday"/>
    <x v="4"/>
    <x v="2"/>
    <x v="676"/>
    <x v="677"/>
    <s v="gclemonkd@networksolutions.com"/>
    <s v="+1 (205) 681-2376"/>
    <x v="86"/>
    <x v="0"/>
    <s v="Yes"/>
    <x v="43"/>
    <x v="3"/>
    <x v="0"/>
    <n v="4.3504499999999995"/>
    <x v="3"/>
    <n v="2.5"/>
    <n v="33.464999999999996"/>
    <x v="64"/>
    <n v="13.051349999999999"/>
    <n v="13"/>
  </r>
  <r>
    <x v="702"/>
    <x v="550"/>
    <s v="Tuesday"/>
    <x v="3"/>
    <x v="0"/>
    <x v="677"/>
    <x v="678"/>
    <n v="0"/>
    <s v="+1 (209) 133-9447"/>
    <x v="326"/>
    <x v="0"/>
    <s v="No"/>
    <x v="25"/>
    <x v="0"/>
    <x v="2"/>
    <n v="0.16109999999999997"/>
    <x v="1"/>
    <n v="0.2"/>
    <n v="2.6849999999999996"/>
    <x v="148"/>
    <n v="0.80549999999999988"/>
    <n v="6.0000000000000009"/>
  </r>
  <r>
    <x v="703"/>
    <x v="551"/>
    <s v="Friday"/>
    <x v="2"/>
    <x v="2"/>
    <x v="678"/>
    <x v="679"/>
    <s v="bpollinskf@shinystat.com"/>
    <n v="0"/>
    <x v="153"/>
    <x v="0"/>
    <s v="No"/>
    <x v="15"/>
    <x v="1"/>
    <x v="2"/>
    <n v="0.40095000000000003"/>
    <x v="5"/>
    <n v="0.2"/>
    <n v="3.645"/>
    <x v="6"/>
    <n v="2.4057000000000004"/>
    <n v="11.000000000000002"/>
  </r>
  <r>
    <x v="704"/>
    <x v="552"/>
    <s v="Tuesday"/>
    <x v="10"/>
    <x v="0"/>
    <x v="679"/>
    <x v="680"/>
    <s v="jtoyekg@pinterest.com"/>
    <s v="+353 (587) 270-6561"/>
    <x v="104"/>
    <x v="1"/>
    <s v="Yes"/>
    <x v="5"/>
    <x v="3"/>
    <x v="2"/>
    <n v="1.6835"/>
    <x v="0"/>
    <n v="1"/>
    <n v="12.95"/>
    <x v="109"/>
    <n v="3.367"/>
    <n v="13"/>
  </r>
  <r>
    <x v="705"/>
    <x v="553"/>
    <s v="Wednesday"/>
    <x v="0"/>
    <x v="1"/>
    <x v="680"/>
    <x v="681"/>
    <s v="clinskillkh@sphinn.com"/>
    <s v="+1 (513) 743-7556"/>
    <x v="159"/>
    <x v="0"/>
    <s v="No"/>
    <x v="17"/>
    <x v="2"/>
    <x v="0"/>
    <n v="1.0125"/>
    <x v="1"/>
    <n v="1"/>
    <n v="11.25"/>
    <x v="126"/>
    <n v="5.0625"/>
    <n v="9"/>
  </r>
  <r>
    <x v="706"/>
    <x v="554"/>
    <s v="Friday"/>
    <x v="9"/>
    <x v="0"/>
    <x v="681"/>
    <x v="636"/>
    <s v="nvigrasski@ezinearticles.com"/>
    <s v="+44 (336) 257-7415"/>
    <x v="145"/>
    <x v="2"/>
    <s v="No"/>
    <x v="40"/>
    <x v="0"/>
    <x v="1"/>
    <n v="0.21509999999999996"/>
    <x v="3"/>
    <n v="0.2"/>
    <n v="3.5849999999999995"/>
    <x v="127"/>
    <n v="0.64529999999999987"/>
    <n v="5.9999999999999991"/>
  </r>
  <r>
    <x v="707"/>
    <x v="555"/>
    <s v="Wednesday"/>
    <x v="3"/>
    <x v="1"/>
    <x v="636"/>
    <x v="682"/>
    <s v="jdymokeje@prnewswire.com"/>
    <s v="+353 (390) 459-9269"/>
    <x v="75"/>
    <x v="1"/>
    <s v="No"/>
    <x v="15"/>
    <x v="1"/>
    <x v="2"/>
    <n v="0.40095000000000003"/>
    <x v="1"/>
    <n v="0.2"/>
    <n v="3.645"/>
    <x v="94"/>
    <n v="2.00475"/>
    <n v="10.999999999999998"/>
  </r>
  <r>
    <x v="708"/>
    <x v="150"/>
    <s v="Wednesday"/>
    <x v="6"/>
    <x v="2"/>
    <x v="682"/>
    <x v="683"/>
    <s v="kcragellkk@google.com"/>
    <s v="+353 (458) 634-2269"/>
    <x v="319"/>
    <x v="1"/>
    <s v="No"/>
    <x v="35"/>
    <x v="0"/>
    <x v="1"/>
    <n v="0.43019999999999992"/>
    <x v="4"/>
    <n v="0.5"/>
    <n v="7.169999999999999"/>
    <x v="139"/>
    <n v="1.7207999999999997"/>
    <n v="6"/>
  </r>
  <r>
    <x v="709"/>
    <x v="556"/>
    <s v="Thursday"/>
    <x v="8"/>
    <x v="0"/>
    <x v="683"/>
    <x v="684"/>
    <s v="libertkl@huffingtonpost.com"/>
    <s v="+1 (408) 546-0790"/>
    <x v="304"/>
    <x v="0"/>
    <s v="No"/>
    <x v="21"/>
    <x v="3"/>
    <x v="0"/>
    <n v="0.56745000000000001"/>
    <x v="0"/>
    <n v="0.2"/>
    <n v="4.3650000000000002"/>
    <x v="31"/>
    <n v="1.1349"/>
    <n v="13"/>
  </r>
  <r>
    <x v="710"/>
    <x v="327"/>
    <s v="Thursday"/>
    <x v="7"/>
    <x v="3"/>
    <x v="684"/>
    <x v="685"/>
    <s v="rlidgeykm@vimeo.com"/>
    <s v="+1 (901) 276-4141"/>
    <x v="139"/>
    <x v="0"/>
    <s v="No"/>
    <x v="24"/>
    <x v="3"/>
    <x v="0"/>
    <n v="1.8915000000000002"/>
    <x v="4"/>
    <n v="1"/>
    <n v="14.55"/>
    <x v="125"/>
    <n v="7.5660000000000007"/>
    <n v="13"/>
  </r>
  <r>
    <x v="711"/>
    <x v="557"/>
    <s v="Thursday"/>
    <x v="2"/>
    <x v="3"/>
    <x v="685"/>
    <x v="686"/>
    <s v="tcastagnekn@wikia.com"/>
    <s v="+1 (407) 154-6967"/>
    <x v="327"/>
    <x v="0"/>
    <s v="No"/>
    <x v="20"/>
    <x v="2"/>
    <x v="2"/>
    <n v="0.5373"/>
    <x v="3"/>
    <n v="0.5"/>
    <n v="5.97"/>
    <x v="8"/>
    <n v="1.6118999999999999"/>
    <n v="9"/>
  </r>
  <r>
    <x v="712"/>
    <x v="333"/>
    <s v="Friday"/>
    <x v="6"/>
    <x v="0"/>
    <x v="686"/>
    <x v="687"/>
    <n v="0"/>
    <s v="+1 (313) 436-2249"/>
    <x v="135"/>
    <x v="0"/>
    <s v="Yes"/>
    <x v="36"/>
    <x v="0"/>
    <x v="0"/>
    <n v="0.17909999999999998"/>
    <x v="5"/>
    <n v="0.2"/>
    <n v="2.9849999999999999"/>
    <x v="8"/>
    <n v="1.0745999999999998"/>
    <n v="5.9999999999999982"/>
  </r>
  <r>
    <x v="713"/>
    <x v="558"/>
    <s v="Monday"/>
    <x v="9"/>
    <x v="1"/>
    <x v="687"/>
    <x v="688"/>
    <s v="jhaldenkp@comcast.net"/>
    <s v="+353 (278) 873-4395"/>
    <x v="328"/>
    <x v="1"/>
    <s v="No"/>
    <x v="6"/>
    <x v="1"/>
    <x v="2"/>
    <n v="0.80190000000000006"/>
    <x v="0"/>
    <n v="0.5"/>
    <n v="7.29"/>
    <x v="20"/>
    <n v="1.6038000000000001"/>
    <n v="11"/>
  </r>
  <r>
    <x v="714"/>
    <x v="559"/>
    <s v="Thursday"/>
    <x v="7"/>
    <x v="0"/>
    <x v="688"/>
    <x v="689"/>
    <s v="holliffkq@sciencedirect.com"/>
    <s v="+353 (203) 716-7239"/>
    <x v="329"/>
    <x v="1"/>
    <s v="No"/>
    <x v="17"/>
    <x v="2"/>
    <x v="0"/>
    <n v="1.0125"/>
    <x v="3"/>
    <n v="1"/>
    <n v="11.25"/>
    <x v="65"/>
    <n v="3.0374999999999996"/>
    <n v="8.9999999999999982"/>
  </r>
  <r>
    <x v="715"/>
    <x v="310"/>
    <s v="Tuesday"/>
    <x v="10"/>
    <x v="0"/>
    <x v="689"/>
    <x v="690"/>
    <s v="tquadrikr@opensource.org"/>
    <s v="+353 (789) 442-3189"/>
    <x v="330"/>
    <x v="1"/>
    <s v="Yes"/>
    <x v="22"/>
    <x v="3"/>
    <x v="0"/>
    <n v="1.1349"/>
    <x v="4"/>
    <n v="0.5"/>
    <n v="8.73"/>
    <x v="190"/>
    <n v="4.5396000000000001"/>
    <n v="13"/>
  </r>
  <r>
    <x v="716"/>
    <x v="560"/>
    <s v="Monday"/>
    <x v="3"/>
    <x v="3"/>
    <x v="690"/>
    <x v="691"/>
    <s v="feshmadeks@umn.edu"/>
    <s v="+1 (804) 531-4136"/>
    <x v="8"/>
    <x v="0"/>
    <s v="No"/>
    <x v="6"/>
    <x v="1"/>
    <x v="2"/>
    <n v="0.80190000000000006"/>
    <x v="0"/>
    <n v="0.5"/>
    <n v="7.29"/>
    <x v="20"/>
    <n v="1.6038000000000001"/>
    <n v="11"/>
  </r>
  <r>
    <x v="717"/>
    <x v="561"/>
    <s v="Wednesday"/>
    <x v="4"/>
    <x v="1"/>
    <x v="691"/>
    <x v="692"/>
    <s v="moilierkt@paginegialle.it"/>
    <s v="+353 (675) 503-7567"/>
    <x v="331"/>
    <x v="1"/>
    <s v="Yes"/>
    <x v="25"/>
    <x v="0"/>
    <x v="2"/>
    <n v="0.16109999999999997"/>
    <x v="0"/>
    <n v="0.2"/>
    <n v="2.6849999999999996"/>
    <x v="147"/>
    <n v="0.32219999999999993"/>
    <n v="6"/>
  </r>
  <r>
    <x v="718"/>
    <x v="562"/>
    <s v="Monday"/>
    <x v="6"/>
    <x v="1"/>
    <x v="692"/>
    <x v="693"/>
    <n v="0"/>
    <s v="+1 (682) 246-6139"/>
    <x v="57"/>
    <x v="0"/>
    <s v="Yes"/>
    <x v="8"/>
    <x v="0"/>
    <x v="0"/>
    <n v="0.35819999999999996"/>
    <x v="2"/>
    <n v="0.5"/>
    <n v="5.97"/>
    <x v="9"/>
    <n v="0.35819999999999996"/>
    <n v="6"/>
  </r>
  <r>
    <x v="719"/>
    <x v="563"/>
    <s v="Friday"/>
    <x v="4"/>
    <x v="3"/>
    <x v="693"/>
    <x v="694"/>
    <s v="vshoebothamkv@redcross.org"/>
    <s v="+1 (212) 998-0802"/>
    <x v="130"/>
    <x v="0"/>
    <s v="No"/>
    <x v="23"/>
    <x v="3"/>
    <x v="1"/>
    <n v="1.2363"/>
    <x v="0"/>
    <n v="0.5"/>
    <n v="9.51"/>
    <x v="81"/>
    <n v="2.4725999999999999"/>
    <n v="13"/>
  </r>
  <r>
    <x v="720"/>
    <x v="564"/>
    <s v="Tuesday"/>
    <x v="2"/>
    <x v="0"/>
    <x v="694"/>
    <x v="695"/>
    <s v="bsterkekw@biblegateway.com"/>
    <s v="+1 (682) 617-0470"/>
    <x v="57"/>
    <x v="0"/>
    <s v="Yes"/>
    <x v="3"/>
    <x v="1"/>
    <x v="0"/>
    <n v="1.5125"/>
    <x v="0"/>
    <n v="1"/>
    <n v="13.75"/>
    <x v="3"/>
    <n v="3.0249999999999999"/>
    <n v="11"/>
  </r>
  <r>
    <x v="721"/>
    <x v="565"/>
    <s v="Monday"/>
    <x v="5"/>
    <x v="2"/>
    <x v="695"/>
    <x v="636"/>
    <s v="scaponkx@craigslist.org"/>
    <s v="+1 (602) 619-0168"/>
    <x v="167"/>
    <x v="0"/>
    <s v="No"/>
    <x v="20"/>
    <x v="2"/>
    <x v="2"/>
    <n v="0.5373"/>
    <x v="1"/>
    <n v="0.5"/>
    <n v="5.97"/>
    <x v="44"/>
    <n v="2.6865000000000001"/>
    <n v="9.0000000000000018"/>
  </r>
  <r>
    <x v="722"/>
    <x v="566"/>
    <s v="Tuesday"/>
    <x v="1"/>
    <x v="2"/>
    <x v="636"/>
    <x v="696"/>
    <s v="jdymokeje@prnewswire.com"/>
    <s v="+353 (390) 459-9269"/>
    <x v="75"/>
    <x v="1"/>
    <s v="No"/>
    <x v="16"/>
    <x v="2"/>
    <x v="2"/>
    <n v="0.26865"/>
    <x v="5"/>
    <n v="0.2"/>
    <n v="2.9849999999999999"/>
    <x v="8"/>
    <n v="1.6118999999999999"/>
    <n v="9"/>
  </r>
  <r>
    <x v="723"/>
    <x v="160"/>
    <s v="Tuesday"/>
    <x v="2"/>
    <x v="1"/>
    <x v="696"/>
    <x v="697"/>
    <s v="fconstancekz@ifeng.com"/>
    <s v="+1 (214) 388-6754"/>
    <x v="68"/>
    <x v="0"/>
    <s v="No"/>
    <x v="7"/>
    <x v="3"/>
    <x v="1"/>
    <n v="0.61814999999999998"/>
    <x v="5"/>
    <n v="0.2"/>
    <n v="4.7549999999999999"/>
    <x v="32"/>
    <n v="3.7088999999999999"/>
    <n v="12.999999999999998"/>
  </r>
  <r>
    <x v="724"/>
    <x v="567"/>
    <s v="Friday"/>
    <x v="1"/>
    <x v="2"/>
    <x v="697"/>
    <x v="698"/>
    <s v="fsulmanl0@washington.edu"/>
    <s v="+1 (828) 464-2678"/>
    <x v="228"/>
    <x v="0"/>
    <s v="Yes"/>
    <x v="39"/>
    <x v="0"/>
    <x v="2"/>
    <n v="0.53699999999999992"/>
    <x v="4"/>
    <n v="1"/>
    <n v="8.9499999999999993"/>
    <x v="191"/>
    <n v="2.1479999999999997"/>
    <n v="6"/>
  </r>
  <r>
    <x v="725"/>
    <x v="568"/>
    <s v="Tuesday"/>
    <x v="5"/>
    <x v="3"/>
    <x v="698"/>
    <x v="699"/>
    <s v="dhollymanl1@ibm.com"/>
    <s v="+1 (406) 851-1244"/>
    <x v="332"/>
    <x v="0"/>
    <s v="Yes"/>
    <x v="20"/>
    <x v="2"/>
    <x v="2"/>
    <n v="0.5373"/>
    <x v="3"/>
    <n v="0.5"/>
    <n v="5.97"/>
    <x v="8"/>
    <n v="1.6118999999999999"/>
    <n v="9"/>
  </r>
  <r>
    <x v="726"/>
    <x v="569"/>
    <s v="Friday"/>
    <x v="2"/>
    <x v="0"/>
    <x v="699"/>
    <x v="700"/>
    <s v="lnardonil2@hao123.com"/>
    <n v="0"/>
    <x v="10"/>
    <x v="0"/>
    <s v="No"/>
    <x v="39"/>
    <x v="0"/>
    <x v="2"/>
    <n v="0.53699999999999992"/>
    <x v="2"/>
    <n v="1"/>
    <n v="8.9499999999999993"/>
    <x v="192"/>
    <n v="0.53699999999999992"/>
    <n v="6"/>
  </r>
  <r>
    <x v="727"/>
    <x v="570"/>
    <s v="Thursday"/>
    <x v="7"/>
    <x v="3"/>
    <x v="700"/>
    <x v="701"/>
    <s v="dyarhaml3@moonfruit.com"/>
    <s v="+1 (816) 213-5248"/>
    <x v="333"/>
    <x v="0"/>
    <s v="Yes"/>
    <x v="27"/>
    <x v="3"/>
    <x v="2"/>
    <n v="3.8720499999999998"/>
    <x v="2"/>
    <n v="2.5"/>
    <n v="29.784999999999997"/>
    <x v="91"/>
    <n v="3.8720499999999998"/>
    <n v="13"/>
  </r>
  <r>
    <x v="728"/>
    <x v="571"/>
    <s v="Thursday"/>
    <x v="9"/>
    <x v="3"/>
    <x v="701"/>
    <x v="702"/>
    <s v="aferreal4@wikia.com"/>
    <n v="0"/>
    <x v="116"/>
    <x v="0"/>
    <s v="No"/>
    <x v="38"/>
    <x v="1"/>
    <x v="1"/>
    <n v="0.98009999999999997"/>
    <x v="1"/>
    <n v="0.5"/>
    <n v="8.91"/>
    <x v="69"/>
    <n v="4.9005000000000001"/>
    <n v="11.000000000000002"/>
  </r>
  <r>
    <x v="729"/>
    <x v="139"/>
    <s v="Friday"/>
    <x v="0"/>
    <x v="0"/>
    <x v="702"/>
    <x v="703"/>
    <s v="ckendrickl5@webnode.com"/>
    <n v="0"/>
    <x v="334"/>
    <x v="0"/>
    <s v="Yes"/>
    <x v="33"/>
    <x v="1"/>
    <x v="1"/>
    <n v="1.6335"/>
    <x v="5"/>
    <n v="1"/>
    <n v="14.85"/>
    <x v="146"/>
    <n v="9.8010000000000002"/>
    <n v="11.000000000000002"/>
  </r>
  <r>
    <x v="730"/>
    <x v="303"/>
    <s v="Monday"/>
    <x v="8"/>
    <x v="0"/>
    <x v="703"/>
    <x v="704"/>
    <s v="sdanilchikl6@mit.edu"/>
    <s v="+44 (292) 975-0144"/>
    <x v="281"/>
    <x v="2"/>
    <s v="No"/>
    <x v="22"/>
    <x v="3"/>
    <x v="0"/>
    <n v="1.1349"/>
    <x v="1"/>
    <n v="0.5"/>
    <n v="8.73"/>
    <x v="34"/>
    <n v="5.6745000000000001"/>
    <n v="12.999999999999998"/>
  </r>
  <r>
    <x v="731"/>
    <x v="572"/>
    <s v="Wednesday"/>
    <x v="4"/>
    <x v="2"/>
    <x v="704"/>
    <x v="705"/>
    <n v="0"/>
    <s v="+1 (817) 389-2294"/>
    <x v="57"/>
    <x v="0"/>
    <s v="No"/>
    <x v="42"/>
    <x v="2"/>
    <x v="1"/>
    <n v="0.69929999999999992"/>
    <x v="3"/>
    <n v="0.5"/>
    <n v="7.77"/>
    <x v="102"/>
    <n v="2.0978999999999997"/>
    <n v="9"/>
  </r>
  <r>
    <x v="732"/>
    <x v="573"/>
    <s v="Thursday"/>
    <x v="11"/>
    <x v="0"/>
    <x v="705"/>
    <x v="706"/>
    <s v="bfolomkinl8@yolasite.com"/>
    <s v="+1 (701) 278-8412"/>
    <x v="97"/>
    <x v="0"/>
    <s v="Yes"/>
    <x v="44"/>
    <x v="2"/>
    <x v="1"/>
    <n v="2.6806499999999995"/>
    <x v="5"/>
    <n v="2.5"/>
    <n v="29.784999999999997"/>
    <x v="39"/>
    <n v="16.083899999999996"/>
    <n v="8.9999999999999982"/>
  </r>
  <r>
    <x v="733"/>
    <x v="574"/>
    <s v="Sunday"/>
    <x v="2"/>
    <x v="0"/>
    <x v="706"/>
    <x v="706"/>
    <s v="rpursglovel9@biblegateway.com"/>
    <s v="+1 (214) 813-8745"/>
    <x v="132"/>
    <x v="0"/>
    <s v="Yes"/>
    <x v="0"/>
    <x v="0"/>
    <x v="0"/>
    <n v="0.59699999999999998"/>
    <x v="5"/>
    <n v="1"/>
    <n v="9.9499999999999993"/>
    <x v="33"/>
    <n v="3.5819999999999999"/>
    <n v="6.0000000000000009"/>
  </r>
  <r>
    <x v="733"/>
    <x v="574"/>
    <s v="Sunday"/>
    <x v="2"/>
    <x v="0"/>
    <x v="706"/>
    <x v="696"/>
    <s v="rpursglovel9@biblegateway.com"/>
    <s v="+1 (214) 813-8745"/>
    <x v="132"/>
    <x v="0"/>
    <s v="Yes"/>
    <x v="42"/>
    <x v="2"/>
    <x v="1"/>
    <n v="0.69929999999999992"/>
    <x v="0"/>
    <n v="0.5"/>
    <n v="7.77"/>
    <x v="42"/>
    <n v="1.3985999999999998"/>
    <n v="9"/>
  </r>
  <r>
    <x v="734"/>
    <x v="455"/>
    <s v="Friday"/>
    <x v="6"/>
    <x v="1"/>
    <x v="696"/>
    <x v="696"/>
    <s v="fconstancekz@ifeng.com"/>
    <s v="+1 (214) 388-6754"/>
    <x v="68"/>
    <x v="0"/>
    <s v="No"/>
    <x v="44"/>
    <x v="2"/>
    <x v="1"/>
    <n v="2.6806499999999995"/>
    <x v="3"/>
    <n v="2.5"/>
    <n v="29.784999999999997"/>
    <x v="49"/>
    <n v="8.0419499999999982"/>
    <n v="8.9999999999999982"/>
  </r>
  <r>
    <x v="735"/>
    <x v="575"/>
    <s v="Saturday"/>
    <x v="4"/>
    <x v="2"/>
    <x v="696"/>
    <x v="707"/>
    <s v="fconstancekz@ifeng.com"/>
    <s v="+1 (214) 388-6754"/>
    <x v="68"/>
    <x v="0"/>
    <s v="No"/>
    <x v="41"/>
    <x v="0"/>
    <x v="1"/>
    <n v="0.71699999999999997"/>
    <x v="0"/>
    <n v="1"/>
    <n v="11.95"/>
    <x v="178"/>
    <n v="1.4339999999999999"/>
    <n v="6"/>
  </r>
  <r>
    <x v="736"/>
    <x v="576"/>
    <s v="Sunday"/>
    <x v="6"/>
    <x v="3"/>
    <x v="707"/>
    <x v="708"/>
    <s v="deburahld@google.co.jp"/>
    <s v="+44 (607) 596-3921"/>
    <x v="38"/>
    <x v="2"/>
    <s v="No"/>
    <x v="13"/>
    <x v="0"/>
    <x v="0"/>
    <n v="1.3730999999999998"/>
    <x v="5"/>
    <n v="2.5"/>
    <n v="22.884999999999998"/>
    <x v="170"/>
    <n v="8.2385999999999981"/>
    <n v="5.9999999999999982"/>
  </r>
  <r>
    <x v="737"/>
    <x v="577"/>
    <s v="Friday"/>
    <x v="0"/>
    <x v="3"/>
    <x v="708"/>
    <x v="709"/>
    <s v="mbrimilcombele@cnn.com"/>
    <n v="0"/>
    <x v="64"/>
    <x v="0"/>
    <s v="No"/>
    <x v="9"/>
    <x v="2"/>
    <x v="2"/>
    <n v="0.89549999999999985"/>
    <x v="2"/>
    <n v="1"/>
    <n v="9.9499999999999993"/>
    <x v="138"/>
    <n v="0.89549999999999985"/>
    <n v="9"/>
  </r>
  <r>
    <x v="738"/>
    <x v="578"/>
    <s v="Thursday"/>
    <x v="4"/>
    <x v="0"/>
    <x v="709"/>
    <x v="710"/>
    <s v="sbollamlf@list-manage.com"/>
    <s v="+1 (303) 746-0415"/>
    <x v="335"/>
    <x v="0"/>
    <s v="No"/>
    <x v="35"/>
    <x v="0"/>
    <x v="1"/>
    <n v="0.43019999999999992"/>
    <x v="3"/>
    <n v="0.5"/>
    <n v="7.169999999999999"/>
    <x v="137"/>
    <n v="1.2905999999999997"/>
    <n v="5.9999999999999991"/>
  </r>
  <r>
    <x v="739"/>
    <x v="579"/>
    <s v="Wednesday"/>
    <x v="0"/>
    <x v="1"/>
    <x v="710"/>
    <x v="711"/>
    <n v="0"/>
    <s v="+1 (410) 273-2348"/>
    <x v="192"/>
    <x v="0"/>
    <s v="No"/>
    <x v="3"/>
    <x v="1"/>
    <x v="0"/>
    <n v="1.5125"/>
    <x v="5"/>
    <n v="1"/>
    <n v="13.75"/>
    <x v="121"/>
    <n v="9.0749999999999993"/>
    <n v="10.999999999999998"/>
  </r>
  <r>
    <x v="740"/>
    <x v="91"/>
    <s v="Tuesday"/>
    <x v="7"/>
    <x v="1"/>
    <x v="711"/>
    <x v="712"/>
    <s v="afilipczaklh@ning.com"/>
    <s v="+353 (176) 447-3656"/>
    <x v="66"/>
    <x v="1"/>
    <s v="No"/>
    <x v="21"/>
    <x v="3"/>
    <x v="0"/>
    <n v="0.56745000000000001"/>
    <x v="0"/>
    <n v="0.2"/>
    <n v="4.3650000000000002"/>
    <x v="31"/>
    <n v="1.1349"/>
    <n v="13"/>
  </r>
  <r>
    <x v="741"/>
    <x v="272"/>
    <s v="Thursday"/>
    <x v="2"/>
    <x v="2"/>
    <x v="712"/>
    <x v="713"/>
    <n v="0"/>
    <s v="+1 (754) 336-4224"/>
    <x v="42"/>
    <x v="0"/>
    <s v="Yes"/>
    <x v="0"/>
    <x v="0"/>
    <x v="0"/>
    <n v="0.59699999999999998"/>
    <x v="0"/>
    <n v="1"/>
    <n v="9.9499999999999993"/>
    <x v="0"/>
    <n v="1.194"/>
    <n v="6.0000000000000009"/>
  </r>
  <r>
    <x v="742"/>
    <x v="65"/>
    <s v="Monday"/>
    <x v="2"/>
    <x v="1"/>
    <x v="713"/>
    <x v="714"/>
    <s v="relnaughlj@comsenz.com"/>
    <s v="+1 (619) 728-2474"/>
    <x v="236"/>
    <x v="0"/>
    <s v="Yes"/>
    <x v="38"/>
    <x v="1"/>
    <x v="1"/>
    <n v="0.98009999999999997"/>
    <x v="0"/>
    <n v="0.5"/>
    <n v="8.91"/>
    <x v="58"/>
    <n v="1.9601999999999999"/>
    <n v="11"/>
  </r>
  <r>
    <x v="743"/>
    <x v="580"/>
    <s v="Friday"/>
    <x v="9"/>
    <x v="1"/>
    <x v="714"/>
    <x v="715"/>
    <s v="jdeehanlk@about.me"/>
    <s v="+1 (972) 327-1194"/>
    <x v="68"/>
    <x v="0"/>
    <s v="No"/>
    <x v="19"/>
    <x v="2"/>
    <x v="0"/>
    <n v="0.60749999999999993"/>
    <x v="3"/>
    <n v="0.5"/>
    <n v="6.75"/>
    <x v="16"/>
    <n v="1.8224999999999998"/>
    <n v="8.9999999999999982"/>
  </r>
  <r>
    <x v="744"/>
    <x v="581"/>
    <s v="Sunday"/>
    <x v="6"/>
    <x v="0"/>
    <x v="715"/>
    <x v="716"/>
    <s v="jedenll@e-recht24.de"/>
    <n v="0"/>
    <x v="336"/>
    <x v="0"/>
    <s v="No"/>
    <x v="44"/>
    <x v="2"/>
    <x v="1"/>
    <n v="2.6806499999999995"/>
    <x v="0"/>
    <n v="2.5"/>
    <n v="29.784999999999997"/>
    <x v="120"/>
    <n v="5.3612999999999991"/>
    <n v="9"/>
  </r>
  <r>
    <x v="745"/>
    <x v="489"/>
    <s v="Friday"/>
    <x v="10"/>
    <x v="3"/>
    <x v="716"/>
    <x v="717"/>
    <s v="cjewsterlu@moonfruit.com"/>
    <s v="+1 (937) 925-7390"/>
    <x v="4"/>
    <x v="0"/>
    <s v="Yes"/>
    <x v="23"/>
    <x v="3"/>
    <x v="1"/>
    <n v="1.2363"/>
    <x v="0"/>
    <n v="0.5"/>
    <n v="9.51"/>
    <x v="81"/>
    <n v="2.4725999999999999"/>
    <n v="13"/>
  </r>
  <r>
    <x v="746"/>
    <x v="234"/>
    <s v="Wednesday"/>
    <x v="1"/>
    <x v="3"/>
    <x v="717"/>
    <x v="718"/>
    <s v="usoutherdenln@hao123.com"/>
    <s v="+1 (786) 490-0037"/>
    <x v="120"/>
    <x v="0"/>
    <s v="Yes"/>
    <x v="5"/>
    <x v="3"/>
    <x v="2"/>
    <n v="1.6835"/>
    <x v="5"/>
    <n v="1"/>
    <n v="12.95"/>
    <x v="17"/>
    <n v="10.100999999999999"/>
    <n v="13"/>
  </r>
  <r>
    <x v="747"/>
    <x v="175"/>
    <s v="Saturday"/>
    <x v="10"/>
    <x v="3"/>
    <x v="718"/>
    <x v="719"/>
    <n v="0"/>
    <s v="+1 (763) 806-0186"/>
    <x v="30"/>
    <x v="0"/>
    <s v="No"/>
    <x v="3"/>
    <x v="1"/>
    <x v="0"/>
    <n v="1.5125"/>
    <x v="3"/>
    <n v="1"/>
    <n v="13.75"/>
    <x v="1"/>
    <n v="4.5374999999999996"/>
    <n v="10.999999999999998"/>
  </r>
  <r>
    <x v="748"/>
    <x v="582"/>
    <s v="Saturday"/>
    <x v="11"/>
    <x v="0"/>
    <x v="719"/>
    <x v="720"/>
    <s v="lburtenshawlp@shinystat.com"/>
    <s v="+1 (678) 536-4251"/>
    <x v="227"/>
    <x v="0"/>
    <s v="No"/>
    <x v="26"/>
    <x v="3"/>
    <x v="1"/>
    <n v="4.7391499999999995"/>
    <x v="4"/>
    <n v="2.5"/>
    <n v="36.454999999999998"/>
    <x v="43"/>
    <n v="18.956599999999998"/>
    <n v="13"/>
  </r>
  <r>
    <x v="749"/>
    <x v="583"/>
    <s v="Saturday"/>
    <x v="6"/>
    <x v="3"/>
    <x v="720"/>
    <x v="721"/>
    <s v="agregorattilq@vistaprint.com"/>
    <s v="+353 (773) 508-6581"/>
    <x v="337"/>
    <x v="1"/>
    <s v="No"/>
    <x v="46"/>
    <x v="1"/>
    <x v="1"/>
    <n v="0.49004999999999999"/>
    <x v="5"/>
    <n v="0.2"/>
    <n v="4.4550000000000001"/>
    <x v="149"/>
    <n v="2.9402999999999997"/>
    <n v="10.999999999999998"/>
  </r>
  <r>
    <x v="750"/>
    <x v="548"/>
    <s v="Monday"/>
    <x v="8"/>
    <x v="1"/>
    <x v="721"/>
    <x v="722"/>
    <s v="ccrosterlr@gov.uk"/>
    <s v="+1 (813) 621-3097"/>
    <x v="47"/>
    <x v="0"/>
    <s v="Yes"/>
    <x v="22"/>
    <x v="3"/>
    <x v="0"/>
    <n v="1.1349"/>
    <x v="1"/>
    <n v="0.5"/>
    <n v="8.73"/>
    <x v="34"/>
    <n v="5.6745000000000001"/>
    <n v="12.999999999999998"/>
  </r>
  <r>
    <x v="751"/>
    <x v="584"/>
    <s v="Thursday"/>
    <x v="11"/>
    <x v="1"/>
    <x v="722"/>
    <x v="723"/>
    <s v="gwhiteheadls@hp.com"/>
    <n v="0"/>
    <x v="93"/>
    <x v="0"/>
    <s v="No"/>
    <x v="32"/>
    <x v="3"/>
    <x v="1"/>
    <n v="2.0605000000000002"/>
    <x v="0"/>
    <n v="1"/>
    <n v="15.85"/>
    <x v="124"/>
    <n v="4.1210000000000004"/>
    <n v="13"/>
  </r>
  <r>
    <x v="752"/>
    <x v="64"/>
    <s v="Tuesday"/>
    <x v="1"/>
    <x v="1"/>
    <x v="723"/>
    <x v="716"/>
    <s v="hjodrellelt@samsung.com"/>
    <s v="+1 (305) 334-0992"/>
    <x v="218"/>
    <x v="0"/>
    <s v="No"/>
    <x v="30"/>
    <x v="2"/>
    <x v="2"/>
    <n v="2.0596499999999995"/>
    <x v="2"/>
    <n v="2.5"/>
    <n v="22.884999999999998"/>
    <x v="156"/>
    <n v="2.0596499999999995"/>
    <n v="8.9999999999999982"/>
  </r>
  <r>
    <x v="753"/>
    <x v="585"/>
    <s v="Thursday"/>
    <x v="10"/>
    <x v="3"/>
    <x v="716"/>
    <x v="724"/>
    <s v="cjewsterlu@moonfruit.com"/>
    <s v="+1 (937) 925-7390"/>
    <x v="4"/>
    <x v="0"/>
    <s v="Yes"/>
    <x v="47"/>
    <x v="1"/>
    <x v="2"/>
    <n v="3.07395"/>
    <x v="2"/>
    <n v="2.5"/>
    <n v="27.945"/>
    <x v="140"/>
    <n v="3.07395"/>
    <n v="11"/>
  </r>
  <r>
    <x v="754"/>
    <x v="32"/>
    <s v="Monday"/>
    <x v="8"/>
    <x v="1"/>
    <x v="724"/>
    <x v="725"/>
    <n v="0"/>
    <s v="+1 (312) 648-4940"/>
    <x v="54"/>
    <x v="0"/>
    <s v="Yes"/>
    <x v="3"/>
    <x v="1"/>
    <x v="0"/>
    <n v="1.5125"/>
    <x v="5"/>
    <n v="1"/>
    <n v="13.75"/>
    <x v="121"/>
    <n v="9.0749999999999993"/>
    <n v="10.999999999999998"/>
  </r>
  <r>
    <x v="755"/>
    <x v="586"/>
    <s v="Friday"/>
    <x v="2"/>
    <x v="2"/>
    <x v="725"/>
    <x v="726"/>
    <s v="knottramlw@odnoklassniki.ru"/>
    <s v="+353 (549) 358-7019"/>
    <x v="338"/>
    <x v="1"/>
    <s v="Yes"/>
    <x v="13"/>
    <x v="0"/>
    <x v="0"/>
    <n v="1.3730999999999998"/>
    <x v="0"/>
    <n v="2.5"/>
    <n v="22.884999999999998"/>
    <x v="135"/>
    <n v="2.7461999999999995"/>
    <n v="6"/>
  </r>
  <r>
    <x v="756"/>
    <x v="535"/>
    <s v="Sunday"/>
    <x v="4"/>
    <x v="0"/>
    <x v="726"/>
    <x v="727"/>
    <s v="nbuneylx@jugem.jp"/>
    <s v="+1 (510) 973-7084"/>
    <x v="8"/>
    <x v="0"/>
    <s v="No"/>
    <x v="2"/>
    <x v="2"/>
    <x v="1"/>
    <n v="1.1655"/>
    <x v="5"/>
    <n v="1"/>
    <n v="12.95"/>
    <x v="17"/>
    <n v="6.9930000000000003"/>
    <n v="9.0000000000000018"/>
  </r>
  <r>
    <x v="757"/>
    <x v="587"/>
    <s v="Monday"/>
    <x v="10"/>
    <x v="2"/>
    <x v="727"/>
    <x v="728"/>
    <s v="smcshealy@photobucket.com"/>
    <s v="+1 (360) 578-2262"/>
    <x v="339"/>
    <x v="0"/>
    <s v="No"/>
    <x v="42"/>
    <x v="2"/>
    <x v="1"/>
    <n v="0.69929999999999992"/>
    <x v="3"/>
    <n v="0.5"/>
    <n v="7.77"/>
    <x v="102"/>
    <n v="2.0978999999999997"/>
    <n v="9"/>
  </r>
  <r>
    <x v="758"/>
    <x v="393"/>
    <s v="Sunday"/>
    <x v="5"/>
    <x v="3"/>
    <x v="728"/>
    <x v="729"/>
    <s v="khuddartlz@about.com"/>
    <s v="+1 (214) 931-4518"/>
    <x v="113"/>
    <x v="0"/>
    <s v="Yes"/>
    <x v="7"/>
    <x v="3"/>
    <x v="1"/>
    <n v="0.61814999999999998"/>
    <x v="1"/>
    <n v="0.2"/>
    <n v="4.7549999999999999"/>
    <x v="29"/>
    <n v="3.0907499999999999"/>
    <n v="13"/>
  </r>
  <r>
    <x v="759"/>
    <x v="588"/>
    <s v="Thursday"/>
    <x v="6"/>
    <x v="0"/>
    <x v="729"/>
    <x v="730"/>
    <s v="jgippesm0@cloudflare.com"/>
    <s v="+44 (185) 319-5850"/>
    <x v="340"/>
    <x v="2"/>
    <s v="Yes"/>
    <x v="22"/>
    <x v="3"/>
    <x v="0"/>
    <n v="1.1349"/>
    <x v="5"/>
    <n v="0.5"/>
    <n v="8.73"/>
    <x v="28"/>
    <n v="6.8094000000000001"/>
    <n v="13"/>
  </r>
  <r>
    <x v="760"/>
    <x v="15"/>
    <s v="Thursday"/>
    <x v="1"/>
    <x v="0"/>
    <x v="730"/>
    <x v="731"/>
    <s v="lwhittleseem1@e-recht24.de"/>
    <s v="+1 (540) 413-9605"/>
    <x v="110"/>
    <x v="0"/>
    <s v="No"/>
    <x v="40"/>
    <x v="0"/>
    <x v="1"/>
    <n v="0.21509999999999996"/>
    <x v="1"/>
    <n v="0.2"/>
    <n v="3.5849999999999995"/>
    <x v="131"/>
    <n v="1.0754999999999999"/>
    <n v="6.0000000000000009"/>
  </r>
  <r>
    <x v="761"/>
    <x v="507"/>
    <s v="Friday"/>
    <x v="1"/>
    <x v="3"/>
    <x v="731"/>
    <x v="732"/>
    <s v="gtrengrovem2@elpais.com"/>
    <s v="+1 (516) 513-7620"/>
    <x v="341"/>
    <x v="0"/>
    <s v="No"/>
    <x v="44"/>
    <x v="2"/>
    <x v="1"/>
    <n v="2.6806499999999995"/>
    <x v="1"/>
    <n v="2.5"/>
    <n v="29.784999999999997"/>
    <x v="74"/>
    <n v="13.403249999999998"/>
    <n v="9"/>
  </r>
  <r>
    <x v="762"/>
    <x v="533"/>
    <s v="Saturday"/>
    <x v="6"/>
    <x v="0"/>
    <x v="732"/>
    <x v="733"/>
    <s v="wcalderom3@stumbleupon.com"/>
    <s v="+1 (714) 117-5483"/>
    <x v="219"/>
    <x v="0"/>
    <s v="No"/>
    <x v="35"/>
    <x v="0"/>
    <x v="1"/>
    <n v="0.43019999999999992"/>
    <x v="4"/>
    <n v="0.5"/>
    <n v="7.169999999999999"/>
    <x v="139"/>
    <n v="1.7207999999999997"/>
    <n v="6"/>
  </r>
  <r>
    <x v="763"/>
    <x v="589"/>
    <s v="Friday"/>
    <x v="9"/>
    <x v="1"/>
    <x v="733"/>
    <x v="734"/>
    <n v="0"/>
    <s v="+1 (606) 824-3445"/>
    <x v="193"/>
    <x v="0"/>
    <s v="No"/>
    <x v="23"/>
    <x v="3"/>
    <x v="1"/>
    <n v="1.2363"/>
    <x v="2"/>
    <n v="0.5"/>
    <n v="9.51"/>
    <x v="54"/>
    <n v="1.2363"/>
    <n v="13"/>
  </r>
  <r>
    <x v="764"/>
    <x v="590"/>
    <s v="Saturday"/>
    <x v="2"/>
    <x v="2"/>
    <x v="734"/>
    <x v="735"/>
    <s v="jkennicottm5@yahoo.co.jp"/>
    <s v="+1 (813) 579-8389"/>
    <x v="47"/>
    <x v="0"/>
    <s v="No"/>
    <x v="42"/>
    <x v="2"/>
    <x v="1"/>
    <n v="0.69929999999999992"/>
    <x v="4"/>
    <n v="0.5"/>
    <n v="7.77"/>
    <x v="113"/>
    <n v="2.7971999999999997"/>
    <n v="9"/>
  </r>
  <r>
    <x v="765"/>
    <x v="457"/>
    <s v="Wednesday"/>
    <x v="8"/>
    <x v="3"/>
    <x v="735"/>
    <x v="736"/>
    <s v="gruggenm6@nymag.com"/>
    <s v="+1 (408) 211-2306"/>
    <x v="7"/>
    <x v="0"/>
    <s v="Yes"/>
    <x v="25"/>
    <x v="0"/>
    <x v="2"/>
    <n v="0.16109999999999997"/>
    <x v="3"/>
    <n v="0.2"/>
    <n v="2.6849999999999996"/>
    <x v="36"/>
    <n v="0.4832999999999999"/>
    <n v="5.9999999999999991"/>
  </r>
  <r>
    <x v="766"/>
    <x v="591"/>
    <s v="Thursday"/>
    <x v="4"/>
    <x v="2"/>
    <x v="736"/>
    <x v="737"/>
    <n v="0"/>
    <n v="0"/>
    <x v="41"/>
    <x v="0"/>
    <s v="Yes"/>
    <x v="45"/>
    <x v="1"/>
    <x v="2"/>
    <n v="1.3365"/>
    <x v="3"/>
    <n v="1"/>
    <n v="12.15"/>
    <x v="114"/>
    <n v="4.0095000000000001"/>
    <n v="10.999999999999998"/>
  </r>
  <r>
    <x v="767"/>
    <x v="592"/>
    <s v="Saturday"/>
    <x v="10"/>
    <x v="1"/>
    <x v="737"/>
    <x v="738"/>
    <s v="mfrightm8@harvard.edu"/>
    <s v="+353 (955) 108-0675"/>
    <x v="280"/>
    <x v="1"/>
    <s v="No"/>
    <x v="25"/>
    <x v="0"/>
    <x v="2"/>
    <n v="0.16109999999999997"/>
    <x v="5"/>
    <n v="0.2"/>
    <n v="2.6849999999999996"/>
    <x v="103"/>
    <n v="0.96659999999999979"/>
    <n v="5.9999999999999991"/>
  </r>
  <r>
    <x v="768"/>
    <x v="402"/>
    <s v="Monday"/>
    <x v="2"/>
    <x v="3"/>
    <x v="738"/>
    <x v="739"/>
    <s v="btartem9@aol.com"/>
    <s v="+1 (360) 927-6561"/>
    <x v="339"/>
    <x v="0"/>
    <s v="Yes"/>
    <x v="11"/>
    <x v="0"/>
    <x v="2"/>
    <n v="1.2350999999999999"/>
    <x v="0"/>
    <n v="2.5"/>
    <n v="20.584999999999997"/>
    <x v="13"/>
    <n v="2.4701999999999997"/>
    <n v="6.0000000000000009"/>
  </r>
  <r>
    <x v="769"/>
    <x v="593"/>
    <s v="Thursday"/>
    <x v="6"/>
    <x v="3"/>
    <x v="739"/>
    <x v="740"/>
    <s v="ckrzysztofiakma@skyrock.com"/>
    <s v="+1 (972) 782-4187"/>
    <x v="342"/>
    <x v="0"/>
    <s v="No"/>
    <x v="25"/>
    <x v="0"/>
    <x v="2"/>
    <n v="0.16109999999999997"/>
    <x v="4"/>
    <n v="0.2"/>
    <n v="2.6849999999999996"/>
    <x v="175"/>
    <n v="0.64439999999999986"/>
    <n v="6"/>
  </r>
  <r>
    <x v="770"/>
    <x v="594"/>
    <s v="Monday"/>
    <x v="5"/>
    <x v="3"/>
    <x v="740"/>
    <x v="741"/>
    <s v="dpenquetmb@diigo.com"/>
    <n v="0"/>
    <x v="155"/>
    <x v="0"/>
    <s v="No"/>
    <x v="28"/>
    <x v="1"/>
    <x v="0"/>
    <n v="3.4787499999999998"/>
    <x v="4"/>
    <n v="2.5"/>
    <n v="31.624999999999996"/>
    <x v="177"/>
    <n v="13.914999999999999"/>
    <n v="11"/>
  </r>
  <r>
    <x v="771"/>
    <x v="77"/>
    <s v="Saturday"/>
    <x v="8"/>
    <x v="1"/>
    <x v="741"/>
    <x v="742"/>
    <n v="0"/>
    <s v="+44 (540) 353-5754"/>
    <x v="176"/>
    <x v="2"/>
    <s v="No"/>
    <x v="41"/>
    <x v="0"/>
    <x v="1"/>
    <n v="0.71699999999999997"/>
    <x v="0"/>
    <n v="1"/>
    <n v="11.95"/>
    <x v="178"/>
    <n v="1.4339999999999999"/>
    <n v="6"/>
  </r>
  <r>
    <x v="772"/>
    <x v="595"/>
    <s v="Wednesday"/>
    <x v="1"/>
    <x v="2"/>
    <x v="742"/>
    <x v="743"/>
    <n v="0"/>
    <s v="+1 (763) 691-6777"/>
    <x v="343"/>
    <x v="0"/>
    <s v="No"/>
    <x v="8"/>
    <x v="0"/>
    <x v="0"/>
    <n v="0.35819999999999996"/>
    <x v="2"/>
    <n v="0.5"/>
    <n v="5.97"/>
    <x v="9"/>
    <n v="0.35819999999999996"/>
    <n v="6"/>
  </r>
  <r>
    <x v="773"/>
    <x v="596"/>
    <s v="Sunday"/>
    <x v="10"/>
    <x v="1"/>
    <x v="743"/>
    <x v="744"/>
    <n v="0"/>
    <n v="0"/>
    <x v="44"/>
    <x v="2"/>
    <s v="Yes"/>
    <x v="12"/>
    <x v="3"/>
    <x v="2"/>
    <n v="0.50505"/>
    <x v="0"/>
    <n v="0.2"/>
    <n v="3.8849999999999998"/>
    <x v="41"/>
    <n v="1.0101"/>
    <n v="13"/>
  </r>
  <r>
    <x v="774"/>
    <x v="514"/>
    <s v="Monday"/>
    <x v="9"/>
    <x v="1"/>
    <x v="744"/>
    <x v="745"/>
    <s v="kferrettimf@huffingtonpost.com"/>
    <s v="+353 (526) 215-2582"/>
    <x v="232"/>
    <x v="1"/>
    <s v="No"/>
    <x v="31"/>
    <x v="3"/>
    <x v="2"/>
    <n v="1.0101"/>
    <x v="3"/>
    <n v="0.5"/>
    <n v="7.77"/>
    <x v="102"/>
    <n v="3.0303"/>
    <n v="13"/>
  </r>
  <r>
    <x v="775"/>
    <x v="54"/>
    <s v="Friday"/>
    <x v="10"/>
    <x v="3"/>
    <x v="745"/>
    <x v="746"/>
    <n v="0"/>
    <s v="+1 (713) 984-5207"/>
    <x v="13"/>
    <x v="0"/>
    <s v="No"/>
    <x v="4"/>
    <x v="0"/>
    <x v="1"/>
    <n v="1.6490999999999998"/>
    <x v="1"/>
    <n v="2.5"/>
    <n v="27.484999999999996"/>
    <x v="187"/>
    <n v="8.2454999999999998"/>
    <n v="6.0000000000000009"/>
  </r>
  <r>
    <x v="776"/>
    <x v="597"/>
    <s v="Monday"/>
    <x v="10"/>
    <x v="1"/>
    <x v="746"/>
    <x v="747"/>
    <n v="0"/>
    <s v="+1 (915) 204-2588"/>
    <x v="87"/>
    <x v="0"/>
    <s v="Yes"/>
    <x v="25"/>
    <x v="0"/>
    <x v="2"/>
    <n v="0.16109999999999997"/>
    <x v="3"/>
    <n v="0.2"/>
    <n v="2.6849999999999996"/>
    <x v="36"/>
    <n v="0.4832999999999999"/>
    <n v="5.9999999999999991"/>
  </r>
  <r>
    <x v="777"/>
    <x v="105"/>
    <s v="Tuesday"/>
    <x v="3"/>
    <x v="3"/>
    <x v="747"/>
    <x v="748"/>
    <s v="abalsdonemi@toplist.cz"/>
    <s v="+1 (863) 490-5370"/>
    <x v="344"/>
    <x v="0"/>
    <s v="No"/>
    <x v="23"/>
    <x v="3"/>
    <x v="1"/>
    <n v="1.2363"/>
    <x v="3"/>
    <n v="0.5"/>
    <n v="9.51"/>
    <x v="32"/>
    <n v="3.7088999999999999"/>
    <n v="12.999999999999998"/>
  </r>
  <r>
    <x v="778"/>
    <x v="210"/>
    <s v="Saturday"/>
    <x v="7"/>
    <x v="3"/>
    <x v="748"/>
    <x v="748"/>
    <s v="bromeramj@list-manage.com"/>
    <s v="+353 (640) 110-9801"/>
    <x v="345"/>
    <x v="1"/>
    <s v="Yes"/>
    <x v="17"/>
    <x v="2"/>
    <x v="0"/>
    <n v="1.0125"/>
    <x v="5"/>
    <n v="1"/>
    <n v="11.25"/>
    <x v="173"/>
    <n v="6.0749999999999993"/>
    <n v="8.9999999999999982"/>
  </r>
  <r>
    <x v="778"/>
    <x v="210"/>
    <s v="Saturday"/>
    <x v="7"/>
    <x v="3"/>
    <x v="748"/>
    <x v="749"/>
    <s v="bromeramj@list-manage.com"/>
    <s v="+353 (640) 110-9801"/>
    <x v="345"/>
    <x v="1"/>
    <s v="Yes"/>
    <x v="27"/>
    <x v="3"/>
    <x v="2"/>
    <n v="3.8720499999999998"/>
    <x v="5"/>
    <n v="2.5"/>
    <n v="29.784999999999997"/>
    <x v="39"/>
    <n v="23.232299999999999"/>
    <n v="13"/>
  </r>
  <r>
    <x v="779"/>
    <x v="598"/>
    <s v="Tuesday"/>
    <x v="9"/>
    <x v="3"/>
    <x v="749"/>
    <x v="750"/>
    <s v="cbrydeml@tuttocitta.it"/>
    <s v="+1 (405) 497-2199"/>
    <x v="101"/>
    <x v="0"/>
    <s v="Yes"/>
    <x v="28"/>
    <x v="1"/>
    <x v="0"/>
    <n v="3.4787499999999998"/>
    <x v="2"/>
    <n v="2.5"/>
    <n v="31.624999999999996"/>
    <x v="176"/>
    <n v="3.4787499999999998"/>
    <n v="11"/>
  </r>
  <r>
    <x v="780"/>
    <x v="360"/>
    <s v="Thursday"/>
    <x v="8"/>
    <x v="0"/>
    <x v="750"/>
    <x v="751"/>
    <s v="senefermm@blog.com"/>
    <s v="+1 (202) 877-3473"/>
    <x v="41"/>
    <x v="0"/>
    <s v="No"/>
    <x v="46"/>
    <x v="1"/>
    <x v="1"/>
    <n v="0.49004999999999999"/>
    <x v="0"/>
    <n v="0.2"/>
    <n v="4.4550000000000001"/>
    <x v="161"/>
    <n v="0.98009999999999997"/>
    <n v="11"/>
  </r>
  <r>
    <x v="781"/>
    <x v="62"/>
    <s v="Monday"/>
    <x v="4"/>
    <x v="1"/>
    <x v="751"/>
    <x v="752"/>
    <s v="lhaggerstonemn@independent.co.uk"/>
    <s v="+1 (770) 779-0007"/>
    <x v="161"/>
    <x v="0"/>
    <s v="No"/>
    <x v="8"/>
    <x v="0"/>
    <x v="0"/>
    <n v="0.35819999999999996"/>
    <x v="5"/>
    <n v="0.5"/>
    <n v="5.97"/>
    <x v="27"/>
    <n v="2.1491999999999996"/>
    <n v="5.9999999999999982"/>
  </r>
  <r>
    <x v="782"/>
    <x v="599"/>
    <s v="Sunday"/>
    <x v="6"/>
    <x v="0"/>
    <x v="752"/>
    <x v="753"/>
    <s v="mgundrymo@omniture.com"/>
    <s v="+353 (500) 164-9392"/>
    <x v="118"/>
    <x v="1"/>
    <s v="No"/>
    <x v="23"/>
    <x v="3"/>
    <x v="1"/>
    <n v="1.2363"/>
    <x v="4"/>
    <n v="0.5"/>
    <n v="9.51"/>
    <x v="82"/>
    <n v="4.9451999999999998"/>
    <n v="13"/>
  </r>
  <r>
    <x v="783"/>
    <x v="600"/>
    <s v="Friday"/>
    <x v="11"/>
    <x v="0"/>
    <x v="753"/>
    <x v="745"/>
    <s v="bwellanmp@cafepress.com"/>
    <n v="0"/>
    <x v="73"/>
    <x v="0"/>
    <s v="No"/>
    <x v="31"/>
    <x v="3"/>
    <x v="2"/>
    <n v="1.0101"/>
    <x v="0"/>
    <n v="0.5"/>
    <n v="7.77"/>
    <x v="42"/>
    <n v="2.0202"/>
    <n v="13"/>
  </r>
  <r>
    <x v="784"/>
    <x v="601"/>
    <s v="Tuesday"/>
    <x v="2"/>
    <x v="2"/>
    <x v="745"/>
    <x v="754"/>
    <n v="0"/>
    <s v="+1 (713) 984-5207"/>
    <x v="13"/>
    <x v="0"/>
    <s v="No"/>
    <x v="32"/>
    <x v="3"/>
    <x v="1"/>
    <n v="2.0605000000000002"/>
    <x v="1"/>
    <n v="1"/>
    <n v="15.85"/>
    <x v="180"/>
    <n v="10.302500000000002"/>
    <n v="13.000000000000004"/>
  </r>
  <r>
    <x v="785"/>
    <x v="602"/>
    <s v="Friday"/>
    <x v="1"/>
    <x v="3"/>
    <x v="754"/>
    <x v="755"/>
    <s v="catchesonmr@xinhuanet.com"/>
    <s v="+1 (202) 975-7723"/>
    <x v="41"/>
    <x v="0"/>
    <s v="Yes"/>
    <x v="7"/>
    <x v="3"/>
    <x v="1"/>
    <n v="0.61814999999999998"/>
    <x v="2"/>
    <n v="0.2"/>
    <n v="4.7549999999999999"/>
    <x v="7"/>
    <n v="0.61814999999999998"/>
    <n v="13"/>
  </r>
  <r>
    <x v="786"/>
    <x v="603"/>
    <s v="Thursday"/>
    <x v="10"/>
    <x v="0"/>
    <x v="755"/>
    <x v="756"/>
    <s v="estentonms@google.it"/>
    <s v="+1 (512) 819-1430"/>
    <x v="79"/>
    <x v="0"/>
    <s v="Yes"/>
    <x v="3"/>
    <x v="1"/>
    <x v="0"/>
    <n v="1.5125"/>
    <x v="4"/>
    <n v="1"/>
    <n v="13.75"/>
    <x v="193"/>
    <n v="6.05"/>
    <n v="11"/>
  </r>
  <r>
    <x v="787"/>
    <x v="604"/>
    <s v="Monday"/>
    <x v="11"/>
    <x v="3"/>
    <x v="756"/>
    <x v="757"/>
    <s v="etrippmt@wp.com"/>
    <s v="+1 (602) 971-9708"/>
    <x v="137"/>
    <x v="0"/>
    <s v="No"/>
    <x v="34"/>
    <x v="0"/>
    <x v="2"/>
    <n v="0.32219999999999993"/>
    <x v="1"/>
    <n v="0.5"/>
    <n v="5.3699999999999992"/>
    <x v="51"/>
    <n v="1.6109999999999998"/>
    <n v="6.0000000000000009"/>
  </r>
  <r>
    <x v="788"/>
    <x v="605"/>
    <s v="Tuesday"/>
    <x v="8"/>
    <x v="0"/>
    <x v="757"/>
    <x v="758"/>
    <s v="lmacmanusmu@imdb.com"/>
    <s v="+1 (912) 191-6620"/>
    <x v="346"/>
    <x v="0"/>
    <s v="No"/>
    <x v="10"/>
    <x v="1"/>
    <x v="1"/>
    <n v="3.7570499999999996"/>
    <x v="4"/>
    <n v="2.5"/>
    <n v="34.154999999999994"/>
    <x v="56"/>
    <n v="15.028199999999998"/>
    <n v="11"/>
  </r>
  <r>
    <x v="789"/>
    <x v="606"/>
    <s v="Friday"/>
    <x v="7"/>
    <x v="3"/>
    <x v="758"/>
    <x v="759"/>
    <s v="tbenediktovichmv@ebay.com"/>
    <s v="+1 (505) 523-8113"/>
    <x v="347"/>
    <x v="0"/>
    <s v="Yes"/>
    <x v="32"/>
    <x v="3"/>
    <x v="1"/>
    <n v="2.0605000000000002"/>
    <x v="3"/>
    <n v="1"/>
    <n v="15.85"/>
    <x v="46"/>
    <n v="6.1815000000000007"/>
    <n v="13.000000000000004"/>
  </r>
  <r>
    <x v="790"/>
    <x v="446"/>
    <s v="Tuesday"/>
    <x v="11"/>
    <x v="0"/>
    <x v="759"/>
    <x v="760"/>
    <s v="cbournermw@chronoengine.com"/>
    <n v="0"/>
    <x v="63"/>
    <x v="0"/>
    <s v="Yes"/>
    <x v="14"/>
    <x v="2"/>
    <x v="0"/>
    <n v="0.30374999999999996"/>
    <x v="1"/>
    <n v="0.2"/>
    <n v="3.375"/>
    <x v="19"/>
    <n v="1.5187499999999998"/>
    <n v="8.9999999999999982"/>
  </r>
  <r>
    <x v="791"/>
    <x v="18"/>
    <s v="Friday"/>
    <x v="10"/>
    <x v="2"/>
    <x v="760"/>
    <x v="761"/>
    <s v="oskermen3@hatena.ne.jp"/>
    <s v="+1 (405) 615-0298"/>
    <x v="101"/>
    <x v="0"/>
    <s v="Yes"/>
    <x v="9"/>
    <x v="2"/>
    <x v="2"/>
    <n v="0.89549999999999985"/>
    <x v="3"/>
    <n v="1"/>
    <n v="9.9499999999999993"/>
    <x v="44"/>
    <n v="2.6864999999999997"/>
    <n v="9"/>
  </r>
  <r>
    <x v="792"/>
    <x v="180"/>
    <s v="Sunday"/>
    <x v="6"/>
    <x v="1"/>
    <x v="761"/>
    <x v="762"/>
    <s v="kheddanmy@icq.com"/>
    <s v="+1 (850) 796-6812"/>
    <x v="48"/>
    <x v="0"/>
    <s v="Yes"/>
    <x v="1"/>
    <x v="1"/>
    <x v="0"/>
    <n v="0.90749999999999997"/>
    <x v="1"/>
    <n v="0.5"/>
    <n v="8.25"/>
    <x v="1"/>
    <n v="4.5374999999999996"/>
    <n v="10.999999999999998"/>
  </r>
  <r>
    <x v="793"/>
    <x v="580"/>
    <s v="Friday"/>
    <x v="9"/>
    <x v="1"/>
    <x v="762"/>
    <x v="763"/>
    <s v="ichartersmz@abc.net.au"/>
    <s v="+1 (202) 710-9776"/>
    <x v="41"/>
    <x v="0"/>
    <s v="No"/>
    <x v="18"/>
    <x v="1"/>
    <x v="0"/>
    <n v="0.45374999999999999"/>
    <x v="1"/>
    <n v="0.2"/>
    <n v="4.125"/>
    <x v="132"/>
    <n v="2.2687499999999998"/>
    <n v="10.999999999999998"/>
  </r>
  <r>
    <x v="794"/>
    <x v="453"/>
    <s v="Friday"/>
    <x v="11"/>
    <x v="1"/>
    <x v="763"/>
    <x v="764"/>
    <s v="aroubertn0@tmall.com"/>
    <s v="+1 (772) 366-6549"/>
    <x v="348"/>
    <x v="0"/>
    <s v="Yes"/>
    <x v="30"/>
    <x v="2"/>
    <x v="2"/>
    <n v="2.0596499999999995"/>
    <x v="5"/>
    <n v="2.5"/>
    <n v="22.884999999999998"/>
    <x v="170"/>
    <n v="12.357899999999997"/>
    <n v="8.9999999999999982"/>
  </r>
  <r>
    <x v="795"/>
    <x v="259"/>
    <s v="Saturday"/>
    <x v="10"/>
    <x v="3"/>
    <x v="764"/>
    <x v="765"/>
    <s v="hmairsn1@so-net.ne.jp"/>
    <s v="+1 (304) 834-9665"/>
    <x v="90"/>
    <x v="0"/>
    <s v="No"/>
    <x v="16"/>
    <x v="2"/>
    <x v="2"/>
    <n v="0.26865"/>
    <x v="2"/>
    <n v="0.2"/>
    <n v="2.9849999999999999"/>
    <x v="55"/>
    <n v="0.26865"/>
    <n v="9.0000000000000018"/>
  </r>
  <r>
    <x v="796"/>
    <x v="607"/>
    <s v="Friday"/>
    <x v="3"/>
    <x v="1"/>
    <x v="765"/>
    <x v="765"/>
    <s v="hrainforthn2@blog.com"/>
    <s v="+1 (215) 607-9440"/>
    <x v="11"/>
    <x v="0"/>
    <s v="No"/>
    <x v="3"/>
    <x v="1"/>
    <x v="0"/>
    <n v="1.5125"/>
    <x v="0"/>
    <n v="1"/>
    <n v="13.75"/>
    <x v="3"/>
    <n v="3.0249999999999999"/>
    <n v="11"/>
  </r>
  <r>
    <x v="796"/>
    <x v="607"/>
    <s v="Friday"/>
    <x v="3"/>
    <x v="1"/>
    <x v="765"/>
    <x v="766"/>
    <s v="hrainforthn2@blog.com"/>
    <s v="+1 (215) 607-9440"/>
    <x v="11"/>
    <x v="0"/>
    <s v="No"/>
    <x v="16"/>
    <x v="2"/>
    <x v="2"/>
    <n v="0.26865"/>
    <x v="0"/>
    <n v="0.2"/>
    <n v="2.9849999999999999"/>
    <x v="9"/>
    <n v="0.5373"/>
    <n v="9.0000000000000018"/>
  </r>
  <r>
    <x v="797"/>
    <x v="385"/>
    <s v="Friday"/>
    <x v="6"/>
    <x v="1"/>
    <x v="766"/>
    <x v="767"/>
    <s v="ijespern4@theglobeandmail.com"/>
    <s v="+1 (239) 918-0943"/>
    <x v="53"/>
    <x v="0"/>
    <s v="No"/>
    <x v="0"/>
    <x v="0"/>
    <x v="0"/>
    <n v="0.59699999999999998"/>
    <x v="5"/>
    <n v="1"/>
    <n v="9.9499999999999993"/>
    <x v="33"/>
    <n v="3.5819999999999999"/>
    <n v="6.0000000000000009"/>
  </r>
  <r>
    <x v="798"/>
    <x v="608"/>
    <s v="Friday"/>
    <x v="8"/>
    <x v="1"/>
    <x v="767"/>
    <x v="768"/>
    <s v="ldwerryhousen5@gravatar.com"/>
    <s v="+1 (682) 812-1698"/>
    <x v="57"/>
    <x v="0"/>
    <s v="Yes"/>
    <x v="11"/>
    <x v="0"/>
    <x v="2"/>
    <n v="1.2350999999999999"/>
    <x v="4"/>
    <n v="2.5"/>
    <n v="20.584999999999997"/>
    <x v="18"/>
    <n v="4.9403999999999995"/>
    <n v="6.0000000000000009"/>
  </r>
  <r>
    <x v="799"/>
    <x v="609"/>
    <s v="Friday"/>
    <x v="11"/>
    <x v="3"/>
    <x v="768"/>
    <x v="769"/>
    <s v="nbroomern6@examiner.com"/>
    <s v="+1 (402) 219-2018"/>
    <x v="349"/>
    <x v="0"/>
    <s v="No"/>
    <x v="30"/>
    <x v="2"/>
    <x v="2"/>
    <n v="2.0596499999999995"/>
    <x v="2"/>
    <n v="2.5"/>
    <n v="22.884999999999998"/>
    <x v="156"/>
    <n v="2.0596499999999995"/>
    <n v="8.9999999999999982"/>
  </r>
  <r>
    <x v="800"/>
    <x v="147"/>
    <s v="Monday"/>
    <x v="6"/>
    <x v="1"/>
    <x v="769"/>
    <x v="770"/>
    <s v="kthoumassonn7@bloglovin.com"/>
    <n v="0"/>
    <x v="31"/>
    <x v="0"/>
    <s v="Yes"/>
    <x v="38"/>
    <x v="1"/>
    <x v="1"/>
    <n v="0.98009999999999997"/>
    <x v="2"/>
    <n v="0.5"/>
    <n v="8.91"/>
    <x v="161"/>
    <n v="0.98009999999999997"/>
    <n v="11"/>
  </r>
  <r>
    <x v="801"/>
    <x v="172"/>
    <s v="Sunday"/>
    <x v="7"/>
    <x v="1"/>
    <x v="770"/>
    <x v="745"/>
    <s v="fhabberghamn8@discovery.com"/>
    <s v="+1 (775) 814-9362"/>
    <x v="125"/>
    <x v="0"/>
    <s v="No"/>
    <x v="16"/>
    <x v="2"/>
    <x v="2"/>
    <n v="0.26865"/>
    <x v="4"/>
    <n v="0.2"/>
    <n v="2.9849999999999999"/>
    <x v="22"/>
    <n v="1.0746"/>
    <n v="9.0000000000000018"/>
  </r>
  <r>
    <x v="802"/>
    <x v="610"/>
    <s v="Saturday"/>
    <x v="0"/>
    <x v="0"/>
    <x v="745"/>
    <x v="771"/>
    <n v="0"/>
    <s v="+1 (713) 984-5207"/>
    <x v="13"/>
    <x v="0"/>
    <s v="No"/>
    <x v="43"/>
    <x v="3"/>
    <x v="0"/>
    <n v="4.3504499999999995"/>
    <x v="3"/>
    <n v="2.5"/>
    <n v="33.464999999999996"/>
    <x v="64"/>
    <n v="13.051349999999999"/>
    <n v="13"/>
  </r>
  <r>
    <x v="803"/>
    <x v="611"/>
    <s v="Wednesday"/>
    <x v="2"/>
    <x v="2"/>
    <x v="771"/>
    <x v="772"/>
    <s v="ravrashinna@tamu.edu"/>
    <s v="+1 (202) 973-9890"/>
    <x v="41"/>
    <x v="0"/>
    <s v="No"/>
    <x v="30"/>
    <x v="2"/>
    <x v="2"/>
    <n v="2.0596499999999995"/>
    <x v="1"/>
    <n v="2.5"/>
    <n v="22.884999999999998"/>
    <x v="15"/>
    <n v="10.298249999999998"/>
    <n v="9"/>
  </r>
  <r>
    <x v="804"/>
    <x v="612"/>
    <s v="Sunday"/>
    <x v="11"/>
    <x v="1"/>
    <x v="772"/>
    <x v="773"/>
    <s v="mdoidgenb@etsy.com"/>
    <s v="+1 (831) 955-4716"/>
    <x v="350"/>
    <x v="0"/>
    <s v="No"/>
    <x v="1"/>
    <x v="1"/>
    <x v="0"/>
    <n v="0.90749999999999997"/>
    <x v="1"/>
    <n v="0.5"/>
    <n v="8.25"/>
    <x v="1"/>
    <n v="4.5374999999999996"/>
    <n v="10.999999999999998"/>
  </r>
  <r>
    <x v="805"/>
    <x v="613"/>
    <s v="Thursday"/>
    <x v="4"/>
    <x v="2"/>
    <x v="773"/>
    <x v="774"/>
    <s v="jedinboronc@reverbnation.com"/>
    <s v="+1 (754) 219-4187"/>
    <x v="42"/>
    <x v="0"/>
    <s v="Yes"/>
    <x v="35"/>
    <x v="0"/>
    <x v="1"/>
    <n v="0.43019999999999992"/>
    <x v="4"/>
    <n v="0.5"/>
    <n v="7.169999999999999"/>
    <x v="139"/>
    <n v="1.7207999999999997"/>
    <n v="6"/>
  </r>
  <r>
    <x v="806"/>
    <x v="611"/>
    <s v="Wednesday"/>
    <x v="2"/>
    <x v="2"/>
    <x v="774"/>
    <x v="760"/>
    <s v="ttewelsonnd@cdbaby.com"/>
    <n v="0"/>
    <x v="87"/>
    <x v="0"/>
    <s v="No"/>
    <x v="21"/>
    <x v="3"/>
    <x v="0"/>
    <n v="0.56745000000000001"/>
    <x v="2"/>
    <n v="0.2"/>
    <n v="4.3650000000000002"/>
    <x v="189"/>
    <n v="0.56745000000000001"/>
    <n v="13"/>
  </r>
  <r>
    <x v="807"/>
    <x v="493"/>
    <s v="Tuesday"/>
    <x v="11"/>
    <x v="1"/>
    <x v="760"/>
    <x v="775"/>
    <s v="oskermen3@hatena.ne.jp"/>
    <s v="+1 (405) 615-0298"/>
    <x v="101"/>
    <x v="0"/>
    <s v="Yes"/>
    <x v="18"/>
    <x v="1"/>
    <x v="0"/>
    <n v="0.45374999999999999"/>
    <x v="0"/>
    <n v="0.2"/>
    <n v="4.125"/>
    <x v="112"/>
    <n v="0.90749999999999997"/>
    <n v="11"/>
  </r>
  <r>
    <x v="808"/>
    <x v="614"/>
    <s v="Saturday"/>
    <x v="2"/>
    <x v="1"/>
    <x v="775"/>
    <x v="776"/>
    <s v="ddrewittnf@mapquest.com"/>
    <s v="+1 (571) 504-1175"/>
    <x v="117"/>
    <x v="0"/>
    <s v="Yes"/>
    <x v="18"/>
    <x v="1"/>
    <x v="0"/>
    <n v="0.45374999999999999"/>
    <x v="0"/>
    <n v="0.2"/>
    <n v="4.125"/>
    <x v="112"/>
    <n v="0.90749999999999997"/>
    <n v="11"/>
  </r>
  <r>
    <x v="809"/>
    <x v="151"/>
    <s v="Thursday"/>
    <x v="7"/>
    <x v="1"/>
    <x v="776"/>
    <x v="777"/>
    <s v="agladhillng@stanford.edu"/>
    <s v="+1 (410) 991-5601"/>
    <x v="192"/>
    <x v="0"/>
    <s v="Yes"/>
    <x v="20"/>
    <x v="2"/>
    <x v="2"/>
    <n v="0.5373"/>
    <x v="5"/>
    <n v="0.5"/>
    <n v="5.97"/>
    <x v="27"/>
    <n v="3.2237999999999998"/>
    <n v="9"/>
  </r>
  <r>
    <x v="810"/>
    <x v="489"/>
    <s v="Friday"/>
    <x v="10"/>
    <x v="3"/>
    <x v="777"/>
    <x v="778"/>
    <s v="mlorineznh@whitehouse.gov"/>
    <n v="0"/>
    <x v="98"/>
    <x v="0"/>
    <s v="No"/>
    <x v="47"/>
    <x v="1"/>
    <x v="2"/>
    <n v="3.07395"/>
    <x v="5"/>
    <n v="2.5"/>
    <n v="27.945"/>
    <x v="164"/>
    <n v="18.4437"/>
    <n v="10.999999999999998"/>
  </r>
  <r>
    <x v="811"/>
    <x v="615"/>
    <s v="Tuesday"/>
    <x v="2"/>
    <x v="2"/>
    <x v="778"/>
    <x v="779"/>
    <n v="0"/>
    <s v="+1 (404) 514-8311"/>
    <x v="227"/>
    <x v="0"/>
    <s v="Yes"/>
    <x v="37"/>
    <x v="2"/>
    <x v="0"/>
    <n v="2.3287499999999994"/>
    <x v="0"/>
    <n v="2.5"/>
    <n v="25.874999999999996"/>
    <x v="95"/>
    <n v="4.6574999999999989"/>
    <n v="9"/>
  </r>
  <r>
    <x v="812"/>
    <x v="616"/>
    <s v="Tuesday"/>
    <x v="0"/>
    <x v="1"/>
    <x v="779"/>
    <x v="780"/>
    <s v="mvannj@wikipedia.org"/>
    <n v="0"/>
    <x v="351"/>
    <x v="0"/>
    <s v="Yes"/>
    <x v="16"/>
    <x v="2"/>
    <x v="2"/>
    <n v="0.26865"/>
    <x v="3"/>
    <n v="0.2"/>
    <n v="2.9849999999999999"/>
    <x v="169"/>
    <n v="0.80594999999999994"/>
    <n v="9"/>
  </r>
  <r>
    <x v="813"/>
    <x v="578"/>
    <s v="Thursday"/>
    <x v="4"/>
    <x v="0"/>
    <x v="780"/>
    <x v="781"/>
    <n v="0"/>
    <s v="+1 (432) 765-8747"/>
    <x v="67"/>
    <x v="0"/>
    <s v="No"/>
    <x v="38"/>
    <x v="1"/>
    <x v="1"/>
    <n v="0.98009999999999997"/>
    <x v="5"/>
    <n v="0.5"/>
    <n v="8.91"/>
    <x v="119"/>
    <n v="5.8805999999999994"/>
    <n v="10.999999999999998"/>
  </r>
  <r>
    <x v="814"/>
    <x v="617"/>
    <s v="Tuesday"/>
    <x v="6"/>
    <x v="2"/>
    <x v="781"/>
    <x v="781"/>
    <s v="jethelstonnl@creativecommons.org"/>
    <s v="+1 (954) 385-3551"/>
    <x v="352"/>
    <x v="0"/>
    <s v="Yes"/>
    <x v="29"/>
    <x v="2"/>
    <x v="1"/>
    <n v="0.34964999999999996"/>
    <x v="5"/>
    <n v="0.2"/>
    <n v="3.8849999999999998"/>
    <x v="102"/>
    <n v="2.0978999999999997"/>
    <n v="9"/>
  </r>
  <r>
    <x v="814"/>
    <x v="617"/>
    <s v="Tuesday"/>
    <x v="6"/>
    <x v="2"/>
    <x v="781"/>
    <x v="782"/>
    <s v="jethelstonnl@creativecommons.org"/>
    <s v="+1 (954) 385-3551"/>
    <x v="352"/>
    <x v="0"/>
    <s v="Yes"/>
    <x v="14"/>
    <x v="2"/>
    <x v="0"/>
    <n v="0.30374999999999996"/>
    <x v="0"/>
    <n v="0.2"/>
    <n v="3.375"/>
    <x v="52"/>
    <n v="0.60749999999999993"/>
    <n v="8.9999999999999982"/>
  </r>
  <r>
    <x v="815"/>
    <x v="155"/>
    <s v="Tuesday"/>
    <x v="6"/>
    <x v="3"/>
    <x v="782"/>
    <x v="783"/>
    <s v="peberznn@woothemes.com"/>
    <s v="+1 (530) 938-1204"/>
    <x v="231"/>
    <x v="0"/>
    <s v="Yes"/>
    <x v="31"/>
    <x v="3"/>
    <x v="2"/>
    <n v="1.0101"/>
    <x v="2"/>
    <n v="0.5"/>
    <n v="7.77"/>
    <x v="41"/>
    <n v="1.0101"/>
    <n v="13"/>
  </r>
  <r>
    <x v="816"/>
    <x v="461"/>
    <s v="Saturday"/>
    <x v="11"/>
    <x v="1"/>
    <x v="783"/>
    <x v="784"/>
    <s v="bgaishno@altervista.org"/>
    <n v="0"/>
    <x v="79"/>
    <x v="0"/>
    <s v="Yes"/>
    <x v="27"/>
    <x v="3"/>
    <x v="2"/>
    <n v="3.8720499999999998"/>
    <x v="4"/>
    <n v="2.5"/>
    <n v="29.784999999999997"/>
    <x v="129"/>
    <n v="15.488199999999999"/>
    <n v="13"/>
  </r>
  <r>
    <x v="817"/>
    <x v="87"/>
    <s v="Thursday"/>
    <x v="6"/>
    <x v="1"/>
    <x v="784"/>
    <x v="785"/>
    <s v="ldantonnp@miitbeian.gov.cn"/>
    <n v="0"/>
    <x v="87"/>
    <x v="0"/>
    <s v="No"/>
    <x v="9"/>
    <x v="2"/>
    <x v="2"/>
    <n v="0.89549999999999985"/>
    <x v="0"/>
    <n v="1"/>
    <n v="9.9499999999999993"/>
    <x v="0"/>
    <n v="1.7909999999999997"/>
    <n v="9"/>
  </r>
  <r>
    <x v="818"/>
    <x v="618"/>
    <s v="Tuesday"/>
    <x v="11"/>
    <x v="1"/>
    <x v="785"/>
    <x v="786"/>
    <s v="smorrallnq@answers.com"/>
    <s v="+1 (304) 897-5422"/>
    <x v="27"/>
    <x v="0"/>
    <s v="Yes"/>
    <x v="35"/>
    <x v="0"/>
    <x v="1"/>
    <n v="0.43019999999999992"/>
    <x v="1"/>
    <n v="0.5"/>
    <n v="7.169999999999999"/>
    <x v="66"/>
    <n v="2.1509999999999998"/>
    <n v="6.0000000000000009"/>
  </r>
  <r>
    <x v="819"/>
    <x v="619"/>
    <s v="Sunday"/>
    <x v="1"/>
    <x v="0"/>
    <x v="786"/>
    <x v="760"/>
    <s v="dcrownshawnr@photobucket.com"/>
    <s v="+1 (610) 576-4733"/>
    <x v="311"/>
    <x v="0"/>
    <s v="No"/>
    <x v="27"/>
    <x v="3"/>
    <x v="2"/>
    <n v="3.8720499999999998"/>
    <x v="3"/>
    <n v="2.5"/>
    <n v="29.784999999999997"/>
    <x v="49"/>
    <n v="11.616149999999999"/>
    <n v="13"/>
  </r>
  <r>
    <x v="820"/>
    <x v="440"/>
    <s v="Sunday"/>
    <x v="2"/>
    <x v="3"/>
    <x v="760"/>
    <x v="787"/>
    <s v="oskermen3@hatena.ne.jp"/>
    <s v="+1 (405) 615-0298"/>
    <x v="101"/>
    <x v="0"/>
    <s v="Yes"/>
    <x v="21"/>
    <x v="3"/>
    <x v="0"/>
    <n v="0.56745000000000001"/>
    <x v="0"/>
    <n v="0.2"/>
    <n v="4.3650000000000002"/>
    <x v="31"/>
    <n v="1.1349"/>
    <n v="13"/>
  </r>
  <r>
    <x v="821"/>
    <x v="489"/>
    <s v="Friday"/>
    <x v="10"/>
    <x v="3"/>
    <x v="787"/>
    <x v="788"/>
    <s v="jreddochnt@sun.com"/>
    <s v="+1 (863) 742-5292"/>
    <x v="344"/>
    <x v="0"/>
    <s v="No"/>
    <x v="4"/>
    <x v="0"/>
    <x v="1"/>
    <n v="1.6490999999999998"/>
    <x v="1"/>
    <n v="2.5"/>
    <n v="27.484999999999996"/>
    <x v="187"/>
    <n v="8.2454999999999998"/>
    <n v="6.0000000000000009"/>
  </r>
  <r>
    <x v="822"/>
    <x v="620"/>
    <s v="Saturday"/>
    <x v="1"/>
    <x v="0"/>
    <x v="788"/>
    <x v="789"/>
    <s v="stitleynu@whitehouse.gov"/>
    <s v="+1 (701) 350-6149"/>
    <x v="97"/>
    <x v="0"/>
    <s v="No"/>
    <x v="22"/>
    <x v="3"/>
    <x v="0"/>
    <n v="1.1349"/>
    <x v="4"/>
    <n v="0.5"/>
    <n v="8.73"/>
    <x v="190"/>
    <n v="4.5396000000000001"/>
    <n v="13"/>
  </r>
  <r>
    <x v="823"/>
    <x v="621"/>
    <s v="Sunday"/>
    <x v="0"/>
    <x v="0"/>
    <x v="789"/>
    <x v="790"/>
    <s v="rsimaonv@simplemachines.org"/>
    <s v="+1 (479) 898-5090"/>
    <x v="321"/>
    <x v="0"/>
    <s v="No"/>
    <x v="44"/>
    <x v="2"/>
    <x v="1"/>
    <n v="2.6806499999999995"/>
    <x v="5"/>
    <n v="2.5"/>
    <n v="29.784999999999997"/>
    <x v="39"/>
    <n v="16.083899999999996"/>
    <n v="8.9999999999999982"/>
  </r>
  <r>
    <x v="824"/>
    <x v="374"/>
    <s v="Thursday"/>
    <x v="5"/>
    <x v="2"/>
    <x v="790"/>
    <x v="791"/>
    <n v="0"/>
    <s v="+1 (863) 977-9033"/>
    <x v="269"/>
    <x v="0"/>
    <s v="No"/>
    <x v="37"/>
    <x v="2"/>
    <x v="0"/>
    <n v="2.3287499999999994"/>
    <x v="2"/>
    <n v="2.5"/>
    <n v="25.874999999999996"/>
    <x v="145"/>
    <n v="2.3287499999999994"/>
    <n v="9"/>
  </r>
  <r>
    <x v="825"/>
    <x v="345"/>
    <s v="Tuesday"/>
    <x v="9"/>
    <x v="0"/>
    <x v="791"/>
    <x v="792"/>
    <s v="nchisholmnx@example.com"/>
    <s v="+1 (865) 228-1100"/>
    <x v="203"/>
    <x v="0"/>
    <s v="Yes"/>
    <x v="5"/>
    <x v="3"/>
    <x v="2"/>
    <n v="1.6835"/>
    <x v="5"/>
    <n v="1"/>
    <n v="12.95"/>
    <x v="17"/>
    <n v="10.100999999999999"/>
    <n v="13"/>
  </r>
  <r>
    <x v="826"/>
    <x v="622"/>
    <s v="Tuesday"/>
    <x v="0"/>
    <x v="0"/>
    <x v="792"/>
    <x v="793"/>
    <s v="goatsny@live.com"/>
    <s v="+1 (213) 813-1072"/>
    <x v="6"/>
    <x v="0"/>
    <s v="Yes"/>
    <x v="0"/>
    <x v="0"/>
    <x v="0"/>
    <n v="0.59699999999999998"/>
    <x v="2"/>
    <n v="1"/>
    <n v="9.9499999999999993"/>
    <x v="138"/>
    <n v="0.59699999999999998"/>
    <n v="6.0000000000000009"/>
  </r>
  <r>
    <x v="827"/>
    <x v="623"/>
    <s v="Tuesday"/>
    <x v="5"/>
    <x v="2"/>
    <x v="793"/>
    <x v="794"/>
    <s v="mbirkinnz@java.com"/>
    <s v="+1 (954) 431-7206"/>
    <x v="218"/>
    <x v="0"/>
    <s v="Yes"/>
    <x v="24"/>
    <x v="3"/>
    <x v="0"/>
    <n v="1.8915000000000002"/>
    <x v="0"/>
    <n v="1"/>
    <n v="14.55"/>
    <x v="194"/>
    <n v="3.7830000000000004"/>
    <n v="13"/>
  </r>
  <r>
    <x v="828"/>
    <x v="354"/>
    <s v="Monday"/>
    <x v="7"/>
    <x v="0"/>
    <x v="794"/>
    <x v="795"/>
    <s v="rpysono0@constantcontact.com"/>
    <s v="+353 (836) 436-1472"/>
    <x v="328"/>
    <x v="1"/>
    <s v="No"/>
    <x v="40"/>
    <x v="0"/>
    <x v="1"/>
    <n v="0.21509999999999996"/>
    <x v="5"/>
    <n v="0.2"/>
    <n v="3.5849999999999995"/>
    <x v="137"/>
    <n v="1.2905999999999997"/>
    <n v="5.9999999999999991"/>
  </r>
  <r>
    <x v="829"/>
    <x v="624"/>
    <s v="Sunday"/>
    <x v="8"/>
    <x v="2"/>
    <x v="795"/>
    <x v="796"/>
    <s v="mmacconnechieo9@reuters.com"/>
    <s v="+1 (304) 620-6008"/>
    <x v="27"/>
    <x v="0"/>
    <s v="Yes"/>
    <x v="19"/>
    <x v="2"/>
    <x v="0"/>
    <n v="0.60749999999999993"/>
    <x v="2"/>
    <n v="0.5"/>
    <n v="6.75"/>
    <x v="52"/>
    <n v="0.60749999999999993"/>
    <n v="8.9999999999999982"/>
  </r>
  <r>
    <x v="830"/>
    <x v="561"/>
    <s v="Wednesday"/>
    <x v="4"/>
    <x v="1"/>
    <x v="796"/>
    <x v="797"/>
    <s v="rtreachero2@usa.gov"/>
    <s v="+353 (552) 867-2244"/>
    <x v="353"/>
    <x v="1"/>
    <s v="No"/>
    <x v="20"/>
    <x v="2"/>
    <x v="2"/>
    <n v="0.5373"/>
    <x v="3"/>
    <n v="0.5"/>
    <n v="5.97"/>
    <x v="8"/>
    <n v="1.6118999999999999"/>
    <n v="9"/>
  </r>
  <r>
    <x v="831"/>
    <x v="42"/>
    <s v="Friday"/>
    <x v="3"/>
    <x v="2"/>
    <x v="797"/>
    <x v="798"/>
    <s v="bfattorinio3@quantcast.com"/>
    <n v="0"/>
    <x v="354"/>
    <x v="1"/>
    <s v="Yes"/>
    <x v="44"/>
    <x v="2"/>
    <x v="1"/>
    <n v="2.6806499999999995"/>
    <x v="2"/>
    <n v="2.5"/>
    <n v="29.784999999999997"/>
    <x v="91"/>
    <n v="2.6806499999999995"/>
    <n v="9"/>
  </r>
  <r>
    <x v="832"/>
    <x v="267"/>
    <s v="Saturday"/>
    <x v="6"/>
    <x v="0"/>
    <x v="798"/>
    <x v="799"/>
    <s v="mpalleskeo4@nyu.edu"/>
    <s v="+1 (561) 371-1596"/>
    <x v="171"/>
    <x v="0"/>
    <s v="Yes"/>
    <x v="1"/>
    <x v="1"/>
    <x v="0"/>
    <n v="0.90749999999999997"/>
    <x v="1"/>
    <n v="0.5"/>
    <n v="8.25"/>
    <x v="1"/>
    <n v="4.5374999999999996"/>
    <n v="10.999999999999998"/>
  </r>
  <r>
    <x v="833"/>
    <x v="625"/>
    <s v="Tuesday"/>
    <x v="4"/>
    <x v="3"/>
    <x v="799"/>
    <x v="800"/>
    <n v="0"/>
    <s v="+1 (916) 300-4433"/>
    <x v="155"/>
    <x v="0"/>
    <s v="Yes"/>
    <x v="8"/>
    <x v="0"/>
    <x v="0"/>
    <n v="0.35819999999999996"/>
    <x v="3"/>
    <n v="0.5"/>
    <n v="5.97"/>
    <x v="8"/>
    <n v="1.0745999999999998"/>
    <n v="5.9999999999999982"/>
  </r>
  <r>
    <x v="834"/>
    <x v="616"/>
    <s v="Tuesday"/>
    <x v="0"/>
    <x v="1"/>
    <x v="800"/>
    <x v="801"/>
    <s v="fantcliffeo6@amazon.co.jp"/>
    <s v="+353 (581) 217-6697"/>
    <x v="22"/>
    <x v="1"/>
    <s v="Yes"/>
    <x v="6"/>
    <x v="1"/>
    <x v="2"/>
    <n v="0.80190000000000006"/>
    <x v="2"/>
    <n v="0.5"/>
    <n v="7.29"/>
    <x v="35"/>
    <n v="0.80190000000000006"/>
    <n v="11"/>
  </r>
  <r>
    <x v="835"/>
    <x v="626"/>
    <s v="Friday"/>
    <x v="3"/>
    <x v="0"/>
    <x v="801"/>
    <x v="802"/>
    <s v="pmatignono7@harvard.edu"/>
    <s v="+44 (792) 626-3977"/>
    <x v="355"/>
    <x v="2"/>
    <s v="Yes"/>
    <x v="33"/>
    <x v="1"/>
    <x v="1"/>
    <n v="1.6335"/>
    <x v="0"/>
    <n v="1"/>
    <n v="14.85"/>
    <x v="195"/>
    <n v="3.2669999999999999"/>
    <n v="11"/>
  </r>
  <r>
    <x v="836"/>
    <x v="52"/>
    <s v="Monday"/>
    <x v="10"/>
    <x v="0"/>
    <x v="802"/>
    <x v="795"/>
    <s v="cweondo8@theglobeandmail.com"/>
    <s v="+1 (828) 335-1268"/>
    <x v="228"/>
    <x v="0"/>
    <s v="No"/>
    <x v="17"/>
    <x v="2"/>
    <x v="0"/>
    <n v="1.0125"/>
    <x v="0"/>
    <n v="1"/>
    <n v="11.25"/>
    <x v="122"/>
    <n v="2.0249999999999999"/>
    <n v="9"/>
  </r>
  <r>
    <x v="837"/>
    <x v="622"/>
    <s v="Tuesday"/>
    <x v="0"/>
    <x v="0"/>
    <x v="795"/>
    <x v="803"/>
    <s v="mmacconnechieo9@reuters.com"/>
    <s v="+1 (304) 620-6008"/>
    <x v="27"/>
    <x v="0"/>
    <s v="Yes"/>
    <x v="36"/>
    <x v="0"/>
    <x v="0"/>
    <n v="0.17909999999999998"/>
    <x v="4"/>
    <n v="0.2"/>
    <n v="2.9849999999999999"/>
    <x v="22"/>
    <n v="0.71639999999999993"/>
    <n v="6"/>
  </r>
  <r>
    <x v="838"/>
    <x v="627"/>
    <s v="Saturday"/>
    <x v="3"/>
    <x v="0"/>
    <x v="803"/>
    <x v="804"/>
    <s v="jskentelberyoa@paypal.com"/>
    <s v="+1 (713) 976-5419"/>
    <x v="13"/>
    <x v="0"/>
    <s v="No"/>
    <x v="2"/>
    <x v="2"/>
    <x v="1"/>
    <n v="1.1655"/>
    <x v="0"/>
    <n v="1"/>
    <n v="12.95"/>
    <x v="109"/>
    <n v="2.331"/>
    <n v="9"/>
  </r>
  <r>
    <x v="839"/>
    <x v="628"/>
    <s v="Friday"/>
    <x v="10"/>
    <x v="1"/>
    <x v="804"/>
    <x v="804"/>
    <s v="ocomberob@goo.gl"/>
    <s v="+353 (947) 836-2302"/>
    <x v="82"/>
    <x v="1"/>
    <s v="No"/>
    <x v="22"/>
    <x v="3"/>
    <x v="0"/>
    <n v="1.1349"/>
    <x v="1"/>
    <n v="0.5"/>
    <n v="8.73"/>
    <x v="34"/>
    <n v="5.6745000000000001"/>
    <n v="12.999999999999998"/>
  </r>
  <r>
    <x v="839"/>
    <x v="628"/>
    <s v="Friday"/>
    <x v="10"/>
    <x v="1"/>
    <x v="804"/>
    <x v="805"/>
    <s v="ocomberob@goo.gl"/>
    <s v="+353 (947) 836-2302"/>
    <x v="82"/>
    <x v="1"/>
    <s v="No"/>
    <x v="42"/>
    <x v="2"/>
    <x v="1"/>
    <n v="0.69929999999999992"/>
    <x v="5"/>
    <n v="0.5"/>
    <n v="7.77"/>
    <x v="162"/>
    <n v="4.1957999999999993"/>
    <n v="9"/>
  </r>
  <r>
    <x v="840"/>
    <x v="629"/>
    <s v="Tuesday"/>
    <x v="3"/>
    <x v="1"/>
    <x v="805"/>
    <x v="806"/>
    <s v="ztramelod@netlog.com"/>
    <s v="+1 (862) 925-5943"/>
    <x v="55"/>
    <x v="0"/>
    <s v="No"/>
    <x v="23"/>
    <x v="3"/>
    <x v="1"/>
    <n v="1.2363"/>
    <x v="3"/>
    <n v="0.5"/>
    <n v="9.51"/>
    <x v="32"/>
    <n v="3.7088999999999999"/>
    <n v="12.999999999999998"/>
  </r>
  <r>
    <x v="841"/>
    <x v="630"/>
    <s v="Friday"/>
    <x v="5"/>
    <x v="1"/>
    <x v="806"/>
    <x v="807"/>
    <n v="0"/>
    <s v="+1 (206) 705-3979"/>
    <x v="208"/>
    <x v="0"/>
    <s v="Yes"/>
    <x v="4"/>
    <x v="0"/>
    <x v="1"/>
    <n v="1.6490999999999998"/>
    <x v="2"/>
    <n v="2.5"/>
    <n v="27.484999999999996"/>
    <x v="142"/>
    <n v="1.6490999999999998"/>
    <n v="6.0000000000000009"/>
  </r>
  <r>
    <x v="842"/>
    <x v="631"/>
    <s v="Friday"/>
    <x v="1"/>
    <x v="0"/>
    <x v="807"/>
    <x v="808"/>
    <n v="0"/>
    <s v="+1 (303) 606-9146"/>
    <x v="19"/>
    <x v="0"/>
    <s v="No"/>
    <x v="15"/>
    <x v="1"/>
    <x v="2"/>
    <n v="0.40095000000000003"/>
    <x v="3"/>
    <n v="0.2"/>
    <n v="3.645"/>
    <x v="47"/>
    <n v="1.2028500000000002"/>
    <n v="11.000000000000002"/>
  </r>
  <r>
    <x v="843"/>
    <x v="229"/>
    <s v="Thursday"/>
    <x v="11"/>
    <x v="0"/>
    <x v="808"/>
    <x v="809"/>
    <s v="chatfullog@ebay.com"/>
    <s v="+1 (815) 382-1966"/>
    <x v="356"/>
    <x v="0"/>
    <s v="No"/>
    <x v="40"/>
    <x v="0"/>
    <x v="1"/>
    <n v="0.21509999999999996"/>
    <x v="0"/>
    <n v="0.2"/>
    <n v="3.5849999999999995"/>
    <x v="53"/>
    <n v="0.43019999999999992"/>
    <n v="6"/>
  </r>
  <r>
    <x v="844"/>
    <x v="632"/>
    <s v="Wednesday"/>
    <x v="6"/>
    <x v="1"/>
    <x v="809"/>
    <x v="810"/>
    <n v="0"/>
    <s v="+1 (406) 972-9050"/>
    <x v="332"/>
    <x v="0"/>
    <s v="Yes"/>
    <x v="29"/>
    <x v="2"/>
    <x v="1"/>
    <n v="0.34964999999999996"/>
    <x v="5"/>
    <n v="0.2"/>
    <n v="3.8849999999999998"/>
    <x v="102"/>
    <n v="2.0978999999999997"/>
    <n v="9"/>
  </r>
  <r>
    <x v="845"/>
    <x v="633"/>
    <s v="Monday"/>
    <x v="2"/>
    <x v="0"/>
    <x v="810"/>
    <x v="811"/>
    <s v="kmarrisonoq@dropbox.com"/>
    <s v="+1 (303) 808-6803"/>
    <x v="29"/>
    <x v="0"/>
    <s v="Yes"/>
    <x v="30"/>
    <x v="2"/>
    <x v="2"/>
    <n v="2.0596499999999995"/>
    <x v="1"/>
    <n v="2.5"/>
    <n v="22.884999999999998"/>
    <x v="15"/>
    <n v="10.298249999999998"/>
    <n v="9"/>
  </r>
  <r>
    <x v="846"/>
    <x v="95"/>
    <s v="Tuesday"/>
    <x v="5"/>
    <x v="3"/>
    <x v="811"/>
    <x v="812"/>
    <s v="lagnolooj@pinterest.com"/>
    <s v="+1 (918) 228-6949"/>
    <x v="134"/>
    <x v="0"/>
    <s v="Yes"/>
    <x v="37"/>
    <x v="2"/>
    <x v="0"/>
    <n v="2.3287499999999994"/>
    <x v="3"/>
    <n v="2.5"/>
    <n v="25.874999999999996"/>
    <x v="57"/>
    <n v="6.9862499999999983"/>
    <n v="9"/>
  </r>
  <r>
    <x v="847"/>
    <x v="521"/>
    <s v="Monday"/>
    <x v="8"/>
    <x v="3"/>
    <x v="812"/>
    <x v="813"/>
    <s v="dkiddyok@fda.gov"/>
    <s v="+1 (209) 103-3933"/>
    <x v="74"/>
    <x v="0"/>
    <s v="Yes"/>
    <x v="34"/>
    <x v="0"/>
    <x v="2"/>
    <n v="0.32219999999999993"/>
    <x v="2"/>
    <n v="0.5"/>
    <n v="5.3699999999999992"/>
    <x v="147"/>
    <n v="0.32219999999999993"/>
    <n v="6"/>
  </r>
  <r>
    <x v="848"/>
    <x v="76"/>
    <s v="Thursday"/>
    <x v="2"/>
    <x v="0"/>
    <x v="813"/>
    <x v="814"/>
    <s v="hpetroulisol@state.tx.us"/>
    <s v="+353 (783) 893-0842"/>
    <x v="357"/>
    <x v="1"/>
    <s v="No"/>
    <x v="11"/>
    <x v="0"/>
    <x v="2"/>
    <n v="1.2350999999999999"/>
    <x v="5"/>
    <n v="2.5"/>
    <n v="20.584999999999997"/>
    <x v="99"/>
    <n v="7.4105999999999987"/>
    <n v="5.9999999999999991"/>
  </r>
  <r>
    <x v="849"/>
    <x v="634"/>
    <s v="Thursday"/>
    <x v="11"/>
    <x v="1"/>
    <x v="814"/>
    <x v="815"/>
    <s v="mschollom@taobao.com"/>
    <s v="+1 (415) 613-5939"/>
    <x v="204"/>
    <x v="0"/>
    <s v="No"/>
    <x v="22"/>
    <x v="3"/>
    <x v="0"/>
    <n v="1.1349"/>
    <x v="0"/>
    <n v="0.5"/>
    <n v="8.73"/>
    <x v="92"/>
    <n v="2.2698"/>
    <n v="13"/>
  </r>
  <r>
    <x v="850"/>
    <x v="635"/>
    <s v="Saturday"/>
    <x v="1"/>
    <x v="3"/>
    <x v="815"/>
    <x v="816"/>
    <s v="kfersonon@g.co"/>
    <s v="+1 (251) 291-1195"/>
    <x v="351"/>
    <x v="0"/>
    <s v="No"/>
    <x v="46"/>
    <x v="1"/>
    <x v="1"/>
    <n v="0.49004999999999999"/>
    <x v="3"/>
    <n v="0.2"/>
    <n v="4.4550000000000001"/>
    <x v="77"/>
    <n v="1.4701499999999998"/>
    <n v="10.999999999999998"/>
  </r>
  <r>
    <x v="851"/>
    <x v="636"/>
    <s v="Tuesday"/>
    <x v="8"/>
    <x v="1"/>
    <x v="816"/>
    <x v="817"/>
    <s v="bkellowayoo@omniture.com"/>
    <s v="+1 (415) 757-3377"/>
    <x v="204"/>
    <x v="0"/>
    <s v="Yes"/>
    <x v="29"/>
    <x v="2"/>
    <x v="1"/>
    <n v="0.34964999999999996"/>
    <x v="0"/>
    <n v="0.2"/>
    <n v="3.8849999999999998"/>
    <x v="41"/>
    <n v="0.69929999999999992"/>
    <n v="9"/>
  </r>
  <r>
    <x v="852"/>
    <x v="637"/>
    <s v="Monday"/>
    <x v="1"/>
    <x v="0"/>
    <x v="817"/>
    <x v="810"/>
    <s v="soliffeop@yellowbook.com"/>
    <s v="+1 (212) 198-9134"/>
    <x v="168"/>
    <x v="0"/>
    <s v="Yes"/>
    <x v="25"/>
    <x v="0"/>
    <x v="2"/>
    <n v="0.16109999999999997"/>
    <x v="2"/>
    <n v="0.2"/>
    <n v="2.6849999999999996"/>
    <x v="97"/>
    <n v="0.16109999999999997"/>
    <n v="6"/>
  </r>
  <r>
    <x v="853"/>
    <x v="182"/>
    <s v="Saturday"/>
    <x v="6"/>
    <x v="2"/>
    <x v="810"/>
    <x v="818"/>
    <s v="kmarrisonoq@dropbox.com"/>
    <s v="+1 (303) 808-6803"/>
    <x v="29"/>
    <x v="0"/>
    <s v="Yes"/>
    <x v="11"/>
    <x v="0"/>
    <x v="2"/>
    <n v="1.2350999999999999"/>
    <x v="2"/>
    <n v="2.5"/>
    <n v="20.584999999999997"/>
    <x v="123"/>
    <n v="1.2350999999999999"/>
    <n v="6.0000000000000009"/>
  </r>
  <r>
    <x v="854"/>
    <x v="479"/>
    <s v="Thursday"/>
    <x v="0"/>
    <x v="1"/>
    <x v="818"/>
    <x v="819"/>
    <s v="cdolohuntyor@dailymail.co.uk"/>
    <s v="+1 (619) 353-0412"/>
    <x v="236"/>
    <x v="0"/>
    <s v="Yes"/>
    <x v="30"/>
    <x v="2"/>
    <x v="2"/>
    <n v="2.0596499999999995"/>
    <x v="1"/>
    <n v="2.5"/>
    <n v="22.884999999999998"/>
    <x v="15"/>
    <n v="10.298249999999998"/>
    <n v="9"/>
  </r>
  <r>
    <x v="855"/>
    <x v="638"/>
    <s v="Wednesday"/>
    <x v="1"/>
    <x v="0"/>
    <x v="819"/>
    <x v="820"/>
    <s v="pvasilenkoos@addtoany.com"/>
    <s v="+44 (116) 714-6469"/>
    <x v="229"/>
    <x v="2"/>
    <s v="No"/>
    <x v="18"/>
    <x v="1"/>
    <x v="0"/>
    <n v="0.45374999999999999"/>
    <x v="1"/>
    <n v="0.2"/>
    <n v="4.125"/>
    <x v="132"/>
    <n v="2.2687499999999998"/>
    <n v="10.999999999999998"/>
  </r>
  <r>
    <x v="856"/>
    <x v="639"/>
    <s v="Thursday"/>
    <x v="6"/>
    <x v="2"/>
    <x v="820"/>
    <x v="821"/>
    <s v="rschankelborgot@ameblo.jp"/>
    <n v="0"/>
    <x v="291"/>
    <x v="0"/>
    <s v="Yes"/>
    <x v="23"/>
    <x v="3"/>
    <x v="1"/>
    <n v="1.2363"/>
    <x v="5"/>
    <n v="0.5"/>
    <n v="9.51"/>
    <x v="30"/>
    <n v="7.4177999999999997"/>
    <n v="12.999999999999998"/>
  </r>
  <r>
    <x v="857"/>
    <x v="640"/>
    <s v="Saturday"/>
    <x v="2"/>
    <x v="3"/>
    <x v="821"/>
    <x v="822"/>
    <n v="0"/>
    <s v="+353 (724) 224-5556"/>
    <x v="358"/>
    <x v="1"/>
    <s v="Yes"/>
    <x v="11"/>
    <x v="0"/>
    <x v="2"/>
    <n v="1.2350999999999999"/>
    <x v="4"/>
    <n v="2.5"/>
    <n v="20.584999999999997"/>
    <x v="18"/>
    <n v="4.9403999999999995"/>
    <n v="6.0000000000000009"/>
  </r>
  <r>
    <x v="858"/>
    <x v="612"/>
    <s v="Sunday"/>
    <x v="11"/>
    <x v="1"/>
    <x v="822"/>
    <x v="823"/>
    <n v="0"/>
    <s v="+1 (718) 461-3002"/>
    <x v="15"/>
    <x v="0"/>
    <s v="No"/>
    <x v="28"/>
    <x v="1"/>
    <x v="0"/>
    <n v="3.4787499999999998"/>
    <x v="1"/>
    <n v="2.5"/>
    <n v="31.624999999999996"/>
    <x v="196"/>
    <n v="17.393749999999997"/>
    <n v="11"/>
  </r>
  <r>
    <x v="859"/>
    <x v="641"/>
    <s v="Monday"/>
    <x v="5"/>
    <x v="1"/>
    <x v="823"/>
    <x v="824"/>
    <s v="bcargenow@geocities.jp"/>
    <s v="+1 (253) 509-6510"/>
    <x v="208"/>
    <x v="0"/>
    <s v="Yes"/>
    <x v="34"/>
    <x v="0"/>
    <x v="2"/>
    <n v="0.32219999999999993"/>
    <x v="5"/>
    <n v="0.5"/>
    <n v="5.3699999999999992"/>
    <x v="111"/>
    <n v="1.9331999999999996"/>
    <n v="5.9999999999999991"/>
  </r>
  <r>
    <x v="860"/>
    <x v="36"/>
    <s v="Saturday"/>
    <x v="8"/>
    <x v="3"/>
    <x v="824"/>
    <x v="825"/>
    <s v="rsticklerox@printfriendly.com"/>
    <s v="+44 (830) 367-6129"/>
    <x v="38"/>
    <x v="2"/>
    <s v="No"/>
    <x v="45"/>
    <x v="1"/>
    <x v="2"/>
    <n v="1.3365"/>
    <x v="0"/>
    <n v="1"/>
    <n v="12.15"/>
    <x v="76"/>
    <n v="2.673"/>
    <n v="11"/>
  </r>
  <r>
    <x v="861"/>
    <x v="642"/>
    <s v="Tuesday"/>
    <x v="0"/>
    <x v="3"/>
    <x v="825"/>
    <x v="822"/>
    <n v="0"/>
    <s v="+1 (269) 398-0766"/>
    <x v="359"/>
    <x v="0"/>
    <s v="No"/>
    <x v="35"/>
    <x v="0"/>
    <x v="1"/>
    <n v="0.43019999999999992"/>
    <x v="1"/>
    <n v="0.5"/>
    <n v="7.169999999999999"/>
    <x v="66"/>
    <n v="2.1509999999999998"/>
    <n v="6.0000000000000009"/>
  </r>
  <r>
    <x v="862"/>
    <x v="219"/>
    <s v="Tuesday"/>
    <x v="11"/>
    <x v="1"/>
    <x v="822"/>
    <x v="826"/>
    <n v="0"/>
    <s v="+1 (718) 461-3002"/>
    <x v="15"/>
    <x v="0"/>
    <s v="No"/>
    <x v="24"/>
    <x v="3"/>
    <x v="0"/>
    <n v="1.8915000000000002"/>
    <x v="1"/>
    <n v="1"/>
    <n v="14.55"/>
    <x v="45"/>
    <n v="9.4575000000000014"/>
    <n v="13.000000000000004"/>
  </r>
  <r>
    <x v="863"/>
    <x v="643"/>
    <s v="Sunday"/>
    <x v="4"/>
    <x v="2"/>
    <x v="826"/>
    <x v="827"/>
    <n v="0"/>
    <s v="+353 (239) 716-2717"/>
    <x v="360"/>
    <x v="1"/>
    <s v="No"/>
    <x v="32"/>
    <x v="3"/>
    <x v="1"/>
    <n v="2.0605000000000002"/>
    <x v="3"/>
    <n v="1"/>
    <n v="15.85"/>
    <x v="46"/>
    <n v="6.1815000000000007"/>
    <n v="13.000000000000004"/>
  </r>
  <r>
    <x v="864"/>
    <x v="644"/>
    <s v="Wednesday"/>
    <x v="4"/>
    <x v="1"/>
    <x v="827"/>
    <x v="828"/>
    <s v="djevonp1@ibm.com"/>
    <s v="+1 (832) 733-7027"/>
    <x v="13"/>
    <x v="0"/>
    <s v="Yes"/>
    <x v="40"/>
    <x v="0"/>
    <x v="1"/>
    <n v="0.21509999999999996"/>
    <x v="2"/>
    <n v="0.2"/>
    <n v="3.5849999999999995"/>
    <x v="60"/>
    <n v="0.21509999999999996"/>
    <n v="6"/>
  </r>
  <r>
    <x v="865"/>
    <x v="136"/>
    <s v="Monday"/>
    <x v="1"/>
    <x v="0"/>
    <x v="828"/>
    <x v="829"/>
    <s v="hrannerp2@omniture.com"/>
    <s v="+1 (513) 635-0251"/>
    <x v="159"/>
    <x v="0"/>
    <s v="No"/>
    <x v="28"/>
    <x v="1"/>
    <x v="0"/>
    <n v="3.4787499999999998"/>
    <x v="1"/>
    <n v="2.5"/>
    <n v="31.624999999999996"/>
    <x v="196"/>
    <n v="17.393749999999997"/>
    <n v="11"/>
  </r>
  <r>
    <x v="866"/>
    <x v="645"/>
    <s v="Sunday"/>
    <x v="6"/>
    <x v="3"/>
    <x v="829"/>
    <x v="830"/>
    <s v="bimriep3@addtoany.com"/>
    <s v="+1 (559) 761-5288"/>
    <x v="74"/>
    <x v="0"/>
    <s v="No"/>
    <x v="22"/>
    <x v="3"/>
    <x v="0"/>
    <n v="1.1349"/>
    <x v="0"/>
    <n v="0.5"/>
    <n v="8.73"/>
    <x v="92"/>
    <n v="2.2698"/>
    <n v="13"/>
  </r>
  <r>
    <x v="867"/>
    <x v="646"/>
    <s v="Friday"/>
    <x v="0"/>
    <x v="1"/>
    <x v="830"/>
    <x v="831"/>
    <s v="dsopperp4@eventbrite.com"/>
    <s v="+1 (612) 870-1604"/>
    <x v="50"/>
    <x v="0"/>
    <s v="No"/>
    <x v="44"/>
    <x v="2"/>
    <x v="1"/>
    <n v="2.6806499999999995"/>
    <x v="1"/>
    <n v="2.5"/>
    <n v="29.784999999999997"/>
    <x v="74"/>
    <n v="13.403249999999998"/>
    <n v="9"/>
  </r>
  <r>
    <x v="868"/>
    <x v="647"/>
    <s v="Friday"/>
    <x v="8"/>
    <x v="0"/>
    <x v="831"/>
    <x v="832"/>
    <n v="0"/>
    <s v="+1 (915) 776-4578"/>
    <x v="87"/>
    <x v="0"/>
    <s v="Yes"/>
    <x v="19"/>
    <x v="2"/>
    <x v="0"/>
    <n v="0.60749999999999993"/>
    <x v="5"/>
    <n v="0.5"/>
    <n v="6.75"/>
    <x v="61"/>
    <n v="3.6449999999999996"/>
    <n v="8.9999999999999982"/>
  </r>
  <r>
    <x v="869"/>
    <x v="591"/>
    <s v="Thursday"/>
    <x v="4"/>
    <x v="2"/>
    <x v="832"/>
    <x v="833"/>
    <s v="lledgleyp6@de.vu"/>
    <s v="+1 (515) 261-2295"/>
    <x v="111"/>
    <x v="0"/>
    <s v="Yes"/>
    <x v="19"/>
    <x v="2"/>
    <x v="0"/>
    <n v="0.60749999999999993"/>
    <x v="4"/>
    <n v="0.5"/>
    <n v="6.75"/>
    <x v="25"/>
    <n v="2.4299999999999997"/>
    <n v="8.9999999999999982"/>
  </r>
  <r>
    <x v="870"/>
    <x v="648"/>
    <s v="Friday"/>
    <x v="0"/>
    <x v="1"/>
    <x v="833"/>
    <x v="834"/>
    <s v="tmenaryp7@phoca.cz"/>
    <s v="+1 (971) 467-6353"/>
    <x v="12"/>
    <x v="0"/>
    <s v="No"/>
    <x v="5"/>
    <x v="3"/>
    <x v="2"/>
    <n v="1.6835"/>
    <x v="3"/>
    <n v="1"/>
    <n v="12.95"/>
    <x v="5"/>
    <n v="5.0504999999999995"/>
    <n v="13"/>
  </r>
  <r>
    <x v="871"/>
    <x v="191"/>
    <s v="Monday"/>
    <x v="4"/>
    <x v="3"/>
    <x v="834"/>
    <x v="835"/>
    <s v="gciccottip8@so-net.ne.jp"/>
    <s v="+1 (832) 392-5010"/>
    <x v="13"/>
    <x v="0"/>
    <s v="No"/>
    <x v="41"/>
    <x v="0"/>
    <x v="1"/>
    <n v="0.71699999999999997"/>
    <x v="1"/>
    <n v="1"/>
    <n v="11.95"/>
    <x v="143"/>
    <n v="3.585"/>
    <n v="6"/>
  </r>
  <r>
    <x v="872"/>
    <x v="649"/>
    <s v="Tuesday"/>
    <x v="6"/>
    <x v="2"/>
    <x v="835"/>
    <x v="836"/>
    <n v="0"/>
    <s v="+1 (919) 456-9860"/>
    <x v="285"/>
    <x v="0"/>
    <s v="No"/>
    <x v="40"/>
    <x v="0"/>
    <x v="1"/>
    <n v="0.21509999999999996"/>
    <x v="3"/>
    <n v="0.2"/>
    <n v="3.5849999999999995"/>
    <x v="127"/>
    <n v="0.64529999999999987"/>
    <n v="5.9999999999999991"/>
  </r>
  <r>
    <x v="873"/>
    <x v="553"/>
    <s v="Wednesday"/>
    <x v="0"/>
    <x v="1"/>
    <x v="836"/>
    <x v="837"/>
    <s v="wjallinpa@pcworld.com"/>
    <s v="+1 (617) 201-1702"/>
    <x v="35"/>
    <x v="0"/>
    <s v="No"/>
    <x v="30"/>
    <x v="2"/>
    <x v="2"/>
    <n v="2.0596499999999995"/>
    <x v="4"/>
    <n v="2.5"/>
    <n v="22.884999999999998"/>
    <x v="21"/>
    <n v="8.2385999999999981"/>
    <n v="8.9999999999999982"/>
  </r>
  <r>
    <x v="874"/>
    <x v="584"/>
    <s v="Thursday"/>
    <x v="11"/>
    <x v="1"/>
    <x v="837"/>
    <x v="838"/>
    <s v="mbogeypb@thetimes.co.uk"/>
    <s v="+1 (202) 479-4238"/>
    <x v="41"/>
    <x v="0"/>
    <s v="Yes"/>
    <x v="17"/>
    <x v="2"/>
    <x v="0"/>
    <n v="1.0125"/>
    <x v="4"/>
    <n v="1"/>
    <n v="11.25"/>
    <x v="157"/>
    <n v="4.05"/>
    <n v="9"/>
  </r>
  <r>
    <x v="875"/>
    <x v="650"/>
    <s v="Wednesday"/>
    <x v="0"/>
    <x v="0"/>
    <x v="838"/>
    <x v="839"/>
    <n v="0"/>
    <s v="+1 (518) 905-1184"/>
    <x v="140"/>
    <x v="0"/>
    <s v="Yes"/>
    <x v="13"/>
    <x v="0"/>
    <x v="0"/>
    <n v="1.3730999999999998"/>
    <x v="5"/>
    <n v="2.5"/>
    <n v="22.884999999999998"/>
    <x v="170"/>
    <n v="8.2385999999999981"/>
    <n v="5.9999999999999982"/>
  </r>
  <r>
    <x v="876"/>
    <x v="121"/>
    <s v="Thursday"/>
    <x v="2"/>
    <x v="1"/>
    <x v="839"/>
    <x v="840"/>
    <s v="mcobbledickpd@ucsd.edu"/>
    <s v="+1 (520) 567-8210"/>
    <x v="31"/>
    <x v="0"/>
    <s v="No"/>
    <x v="19"/>
    <x v="2"/>
    <x v="0"/>
    <n v="0.60749999999999993"/>
    <x v="2"/>
    <n v="0.5"/>
    <n v="6.75"/>
    <x v="52"/>
    <n v="0.60749999999999993"/>
    <n v="8.9999999999999982"/>
  </r>
  <r>
    <x v="877"/>
    <x v="472"/>
    <s v="Sunday"/>
    <x v="6"/>
    <x v="2"/>
    <x v="840"/>
    <x v="841"/>
    <s v="alewrype@whitehouse.gov"/>
    <s v="+1 (334) 368-9435"/>
    <x v="124"/>
    <x v="0"/>
    <s v="No"/>
    <x v="17"/>
    <x v="2"/>
    <x v="0"/>
    <n v="1.0125"/>
    <x v="4"/>
    <n v="1"/>
    <n v="11.25"/>
    <x v="157"/>
    <n v="4.05"/>
    <n v="9"/>
  </r>
  <r>
    <x v="878"/>
    <x v="594"/>
    <s v="Monday"/>
    <x v="5"/>
    <x v="3"/>
    <x v="841"/>
    <x v="842"/>
    <s v="ihesselpf@ox.ac.uk"/>
    <s v="+1 (907) 873-3538"/>
    <x v="361"/>
    <x v="0"/>
    <s v="Yes"/>
    <x v="47"/>
    <x v="1"/>
    <x v="2"/>
    <n v="3.07395"/>
    <x v="3"/>
    <n v="2.5"/>
    <n v="27.945"/>
    <x v="171"/>
    <n v="9.2218499999999999"/>
    <n v="10.999999999999998"/>
  </r>
  <r>
    <x v="879"/>
    <x v="89"/>
    <s v="Monday"/>
    <x v="8"/>
    <x v="1"/>
    <x v="842"/>
    <x v="843"/>
    <n v="0"/>
    <n v="0"/>
    <x v="244"/>
    <x v="1"/>
    <s v="Yes"/>
    <x v="15"/>
    <x v="1"/>
    <x v="2"/>
    <n v="0.40095000000000003"/>
    <x v="2"/>
    <n v="0.2"/>
    <n v="3.645"/>
    <x v="186"/>
    <n v="0.40095000000000003"/>
    <n v="11"/>
  </r>
  <r>
    <x v="880"/>
    <x v="651"/>
    <s v="Wednesday"/>
    <x v="4"/>
    <x v="2"/>
    <x v="843"/>
    <x v="843"/>
    <s v="csorrellph@amazon.com"/>
    <s v="+44 (160) 225-1993"/>
    <x v="184"/>
    <x v="2"/>
    <s v="No"/>
    <x v="19"/>
    <x v="2"/>
    <x v="0"/>
    <n v="0.60749999999999993"/>
    <x v="2"/>
    <n v="0.5"/>
    <n v="6.75"/>
    <x v="52"/>
    <n v="0.60749999999999993"/>
    <n v="8.9999999999999982"/>
  </r>
  <r>
    <x v="880"/>
    <x v="651"/>
    <s v="Wednesday"/>
    <x v="4"/>
    <x v="2"/>
    <x v="843"/>
    <x v="844"/>
    <s v="csorrellph@amazon.com"/>
    <s v="+44 (160) 225-1993"/>
    <x v="184"/>
    <x v="2"/>
    <s v="No"/>
    <x v="6"/>
    <x v="1"/>
    <x v="2"/>
    <n v="0.80190000000000006"/>
    <x v="3"/>
    <n v="0.5"/>
    <n v="7.29"/>
    <x v="6"/>
    <n v="2.4057000000000004"/>
    <n v="11.000000000000002"/>
  </r>
  <r>
    <x v="881"/>
    <x v="249"/>
    <s v="Wednesday"/>
    <x v="9"/>
    <x v="3"/>
    <x v="844"/>
    <x v="845"/>
    <s v="qheavysidepj@unc.edu"/>
    <s v="+1 (859) 572-4305"/>
    <x v="193"/>
    <x v="0"/>
    <s v="Yes"/>
    <x v="25"/>
    <x v="0"/>
    <x v="2"/>
    <n v="0.16109999999999997"/>
    <x v="1"/>
    <n v="0.2"/>
    <n v="2.6849999999999996"/>
    <x v="148"/>
    <n v="0.80549999999999988"/>
    <n v="6.0000000000000009"/>
  </r>
  <r>
    <x v="882"/>
    <x v="652"/>
    <s v="Monday"/>
    <x v="5"/>
    <x v="2"/>
    <x v="845"/>
    <x v="846"/>
    <s v="hreuvenpk@whitehouse.gov"/>
    <s v="+1 (616) 851-0525"/>
    <x v="16"/>
    <x v="0"/>
    <s v="No"/>
    <x v="11"/>
    <x v="0"/>
    <x v="2"/>
    <n v="1.2350999999999999"/>
    <x v="5"/>
    <n v="2.5"/>
    <n v="20.584999999999997"/>
    <x v="99"/>
    <n v="7.4105999999999987"/>
    <n v="5.9999999999999991"/>
  </r>
  <r>
    <x v="883"/>
    <x v="653"/>
    <s v="Tuesday"/>
    <x v="11"/>
    <x v="1"/>
    <x v="846"/>
    <x v="847"/>
    <s v="mattwoolpl@nba.com"/>
    <s v="+1 (515) 821-3701"/>
    <x v="111"/>
    <x v="0"/>
    <s v="No"/>
    <x v="12"/>
    <x v="3"/>
    <x v="2"/>
    <n v="0.50505"/>
    <x v="0"/>
    <n v="0.2"/>
    <n v="3.8849999999999998"/>
    <x v="41"/>
    <n v="1.0101"/>
    <n v="13"/>
  </r>
  <r>
    <x v="884"/>
    <x v="177"/>
    <s v="Friday"/>
    <x v="8"/>
    <x v="2"/>
    <x v="847"/>
    <x v="848"/>
    <n v="0"/>
    <n v="0"/>
    <x v="325"/>
    <x v="0"/>
    <s v="Yes"/>
    <x v="17"/>
    <x v="2"/>
    <x v="0"/>
    <n v="1.0125"/>
    <x v="5"/>
    <n v="1"/>
    <n v="11.25"/>
    <x v="173"/>
    <n v="6.0749999999999993"/>
    <n v="8.9999999999999982"/>
  </r>
  <r>
    <x v="885"/>
    <x v="22"/>
    <s v="Tuesday"/>
    <x v="7"/>
    <x v="0"/>
    <x v="848"/>
    <x v="849"/>
    <s v="gwynespn@dagondesign.com"/>
    <s v="+1 (512) 118-8603"/>
    <x v="79"/>
    <x v="0"/>
    <s v="No"/>
    <x v="47"/>
    <x v="1"/>
    <x v="2"/>
    <n v="3.07395"/>
    <x v="2"/>
    <n v="2.5"/>
    <n v="27.945"/>
    <x v="140"/>
    <n v="3.07395"/>
    <n v="11"/>
  </r>
  <r>
    <x v="886"/>
    <x v="508"/>
    <s v="Sunday"/>
    <x v="0"/>
    <x v="1"/>
    <x v="849"/>
    <x v="822"/>
    <s v="cmaccourtpo@amazon.com"/>
    <n v="0"/>
    <x v="327"/>
    <x v="0"/>
    <s v="No"/>
    <x v="44"/>
    <x v="2"/>
    <x v="1"/>
    <n v="2.6806499999999995"/>
    <x v="3"/>
    <n v="2.5"/>
    <n v="29.784999999999997"/>
    <x v="49"/>
    <n v="8.0419499999999982"/>
    <n v="8.9999999999999982"/>
  </r>
  <r>
    <x v="887"/>
    <x v="654"/>
    <s v="Thursday"/>
    <x v="2"/>
    <x v="2"/>
    <x v="822"/>
    <x v="850"/>
    <n v="0"/>
    <s v="+1 (718) 461-3002"/>
    <x v="15"/>
    <x v="0"/>
    <s v="No"/>
    <x v="19"/>
    <x v="2"/>
    <x v="0"/>
    <n v="0.60749999999999993"/>
    <x v="3"/>
    <n v="0.5"/>
    <n v="6.75"/>
    <x v="16"/>
    <n v="1.8224999999999998"/>
    <n v="8.9999999999999982"/>
  </r>
  <r>
    <x v="888"/>
    <x v="524"/>
    <s v="Tuesday"/>
    <x v="1"/>
    <x v="3"/>
    <x v="850"/>
    <x v="851"/>
    <s v="ewilsonepq@eepurl.com"/>
    <s v="+1 (202) 969-6382"/>
    <x v="41"/>
    <x v="0"/>
    <s v="Yes"/>
    <x v="19"/>
    <x v="2"/>
    <x v="0"/>
    <n v="0.60749999999999993"/>
    <x v="1"/>
    <n v="0.5"/>
    <n v="6.75"/>
    <x v="65"/>
    <n v="3.0374999999999996"/>
    <n v="8.9999999999999982"/>
  </r>
  <r>
    <x v="889"/>
    <x v="655"/>
    <s v="Wednesday"/>
    <x v="4"/>
    <x v="0"/>
    <x v="851"/>
    <x v="852"/>
    <s v="dduffiepr@time.com"/>
    <s v="+1 (971) 936-3214"/>
    <x v="12"/>
    <x v="0"/>
    <s v="No"/>
    <x v="47"/>
    <x v="1"/>
    <x v="2"/>
    <n v="3.07395"/>
    <x v="4"/>
    <n v="2.5"/>
    <n v="27.945"/>
    <x v="150"/>
    <n v="12.2958"/>
    <n v="11"/>
  </r>
  <r>
    <x v="890"/>
    <x v="523"/>
    <s v="Tuesday"/>
    <x v="2"/>
    <x v="2"/>
    <x v="852"/>
    <x v="853"/>
    <s v="mmatiasekps@ucoz.ru"/>
    <n v="0"/>
    <x v="15"/>
    <x v="0"/>
    <s v="Yes"/>
    <x v="28"/>
    <x v="1"/>
    <x v="0"/>
    <n v="3.4787499999999998"/>
    <x v="0"/>
    <n v="2.5"/>
    <n v="31.624999999999996"/>
    <x v="40"/>
    <n v="6.9574999999999996"/>
    <n v="11"/>
  </r>
  <r>
    <x v="891"/>
    <x v="656"/>
    <s v="Monday"/>
    <x v="11"/>
    <x v="3"/>
    <x v="853"/>
    <x v="854"/>
    <s v="jcamillopt@shinystat.com"/>
    <s v="+1 (202) 572-0994"/>
    <x v="41"/>
    <x v="0"/>
    <s v="Yes"/>
    <x v="46"/>
    <x v="1"/>
    <x v="1"/>
    <n v="0.49004999999999999"/>
    <x v="0"/>
    <n v="0.2"/>
    <n v="4.4550000000000001"/>
    <x v="161"/>
    <n v="0.98009999999999997"/>
    <n v="11"/>
  </r>
  <r>
    <x v="892"/>
    <x v="657"/>
    <s v="Friday"/>
    <x v="6"/>
    <x v="0"/>
    <x v="854"/>
    <x v="855"/>
    <s v="kphilbrickpu@cdc.gov"/>
    <n v="0"/>
    <x v="41"/>
    <x v="0"/>
    <s v="Yes"/>
    <x v="45"/>
    <x v="1"/>
    <x v="2"/>
    <n v="1.3365"/>
    <x v="2"/>
    <n v="1"/>
    <n v="12.15"/>
    <x v="87"/>
    <n v="1.3365"/>
    <n v="11"/>
  </r>
  <r>
    <x v="893"/>
    <x v="658"/>
    <s v="Tuesday"/>
    <x v="10"/>
    <x v="2"/>
    <x v="855"/>
    <x v="856"/>
    <n v="0"/>
    <n v="0"/>
    <x v="311"/>
    <x v="0"/>
    <s v="Yes"/>
    <x v="20"/>
    <x v="2"/>
    <x v="2"/>
    <n v="0.5373"/>
    <x v="4"/>
    <n v="0.5"/>
    <n v="5.97"/>
    <x v="86"/>
    <n v="2.1492"/>
    <n v="9.0000000000000018"/>
  </r>
  <r>
    <x v="894"/>
    <x v="659"/>
    <s v="Tuesday"/>
    <x v="7"/>
    <x v="3"/>
    <x v="856"/>
    <x v="857"/>
    <s v="bsillispw@istockphoto.com"/>
    <s v="+1 (305) 267-4961"/>
    <x v="218"/>
    <x v="0"/>
    <s v="No"/>
    <x v="3"/>
    <x v="1"/>
    <x v="0"/>
    <n v="1.5125"/>
    <x v="4"/>
    <n v="1"/>
    <n v="13.75"/>
    <x v="193"/>
    <n v="6.05"/>
    <n v="11"/>
  </r>
  <r>
    <x v="895"/>
    <x v="558"/>
    <s v="Monday"/>
    <x v="9"/>
    <x v="1"/>
    <x v="857"/>
    <x v="858"/>
    <n v="0"/>
    <s v="+1 (405) 369-5173"/>
    <x v="101"/>
    <x v="0"/>
    <s v="Yes"/>
    <x v="39"/>
    <x v="0"/>
    <x v="2"/>
    <n v="0.53699999999999992"/>
    <x v="3"/>
    <n v="1"/>
    <n v="8.9499999999999993"/>
    <x v="166"/>
    <n v="1.6109999999999998"/>
    <n v="6"/>
  </r>
  <r>
    <x v="896"/>
    <x v="660"/>
    <s v="Sunday"/>
    <x v="3"/>
    <x v="1"/>
    <x v="858"/>
    <x v="859"/>
    <s v="rcuttspy@techcrunch.com"/>
    <s v="+1 (815) 758-8653"/>
    <x v="356"/>
    <x v="0"/>
    <s v="No"/>
    <x v="13"/>
    <x v="0"/>
    <x v="0"/>
    <n v="1.3730999999999998"/>
    <x v="1"/>
    <n v="2.5"/>
    <n v="22.884999999999998"/>
    <x v="15"/>
    <n v="6.865499999999999"/>
    <n v="6"/>
  </r>
  <r>
    <x v="897"/>
    <x v="661"/>
    <s v="Wednesday"/>
    <x v="11"/>
    <x v="3"/>
    <x v="859"/>
    <x v="860"/>
    <s v="mdelvespz@nature.com"/>
    <s v="+1 (334) 881-9178"/>
    <x v="124"/>
    <x v="0"/>
    <s v="Yes"/>
    <x v="37"/>
    <x v="2"/>
    <x v="0"/>
    <n v="2.3287499999999994"/>
    <x v="5"/>
    <n v="2.5"/>
    <n v="25.874999999999996"/>
    <x v="71"/>
    <n v="13.972499999999997"/>
    <n v="9"/>
  </r>
  <r>
    <x v="898"/>
    <x v="662"/>
    <s v="Sunday"/>
    <x v="7"/>
    <x v="1"/>
    <x v="860"/>
    <x v="860"/>
    <s v="dgrittonq0@nydailynews.com"/>
    <s v="+1 (626) 968-5148"/>
    <x v="148"/>
    <x v="0"/>
    <s v="Yes"/>
    <x v="31"/>
    <x v="3"/>
    <x v="2"/>
    <n v="1.0101"/>
    <x v="3"/>
    <n v="0.5"/>
    <n v="7.77"/>
    <x v="102"/>
    <n v="3.0303"/>
    <n v="13"/>
  </r>
  <r>
    <x v="898"/>
    <x v="662"/>
    <s v="Sunday"/>
    <x v="7"/>
    <x v="1"/>
    <x v="860"/>
    <x v="861"/>
    <s v="dgrittonq0@nydailynews.com"/>
    <s v="+1 (626) 968-5148"/>
    <x v="148"/>
    <x v="0"/>
    <s v="Yes"/>
    <x v="13"/>
    <x v="0"/>
    <x v="0"/>
    <n v="1.3730999999999998"/>
    <x v="4"/>
    <n v="2.5"/>
    <n v="22.884999999999998"/>
    <x v="21"/>
    <n v="5.4923999999999991"/>
    <n v="6"/>
  </r>
  <r>
    <x v="899"/>
    <x v="184"/>
    <s v="Monday"/>
    <x v="9"/>
    <x v="0"/>
    <x v="861"/>
    <x v="862"/>
    <s v="dgutq2@umich.edu"/>
    <s v="+1 (281) 648-9915"/>
    <x v="13"/>
    <x v="0"/>
    <s v="Yes"/>
    <x v="33"/>
    <x v="1"/>
    <x v="1"/>
    <n v="1.6335"/>
    <x v="1"/>
    <n v="1"/>
    <n v="14.85"/>
    <x v="159"/>
    <n v="8.1675000000000004"/>
    <n v="11"/>
  </r>
  <r>
    <x v="900"/>
    <x v="663"/>
    <s v="Tuesday"/>
    <x v="10"/>
    <x v="1"/>
    <x v="862"/>
    <x v="863"/>
    <s v="wpummeryq3@topsy.com"/>
    <s v="+1 (231) 416-9594"/>
    <x v="362"/>
    <x v="0"/>
    <s v="No"/>
    <x v="7"/>
    <x v="3"/>
    <x v="1"/>
    <n v="0.61814999999999998"/>
    <x v="5"/>
    <n v="0.2"/>
    <n v="4.7549999999999999"/>
    <x v="32"/>
    <n v="3.7088999999999999"/>
    <n v="12.999999999999998"/>
  </r>
  <r>
    <x v="901"/>
    <x v="334"/>
    <s v="Sunday"/>
    <x v="5"/>
    <x v="1"/>
    <x v="863"/>
    <x v="864"/>
    <s v="gsiudaq4@nytimes.com"/>
    <s v="+1 (202) 315-8135"/>
    <x v="41"/>
    <x v="0"/>
    <s v="Yes"/>
    <x v="35"/>
    <x v="0"/>
    <x v="1"/>
    <n v="0.43019999999999992"/>
    <x v="0"/>
    <n v="0.5"/>
    <n v="7.169999999999999"/>
    <x v="79"/>
    <n v="0.86039999999999983"/>
    <n v="6"/>
  </r>
  <r>
    <x v="902"/>
    <x v="664"/>
    <s v="Saturday"/>
    <x v="8"/>
    <x v="2"/>
    <x v="864"/>
    <x v="865"/>
    <s v="hcrowneq5@wufoo.com"/>
    <s v="+353 (476) 525-5512"/>
    <x v="363"/>
    <x v="1"/>
    <s v="Yes"/>
    <x v="42"/>
    <x v="2"/>
    <x v="1"/>
    <n v="0.69929999999999992"/>
    <x v="0"/>
    <n v="0.5"/>
    <n v="7.77"/>
    <x v="42"/>
    <n v="1.3985999999999998"/>
    <n v="9"/>
  </r>
  <r>
    <x v="903"/>
    <x v="24"/>
    <s v="Saturday"/>
    <x v="0"/>
    <x v="1"/>
    <x v="865"/>
    <x v="866"/>
    <s v="vpawseyq6@tiny.cc"/>
    <s v="+1 (478) 568-4944"/>
    <x v="126"/>
    <x v="0"/>
    <s v="No"/>
    <x v="41"/>
    <x v="0"/>
    <x v="1"/>
    <n v="0.71699999999999997"/>
    <x v="3"/>
    <n v="1"/>
    <n v="11.95"/>
    <x v="66"/>
    <n v="2.1509999999999998"/>
    <n v="6.0000000000000009"/>
  </r>
  <r>
    <x v="904"/>
    <x v="12"/>
    <s v="Tuesday"/>
    <x v="1"/>
    <x v="2"/>
    <x v="866"/>
    <x v="867"/>
    <s v="awaterhouseq7@istockphoto.com"/>
    <s v="+1 (318) 129-0806"/>
    <x v="212"/>
    <x v="0"/>
    <s v="No"/>
    <x v="42"/>
    <x v="2"/>
    <x v="1"/>
    <n v="0.69929999999999992"/>
    <x v="5"/>
    <n v="0.5"/>
    <n v="7.77"/>
    <x v="162"/>
    <n v="4.1957999999999993"/>
    <n v="9"/>
  </r>
  <r>
    <x v="905"/>
    <x v="105"/>
    <s v="Tuesday"/>
    <x v="3"/>
    <x v="3"/>
    <x v="867"/>
    <x v="868"/>
    <s v="fhaughianq8@1688.com"/>
    <s v="+1 (253) 974-5538"/>
    <x v="174"/>
    <x v="0"/>
    <s v="No"/>
    <x v="35"/>
    <x v="0"/>
    <x v="1"/>
    <n v="0.43019999999999992"/>
    <x v="1"/>
    <n v="0.5"/>
    <n v="7.169999999999999"/>
    <x v="66"/>
    <n v="2.1509999999999998"/>
    <n v="6.0000000000000009"/>
  </r>
  <r>
    <x v="906"/>
    <x v="665"/>
    <s v="Thursday"/>
    <x v="10"/>
    <x v="0"/>
    <x v="868"/>
    <x v="869"/>
    <n v="0"/>
    <s v="+1 (915) 920-9318"/>
    <x v="87"/>
    <x v="0"/>
    <s v="No"/>
    <x v="27"/>
    <x v="3"/>
    <x v="2"/>
    <n v="3.8720499999999998"/>
    <x v="4"/>
    <n v="2.5"/>
    <n v="29.784999999999997"/>
    <x v="129"/>
    <n v="15.488199999999999"/>
    <n v="13"/>
  </r>
  <r>
    <x v="907"/>
    <x v="44"/>
    <s v="Wednesday"/>
    <x v="0"/>
    <x v="0"/>
    <x v="869"/>
    <x v="870"/>
    <n v="0"/>
    <s v="+1 (205) 866-7629"/>
    <x v="38"/>
    <x v="0"/>
    <s v="No"/>
    <x v="31"/>
    <x v="3"/>
    <x v="2"/>
    <n v="1.0101"/>
    <x v="3"/>
    <n v="0.5"/>
    <n v="7.77"/>
    <x v="102"/>
    <n v="3.0303"/>
    <n v="13"/>
  </r>
  <r>
    <x v="908"/>
    <x v="171"/>
    <s v="Thursday"/>
    <x v="8"/>
    <x v="1"/>
    <x v="870"/>
    <x v="871"/>
    <s v="rfaltinqb@topsy.com"/>
    <n v="0"/>
    <x v="105"/>
    <x v="1"/>
    <s v="No"/>
    <x v="17"/>
    <x v="2"/>
    <x v="0"/>
    <n v="1.0125"/>
    <x v="2"/>
    <n v="1"/>
    <n v="11.25"/>
    <x v="23"/>
    <n v="1.0125"/>
    <n v="9"/>
  </r>
  <r>
    <x v="909"/>
    <x v="328"/>
    <s v="Monday"/>
    <x v="0"/>
    <x v="1"/>
    <x v="871"/>
    <x v="872"/>
    <s v="gcheekeqc@sitemeter.com"/>
    <s v="+44 (677) 694-1404"/>
    <x v="282"/>
    <x v="2"/>
    <s v="Yes"/>
    <x v="47"/>
    <x v="1"/>
    <x v="2"/>
    <n v="3.07395"/>
    <x v="3"/>
    <n v="2.5"/>
    <n v="27.945"/>
    <x v="171"/>
    <n v="9.2218499999999999"/>
    <n v="10.999999999999998"/>
  </r>
  <r>
    <x v="910"/>
    <x v="648"/>
    <s v="Friday"/>
    <x v="0"/>
    <x v="1"/>
    <x v="872"/>
    <x v="873"/>
    <s v="grattqd@phpbb.com"/>
    <s v="+353 (878) 618-9723"/>
    <x v="364"/>
    <x v="1"/>
    <s v="No"/>
    <x v="4"/>
    <x v="0"/>
    <x v="1"/>
    <n v="1.6490999999999998"/>
    <x v="4"/>
    <n v="2.5"/>
    <n v="27.484999999999996"/>
    <x v="108"/>
    <n v="6.5963999999999992"/>
    <n v="6.0000000000000009"/>
  </r>
  <r>
    <x v="911"/>
    <x v="666"/>
    <s v="Sunday"/>
    <x v="5"/>
    <x v="2"/>
    <x v="873"/>
    <x v="874"/>
    <n v="0"/>
    <s v="+1 (302) 159-1841"/>
    <x v="325"/>
    <x v="0"/>
    <s v="Yes"/>
    <x v="40"/>
    <x v="0"/>
    <x v="1"/>
    <n v="0.21509999999999996"/>
    <x v="4"/>
    <n v="0.2"/>
    <n v="3.5849999999999995"/>
    <x v="79"/>
    <n v="0.86039999999999983"/>
    <n v="6"/>
  </r>
  <r>
    <x v="912"/>
    <x v="577"/>
    <s v="Friday"/>
    <x v="0"/>
    <x v="3"/>
    <x v="874"/>
    <x v="875"/>
    <s v="ieberleinqf@hc360.com"/>
    <s v="+1 (717) 323-3451"/>
    <x v="225"/>
    <x v="0"/>
    <s v="No"/>
    <x v="40"/>
    <x v="0"/>
    <x v="1"/>
    <n v="0.21509999999999996"/>
    <x v="5"/>
    <n v="0.2"/>
    <n v="3.5849999999999995"/>
    <x v="137"/>
    <n v="1.2905999999999997"/>
    <n v="5.9999999999999991"/>
  </r>
  <r>
    <x v="913"/>
    <x v="114"/>
    <s v="Tuesday"/>
    <x v="3"/>
    <x v="1"/>
    <x v="875"/>
    <x v="857"/>
    <s v="jdrengqg@uiuc.edu"/>
    <s v="+353 (350) 974-1489"/>
    <x v="363"/>
    <x v="1"/>
    <s v="Yes"/>
    <x v="17"/>
    <x v="2"/>
    <x v="0"/>
    <n v="1.0125"/>
    <x v="0"/>
    <n v="1"/>
    <n v="11.25"/>
    <x v="122"/>
    <n v="2.0249999999999999"/>
    <n v="9"/>
  </r>
  <r>
    <x v="914"/>
    <x v="4"/>
    <s v="Friday"/>
    <x v="4"/>
    <x v="2"/>
    <x v="857"/>
    <x v="857"/>
    <n v="0"/>
    <s v="+1 (405) 369-5173"/>
    <x v="101"/>
    <x v="0"/>
    <s v="Yes"/>
    <x v="29"/>
    <x v="2"/>
    <x v="1"/>
    <n v="0.34964999999999996"/>
    <x v="2"/>
    <n v="0.2"/>
    <n v="3.8849999999999998"/>
    <x v="84"/>
    <n v="0.34964999999999996"/>
    <n v="9"/>
  </r>
  <r>
    <x v="915"/>
    <x v="667"/>
    <s v="Friday"/>
    <x v="1"/>
    <x v="2"/>
    <x v="857"/>
    <x v="857"/>
    <n v="0"/>
    <s v="+1 (405) 369-5173"/>
    <x v="101"/>
    <x v="0"/>
    <s v="Yes"/>
    <x v="47"/>
    <x v="1"/>
    <x v="2"/>
    <n v="3.07395"/>
    <x v="2"/>
    <n v="2.5"/>
    <n v="27.945"/>
    <x v="140"/>
    <n v="3.07395"/>
    <n v="11"/>
  </r>
  <r>
    <x v="916"/>
    <x v="110"/>
    <s v="Saturday"/>
    <x v="8"/>
    <x v="0"/>
    <x v="857"/>
    <x v="857"/>
    <n v="0"/>
    <s v="+1 (405) 369-5173"/>
    <x v="101"/>
    <x v="0"/>
    <s v="Yes"/>
    <x v="10"/>
    <x v="1"/>
    <x v="1"/>
    <n v="3.7570499999999996"/>
    <x v="1"/>
    <n v="2.5"/>
    <n v="34.154999999999994"/>
    <x v="11"/>
    <n v="18.785249999999998"/>
    <n v="11"/>
  </r>
  <r>
    <x v="916"/>
    <x v="110"/>
    <s v="Saturday"/>
    <x v="8"/>
    <x v="0"/>
    <x v="857"/>
    <x v="857"/>
    <n v="0"/>
    <s v="+1 (405) 369-5173"/>
    <x v="101"/>
    <x v="0"/>
    <s v="Yes"/>
    <x v="4"/>
    <x v="0"/>
    <x v="1"/>
    <n v="1.6490999999999998"/>
    <x v="0"/>
    <n v="2.5"/>
    <n v="27.484999999999996"/>
    <x v="4"/>
    <n v="3.2981999999999996"/>
    <n v="6.0000000000000009"/>
  </r>
  <r>
    <x v="916"/>
    <x v="110"/>
    <s v="Saturday"/>
    <x v="8"/>
    <x v="0"/>
    <x v="857"/>
    <x v="857"/>
    <n v="0"/>
    <s v="+1 (405) 369-5173"/>
    <x v="101"/>
    <x v="0"/>
    <s v="Yes"/>
    <x v="33"/>
    <x v="1"/>
    <x v="1"/>
    <n v="1.6335"/>
    <x v="2"/>
    <n v="1"/>
    <n v="14.85"/>
    <x v="151"/>
    <n v="1.6335"/>
    <n v="11"/>
  </r>
  <r>
    <x v="916"/>
    <x v="110"/>
    <s v="Saturday"/>
    <x v="8"/>
    <x v="0"/>
    <x v="857"/>
    <x v="876"/>
    <n v="0"/>
    <s v="+1 (405) 369-5173"/>
    <x v="101"/>
    <x v="0"/>
    <s v="Yes"/>
    <x v="29"/>
    <x v="2"/>
    <x v="1"/>
    <n v="0.34964999999999996"/>
    <x v="0"/>
    <n v="0.2"/>
    <n v="3.8849999999999998"/>
    <x v="41"/>
    <n v="0.69929999999999992"/>
    <n v="9"/>
  </r>
  <r>
    <x v="917"/>
    <x v="668"/>
    <s v="Sunday"/>
    <x v="10"/>
    <x v="2"/>
    <x v="876"/>
    <x v="877"/>
    <s v="rstrathernqn@devhub.com"/>
    <n v="0"/>
    <x v="28"/>
    <x v="0"/>
    <s v="Yes"/>
    <x v="7"/>
    <x v="3"/>
    <x v="1"/>
    <n v="0.61814999999999998"/>
    <x v="1"/>
    <n v="0.2"/>
    <n v="4.7549999999999999"/>
    <x v="29"/>
    <n v="3.0907499999999999"/>
    <n v="13"/>
  </r>
  <r>
    <x v="918"/>
    <x v="422"/>
    <s v="Sunday"/>
    <x v="4"/>
    <x v="2"/>
    <x v="877"/>
    <x v="878"/>
    <s v="cmiguelqo@exblog.jp"/>
    <s v="+1 (240) 449-8992"/>
    <x v="365"/>
    <x v="0"/>
    <s v="Yes"/>
    <x v="32"/>
    <x v="3"/>
    <x v="1"/>
    <n v="2.0605000000000002"/>
    <x v="1"/>
    <n v="1"/>
    <n v="15.85"/>
    <x v="180"/>
    <n v="10.302500000000002"/>
    <n v="13.000000000000004"/>
  </r>
  <r>
    <x v="919"/>
    <x v="669"/>
    <s v="Monday"/>
    <x v="11"/>
    <x v="3"/>
    <x v="878"/>
    <x v="879"/>
    <n v="0"/>
    <s v="+1 (518) 618-9919"/>
    <x v="140"/>
    <x v="0"/>
    <s v="Yes"/>
    <x v="30"/>
    <x v="2"/>
    <x v="2"/>
    <n v="2.0596499999999995"/>
    <x v="0"/>
    <n v="2.5"/>
    <n v="22.884999999999998"/>
    <x v="135"/>
    <n v="4.1192999999999991"/>
    <n v="8.9999999999999982"/>
  </r>
  <r>
    <x v="920"/>
    <x v="670"/>
    <s v="Wednesday"/>
    <x v="8"/>
    <x v="2"/>
    <x v="879"/>
    <x v="880"/>
    <s v="mrocksqq@exblog.jp"/>
    <s v="+353 (731) 124-0228"/>
    <x v="366"/>
    <x v="1"/>
    <s v="Yes"/>
    <x v="39"/>
    <x v="0"/>
    <x v="2"/>
    <n v="0.53699999999999992"/>
    <x v="2"/>
    <n v="1"/>
    <n v="8.9499999999999993"/>
    <x v="192"/>
    <n v="0.53699999999999992"/>
    <n v="6"/>
  </r>
  <r>
    <x v="921"/>
    <x v="341"/>
    <s v="Thursday"/>
    <x v="4"/>
    <x v="1"/>
    <x v="880"/>
    <x v="881"/>
    <s v="yburrellsqr@vinaora.com"/>
    <s v="+1 (859) 101-4742"/>
    <x v="193"/>
    <x v="0"/>
    <s v="Yes"/>
    <x v="8"/>
    <x v="0"/>
    <x v="0"/>
    <n v="0.35819999999999996"/>
    <x v="4"/>
    <n v="0.5"/>
    <n v="5.97"/>
    <x v="86"/>
    <n v="1.4327999999999999"/>
    <n v="6"/>
  </r>
  <r>
    <x v="922"/>
    <x v="671"/>
    <s v="Tuesday"/>
    <x v="10"/>
    <x v="3"/>
    <x v="881"/>
    <x v="882"/>
    <s v="cgoodrumqs@goodreads.com"/>
    <s v="+1 (619) 944-5888"/>
    <x v="236"/>
    <x v="0"/>
    <s v="No"/>
    <x v="46"/>
    <x v="1"/>
    <x v="1"/>
    <n v="0.49004999999999999"/>
    <x v="1"/>
    <n v="0.2"/>
    <n v="4.4550000000000001"/>
    <x v="110"/>
    <n v="2.45025"/>
    <n v="11.000000000000002"/>
  </r>
  <r>
    <x v="923"/>
    <x v="672"/>
    <s v="Monday"/>
    <x v="0"/>
    <x v="0"/>
    <x v="882"/>
    <x v="883"/>
    <s v="jjefferysqt@blog.com"/>
    <n v="0"/>
    <x v="6"/>
    <x v="0"/>
    <s v="Yes"/>
    <x v="0"/>
    <x v="0"/>
    <x v="0"/>
    <n v="0.59699999999999998"/>
    <x v="3"/>
    <n v="1"/>
    <n v="9.9499999999999993"/>
    <x v="44"/>
    <n v="1.7909999999999999"/>
    <n v="6.0000000000000009"/>
  </r>
  <r>
    <x v="924"/>
    <x v="673"/>
    <s v="Saturday"/>
    <x v="4"/>
    <x v="0"/>
    <x v="883"/>
    <x v="884"/>
    <s v="bwardellqu@adobe.com"/>
    <s v="+1 (347) 311-2289"/>
    <x v="130"/>
    <x v="0"/>
    <s v="Yes"/>
    <x v="38"/>
    <x v="1"/>
    <x v="1"/>
    <n v="0.98009999999999997"/>
    <x v="5"/>
    <n v="0.5"/>
    <n v="8.91"/>
    <x v="119"/>
    <n v="5.8805999999999994"/>
    <n v="10.999999999999998"/>
  </r>
  <r>
    <x v="925"/>
    <x v="674"/>
    <s v="Friday"/>
    <x v="10"/>
    <x v="1"/>
    <x v="884"/>
    <x v="885"/>
    <s v="zwalisiakqv@ucsd.edu"/>
    <s v="+353 (848) 172-8155"/>
    <x v="367"/>
    <x v="1"/>
    <s v="Yes"/>
    <x v="25"/>
    <x v="0"/>
    <x v="2"/>
    <n v="0.16109999999999997"/>
    <x v="2"/>
    <n v="0.2"/>
    <n v="2.6849999999999996"/>
    <x v="97"/>
    <n v="0.16109999999999997"/>
    <n v="6"/>
  </r>
  <r>
    <x v="926"/>
    <x v="675"/>
    <s v="Tuesday"/>
    <x v="6"/>
    <x v="2"/>
    <x v="885"/>
    <x v="886"/>
    <s v="wleopoldqw@blogspot.com"/>
    <s v="+1 (352) 173-9191"/>
    <x v="368"/>
    <x v="0"/>
    <s v="No"/>
    <x v="36"/>
    <x v="0"/>
    <x v="0"/>
    <n v="0.17909999999999998"/>
    <x v="0"/>
    <n v="0.2"/>
    <n v="2.9849999999999999"/>
    <x v="9"/>
    <n v="0.35819999999999996"/>
    <n v="6"/>
  </r>
  <r>
    <x v="927"/>
    <x v="539"/>
    <s v="Wednesday"/>
    <x v="2"/>
    <x v="0"/>
    <x v="886"/>
    <x v="887"/>
    <s v="cshaldersqx@cisco.com"/>
    <s v="+1 (305) 787-2810"/>
    <x v="120"/>
    <x v="0"/>
    <s v="Yes"/>
    <x v="5"/>
    <x v="3"/>
    <x v="2"/>
    <n v="1.6835"/>
    <x v="2"/>
    <n v="1"/>
    <n v="12.95"/>
    <x v="2"/>
    <n v="1.6835"/>
    <n v="13"/>
  </r>
  <r>
    <x v="928"/>
    <x v="676"/>
    <s v="Saturday"/>
    <x v="0"/>
    <x v="0"/>
    <x v="887"/>
    <x v="888"/>
    <n v="0"/>
    <s v="+1 (865) 959-4075"/>
    <x v="279"/>
    <x v="0"/>
    <s v="No"/>
    <x v="1"/>
    <x v="1"/>
    <x v="0"/>
    <n v="0.90749999999999997"/>
    <x v="2"/>
    <n v="0.5"/>
    <n v="8.25"/>
    <x v="112"/>
    <n v="0.90749999999999997"/>
    <n v="11"/>
  </r>
  <r>
    <x v="929"/>
    <x v="677"/>
    <s v="Monday"/>
    <x v="3"/>
    <x v="0"/>
    <x v="888"/>
    <x v="889"/>
    <s v="nfurberqz@jugem.jp"/>
    <s v="+1 (817) 813-2784"/>
    <x v="57"/>
    <x v="0"/>
    <s v="No"/>
    <x v="44"/>
    <x v="2"/>
    <x v="1"/>
    <n v="2.6806499999999995"/>
    <x v="1"/>
    <n v="2.5"/>
    <n v="29.784999999999997"/>
    <x v="74"/>
    <n v="13.403249999999998"/>
    <n v="9"/>
  </r>
  <r>
    <x v="930"/>
    <x v="629"/>
    <s v="Tuesday"/>
    <x v="3"/>
    <x v="1"/>
    <x v="889"/>
    <x v="890"/>
    <n v="0"/>
    <s v="+353 (706) 448-6304"/>
    <x v="324"/>
    <x v="1"/>
    <s v="Yes"/>
    <x v="44"/>
    <x v="2"/>
    <x v="1"/>
    <n v="2.6806499999999995"/>
    <x v="3"/>
    <n v="2.5"/>
    <n v="29.784999999999997"/>
    <x v="49"/>
    <n v="8.0419499999999982"/>
    <n v="8.9999999999999982"/>
  </r>
  <r>
    <x v="931"/>
    <x v="662"/>
    <s v="Sunday"/>
    <x v="7"/>
    <x v="1"/>
    <x v="890"/>
    <x v="891"/>
    <s v="ckeaver1@ucoz.com"/>
    <s v="+1 (850) 410-9647"/>
    <x v="48"/>
    <x v="0"/>
    <s v="No"/>
    <x v="24"/>
    <x v="3"/>
    <x v="0"/>
    <n v="1.8915000000000002"/>
    <x v="5"/>
    <n v="1"/>
    <n v="14.55"/>
    <x v="75"/>
    <n v="11.349"/>
    <n v="12.999999999999998"/>
  </r>
  <r>
    <x v="932"/>
    <x v="102"/>
    <s v="Monday"/>
    <x v="8"/>
    <x v="0"/>
    <x v="891"/>
    <x v="892"/>
    <s v="sroseboroughr2@virginia.edu"/>
    <s v="+1 (253) 735-5179"/>
    <x v="174"/>
    <x v="0"/>
    <s v="Yes"/>
    <x v="34"/>
    <x v="0"/>
    <x v="2"/>
    <n v="0.32219999999999993"/>
    <x v="2"/>
    <n v="0.5"/>
    <n v="5.3699999999999992"/>
    <x v="147"/>
    <n v="0.32219999999999993"/>
    <n v="6"/>
  </r>
  <r>
    <x v="933"/>
    <x v="678"/>
    <s v="Wednesday"/>
    <x v="9"/>
    <x v="1"/>
    <x v="892"/>
    <x v="893"/>
    <s v="ckingwellr3@squarespace.com"/>
    <s v="+353 (182) 469-0985"/>
    <x v="369"/>
    <x v="1"/>
    <s v="Yes"/>
    <x v="16"/>
    <x v="2"/>
    <x v="2"/>
    <n v="0.26865"/>
    <x v="3"/>
    <n v="0.2"/>
    <n v="2.9849999999999999"/>
    <x v="169"/>
    <n v="0.80594999999999994"/>
    <n v="9"/>
  </r>
  <r>
    <x v="934"/>
    <x v="679"/>
    <s v="Thursday"/>
    <x v="1"/>
    <x v="0"/>
    <x v="893"/>
    <x v="894"/>
    <s v="kcantor4@gmpg.org"/>
    <s v="+1 (260) 735-9621"/>
    <x v="51"/>
    <x v="0"/>
    <s v="Yes"/>
    <x v="4"/>
    <x v="0"/>
    <x v="1"/>
    <n v="1.6490999999999998"/>
    <x v="1"/>
    <n v="2.5"/>
    <n v="27.484999999999996"/>
    <x v="187"/>
    <n v="8.2454999999999998"/>
    <n v="6.0000000000000009"/>
  </r>
  <r>
    <x v="935"/>
    <x v="112"/>
    <s v="Tuesday"/>
    <x v="2"/>
    <x v="3"/>
    <x v="894"/>
    <x v="890"/>
    <s v="mblakemorer5@nsw.gov.au"/>
    <s v="+1 (806) 227-6812"/>
    <x v="279"/>
    <x v="0"/>
    <s v="No"/>
    <x v="41"/>
    <x v="0"/>
    <x v="1"/>
    <n v="0.71699999999999997"/>
    <x v="1"/>
    <n v="1"/>
    <n v="11.95"/>
    <x v="143"/>
    <n v="3.585"/>
    <n v="6"/>
  </r>
  <r>
    <x v="936"/>
    <x v="55"/>
    <s v="Monday"/>
    <x v="6"/>
    <x v="3"/>
    <x v="890"/>
    <x v="895"/>
    <s v="ckeaver1@ucoz.com"/>
    <s v="+1 (850) 410-9647"/>
    <x v="48"/>
    <x v="0"/>
    <s v="No"/>
    <x v="42"/>
    <x v="2"/>
    <x v="1"/>
    <n v="0.69929999999999992"/>
    <x v="3"/>
    <n v="0.5"/>
    <n v="7.77"/>
    <x v="102"/>
    <n v="2.0978999999999997"/>
    <n v="9"/>
  </r>
  <r>
    <x v="937"/>
    <x v="680"/>
    <s v="Sunday"/>
    <x v="4"/>
    <x v="3"/>
    <x v="895"/>
    <x v="896"/>
    <n v="0"/>
    <s v="+1 (301) 396-9701"/>
    <x v="370"/>
    <x v="0"/>
    <s v="No"/>
    <x v="34"/>
    <x v="0"/>
    <x v="2"/>
    <n v="0.32219999999999993"/>
    <x v="0"/>
    <n v="0.5"/>
    <n v="5.3699999999999992"/>
    <x v="175"/>
    <n v="0.64439999999999986"/>
    <n v="6"/>
  </r>
  <r>
    <x v="938"/>
    <x v="94"/>
    <s v="Sunday"/>
    <x v="5"/>
    <x v="3"/>
    <x v="896"/>
    <x v="897"/>
    <n v="0"/>
    <s v="+1 (608) 138-8374"/>
    <x v="238"/>
    <x v="0"/>
    <s v="Yes"/>
    <x v="47"/>
    <x v="1"/>
    <x v="2"/>
    <n v="3.07395"/>
    <x v="5"/>
    <n v="2.5"/>
    <n v="27.945"/>
    <x v="164"/>
    <n v="18.4437"/>
    <n v="10.999999999999998"/>
  </r>
  <r>
    <x v="939"/>
    <x v="160"/>
    <s v="Tuesday"/>
    <x v="2"/>
    <x v="1"/>
    <x v="897"/>
    <x v="898"/>
    <s v="cbernardotr9@wix.com"/>
    <s v="+1 (936) 783-5732"/>
    <x v="371"/>
    <x v="0"/>
    <s v="Yes"/>
    <x v="15"/>
    <x v="1"/>
    <x v="2"/>
    <n v="0.40095000000000003"/>
    <x v="5"/>
    <n v="0.2"/>
    <n v="3.645"/>
    <x v="6"/>
    <n v="2.4057000000000004"/>
    <n v="11.000000000000002"/>
  </r>
  <r>
    <x v="940"/>
    <x v="681"/>
    <s v="Friday"/>
    <x v="3"/>
    <x v="2"/>
    <x v="898"/>
    <x v="899"/>
    <s v="kkemeryra@t.co"/>
    <s v="+1 (817) 407-3513"/>
    <x v="177"/>
    <x v="0"/>
    <s v="Yes"/>
    <x v="41"/>
    <x v="0"/>
    <x v="1"/>
    <n v="0.71699999999999997"/>
    <x v="0"/>
    <n v="1"/>
    <n v="11.95"/>
    <x v="178"/>
    <n v="1.4339999999999999"/>
    <n v="6"/>
  </r>
  <r>
    <x v="941"/>
    <x v="502"/>
    <s v="Wednesday"/>
    <x v="4"/>
    <x v="3"/>
    <x v="899"/>
    <x v="900"/>
    <s v="fparlotrb@forbes.com"/>
    <s v="+1 (614) 706-1246"/>
    <x v="61"/>
    <x v="0"/>
    <s v="Yes"/>
    <x v="14"/>
    <x v="2"/>
    <x v="0"/>
    <n v="0.30374999999999996"/>
    <x v="0"/>
    <n v="0.2"/>
    <n v="3.375"/>
    <x v="52"/>
    <n v="0.60749999999999993"/>
    <n v="8.9999999999999982"/>
  </r>
  <r>
    <x v="942"/>
    <x v="682"/>
    <s v="Monday"/>
    <x v="4"/>
    <x v="1"/>
    <x v="900"/>
    <x v="901"/>
    <s v="rcheakrc@tripadvisor.com"/>
    <n v="0"/>
    <x v="372"/>
    <x v="1"/>
    <s v="Yes"/>
    <x v="28"/>
    <x v="1"/>
    <x v="0"/>
    <n v="3.4787499999999998"/>
    <x v="2"/>
    <n v="2.5"/>
    <n v="31.624999999999996"/>
    <x v="176"/>
    <n v="3.4787499999999998"/>
    <n v="11"/>
  </r>
  <r>
    <x v="943"/>
    <x v="683"/>
    <s v="Friday"/>
    <x v="9"/>
    <x v="1"/>
    <x v="901"/>
    <x v="902"/>
    <s v="kogeneayrd@utexas.edu"/>
    <s v="+1 (303) 637-0326"/>
    <x v="24"/>
    <x v="0"/>
    <s v="No"/>
    <x v="41"/>
    <x v="0"/>
    <x v="1"/>
    <n v="0.71699999999999997"/>
    <x v="4"/>
    <n v="1"/>
    <n v="11.95"/>
    <x v="62"/>
    <n v="2.8679999999999999"/>
    <n v="6"/>
  </r>
  <r>
    <x v="944"/>
    <x v="594"/>
    <s v="Monday"/>
    <x v="5"/>
    <x v="3"/>
    <x v="902"/>
    <x v="903"/>
    <s v="cayrere@symantec.com"/>
    <s v="+1 (386) 573-2575"/>
    <x v="373"/>
    <x v="0"/>
    <s v="No"/>
    <x v="43"/>
    <x v="3"/>
    <x v="0"/>
    <n v="4.3504499999999995"/>
    <x v="2"/>
    <n v="2.5"/>
    <n v="33.464999999999996"/>
    <x v="116"/>
    <n v="4.3504499999999995"/>
    <n v="13"/>
  </r>
  <r>
    <x v="945"/>
    <x v="389"/>
    <s v="Saturday"/>
    <x v="10"/>
    <x v="1"/>
    <x v="903"/>
    <x v="904"/>
    <s v="lkynetonrf@macromedia.com"/>
    <s v="+44 (618) 634-9365"/>
    <x v="258"/>
    <x v="2"/>
    <s v="Yes"/>
    <x v="20"/>
    <x v="2"/>
    <x v="2"/>
    <n v="0.5373"/>
    <x v="1"/>
    <n v="0.5"/>
    <n v="5.97"/>
    <x v="44"/>
    <n v="2.6865000000000001"/>
    <n v="9.0000000000000018"/>
  </r>
  <r>
    <x v="946"/>
    <x v="583"/>
    <s v="Saturday"/>
    <x v="6"/>
    <x v="3"/>
    <x v="904"/>
    <x v="905"/>
    <n v="0"/>
    <s v="+44 (123) 755-7484"/>
    <x v="374"/>
    <x v="2"/>
    <s v="Yes"/>
    <x v="0"/>
    <x v="0"/>
    <x v="0"/>
    <n v="0.59699999999999998"/>
    <x v="3"/>
    <n v="1"/>
    <n v="9.9499999999999993"/>
    <x v="44"/>
    <n v="1.7909999999999999"/>
    <n v="6.0000000000000009"/>
  </r>
  <r>
    <x v="947"/>
    <x v="647"/>
    <s v="Friday"/>
    <x v="8"/>
    <x v="0"/>
    <x v="905"/>
    <x v="906"/>
    <n v="0"/>
    <s v="+1 (636) 143-8338"/>
    <x v="10"/>
    <x v="0"/>
    <s v="Yes"/>
    <x v="37"/>
    <x v="2"/>
    <x v="0"/>
    <n v="2.3287499999999994"/>
    <x v="5"/>
    <n v="2.5"/>
    <n v="25.874999999999996"/>
    <x v="71"/>
    <n v="13.972499999999997"/>
    <n v="9"/>
  </r>
  <r>
    <x v="948"/>
    <x v="366"/>
    <s v="Monday"/>
    <x v="1"/>
    <x v="2"/>
    <x v="906"/>
    <x v="906"/>
    <n v="0"/>
    <s v="+1 (479) 204-9111"/>
    <x v="321"/>
    <x v="0"/>
    <s v="No"/>
    <x v="15"/>
    <x v="1"/>
    <x v="2"/>
    <n v="0.40095000000000003"/>
    <x v="1"/>
    <n v="0.2"/>
    <n v="3.645"/>
    <x v="94"/>
    <n v="2.00475"/>
    <n v="10.999999999999998"/>
  </r>
  <r>
    <x v="948"/>
    <x v="366"/>
    <s v="Monday"/>
    <x v="1"/>
    <x v="2"/>
    <x v="906"/>
    <x v="907"/>
    <n v="0"/>
    <s v="+1 (479) 204-9111"/>
    <x v="321"/>
    <x v="0"/>
    <s v="No"/>
    <x v="31"/>
    <x v="3"/>
    <x v="2"/>
    <n v="1.0101"/>
    <x v="0"/>
    <n v="0.5"/>
    <n v="7.77"/>
    <x v="42"/>
    <n v="2.0202"/>
    <n v="13"/>
  </r>
  <r>
    <x v="949"/>
    <x v="684"/>
    <s v="Sunday"/>
    <x v="6"/>
    <x v="1"/>
    <x v="907"/>
    <x v="908"/>
    <n v="0"/>
    <s v="+353 (252) 896-2096"/>
    <x v="248"/>
    <x v="1"/>
    <s v="No"/>
    <x v="26"/>
    <x v="3"/>
    <x v="1"/>
    <n v="4.7391499999999995"/>
    <x v="3"/>
    <n v="2.5"/>
    <n v="36.454999999999998"/>
    <x v="63"/>
    <n v="14.217449999999999"/>
    <n v="13"/>
  </r>
  <r>
    <x v="950"/>
    <x v="506"/>
    <s v="Sunday"/>
    <x v="9"/>
    <x v="1"/>
    <x v="908"/>
    <x v="909"/>
    <n v="0"/>
    <s v="+1 (215) 872-6809"/>
    <x v="11"/>
    <x v="0"/>
    <s v="No"/>
    <x v="2"/>
    <x v="2"/>
    <x v="1"/>
    <n v="1.1655"/>
    <x v="5"/>
    <n v="1"/>
    <n v="12.95"/>
    <x v="17"/>
    <n v="6.9930000000000003"/>
    <n v="9.0000000000000018"/>
  </r>
  <r>
    <x v="951"/>
    <x v="685"/>
    <s v="Wednesday"/>
    <x v="10"/>
    <x v="1"/>
    <x v="909"/>
    <x v="910"/>
    <n v="0"/>
    <s v="+353 (693) 290-4775"/>
    <x v="243"/>
    <x v="1"/>
    <s v="No"/>
    <x v="16"/>
    <x v="2"/>
    <x v="2"/>
    <n v="0.26865"/>
    <x v="3"/>
    <n v="0.2"/>
    <n v="2.9849999999999999"/>
    <x v="169"/>
    <n v="0.80594999999999994"/>
    <n v="9"/>
  </r>
  <r>
    <x v="952"/>
    <x v="191"/>
    <s v="Monday"/>
    <x v="4"/>
    <x v="3"/>
    <x v="910"/>
    <x v="906"/>
    <s v="jtewelsonrn@samsung.com"/>
    <s v="+1 (469) 573-8379"/>
    <x v="68"/>
    <x v="0"/>
    <s v="No"/>
    <x v="4"/>
    <x v="0"/>
    <x v="1"/>
    <n v="1.6490999999999998"/>
    <x v="2"/>
    <n v="2.5"/>
    <n v="27.484999999999996"/>
    <x v="142"/>
    <n v="1.6490999999999998"/>
    <n v="6.0000000000000009"/>
  </r>
  <r>
    <x v="953"/>
    <x v="686"/>
    <s v="Wednesday"/>
    <x v="5"/>
    <x v="2"/>
    <x v="906"/>
    <x v="906"/>
    <n v="0"/>
    <s v="+1 (479) 204-9111"/>
    <x v="321"/>
    <x v="0"/>
    <s v="No"/>
    <x v="8"/>
    <x v="0"/>
    <x v="0"/>
    <n v="0.35819999999999996"/>
    <x v="1"/>
    <n v="0.5"/>
    <n v="5.97"/>
    <x v="44"/>
    <n v="1.7909999999999999"/>
    <n v="6.0000000000000009"/>
  </r>
  <r>
    <x v="954"/>
    <x v="687"/>
    <s v="Friday"/>
    <x v="7"/>
    <x v="0"/>
    <x v="906"/>
    <x v="911"/>
    <n v="0"/>
    <s v="+1 (479) 204-9111"/>
    <x v="321"/>
    <x v="0"/>
    <s v="No"/>
    <x v="19"/>
    <x v="2"/>
    <x v="0"/>
    <n v="0.60749999999999993"/>
    <x v="4"/>
    <n v="0.5"/>
    <n v="6.75"/>
    <x v="25"/>
    <n v="2.4299999999999997"/>
    <n v="8.9999999999999982"/>
  </r>
  <r>
    <x v="955"/>
    <x v="629"/>
    <s v="Tuesday"/>
    <x v="3"/>
    <x v="1"/>
    <x v="911"/>
    <x v="912"/>
    <s v="njennyrq@bigcartel.com"/>
    <s v="+1 (562) 679-4750"/>
    <x v="127"/>
    <x v="0"/>
    <s v="No"/>
    <x v="9"/>
    <x v="2"/>
    <x v="2"/>
    <n v="0.89549999999999985"/>
    <x v="2"/>
    <n v="1"/>
    <n v="9.9499999999999993"/>
    <x v="138"/>
    <n v="0.89549999999999985"/>
    <n v="9"/>
  </r>
  <r>
    <x v="956"/>
    <x v="688"/>
    <s v="Thursday"/>
    <x v="7"/>
    <x v="3"/>
    <x v="912"/>
    <x v="913"/>
    <n v="0"/>
    <s v="+44 (810) 927-9266"/>
    <x v="282"/>
    <x v="2"/>
    <s v="Yes"/>
    <x v="18"/>
    <x v="1"/>
    <x v="0"/>
    <n v="0.45374999999999999"/>
    <x v="3"/>
    <n v="0.2"/>
    <n v="4.125"/>
    <x v="24"/>
    <n v="1.3612500000000001"/>
    <n v="11"/>
  </r>
  <r>
    <x v="957"/>
    <x v="689"/>
    <m/>
    <x v="12"/>
    <x v="4"/>
    <x v="913"/>
    <x v="914"/>
    <m/>
    <m/>
    <x v="375"/>
    <x v="3"/>
    <m/>
    <x v="48"/>
    <x v="4"/>
    <x v="3"/>
    <m/>
    <x v="6"/>
    <m/>
    <m/>
    <x v="197"/>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E38A01-B8B9-4A01-98B5-1FDCED727C0F}"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84:E89" firstHeaderRow="1" firstDataRow="1" firstDataCol="1"/>
  <pivotFields count="24">
    <pivotField showAll="0"/>
    <pivotField showAll="0"/>
    <pivotField showAll="0"/>
    <pivotField showAll="0"/>
    <pivotField axis="axisRow" showAll="0">
      <items count="6">
        <item x="0"/>
        <item x="3"/>
        <item x="1"/>
        <item x="2"/>
        <item h="1" x="4"/>
        <item t="default"/>
      </items>
    </pivotField>
    <pivotField showAll="0"/>
    <pivotField showAll="0"/>
    <pivotField showAll="0"/>
    <pivotField showAll="0"/>
    <pivotField showAll="0"/>
    <pivotField showAll="0"/>
    <pivotField showAll="0"/>
    <pivotField showAll="0"/>
    <pivotField showAll="0">
      <items count="6">
        <item x="2"/>
        <item x="1"/>
        <item x="3"/>
        <item x="0"/>
        <item x="4"/>
        <item t="default"/>
      </items>
    </pivotField>
    <pivotField showAll="0"/>
    <pivotField showAll="0"/>
    <pivotField showAll="0"/>
    <pivotField showAll="0"/>
    <pivotField showAll="0"/>
    <pivotField dataField="1" showAll="0"/>
    <pivotField showAll="0"/>
    <pivotField showAll="0"/>
    <pivotField showAll="0" defaultSubtotal="0"/>
    <pivotField showAll="0" defaultSubtotal="0"/>
  </pivotFields>
  <rowFields count="1">
    <field x="4"/>
  </rowFields>
  <rowItems count="5">
    <i>
      <x/>
    </i>
    <i>
      <x v="1"/>
    </i>
    <i>
      <x v="2"/>
    </i>
    <i>
      <x v="3"/>
    </i>
    <i t="grand">
      <x/>
    </i>
  </rowItems>
  <colItems count="1">
    <i/>
  </colItems>
  <dataFields count="1">
    <dataField name="Sum of Sales"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55E63E-817A-407E-9C0E-1478259C2BD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9:B64" firstHeaderRow="1" firstDataRow="1" firstDataCol="1"/>
  <pivotFields count="24">
    <pivotField showAll="0"/>
    <pivotField showAll="0"/>
    <pivotField showAll="0"/>
    <pivotField showAll="0"/>
    <pivotField showAll="0"/>
    <pivotField dataField="1" showAll="0"/>
    <pivotField showAll="0"/>
    <pivotField showAll="0"/>
    <pivotField showAll="0"/>
    <pivotField axis="axisRow" showAll="0" measureFilter="1">
      <items count="377">
        <item x="72"/>
        <item x="199"/>
        <item x="140"/>
        <item x="347"/>
        <item x="117"/>
        <item x="237"/>
        <item x="311"/>
        <item x="279"/>
        <item x="219"/>
        <item x="92"/>
        <item x="338"/>
        <item x="113"/>
        <item x="249"/>
        <item x="228"/>
        <item x="114"/>
        <item x="284"/>
        <item x="161"/>
        <item x="24"/>
        <item x="79"/>
        <item x="248"/>
        <item x="102"/>
        <item x="318"/>
        <item x="146"/>
        <item x="330"/>
        <item x="157"/>
        <item x="302"/>
        <item x="297"/>
        <item x="104"/>
        <item x="247"/>
        <item x="295"/>
        <item x="246"/>
        <item x="266"/>
        <item x="360"/>
        <item x="232"/>
        <item x="192"/>
        <item x="278"/>
        <item x="163"/>
        <item x="359"/>
        <item x="317"/>
        <item x="75"/>
        <item x="197"/>
        <item x="242"/>
        <item x="332"/>
        <item x="38"/>
        <item x="109"/>
        <item x="213"/>
        <item x="367"/>
        <item x="35"/>
        <item x="183"/>
        <item x="276"/>
        <item x="205"/>
        <item x="310"/>
        <item x="250"/>
        <item x="37"/>
        <item x="130"/>
        <item x="73"/>
        <item x="372"/>
        <item x="58"/>
        <item x="14"/>
        <item x="272"/>
        <item x="186"/>
        <item x="301"/>
        <item x="107"/>
        <item x="121"/>
        <item x="181"/>
        <item x="118"/>
        <item x="221"/>
        <item x="364"/>
        <item x="296"/>
        <item x="358"/>
        <item x="303"/>
        <item x="169"/>
        <item x="81"/>
        <item x="27"/>
        <item x="63"/>
        <item x="131"/>
        <item x="217"/>
        <item x="115"/>
        <item x="89"/>
        <item x="160"/>
        <item x="54"/>
        <item x="231"/>
        <item x="206"/>
        <item x="2"/>
        <item x="159"/>
        <item x="120"/>
        <item x="265"/>
        <item x="328"/>
        <item x="22"/>
        <item x="305"/>
        <item x="71"/>
        <item x="182"/>
        <item x="61"/>
        <item x="82"/>
        <item x="371"/>
        <item x="260"/>
        <item x="78"/>
        <item x="191"/>
        <item x="122"/>
        <item x="366"/>
        <item x="43"/>
        <item x="280"/>
        <item x="68"/>
        <item x="189"/>
        <item x="4"/>
        <item x="373"/>
        <item x="288"/>
        <item x="177"/>
        <item x="29"/>
        <item x="111"/>
        <item x="135"/>
        <item x="96"/>
        <item x="202"/>
        <item x="69"/>
        <item x="162"/>
        <item x="319"/>
        <item x="209"/>
        <item x="285"/>
        <item x="158"/>
        <item x="123"/>
        <item x="252"/>
        <item x="194"/>
        <item x="84"/>
        <item x="154"/>
        <item x="87"/>
        <item x="19"/>
        <item x="173"/>
        <item x="98"/>
        <item x="361"/>
        <item x="97"/>
        <item x="251"/>
        <item x="144"/>
        <item x="308"/>
        <item x="256"/>
        <item x="298"/>
        <item x="42"/>
        <item x="214"/>
        <item x="321"/>
        <item x="51"/>
        <item x="57"/>
        <item x="345"/>
        <item x="74"/>
        <item x="368"/>
        <item x="326"/>
        <item x="132"/>
        <item x="331"/>
        <item x="307"/>
        <item x="25"/>
        <item x="16"/>
        <item x="116"/>
        <item x="353"/>
        <item x="365"/>
        <item x="281"/>
        <item x="312"/>
        <item x="225"/>
        <item x="33"/>
        <item x="152"/>
        <item x="264"/>
        <item x="352"/>
        <item x="103"/>
        <item x="13"/>
        <item x="90"/>
        <item x="289"/>
        <item x="99"/>
        <item x="283"/>
        <item x="333"/>
        <item x="207"/>
        <item x="151"/>
        <item x="222"/>
        <item x="240"/>
        <item x="314"/>
        <item x="168"/>
        <item x="128"/>
        <item x="336"/>
        <item x="77"/>
        <item x="241"/>
        <item x="165"/>
        <item x="5"/>
        <item x="91"/>
        <item x="59"/>
        <item x="44"/>
        <item x="187"/>
        <item x="261"/>
        <item x="149"/>
        <item x="175"/>
        <item x="355"/>
        <item x="257"/>
        <item x="203"/>
        <item x="235"/>
        <item x="269"/>
        <item x="133"/>
        <item x="344"/>
        <item x="198"/>
        <item x="227"/>
        <item x="150"/>
        <item x="85"/>
        <item x="193"/>
        <item x="195"/>
        <item x="65"/>
        <item x="28"/>
        <item x="335"/>
        <item x="60"/>
        <item x="282"/>
        <item x="323"/>
        <item x="245"/>
        <item x="239"/>
        <item x="6"/>
        <item x="286"/>
        <item x="185"/>
        <item x="143"/>
        <item x="271"/>
        <item x="324"/>
        <item x="188"/>
        <item x="126"/>
        <item x="238"/>
        <item x="337"/>
        <item x="290"/>
        <item x="277"/>
        <item x="270"/>
        <item x="139"/>
        <item x="294"/>
        <item x="137"/>
        <item x="342"/>
        <item x="218"/>
        <item x="190"/>
        <item x="292"/>
        <item x="67"/>
        <item x="9"/>
        <item x="262"/>
        <item x="166"/>
        <item x="30"/>
        <item x="351"/>
        <item x="354"/>
        <item x="244"/>
        <item x="334"/>
        <item x="124"/>
        <item x="343"/>
        <item x="66"/>
        <item x="357"/>
        <item x="306"/>
        <item x="362"/>
        <item x="275"/>
        <item x="53"/>
        <item x="93"/>
        <item x="322"/>
        <item x="136"/>
        <item x="233"/>
        <item x="226"/>
        <item x="341"/>
        <item x="32"/>
        <item x="15"/>
        <item x="55"/>
        <item x="164"/>
        <item x="62"/>
        <item x="95"/>
        <item x="176"/>
        <item x="40"/>
        <item x="80"/>
        <item x="184"/>
        <item x="112"/>
        <item x="70"/>
        <item x="220"/>
        <item x="34"/>
        <item x="101"/>
        <item x="339"/>
        <item x="349"/>
        <item x="106"/>
        <item x="327"/>
        <item x="148"/>
        <item x="0"/>
        <item x="48"/>
        <item x="20"/>
        <item x="11"/>
        <item x="167"/>
        <item x="291"/>
        <item x="171"/>
        <item x="348"/>
        <item x="88"/>
        <item x="129"/>
        <item x="12"/>
        <item x="105"/>
        <item x="229"/>
        <item x="108"/>
        <item x="17"/>
        <item x="119"/>
        <item x="179"/>
        <item x="369"/>
        <item x="23"/>
        <item x="76"/>
        <item x="216"/>
        <item x="8"/>
        <item x="110"/>
        <item x="36"/>
        <item x="356"/>
        <item x="215"/>
        <item x="155"/>
        <item x="253"/>
        <item x="254"/>
        <item x="267"/>
        <item x="10"/>
        <item x="50"/>
        <item x="350"/>
        <item x="363"/>
        <item x="147"/>
        <item x="299"/>
        <item x="1"/>
        <item x="39"/>
        <item x="236"/>
        <item x="204"/>
        <item x="7"/>
        <item x="255"/>
        <item x="201"/>
        <item x="100"/>
        <item x="346"/>
        <item x="268"/>
        <item x="3"/>
        <item x="258"/>
        <item x="208"/>
        <item x="293"/>
        <item x="180"/>
        <item x="153"/>
        <item x="172"/>
        <item x="212"/>
        <item x="370"/>
        <item x="125"/>
        <item x="141"/>
        <item x="64"/>
        <item x="94"/>
        <item x="142"/>
        <item x="287"/>
        <item x="83"/>
        <item x="329"/>
        <item x="304"/>
        <item x="224"/>
        <item x="170"/>
        <item x="309"/>
        <item x="174"/>
        <item x="315"/>
        <item x="47"/>
        <item x="300"/>
        <item x="45"/>
        <item x="210"/>
        <item x="21"/>
        <item x="46"/>
        <item x="259"/>
        <item x="31"/>
        <item x="178"/>
        <item x="223"/>
        <item x="134"/>
        <item x="86"/>
        <item x="340"/>
        <item x="211"/>
        <item x="26"/>
        <item x="234"/>
        <item x="18"/>
        <item x="56"/>
        <item x="263"/>
        <item x="273"/>
        <item x="138"/>
        <item x="41"/>
        <item x="243"/>
        <item x="196"/>
        <item x="200"/>
        <item x="230"/>
        <item x="127"/>
        <item x="145"/>
        <item x="313"/>
        <item x="156"/>
        <item x="325"/>
        <item x="274"/>
        <item x="374"/>
        <item x="52"/>
        <item x="316"/>
        <item x="320"/>
        <item x="49"/>
        <item x="375"/>
        <item t="default"/>
      </items>
    </pivotField>
    <pivotField showAll="0"/>
    <pivotField showAll="0"/>
    <pivotField showAll="0"/>
    <pivotField showAll="0">
      <items count="6">
        <item x="2"/>
        <item x="1"/>
        <item x="3"/>
        <item x="0"/>
        <item x="4"/>
        <item t="default"/>
      </items>
    </pivotField>
    <pivotField showAll="0"/>
    <pivotField showAll="0"/>
    <pivotField showAll="0"/>
    <pivotField showAll="0"/>
    <pivotField showAll="0"/>
    <pivotField showAll="0"/>
    <pivotField showAll="0"/>
    <pivotField showAll="0"/>
    <pivotField showAll="0" defaultSubtotal="0"/>
    <pivotField showAll="0" defaultSubtotal="0"/>
  </pivotFields>
  <rowFields count="1">
    <field x="9"/>
  </rowFields>
  <rowItems count="15">
    <i>
      <x v="43"/>
    </i>
    <i>
      <x v="102"/>
    </i>
    <i>
      <x v="124"/>
    </i>
    <i>
      <x v="141"/>
    </i>
    <i>
      <x v="160"/>
    </i>
    <i>
      <x v="206"/>
    </i>
    <i>
      <x v="250"/>
    </i>
    <i>
      <x v="263"/>
    </i>
    <i>
      <x v="272"/>
    </i>
    <i>
      <x v="295"/>
    </i>
    <i>
      <x v="299"/>
    </i>
    <i>
      <x v="308"/>
    </i>
    <i>
      <x v="340"/>
    </i>
    <i>
      <x v="359"/>
    </i>
    <i t="grand">
      <x/>
    </i>
  </rowItems>
  <colItems count="1">
    <i/>
  </colItems>
  <dataFields count="1">
    <dataField name="Count of Customer ID" fld="5" subtotal="count" baseField="0" baseItem="0"/>
  </dataField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AAFCBA-895C-4FC2-9803-F8729247858B}"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91:M92" firstHeaderRow="1" firstDataRow="1" firstDataCol="0"/>
  <pivotFields count="24">
    <pivotField showAll="0"/>
    <pivotField showAll="0"/>
    <pivotField showAll="0"/>
    <pivotField showAll="0"/>
    <pivotField showAll="0">
      <items count="6">
        <item x="0"/>
        <item x="3"/>
        <item x="1"/>
        <item x="2"/>
        <item x="4"/>
        <item t="default"/>
      </items>
    </pivotField>
    <pivotField showAll="0"/>
    <pivotField showAll="0"/>
    <pivotField showAll="0"/>
    <pivotField showAll="0"/>
    <pivotField showAll="0"/>
    <pivotField showAll="0">
      <items count="5">
        <item x="1"/>
        <item x="2"/>
        <item x="0"/>
        <item x="3"/>
        <item t="default"/>
      </items>
    </pivotField>
    <pivotField showAll="0"/>
    <pivotField showAll="0"/>
    <pivotField showAll="0">
      <items count="6">
        <item x="2"/>
        <item x="1"/>
        <item x="3"/>
        <item x="0"/>
        <item x="4"/>
        <item t="default"/>
      </items>
    </pivotField>
    <pivotField showAll="0"/>
    <pivotField showAll="0"/>
    <pivotField showAll="0"/>
    <pivotField showAll="0"/>
    <pivotField showAll="0"/>
    <pivotField dataField="1" showAll="0"/>
    <pivotField showAll="0"/>
    <pivotField showAll="0"/>
    <pivotField showAll="0" defaultSubtotal="0"/>
    <pivotField showAll="0" defaultSubtotal="0"/>
  </pivotFields>
  <rowItems count="1">
    <i/>
  </rowItems>
  <colItems count="1">
    <i/>
  </colItems>
  <dataFields count="1">
    <dataField name="Sum of Sales"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13742C-C771-4BBF-96FB-CF516EC3479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3:F18" firstHeaderRow="1" firstDataRow="2" firstDataCol="1"/>
  <pivotFields count="24">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axis="axisRow" showAll="0">
      <items count="5">
        <item x="1"/>
        <item x="2"/>
        <item x="0"/>
        <item h="1" x="3"/>
        <item t="default"/>
      </items>
    </pivotField>
    <pivotField showAll="0"/>
    <pivotField showAll="0"/>
    <pivotField showAll="0">
      <items count="6">
        <item h="1" x="2"/>
        <item x="1"/>
        <item h="1" x="3"/>
        <item h="1" x="0"/>
        <item h="1" x="4"/>
        <item t="default"/>
      </items>
    </pivotField>
    <pivotField showAll="0"/>
    <pivotField showAll="0"/>
    <pivotField showAll="0"/>
    <pivotField showAll="0"/>
    <pivotField showAll="0"/>
    <pivotField dataField="1" showAll="0"/>
    <pivotField showAll="0"/>
    <pivotField showAll="0"/>
    <pivotField showAll="0" defaultSubtotal="0">
      <items count="6">
        <item sd="0" x="0"/>
        <item sd="0" x="1"/>
        <item sd="0" x="2"/>
        <item sd="0" x="3"/>
        <item sd="0" x="4"/>
        <item sd="0" x="5"/>
      </items>
    </pivotField>
    <pivotField axis="axisCol" showAll="0" defaultSubtotal="0">
      <items count="6">
        <item sd="0" x="0"/>
        <item sd="0" x="1"/>
        <item sd="0" x="2"/>
        <item sd="0" x="3"/>
        <item sd="0" x="4"/>
        <item sd="0" x="5"/>
      </items>
    </pivotField>
  </pivotFields>
  <rowFields count="1">
    <field x="10"/>
  </rowFields>
  <rowItems count="4">
    <i>
      <x/>
    </i>
    <i>
      <x v="1"/>
    </i>
    <i>
      <x v="2"/>
    </i>
    <i t="grand">
      <x/>
    </i>
  </rowItems>
  <colFields count="1">
    <field x="23"/>
  </colFields>
  <colItems count="5">
    <i>
      <x v="1"/>
    </i>
    <i>
      <x v="2"/>
    </i>
    <i>
      <x v="3"/>
    </i>
    <i>
      <x v="4"/>
    </i>
    <i t="grand">
      <x/>
    </i>
  </colItems>
  <dataFields count="1">
    <dataField name="Sum of Sales" fld="19" baseField="0" baseItem="0"/>
  </dataFields>
  <chartFormats count="4">
    <chartFormat chart="0" format="0" series="1">
      <pivotArea type="data" outline="0" fieldPosition="0">
        <references count="2">
          <reference field="4294967294" count="1" selected="0">
            <x v="0"/>
          </reference>
          <reference field="23" count="1" selected="0">
            <x v="1"/>
          </reference>
        </references>
      </pivotArea>
    </chartFormat>
    <chartFormat chart="0" format="1" series="1">
      <pivotArea type="data" outline="0" fieldPosition="0">
        <references count="2">
          <reference field="4294967294" count="1" selected="0">
            <x v="0"/>
          </reference>
          <reference field="23" count="1" selected="0">
            <x v="2"/>
          </reference>
        </references>
      </pivotArea>
    </chartFormat>
    <chartFormat chart="0" format="2" series="1">
      <pivotArea type="data" outline="0" fieldPosition="0">
        <references count="2">
          <reference field="4294967294" count="1" selected="0">
            <x v="0"/>
          </reference>
          <reference field="23" count="1" selected="0">
            <x v="3"/>
          </reference>
        </references>
      </pivotArea>
    </chartFormat>
    <chartFormat chart="0" format="3" series="1">
      <pivotArea type="data" outline="0" fieldPosition="0">
        <references count="2">
          <reference field="4294967294" count="1" selected="0">
            <x v="0"/>
          </reference>
          <reference field="2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CE00F5-484A-4068-B4B2-BBF48F32094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30:N34"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items count="5">
        <item x="1"/>
        <item x="2"/>
        <item x="0"/>
        <item x="3"/>
        <item t="default"/>
      </items>
    </pivotField>
    <pivotField showAll="0"/>
    <pivotField showAll="0"/>
    <pivotField showAll="0">
      <items count="6">
        <item x="2"/>
        <item x="1"/>
        <item x="3"/>
        <item x="0"/>
        <item x="4"/>
        <item t="default"/>
      </items>
    </pivotField>
    <pivotField axis="axisRow" showAll="0">
      <items count="5">
        <item x="2"/>
        <item x="1"/>
        <item x="0"/>
        <item h="1" x="3"/>
        <item t="default"/>
      </items>
    </pivotField>
    <pivotField showAll="0"/>
    <pivotField showAll="0"/>
    <pivotField showAll="0"/>
    <pivotField showAll="0"/>
    <pivotField dataField="1" showAll="0"/>
    <pivotField showAll="0"/>
    <pivotField showAll="0"/>
    <pivotField showAll="0" defaultSubtotal="0"/>
    <pivotField showAll="0" defaultSubtotal="0"/>
  </pivotFields>
  <rowFields count="1">
    <field x="14"/>
  </rowFields>
  <rowItems count="4">
    <i>
      <x/>
    </i>
    <i>
      <x v="1"/>
    </i>
    <i>
      <x v="2"/>
    </i>
    <i t="grand">
      <x/>
    </i>
  </rowItems>
  <colItems count="1">
    <i/>
  </colItems>
  <dataFields count="1">
    <dataField name="Sum of Sales" fld="1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C0C074-00D6-4B9B-AEBE-F05A53255524}"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3:B97" firstHeaderRow="1" firstDataRow="1" firstDataCol="1"/>
  <pivotFields count="24">
    <pivotField showAll="0"/>
    <pivotField showAll="0"/>
    <pivotField showAll="0"/>
    <pivotField axis="axisRow" showAll="0">
      <items count="14">
        <item x="4"/>
        <item x="10"/>
        <item x="6"/>
        <item x="8"/>
        <item x="5"/>
        <item x="1"/>
        <item x="2"/>
        <item x="3"/>
        <item x="0"/>
        <item x="7"/>
        <item x="11"/>
        <item x="9"/>
        <item x="12"/>
        <item t="default"/>
      </items>
    </pivotField>
    <pivotField showAll="0"/>
    <pivotField showAll="0"/>
    <pivotField dataField="1" showAll="0">
      <items count="916">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x="913"/>
        <item x="914"/>
        <item t="default"/>
      </items>
    </pivotField>
    <pivotField showAll="0"/>
    <pivotField showAll="0"/>
    <pivotField showAll="0"/>
    <pivotField showAll="0"/>
    <pivotField showAll="0"/>
    <pivotField showAll="0"/>
    <pivotField showAll="0">
      <items count="6">
        <item h="1" x="2"/>
        <item x="1"/>
        <item h="1" x="3"/>
        <item h="1" x="0"/>
        <item h="1" x="4"/>
        <item t="default"/>
      </items>
    </pivotField>
    <pivotField showAll="0"/>
    <pivotField showAll="0"/>
    <pivotField showAll="0"/>
    <pivotField showAll="0"/>
    <pivotField showAll="0"/>
    <pivotField showAll="0"/>
    <pivotField showAll="0"/>
    <pivotField showAll="0"/>
    <pivotField showAll="0" defaultSubtotal="0"/>
    <pivotField showAll="0" defaultSubtotal="0"/>
  </pivotFields>
  <rowFields count="1">
    <field x="3"/>
  </rowFields>
  <rowItems count="14">
    <i>
      <x/>
    </i>
    <i>
      <x v="1"/>
    </i>
    <i>
      <x v="2"/>
    </i>
    <i>
      <x v="3"/>
    </i>
    <i>
      <x v="4"/>
    </i>
    <i>
      <x v="5"/>
    </i>
    <i>
      <x v="6"/>
    </i>
    <i>
      <x v="7"/>
    </i>
    <i>
      <x v="8"/>
    </i>
    <i>
      <x v="9"/>
    </i>
    <i>
      <x v="10"/>
    </i>
    <i>
      <x v="11"/>
    </i>
    <i>
      <x v="12"/>
    </i>
    <i t="grand">
      <x/>
    </i>
  </rowItems>
  <colItems count="1">
    <i/>
  </colItems>
  <dataFields count="1">
    <dataField name="Count of CUSTOMER NAME"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00288AE-6B02-49CA-8516-C6DC954B791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4:B40" firstHeaderRow="1" firstDataRow="1" firstDataCol="1"/>
  <pivotFields count="24">
    <pivotField showAll="0"/>
    <pivotField showAll="0"/>
    <pivotField showAll="0"/>
    <pivotField showAll="0"/>
    <pivotField showAll="0"/>
    <pivotField showAll="0"/>
    <pivotField showAll="0"/>
    <pivotField showAll="0"/>
    <pivotField showAll="0"/>
    <pivotField axis="axisRow" showAll="0" measureFilter="1">
      <items count="377">
        <item x="72"/>
        <item x="199"/>
        <item x="140"/>
        <item x="347"/>
        <item x="117"/>
        <item x="237"/>
        <item x="311"/>
        <item x="279"/>
        <item x="219"/>
        <item x="92"/>
        <item x="338"/>
        <item x="113"/>
        <item x="249"/>
        <item x="228"/>
        <item x="114"/>
        <item x="284"/>
        <item x="161"/>
        <item x="24"/>
        <item x="79"/>
        <item x="248"/>
        <item x="102"/>
        <item x="318"/>
        <item x="146"/>
        <item x="330"/>
        <item x="157"/>
        <item x="302"/>
        <item x="297"/>
        <item x="104"/>
        <item x="247"/>
        <item x="295"/>
        <item x="246"/>
        <item x="266"/>
        <item x="360"/>
        <item x="232"/>
        <item x="192"/>
        <item x="278"/>
        <item x="163"/>
        <item x="359"/>
        <item x="317"/>
        <item x="75"/>
        <item x="197"/>
        <item x="242"/>
        <item x="332"/>
        <item x="38"/>
        <item x="109"/>
        <item x="213"/>
        <item x="367"/>
        <item x="35"/>
        <item x="183"/>
        <item x="276"/>
        <item x="205"/>
        <item x="310"/>
        <item x="250"/>
        <item x="37"/>
        <item x="130"/>
        <item x="73"/>
        <item x="372"/>
        <item x="58"/>
        <item x="14"/>
        <item x="272"/>
        <item x="186"/>
        <item x="301"/>
        <item x="107"/>
        <item x="121"/>
        <item x="181"/>
        <item x="118"/>
        <item x="221"/>
        <item x="364"/>
        <item x="296"/>
        <item x="358"/>
        <item x="303"/>
        <item x="169"/>
        <item x="81"/>
        <item x="27"/>
        <item x="63"/>
        <item x="131"/>
        <item x="217"/>
        <item x="115"/>
        <item x="89"/>
        <item x="160"/>
        <item x="54"/>
        <item x="231"/>
        <item x="206"/>
        <item x="2"/>
        <item x="159"/>
        <item x="120"/>
        <item x="265"/>
        <item x="328"/>
        <item x="22"/>
        <item x="305"/>
        <item x="71"/>
        <item x="182"/>
        <item x="61"/>
        <item x="82"/>
        <item x="371"/>
        <item x="260"/>
        <item x="78"/>
        <item x="191"/>
        <item x="122"/>
        <item x="366"/>
        <item x="43"/>
        <item x="280"/>
        <item x="68"/>
        <item x="189"/>
        <item x="4"/>
        <item x="373"/>
        <item x="288"/>
        <item x="177"/>
        <item x="29"/>
        <item x="111"/>
        <item x="135"/>
        <item x="96"/>
        <item x="202"/>
        <item x="69"/>
        <item x="162"/>
        <item x="319"/>
        <item x="209"/>
        <item x="285"/>
        <item x="158"/>
        <item x="123"/>
        <item x="252"/>
        <item x="194"/>
        <item x="84"/>
        <item x="154"/>
        <item x="87"/>
        <item x="19"/>
        <item x="173"/>
        <item x="98"/>
        <item x="361"/>
        <item x="97"/>
        <item x="251"/>
        <item x="144"/>
        <item x="308"/>
        <item x="256"/>
        <item x="298"/>
        <item x="42"/>
        <item x="214"/>
        <item x="321"/>
        <item x="51"/>
        <item x="57"/>
        <item x="345"/>
        <item x="74"/>
        <item x="368"/>
        <item x="326"/>
        <item x="132"/>
        <item x="331"/>
        <item x="307"/>
        <item x="25"/>
        <item x="16"/>
        <item x="116"/>
        <item x="353"/>
        <item x="365"/>
        <item x="281"/>
        <item x="312"/>
        <item x="225"/>
        <item x="33"/>
        <item x="152"/>
        <item x="264"/>
        <item x="352"/>
        <item x="103"/>
        <item x="13"/>
        <item x="90"/>
        <item x="289"/>
        <item x="99"/>
        <item x="283"/>
        <item x="333"/>
        <item x="207"/>
        <item x="151"/>
        <item x="222"/>
        <item x="240"/>
        <item x="314"/>
        <item x="168"/>
        <item x="128"/>
        <item x="336"/>
        <item x="77"/>
        <item x="241"/>
        <item x="165"/>
        <item x="5"/>
        <item x="91"/>
        <item x="59"/>
        <item x="44"/>
        <item x="187"/>
        <item x="261"/>
        <item x="149"/>
        <item x="175"/>
        <item x="355"/>
        <item x="257"/>
        <item x="203"/>
        <item x="235"/>
        <item x="269"/>
        <item x="133"/>
        <item x="344"/>
        <item x="198"/>
        <item x="227"/>
        <item x="150"/>
        <item x="85"/>
        <item x="193"/>
        <item x="195"/>
        <item x="65"/>
        <item x="28"/>
        <item x="335"/>
        <item x="60"/>
        <item x="282"/>
        <item x="323"/>
        <item x="245"/>
        <item x="239"/>
        <item x="6"/>
        <item x="286"/>
        <item x="185"/>
        <item x="143"/>
        <item x="271"/>
        <item x="324"/>
        <item x="188"/>
        <item x="126"/>
        <item x="238"/>
        <item x="337"/>
        <item x="290"/>
        <item x="277"/>
        <item x="270"/>
        <item x="139"/>
        <item x="294"/>
        <item x="137"/>
        <item x="342"/>
        <item x="218"/>
        <item x="190"/>
        <item x="292"/>
        <item x="67"/>
        <item x="9"/>
        <item x="262"/>
        <item x="166"/>
        <item x="30"/>
        <item x="351"/>
        <item x="354"/>
        <item x="244"/>
        <item x="334"/>
        <item x="124"/>
        <item x="343"/>
        <item x="66"/>
        <item x="357"/>
        <item x="306"/>
        <item x="362"/>
        <item x="275"/>
        <item x="53"/>
        <item x="93"/>
        <item x="322"/>
        <item x="136"/>
        <item x="233"/>
        <item x="226"/>
        <item x="341"/>
        <item x="32"/>
        <item x="15"/>
        <item x="55"/>
        <item x="164"/>
        <item x="62"/>
        <item x="95"/>
        <item x="176"/>
        <item x="40"/>
        <item x="80"/>
        <item x="184"/>
        <item x="112"/>
        <item x="70"/>
        <item x="220"/>
        <item x="34"/>
        <item x="101"/>
        <item x="339"/>
        <item x="349"/>
        <item x="106"/>
        <item x="327"/>
        <item x="148"/>
        <item x="0"/>
        <item x="48"/>
        <item x="20"/>
        <item x="11"/>
        <item x="167"/>
        <item x="291"/>
        <item x="171"/>
        <item x="348"/>
        <item x="88"/>
        <item x="129"/>
        <item x="12"/>
        <item x="105"/>
        <item x="229"/>
        <item x="108"/>
        <item x="17"/>
        <item x="119"/>
        <item x="179"/>
        <item x="369"/>
        <item x="23"/>
        <item x="76"/>
        <item x="216"/>
        <item x="8"/>
        <item x="110"/>
        <item x="36"/>
        <item x="356"/>
        <item x="215"/>
        <item x="155"/>
        <item x="253"/>
        <item x="254"/>
        <item x="267"/>
        <item x="10"/>
        <item x="50"/>
        <item x="350"/>
        <item x="363"/>
        <item x="147"/>
        <item x="299"/>
        <item x="1"/>
        <item x="39"/>
        <item x="236"/>
        <item x="204"/>
        <item x="7"/>
        <item x="255"/>
        <item x="201"/>
        <item x="100"/>
        <item x="346"/>
        <item x="268"/>
        <item x="3"/>
        <item x="258"/>
        <item x="208"/>
        <item x="293"/>
        <item x="180"/>
        <item x="153"/>
        <item x="172"/>
        <item x="212"/>
        <item x="370"/>
        <item x="125"/>
        <item x="141"/>
        <item x="64"/>
        <item x="94"/>
        <item x="142"/>
        <item x="287"/>
        <item x="83"/>
        <item x="329"/>
        <item x="304"/>
        <item x="224"/>
        <item x="170"/>
        <item x="309"/>
        <item x="174"/>
        <item x="315"/>
        <item x="47"/>
        <item x="300"/>
        <item x="45"/>
        <item x="210"/>
        <item x="21"/>
        <item x="46"/>
        <item x="259"/>
        <item x="31"/>
        <item x="178"/>
        <item x="223"/>
        <item x="134"/>
        <item x="86"/>
        <item x="340"/>
        <item x="211"/>
        <item x="26"/>
        <item x="234"/>
        <item x="18"/>
        <item x="56"/>
        <item x="263"/>
        <item x="273"/>
        <item x="138"/>
        <item x="41"/>
        <item x="243"/>
        <item x="196"/>
        <item x="200"/>
        <item x="230"/>
        <item x="127"/>
        <item x="145"/>
        <item x="313"/>
        <item x="156"/>
        <item x="325"/>
        <item x="274"/>
        <item x="374"/>
        <item x="52"/>
        <item x="316"/>
        <item x="320"/>
        <item x="49"/>
        <item x="375"/>
        <item t="default"/>
      </items>
    </pivotField>
    <pivotField showAll="0">
      <items count="5">
        <item x="1"/>
        <item x="2"/>
        <item x="0"/>
        <item x="3"/>
        <item t="default"/>
      </items>
    </pivotField>
    <pivotField showAll="0"/>
    <pivotField showAll="0"/>
    <pivotField showAll="0">
      <items count="6">
        <item x="2"/>
        <item x="1"/>
        <item x="3"/>
        <item x="0"/>
        <item x="4"/>
        <item t="default"/>
      </items>
    </pivotField>
    <pivotField showAll="0"/>
    <pivotField showAll="0"/>
    <pivotField showAll="0"/>
    <pivotField showAll="0"/>
    <pivotField showAll="0"/>
    <pivotField dataField="1" showAll="0">
      <items count="199">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 x="197"/>
        <item t="default"/>
      </items>
    </pivotField>
    <pivotField showAll="0"/>
    <pivotField showAll="0"/>
    <pivotField showAll="0" defaultSubtotal="0"/>
    <pivotField showAll="0" defaultSubtotal="0"/>
  </pivotFields>
  <rowFields count="1">
    <field x="9"/>
  </rowFields>
  <rowItems count="16">
    <i>
      <x v="2"/>
    </i>
    <i>
      <x v="27"/>
    </i>
    <i>
      <x v="43"/>
    </i>
    <i>
      <x v="102"/>
    </i>
    <i>
      <x v="124"/>
    </i>
    <i>
      <x v="139"/>
    </i>
    <i>
      <x v="160"/>
    </i>
    <i>
      <x v="250"/>
    </i>
    <i>
      <x v="263"/>
    </i>
    <i>
      <x v="272"/>
    </i>
    <i>
      <x v="279"/>
    </i>
    <i>
      <x v="290"/>
    </i>
    <i>
      <x v="295"/>
    </i>
    <i>
      <x v="340"/>
    </i>
    <i>
      <x v="359"/>
    </i>
    <i t="grand">
      <x/>
    </i>
  </rowItems>
  <colItems count="1">
    <i/>
  </colItems>
  <dataFields count="1">
    <dataField name="Sum of Sales" fld="1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2" iMeasureFld="0">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0DA97F1-73F7-406F-BEF5-D590B22B43B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59:E72" firstHeaderRow="1" firstDataRow="1" firstDataCol="1"/>
  <pivotFields count="24">
    <pivotField showAll="0"/>
    <pivotField showAll="0"/>
    <pivotField showAll="0"/>
    <pivotField axis="axisRow" showAll="0">
      <items count="14">
        <item x="4"/>
        <item x="10"/>
        <item x="6"/>
        <item x="8"/>
        <item x="5"/>
        <item x="1"/>
        <item x="2"/>
        <item x="3"/>
        <item x="0"/>
        <item x="7"/>
        <item x="11"/>
        <item x="9"/>
        <item h="1" x="12"/>
        <item t="default"/>
      </items>
    </pivotField>
    <pivotField showAll="0"/>
    <pivotField showAll="0"/>
    <pivotField showAll="0"/>
    <pivotField showAll="0"/>
    <pivotField showAll="0"/>
    <pivotField showAll="0"/>
    <pivotField showAll="0"/>
    <pivotField showAll="0"/>
    <pivotField showAll="0"/>
    <pivotField showAll="0">
      <items count="6">
        <item x="2"/>
        <item x="1"/>
        <item x="3"/>
        <item x="0"/>
        <item x="4"/>
        <item t="default"/>
      </items>
    </pivotField>
    <pivotField showAll="0"/>
    <pivotField showAll="0"/>
    <pivotField showAll="0"/>
    <pivotField showAll="0"/>
    <pivotField showAll="0"/>
    <pivotField dataField="1" showAll="0"/>
    <pivotField showAll="0"/>
    <pivotField showAll="0"/>
    <pivotField showAll="0" defaultSubtotal="0"/>
    <pivotField showAll="0" defaultSubtotal="0"/>
  </pivotFields>
  <rowFields count="1">
    <field x="3"/>
  </rowFields>
  <rowItems count="13">
    <i>
      <x/>
    </i>
    <i>
      <x v="1"/>
    </i>
    <i>
      <x v="2"/>
    </i>
    <i>
      <x v="3"/>
    </i>
    <i>
      <x v="4"/>
    </i>
    <i>
      <x v="5"/>
    </i>
    <i>
      <x v="6"/>
    </i>
    <i>
      <x v="7"/>
    </i>
    <i>
      <x v="8"/>
    </i>
    <i>
      <x v="9"/>
    </i>
    <i>
      <x v="10"/>
    </i>
    <i>
      <x v="11"/>
    </i>
    <i t="grand">
      <x/>
    </i>
  </rowItems>
  <colItems count="1">
    <i/>
  </colItems>
  <dataFields count="1">
    <dataField name="Sum of Sales"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7A64C5E-544D-4390-B48E-F973672DE8A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G10" firstHeaderRow="1" firstDataRow="2" firstDataCol="1"/>
  <pivotFields count="24">
    <pivotField showAll="0"/>
    <pivotField showAll="0">
      <items count="15">
        <item x="0"/>
        <item x="1"/>
        <item x="2"/>
        <item x="3"/>
        <item x="4"/>
        <item x="5"/>
        <item x="6"/>
        <item x="7"/>
        <item x="8"/>
        <item x="9"/>
        <item x="10"/>
        <item x="11"/>
        <item x="12"/>
        <item x="13"/>
        <item t="default"/>
      </items>
    </pivotField>
    <pivotField showAll="0"/>
    <pivotField showAll="0"/>
    <pivotField axis="axisCol" showAll="0">
      <items count="6">
        <item x="0"/>
        <item x="3"/>
        <item x="1"/>
        <item x="2"/>
        <item x="4"/>
        <item t="default"/>
      </items>
    </pivotField>
    <pivotField showAll="0"/>
    <pivotField showAll="0"/>
    <pivotField showAll="0"/>
    <pivotField showAll="0"/>
    <pivotField showAll="0"/>
    <pivotField showAll="0">
      <items count="5">
        <item x="1"/>
        <item x="2"/>
        <item x="0"/>
        <item x="3"/>
        <item t="default"/>
      </items>
    </pivotField>
    <pivotField showAll="0"/>
    <pivotField showAll="0"/>
    <pivotField axis="axisRow" showAll="0">
      <items count="6">
        <item x="2"/>
        <item x="1"/>
        <item x="3"/>
        <item x="0"/>
        <item x="4"/>
        <item t="default"/>
      </items>
    </pivotField>
    <pivotField showAll="0"/>
    <pivotField showAll="0"/>
    <pivotField showAll="0"/>
    <pivotField showAll="0"/>
    <pivotField showAll="0"/>
    <pivotField dataField="1" showAll="0"/>
    <pivotField showAll="0"/>
    <pivotField showAll="0"/>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3"/>
  </rowFields>
  <rowItems count="6">
    <i>
      <x/>
    </i>
    <i>
      <x v="1"/>
    </i>
    <i>
      <x v="2"/>
    </i>
    <i>
      <x v="3"/>
    </i>
    <i>
      <x v="4"/>
    </i>
    <i t="grand">
      <x/>
    </i>
  </rowItems>
  <colFields count="1">
    <field x="4"/>
  </colFields>
  <colItems count="6">
    <i>
      <x/>
    </i>
    <i>
      <x v="1"/>
    </i>
    <i>
      <x v="2"/>
    </i>
    <i>
      <x v="3"/>
    </i>
    <i>
      <x v="4"/>
    </i>
    <i t="grand">
      <x/>
    </i>
  </colItems>
  <dataFields count="1">
    <dataField name="Sum of Sales" fld="19" baseField="0" baseItem="0"/>
  </dataFields>
  <chartFormats count="10">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2" format="8" series="1">
      <pivotArea type="data" outline="0" fieldPosition="0">
        <references count="2">
          <reference field="4294967294" count="1" selected="0">
            <x v="0"/>
          </reference>
          <reference field="4" count="1" selected="0">
            <x v="0"/>
          </reference>
        </references>
      </pivotArea>
    </chartFormat>
    <chartFormat chart="2" format="9" series="1">
      <pivotArea type="data" outline="0" fieldPosition="0">
        <references count="2">
          <reference field="4294967294" count="1" selected="0">
            <x v="0"/>
          </reference>
          <reference field="4" count="1" selected="0">
            <x v="1"/>
          </reference>
        </references>
      </pivotArea>
    </chartFormat>
    <chartFormat chart="2" format="10" series="1">
      <pivotArea type="data" outline="0" fieldPosition="0">
        <references count="2">
          <reference field="4294967294" count="1" selected="0">
            <x v="0"/>
          </reference>
          <reference field="4" count="1" selected="0">
            <x v="2"/>
          </reference>
        </references>
      </pivotArea>
    </chartFormat>
    <chartFormat chart="2" format="11" series="1">
      <pivotArea type="data" outline="0" fieldPosition="0">
        <references count="2">
          <reference field="4294967294" count="1" selected="0">
            <x v="0"/>
          </reference>
          <reference field="4" count="1" selected="0">
            <x v="3"/>
          </reference>
        </references>
      </pivotArea>
    </chartFormat>
    <chartFormat chart="2" format="12" series="1">
      <pivotArea type="data" outline="0" fieldPosition="0">
        <references count="2">
          <reference field="4294967294" count="1" selected="0">
            <x v="0"/>
          </reference>
          <reference field="4" count="1" selected="0">
            <x v="4"/>
          </reference>
        </references>
      </pivotArea>
    </chartFormat>
    <chartFormat chart="0" format="4" series="1">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C8C88F2-5E8C-4C5E-8444-E0C007840D1E}"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05:L106" firstHeaderRow="1" firstDataRow="1" firstDataCol="0"/>
  <pivotFields count="24">
    <pivotField showAll="0"/>
    <pivotField showAll="0"/>
    <pivotField showAll="0"/>
    <pivotField showAll="0"/>
    <pivotField showAll="0">
      <items count="6">
        <item x="0"/>
        <item x="3"/>
        <item x="1"/>
        <item x="2"/>
        <item x="4"/>
        <item t="default"/>
      </items>
    </pivotField>
    <pivotField showAll="0"/>
    <pivotField dataField="1" showAll="0">
      <items count="916">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x="913"/>
        <item x="914"/>
        <item t="default"/>
      </items>
    </pivotField>
    <pivotField showAll="0"/>
    <pivotField showAll="0"/>
    <pivotField showAll="0"/>
    <pivotField showAll="0">
      <items count="5">
        <item x="1"/>
        <item x="2"/>
        <item x="0"/>
        <item x="3"/>
        <item t="default"/>
      </items>
    </pivotField>
    <pivotField showAll="0"/>
    <pivotField showAll="0"/>
    <pivotField showAll="0">
      <items count="6">
        <item x="2"/>
        <item x="1"/>
        <item x="3"/>
        <item x="0"/>
        <item x="4"/>
        <item t="default"/>
      </items>
    </pivotField>
    <pivotField showAll="0"/>
    <pivotField showAll="0"/>
    <pivotField showAll="0"/>
    <pivotField showAll="0"/>
    <pivotField showAll="0"/>
    <pivotField showAll="0"/>
    <pivotField showAll="0"/>
    <pivotField showAll="0"/>
    <pivotField showAll="0" defaultSubtotal="0"/>
    <pivotField showAll="0" defaultSubtotal="0"/>
  </pivotFields>
  <rowItems count="1">
    <i/>
  </rowItems>
  <colItems count="1">
    <i/>
  </colItems>
  <dataFields count="1">
    <dataField name="Count of CUSTOMER NAME"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E165506-FC1C-4717-BB71-E8FA74D479C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49:E55" firstHeaderRow="1" firstDataRow="1" firstDataCol="1"/>
  <pivotFields count="24">
    <pivotField showAll="0">
      <items count="959">
        <item x="724"/>
        <item x="789"/>
        <item x="158"/>
        <item x="406"/>
        <item x="533"/>
        <item x="419"/>
        <item x="293"/>
        <item x="953"/>
        <item x="656"/>
        <item x="737"/>
        <item x="225"/>
        <item x="649"/>
        <item x="681"/>
        <item x="99"/>
        <item x="435"/>
        <item x="102"/>
        <item x="211"/>
        <item x="936"/>
        <item x="618"/>
        <item x="476"/>
        <item x="340"/>
        <item x="30"/>
        <item x="140"/>
        <item x="604"/>
        <item x="61"/>
        <item x="786"/>
        <item x="490"/>
        <item x="752"/>
        <item x="743"/>
        <item x="673"/>
        <item x="693"/>
        <item x="194"/>
        <item x="804"/>
        <item x="817"/>
        <item x="456"/>
        <item x="860"/>
        <item x="70"/>
        <item x="575"/>
        <item x="250"/>
        <item x="605"/>
        <item x="514"/>
        <item x="163"/>
        <item x="440"/>
        <item x="762"/>
        <item x="504"/>
        <item x="850"/>
        <item x="222"/>
        <item x="8"/>
        <item x="90"/>
        <item x="676"/>
        <item x="204"/>
        <item x="551"/>
        <item x="394"/>
        <item x="727"/>
        <item x="200"/>
        <item x="355"/>
        <item x="187"/>
        <item x="602"/>
        <item x="500"/>
        <item x="214"/>
        <item x="564"/>
        <item x="235"/>
        <item x="810"/>
        <item x="706"/>
        <item x="103"/>
        <item x="837"/>
        <item x="219"/>
        <item x="441"/>
        <item x="377"/>
        <item x="178"/>
        <item x="610"/>
        <item x="874"/>
        <item x="480"/>
        <item x="896"/>
        <item x="154"/>
        <item x="269"/>
        <item x="740"/>
        <item x="846"/>
        <item x="425"/>
        <item x="152"/>
        <item x="213"/>
        <item x="697"/>
        <item x="323"/>
        <item x="25"/>
        <item x="826"/>
        <item x="166"/>
        <item x="616"/>
        <item x="771"/>
        <item x="777"/>
        <item x="306"/>
        <item x="202"/>
        <item x="548"/>
        <item x="509"/>
        <item x="646"/>
        <item x="463"/>
        <item x="256"/>
        <item x="75"/>
        <item x="685"/>
        <item x="291"/>
        <item x="606"/>
        <item x="478"/>
        <item x="531"/>
        <item x="447"/>
        <item x="593"/>
        <item x="735"/>
        <item x="3"/>
        <item x="50"/>
        <item x="672"/>
        <item x="418"/>
        <item x="283"/>
        <item x="402"/>
        <item x="518"/>
        <item x="120"/>
        <item x="655"/>
        <item x="906"/>
        <item x="680"/>
        <item x="704"/>
        <item x="902"/>
        <item x="300"/>
        <item x="635"/>
        <item x="92"/>
        <item x="43"/>
        <item x="879"/>
        <item x="722"/>
        <item x="180"/>
        <item x="511"/>
        <item x="273"/>
        <item x="138"/>
        <item x="244"/>
        <item x="491"/>
        <item x="348"/>
        <item x="85"/>
        <item x="309"/>
        <item x="333"/>
        <item x="368"/>
        <item x="382"/>
        <item x="41"/>
        <item x="243"/>
        <item x="334"/>
        <item x="827"/>
        <item x="871"/>
        <item x="369"/>
        <item x="497"/>
        <item x="318"/>
        <item x="520"/>
        <item x="569"/>
        <item x="927"/>
        <item x="948"/>
        <item x="383"/>
        <item x="322"/>
        <item x="925"/>
        <item x="46"/>
        <item x="835"/>
        <item x="601"/>
        <item x="876"/>
        <item x="451"/>
        <item x="585"/>
        <item x="807"/>
        <item x="867"/>
        <item x="545"/>
        <item x="699"/>
        <item x="51"/>
        <item x="56"/>
        <item x="270"/>
        <item x="386"/>
        <item x="674"/>
        <item x="448"/>
        <item x="155"/>
        <item x="717"/>
        <item x="134"/>
        <item x="156"/>
        <item x="373"/>
        <item x="736"/>
        <item x="302"/>
        <item x="223"/>
        <item x="469"/>
        <item x="849"/>
        <item x="151"/>
        <item x="170"/>
        <item x="434"/>
        <item x="367"/>
        <item x="174"/>
        <item x="894"/>
        <item x="624"/>
        <item x="882"/>
        <item x="352"/>
        <item x="255"/>
        <item x="557"/>
        <item x="89"/>
        <item x="473"/>
        <item x="23"/>
        <item x="598"/>
        <item x="212"/>
        <item x="663"/>
        <item x="652"/>
        <item x="644"/>
        <item x="6"/>
        <item x="1"/>
        <item x="547"/>
        <item x="470"/>
        <item x="890"/>
        <item x="930"/>
        <item x="315"/>
        <item x="455"/>
        <item x="20"/>
        <item x="341"/>
        <item x="513"/>
        <item x="833"/>
        <item x="93"/>
        <item x="764"/>
        <item x="508"/>
        <item x="339"/>
        <item x="168"/>
        <item x="742"/>
        <item x="241"/>
        <item x="503"/>
        <item x="384"/>
        <item x="745"/>
        <item x="227"/>
        <item x="186"/>
        <item x="747"/>
        <item x="356"/>
        <item x="354"/>
        <item x="696"/>
        <item x="842"/>
        <item x="784"/>
        <item x="623"/>
        <item x="13"/>
        <item x="422"/>
        <item x="65"/>
        <item x="944"/>
        <item x="488"/>
        <item x="630"/>
        <item x="29"/>
        <item x="237"/>
        <item x="124"/>
        <item x="955"/>
        <item x="327"/>
        <item x="375"/>
        <item x="271"/>
        <item x="591"/>
        <item x="946"/>
        <item x="305"/>
        <item x="12"/>
        <item x="287"/>
        <item x="113"/>
        <item x="117"/>
        <item x="104"/>
        <item x="790"/>
        <item x="349"/>
        <item x="37"/>
        <item x="924"/>
        <item x="845"/>
        <item x="941"/>
        <item x="555"/>
        <item x="910"/>
        <item x="246"/>
        <item x="197"/>
        <item x="450"/>
        <item x="756"/>
        <item x="917"/>
        <item x="431"/>
        <item x="720"/>
        <item x="474"/>
        <item x="351"/>
        <item x="776"/>
        <item x="878"/>
        <item x="157"/>
        <item x="33"/>
        <item x="345"/>
        <item x="915"/>
        <item x="409"/>
        <item x="805"/>
        <item x="319"/>
        <item x="794"/>
        <item x="831"/>
        <item x="931"/>
        <item x="542"/>
        <item x="401"/>
        <item x="263"/>
        <item x="39"/>
        <item x="823"/>
        <item x="94"/>
        <item x="848"/>
        <item x="622"/>
        <item x="452"/>
        <item x="395"/>
        <item x="923"/>
        <item x="53"/>
        <item x="634"/>
        <item x="72"/>
        <item x="260"/>
        <item x="229"/>
        <item x="628"/>
        <item x="184"/>
        <item x="78"/>
        <item x="633"/>
        <item x="308"/>
        <item x="532"/>
        <item x="393"/>
        <item x="582"/>
        <item x="381"/>
        <item x="17"/>
        <item x="467"/>
        <item x="239"/>
        <item x="608"/>
        <item x="81"/>
        <item x="251"/>
        <item x="859"/>
        <item x="868"/>
        <item x="856"/>
        <item x="411"/>
        <item x="797"/>
        <item x="181"/>
        <item x="813"/>
        <item x="328"/>
        <item x="236"/>
        <item x="546"/>
        <item x="484"/>
        <item x="4"/>
        <item x="161"/>
        <item x="956"/>
        <item x="933"/>
        <item x="461"/>
        <item x="226"/>
        <item x="87"/>
        <item x="11"/>
        <item x="729"/>
        <item x="498"/>
        <item x="607"/>
        <item x="682"/>
        <item x="765"/>
        <item x="424"/>
        <item x="728"/>
        <item x="587"/>
        <item x="268"/>
        <item x="208"/>
        <item x="284"/>
        <item x="148"/>
        <item x="492"/>
        <item x="295"/>
        <item x="133"/>
        <item x="648"/>
        <item x="297"/>
        <item x="264"/>
        <item x="359"/>
        <item x="900"/>
        <item x="63"/>
        <item x="477"/>
        <item x="221"/>
        <item x="639"/>
        <item x="811"/>
        <item x="408"/>
        <item x="216"/>
        <item x="919"/>
        <item x="791"/>
        <item x="118"/>
        <item x="331"/>
        <item x="142"/>
        <item x="726"/>
        <item x="399"/>
        <item x="494"/>
        <item x="290"/>
        <item x="405"/>
        <item x="130"/>
        <item x="614"/>
        <item x="217"/>
        <item x="337"/>
        <item x="626"/>
        <item x="589"/>
        <item x="392"/>
        <item x="2"/>
        <item x="502"/>
        <item x="857"/>
        <item x="460"/>
        <item x="899"/>
        <item x="675"/>
        <item x="677"/>
        <item x="661"/>
        <item x="446"/>
        <item x="774"/>
        <item x="884"/>
        <item x="778"/>
        <item x="723"/>
        <item x="249"/>
        <item x="918"/>
        <item x="397"/>
        <item x="705"/>
        <item x="798"/>
        <item x="788"/>
        <item x="949"/>
        <item x="48"/>
        <item x="489"/>
        <item x="182"/>
        <item x="603"/>
        <item x="843"/>
        <item x="288"/>
        <item x="939"/>
        <item x="861"/>
        <item x="76"/>
        <item x="453"/>
        <item x="64"/>
        <item x="278"/>
        <item x="218"/>
        <item x="387"/>
        <item x="203"/>
        <item x="88"/>
        <item x="378"/>
        <item x="852"/>
        <item x="841"/>
        <item x="698"/>
        <item x="67"/>
        <item x="32"/>
        <item x="571"/>
        <item x="58"/>
        <item x="943"/>
        <item x="708"/>
        <item x="443"/>
        <item x="609"/>
        <item x="465"/>
        <item x="132"/>
        <item x="741"/>
        <item x="310"/>
        <item x="95"/>
        <item x="49"/>
        <item x="466"/>
        <item x="266"/>
        <item x="658"/>
        <item x="934"/>
        <item x="238"/>
        <item x="731"/>
        <item x="577"/>
        <item x="35"/>
        <item x="507"/>
        <item x="725"/>
        <item x="897"/>
        <item x="684"/>
        <item x="768"/>
        <item x="901"/>
        <item x="272"/>
        <item x="692"/>
        <item x="472"/>
        <item x="370"/>
        <item x="487"/>
        <item x="257"/>
        <item x="515"/>
        <item x="147"/>
        <item x="872"/>
        <item x="526"/>
        <item x="560"/>
        <item x="110"/>
        <item x="775"/>
        <item x="660"/>
        <item x="462"/>
        <item x="838"/>
        <item x="669"/>
        <item x="733"/>
        <item x="629"/>
        <item x="579"/>
        <item x="292"/>
        <item x="97"/>
        <item x="332"/>
        <item x="792"/>
        <item x="267"/>
        <item x="311"/>
        <item x="107"/>
        <item x="242"/>
        <item x="230"/>
        <item x="615"/>
        <item x="567"/>
        <item x="839"/>
        <item x="938"/>
        <item x="115"/>
        <item x="109"/>
        <item x="574"/>
        <item x="814"/>
        <item x="625"/>
        <item x="521"/>
        <item x="916"/>
        <item x="153"/>
        <item x="537"/>
        <item x="517"/>
        <item x="873"/>
        <item x="141"/>
        <item x="588"/>
        <item x="893"/>
        <item x="83"/>
        <item x="428"/>
        <item x="885"/>
        <item x="144"/>
        <item x="793"/>
        <item x="454"/>
        <item x="749"/>
        <item x="265"/>
        <item x="787"/>
        <item x="281"/>
        <item x="641"/>
        <item x="185"/>
        <item x="527"/>
        <item x="559"/>
        <item x="647"/>
        <item x="539"/>
        <item x="840"/>
        <item x="101"/>
        <item x="18"/>
        <item x="719"/>
        <item x="404"/>
        <item x="7"/>
        <item x="169"/>
        <item x="937"/>
        <item x="892"/>
        <item x="247"/>
        <item x="664"/>
        <item x="325"/>
        <item x="642"/>
        <item x="766"/>
        <item x="617"/>
        <item x="891"/>
        <item x="844"/>
        <item x="516"/>
        <item x="34"/>
        <item x="234"/>
        <item x="353"/>
        <item x="510"/>
        <item x="254"/>
        <item x="583"/>
        <item x="913"/>
        <item x="553"/>
        <item x="119"/>
        <item x="758"/>
        <item x="350"/>
        <item x="586"/>
        <item x="525"/>
        <item x="888"/>
        <item x="566"/>
        <item x="898"/>
        <item x="836"/>
        <item x="191"/>
        <item x="91"/>
        <item x="947"/>
        <item x="307"/>
        <item x="909"/>
        <item x="336"/>
        <item x="245"/>
        <item x="570"/>
        <item x="313"/>
        <item x="653"/>
        <item x="637"/>
        <item x="304"/>
        <item x="22"/>
        <item x="321"/>
        <item x="522"/>
        <item x="688"/>
        <item x="550"/>
        <item x="760"/>
        <item x="863"/>
        <item x="576"/>
        <item x="830"/>
        <item x="854"/>
        <item x="914"/>
        <item x="886"/>
        <item x="713"/>
        <item x="421"/>
        <item x="600"/>
        <item x="426"/>
        <item x="177"/>
        <item x="363"/>
        <item x="709"/>
        <item x="534"/>
        <item x="932"/>
        <item x="129"/>
        <item x="44"/>
        <item x="196"/>
        <item x="286"/>
        <item x="209"/>
        <item x="439"/>
        <item x="667"/>
        <item x="926"/>
        <item x="201"/>
        <item x="128"/>
        <item x="595"/>
        <item x="905"/>
        <item x="366"/>
        <item x="407"/>
        <item x="858"/>
        <item x="414"/>
        <item x="116"/>
        <item x="0"/>
        <item x="438"/>
        <item x="326"/>
        <item x="668"/>
        <item x="114"/>
        <item x="275"/>
        <item x="671"/>
        <item x="71"/>
        <item x="136"/>
        <item x="317"/>
        <item x="865"/>
        <item x="175"/>
        <item x="199"/>
        <item x="173"/>
        <item x="390"/>
        <item x="880"/>
        <item x="252"/>
        <item x="31"/>
        <item x="127"/>
        <item x="657"/>
        <item x="799"/>
        <item x="769"/>
        <item x="552"/>
        <item x="785"/>
        <item x="160"/>
        <item x="289"/>
        <item x="15"/>
        <item x="210"/>
        <item x="904"/>
        <item x="111"/>
        <item x="220"/>
        <item x="703"/>
        <item x="398"/>
        <item x="581"/>
        <item x="818"/>
        <item x="750"/>
        <item x="301"/>
        <item x="362"/>
        <item x="486"/>
        <item x="952"/>
        <item x="192"/>
        <item x="167"/>
        <item x="296"/>
        <item x="84"/>
        <item x="66"/>
        <item x="68"/>
        <item x="420"/>
        <item x="739"/>
        <item x="449"/>
        <item x="415"/>
        <item x="883"/>
        <item x="816"/>
        <item x="430"/>
        <item x="57"/>
        <item x="60"/>
        <item x="464"/>
        <item x="828"/>
        <item x="342"/>
        <item x="592"/>
        <item x="26"/>
        <item x="662"/>
        <item x="344"/>
        <item x="611"/>
        <item x="172"/>
        <item x="795"/>
        <item x="259"/>
        <item x="432"/>
        <item x="761"/>
        <item x="28"/>
        <item x="343"/>
        <item x="659"/>
        <item x="689"/>
        <item x="193"/>
        <item x="782"/>
        <item x="820"/>
        <item x="258"/>
        <item x="945"/>
        <item x="224"/>
        <item x="554"/>
        <item x="314"/>
        <item x="632"/>
        <item x="911"/>
        <item x="280"/>
        <item x="710"/>
        <item x="240"/>
        <item x="479"/>
        <item x="347"/>
        <item x="701"/>
        <item x="940"/>
        <item x="5"/>
        <item x="678"/>
        <item x="686"/>
        <item x="536"/>
        <item x="413"/>
        <item x="800"/>
        <item x="950"/>
        <item x="74"/>
        <item x="702"/>
        <item x="403"/>
        <item x="429"/>
        <item x="694"/>
        <item x="821"/>
        <item x="864"/>
        <item x="298"/>
        <item x="410"/>
        <item x="10"/>
        <item x="851"/>
        <item x="670"/>
        <item x="754"/>
        <item x="690"/>
        <item x="572"/>
        <item x="528"/>
        <item x="707"/>
        <item x="376"/>
        <item x="16"/>
        <item x="929"/>
        <item x="691"/>
        <item x="324"/>
        <item x="866"/>
        <item x="146"/>
        <item x="666"/>
        <item x="738"/>
        <item x="59"/>
        <item x="442"/>
        <item x="190"/>
        <item x="711"/>
        <item x="112"/>
        <item x="159"/>
        <item x="21"/>
        <item x="149"/>
        <item x="189"/>
        <item x="207"/>
        <item x="889"/>
        <item x="475"/>
        <item x="391"/>
        <item x="371"/>
        <item x="573"/>
        <item x="715"/>
        <item x="815"/>
        <item x="584"/>
        <item x="825"/>
        <item x="471"/>
        <item x="935"/>
        <item x="654"/>
        <item x="922"/>
        <item x="755"/>
        <item x="753"/>
        <item x="613"/>
        <item x="379"/>
        <item x="907"/>
        <item x="458"/>
        <item x="365"/>
        <item x="171"/>
        <item x="52"/>
        <item x="716"/>
        <item x="150"/>
        <item x="380"/>
        <item x="597"/>
        <item x="783"/>
        <item x="734"/>
        <item x="335"/>
        <item x="802"/>
        <item x="887"/>
        <item x="829"/>
        <item x="877"/>
        <item x="580"/>
        <item x="824"/>
        <item x="303"/>
        <item x="763"/>
        <item x="803"/>
        <item x="433"/>
        <item x="279"/>
        <item x="38"/>
        <item x="640"/>
        <item x="767"/>
        <item x="954"/>
        <item x="578"/>
        <item x="638"/>
        <item x="98"/>
        <item x="568"/>
        <item x="556"/>
        <item x="853"/>
        <item x="558"/>
        <item x="870"/>
        <item x="912"/>
        <item x="19"/>
        <item x="700"/>
        <item x="620"/>
        <item x="423"/>
        <item x="561"/>
        <item x="751"/>
        <item x="231"/>
        <item x="14"/>
        <item x="695"/>
        <item x="122"/>
        <item x="162"/>
        <item x="636"/>
        <item x="562"/>
        <item x="205"/>
        <item x="759"/>
        <item x="599"/>
        <item x="459"/>
        <item x="444"/>
        <item x="417"/>
        <item x="145"/>
        <item x="862"/>
        <item x="82"/>
        <item x="42"/>
        <item x="233"/>
        <item x="687"/>
        <item x="495"/>
        <item x="9"/>
        <item x="358"/>
        <item x="565"/>
        <item x="183"/>
        <item x="389"/>
        <item x="801"/>
        <item x="535"/>
        <item x="228"/>
        <item x="496"/>
        <item x="123"/>
        <item x="809"/>
        <item x="781"/>
        <item x="780"/>
        <item x="360"/>
        <item x="139"/>
        <item x="248"/>
        <item x="96"/>
        <item x="24"/>
        <item x="757"/>
        <item x="277"/>
        <item x="806"/>
        <item x="253"/>
        <item x="512"/>
        <item x="372"/>
        <item x="108"/>
        <item x="176"/>
        <item x="847"/>
        <item x="819"/>
        <item x="881"/>
        <item x="903"/>
        <item x="541"/>
        <item x="285"/>
        <item x="908"/>
        <item x="631"/>
        <item x="665"/>
        <item x="206"/>
        <item x="388"/>
        <item x="69"/>
        <item x="643"/>
        <item x="188"/>
        <item x="619"/>
        <item x="651"/>
        <item x="400"/>
        <item x="27"/>
        <item x="164"/>
        <item x="834"/>
        <item x="612"/>
        <item x="121"/>
        <item x="73"/>
        <item x="416"/>
        <item x="714"/>
        <item x="519"/>
        <item x="361"/>
        <item x="770"/>
        <item x="483"/>
        <item x="942"/>
        <item x="338"/>
        <item x="135"/>
        <item x="316"/>
        <item x="62"/>
        <item x="54"/>
        <item x="274"/>
        <item x="951"/>
        <item x="523"/>
        <item x="427"/>
        <item x="855"/>
        <item x="481"/>
        <item x="412"/>
        <item x="40"/>
        <item x="808"/>
        <item x="105"/>
        <item x="45"/>
        <item x="895"/>
        <item x="627"/>
        <item x="364"/>
        <item x="505"/>
        <item x="330"/>
        <item x="772"/>
        <item x="77"/>
        <item x="538"/>
        <item x="530"/>
        <item x="540"/>
        <item x="596"/>
        <item x="100"/>
        <item x="594"/>
        <item x="543"/>
        <item x="679"/>
        <item x="312"/>
        <item x="261"/>
        <item x="36"/>
        <item x="262"/>
        <item x="79"/>
        <item x="563"/>
        <item x="796"/>
        <item x="501"/>
        <item x="779"/>
        <item x="329"/>
        <item x="499"/>
        <item x="544"/>
        <item x="143"/>
        <item x="215"/>
        <item x="179"/>
        <item x="106"/>
        <item x="47"/>
        <item x="822"/>
        <item x="282"/>
        <item x="920"/>
        <item x="232"/>
        <item x="744"/>
        <item x="396"/>
        <item x="875"/>
        <item x="721"/>
        <item x="773"/>
        <item x="683"/>
        <item x="385"/>
        <item x="320"/>
        <item x="485"/>
        <item x="198"/>
        <item x="195"/>
        <item x="529"/>
        <item x="549"/>
        <item x="748"/>
        <item x="921"/>
        <item x="86"/>
        <item x="832"/>
        <item x="712"/>
        <item x="346"/>
        <item x="357"/>
        <item x="524"/>
        <item x="621"/>
        <item x="468"/>
        <item x="437"/>
        <item x="928"/>
        <item x="80"/>
        <item x="276"/>
        <item x="718"/>
        <item x="126"/>
        <item x="299"/>
        <item x="125"/>
        <item x="294"/>
        <item x="730"/>
        <item x="493"/>
        <item x="131"/>
        <item x="812"/>
        <item x="869"/>
        <item x="590"/>
        <item x="457"/>
        <item x="436"/>
        <item x="650"/>
        <item x="506"/>
        <item x="482"/>
        <item x="746"/>
        <item x="445"/>
        <item x="732"/>
        <item x="137"/>
        <item x="165"/>
        <item x="55"/>
        <item x="645"/>
        <item x="374"/>
        <item x="957"/>
        <item t="default"/>
      </items>
    </pivotField>
    <pivotField showAll="0"/>
    <pivotField showAll="0"/>
    <pivotField showAll="0"/>
    <pivotField showAll="0"/>
    <pivotField showAll="0">
      <items count="915">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 x="913"/>
        <item t="default"/>
      </items>
    </pivotField>
    <pivotField axis="axisRow" showAll="0" measureFilter="1">
      <items count="916">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x="913"/>
        <item x="914"/>
        <item t="default"/>
      </items>
    </pivotField>
    <pivotField showAll="0"/>
    <pivotField showAll="0"/>
    <pivotField showAll="0"/>
    <pivotField showAll="0"/>
    <pivotField showAll="0"/>
    <pivotField showAll="0">
      <items count="50">
        <item x="16"/>
        <item x="20"/>
        <item x="9"/>
        <item x="30"/>
        <item x="29"/>
        <item x="42"/>
        <item x="2"/>
        <item x="44"/>
        <item x="14"/>
        <item x="19"/>
        <item x="17"/>
        <item x="37"/>
        <item x="15"/>
        <item x="6"/>
        <item x="45"/>
        <item x="47"/>
        <item x="46"/>
        <item x="38"/>
        <item x="33"/>
        <item x="10"/>
        <item x="18"/>
        <item x="1"/>
        <item x="3"/>
        <item x="28"/>
        <item x="12"/>
        <item x="31"/>
        <item x="5"/>
        <item x="27"/>
        <item x="7"/>
        <item x="23"/>
        <item x="32"/>
        <item x="26"/>
        <item x="21"/>
        <item x="22"/>
        <item x="24"/>
        <item x="43"/>
        <item x="25"/>
        <item x="34"/>
        <item x="39"/>
        <item x="11"/>
        <item x="40"/>
        <item x="35"/>
        <item x="41"/>
        <item x="4"/>
        <item x="36"/>
        <item x="8"/>
        <item x="0"/>
        <item x="13"/>
        <item x="48"/>
        <item t="default"/>
      </items>
    </pivotField>
    <pivotField showAll="0">
      <items count="6">
        <item x="2"/>
        <item x="1"/>
        <item x="3"/>
        <item x="0"/>
        <item h="1" x="4"/>
        <item t="default"/>
      </items>
    </pivotField>
    <pivotField showAll="0"/>
    <pivotField showAll="0"/>
    <pivotField dataField="1" showAll="0">
      <items count="8">
        <item x="2"/>
        <item x="0"/>
        <item x="3"/>
        <item x="4"/>
        <item x="1"/>
        <item x="5"/>
        <item x="6"/>
        <item t="default"/>
      </items>
    </pivotField>
    <pivotField showAll="0"/>
    <pivotField showAll="0"/>
    <pivotField showAll="0"/>
    <pivotField showAll="0"/>
    <pivotField showAll="0"/>
    <pivotField showAll="0" defaultSubtotal="0"/>
    <pivotField showAll="0" defaultSubtotal="0"/>
  </pivotFields>
  <rowFields count="1">
    <field x="6"/>
  </rowFields>
  <rowItems count="6">
    <i>
      <x v="17"/>
    </i>
    <i>
      <x v="462"/>
    </i>
    <i>
      <x v="580"/>
    </i>
    <i>
      <x v="583"/>
    </i>
    <i>
      <x v="646"/>
    </i>
    <i t="grand">
      <x/>
    </i>
  </rowItems>
  <colItems count="1">
    <i/>
  </colItems>
  <dataFields count="1">
    <dataField name="Sum of Quantity" fld="1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55BFB56-E52B-4062-8701-5EDFA8B62FB4}"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93:I111" firstHeaderRow="1" firstDataRow="2" firstDataCol="1"/>
  <pivotFields count="24">
    <pivotField showAll="0"/>
    <pivotField showAll="0"/>
    <pivotField showAll="0"/>
    <pivotField showAll="0"/>
    <pivotField axis="axisCol" showAll="0">
      <items count="6">
        <item x="0"/>
        <item x="3"/>
        <item x="1"/>
        <item x="2"/>
        <item h="1" x="4"/>
        <item t="default"/>
      </items>
    </pivotField>
    <pivotField showAll="0"/>
    <pivotField showAll="0"/>
    <pivotField showAll="0"/>
    <pivotField showAll="0"/>
    <pivotField showAll="0"/>
    <pivotField showAll="0"/>
    <pivotField showAll="0"/>
    <pivotField showAll="0"/>
    <pivotField axis="axisRow" showAll="0">
      <items count="6">
        <item x="2"/>
        <item x="1"/>
        <item x="3"/>
        <item x="0"/>
        <item h="1" x="4"/>
        <item t="default"/>
      </items>
    </pivotField>
    <pivotField axis="axisRow" showAll="0">
      <items count="5">
        <item x="2"/>
        <item x="1"/>
        <item x="0"/>
        <item x="3"/>
        <item t="default"/>
      </items>
    </pivotField>
    <pivotField showAll="0"/>
    <pivotField showAll="0"/>
    <pivotField showAll="0"/>
    <pivotField showAll="0"/>
    <pivotField dataField="1" showAll="0"/>
    <pivotField showAll="0"/>
    <pivotField showAll="0"/>
    <pivotField showAll="0" defaultSubtotal="0"/>
    <pivotField showAll="0" defaultSubtotal="0"/>
  </pivotFields>
  <rowFields count="2">
    <field x="13"/>
    <field x="14"/>
  </rowFields>
  <rowItems count="17">
    <i>
      <x/>
    </i>
    <i r="1">
      <x/>
    </i>
    <i r="1">
      <x v="1"/>
    </i>
    <i r="1">
      <x v="2"/>
    </i>
    <i>
      <x v="1"/>
    </i>
    <i r="1">
      <x/>
    </i>
    <i r="1">
      <x v="1"/>
    </i>
    <i r="1">
      <x v="2"/>
    </i>
    <i>
      <x v="2"/>
    </i>
    <i r="1">
      <x/>
    </i>
    <i r="1">
      <x v="1"/>
    </i>
    <i r="1">
      <x v="2"/>
    </i>
    <i>
      <x v="3"/>
    </i>
    <i r="1">
      <x/>
    </i>
    <i r="1">
      <x v="1"/>
    </i>
    <i r="1">
      <x v="2"/>
    </i>
    <i t="grand">
      <x/>
    </i>
  </rowItems>
  <colFields count="1">
    <field x="4"/>
  </colFields>
  <colItems count="5">
    <i>
      <x/>
    </i>
    <i>
      <x v="1"/>
    </i>
    <i>
      <x v="2"/>
    </i>
    <i>
      <x v="3"/>
    </i>
    <i t="grand">
      <x/>
    </i>
  </colItems>
  <dataFields count="1">
    <dataField name="Sum of Sales"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8DD119A-F23A-4973-899D-9FB9C13B8A12}"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102:O103" firstHeaderRow="1" firstDataRow="1" firstDataCol="0"/>
  <pivotFields count="24">
    <pivotField showAll="0"/>
    <pivotField showAll="0"/>
    <pivotField showAll="0"/>
    <pivotField showAll="0"/>
    <pivotField showAll="0">
      <items count="6">
        <item x="0"/>
        <item x="3"/>
        <item x="1"/>
        <item x="2"/>
        <item x="4"/>
        <item t="default"/>
      </items>
    </pivotField>
    <pivotField showAll="0"/>
    <pivotField showAll="0"/>
    <pivotField showAll="0"/>
    <pivotField showAll="0"/>
    <pivotField showAll="0"/>
    <pivotField showAll="0">
      <items count="5">
        <item x="1"/>
        <item x="2"/>
        <item x="0"/>
        <item x="3"/>
        <item t="default"/>
      </items>
    </pivotField>
    <pivotField showAll="0"/>
    <pivotField showAll="0"/>
    <pivotField showAll="0">
      <items count="6">
        <item x="2"/>
        <item x="1"/>
        <item x="3"/>
        <item x="0"/>
        <item x="4"/>
        <item t="default"/>
      </items>
    </pivotField>
    <pivotField showAll="0"/>
    <pivotField dataField="1" showAll="0"/>
    <pivotField showAll="0"/>
    <pivotField showAll="0"/>
    <pivotField showAll="0"/>
    <pivotField showAll="0"/>
    <pivotField showAll="0"/>
    <pivotField showAll="0"/>
    <pivotField showAll="0" defaultSubtotal="0"/>
    <pivotField showAll="0" defaultSubtotal="0"/>
  </pivotFields>
  <rowItems count="1">
    <i/>
  </rowItems>
  <colItems count="1">
    <i/>
  </colItems>
  <dataFields count="1">
    <dataField name="Sum of PROFIT"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D314597-11B9-4D37-BC95-1915B10206FF}"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110:O111" firstHeaderRow="1" firstDataRow="1" firstDataCol="0"/>
  <pivotFields count="24">
    <pivotField showAll="0"/>
    <pivotField showAll="0"/>
    <pivotField showAll="0"/>
    <pivotField showAll="0"/>
    <pivotField showAll="0">
      <items count="6">
        <item x="0"/>
        <item x="3"/>
        <item x="1"/>
        <item x="2"/>
        <item x="4"/>
        <item t="default"/>
      </items>
    </pivotField>
    <pivotField showAll="0"/>
    <pivotField showAll="0"/>
    <pivotField showAll="0"/>
    <pivotField showAll="0"/>
    <pivotField showAll="0"/>
    <pivotField showAll="0">
      <items count="5">
        <item x="1"/>
        <item x="2"/>
        <item x="0"/>
        <item x="3"/>
        <item t="default"/>
      </items>
    </pivotField>
    <pivotField showAll="0"/>
    <pivotField showAll="0"/>
    <pivotField showAll="0">
      <items count="6">
        <item x="2"/>
        <item x="1"/>
        <item x="3"/>
        <item x="0"/>
        <item x="4"/>
        <item t="default"/>
      </items>
    </pivotField>
    <pivotField showAll="0"/>
    <pivotField showAll="0"/>
    <pivotField dataField="1" showAll="0"/>
    <pivotField showAll="0"/>
    <pivotField showAll="0"/>
    <pivotField showAll="0"/>
    <pivotField showAll="0"/>
    <pivotField showAll="0"/>
    <pivotField showAll="0" defaultSubtotal="0"/>
    <pivotField showAll="0" defaultSubtotal="0"/>
  </pivotFields>
  <rowItems count="1">
    <i/>
  </rowItems>
  <colItems count="1">
    <i/>
  </colItems>
  <dataFields count="1">
    <dataField name="Sum of Quantity"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117B00B-0112-4F9A-9CCF-F7DE06D97E0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39:E44" firstHeaderRow="1" firstDataRow="1" firstDataCol="1"/>
  <pivotFields count="24">
    <pivotField showAll="0"/>
    <pivotField showAll="0"/>
    <pivotField showAll="0"/>
    <pivotField showAll="0"/>
    <pivotField axis="axisRow" showAll="0">
      <items count="6">
        <item x="0"/>
        <item x="3"/>
        <item x="1"/>
        <item x="2"/>
        <item h="1" x="4"/>
        <item t="default"/>
      </items>
    </pivotField>
    <pivotField dataField="1" showAll="0"/>
    <pivotField showAll="0"/>
    <pivotField showAll="0"/>
    <pivotField showAll="0"/>
    <pivotField showAll="0"/>
    <pivotField showAll="0"/>
    <pivotField showAll="0"/>
    <pivotField showAll="0"/>
    <pivotField showAll="0">
      <items count="6">
        <item x="2"/>
        <item x="1"/>
        <item x="3"/>
        <item x="0"/>
        <item x="4"/>
        <item t="default"/>
      </items>
    </pivotField>
    <pivotField showAll="0"/>
    <pivotField showAll="0"/>
    <pivotField showAll="0"/>
    <pivotField showAll="0"/>
    <pivotField showAll="0"/>
    <pivotField showAll="0"/>
    <pivotField showAll="0"/>
    <pivotField showAll="0"/>
    <pivotField showAll="0" defaultSubtotal="0"/>
    <pivotField showAll="0" defaultSubtotal="0"/>
  </pivotFields>
  <rowFields count="1">
    <field x="4"/>
  </rowFields>
  <rowItems count="5">
    <i>
      <x/>
    </i>
    <i>
      <x v="1"/>
    </i>
    <i>
      <x v="2"/>
    </i>
    <i>
      <x v="3"/>
    </i>
    <i t="grand">
      <x/>
    </i>
  </rowItems>
  <colItems count="1">
    <i/>
  </colItems>
  <dataFields count="1">
    <dataField name="Count of Customer ID" fld="5"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3D20EBA-E6B2-45B6-A060-1013B6CFB07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3:B48" firstHeaderRow="1" firstDataRow="1" firstDataCol="1"/>
  <pivotFields count="24">
    <pivotField showAll="0"/>
    <pivotField showAll="0"/>
    <pivotField showAll="0"/>
    <pivotField showAll="0"/>
    <pivotField showAll="0"/>
    <pivotField dataField="1" showAll="0">
      <items count="915">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 x="913"/>
        <item t="default"/>
      </items>
    </pivotField>
    <pivotField showAll="0"/>
    <pivotField showAll="0"/>
    <pivotField showAll="0"/>
    <pivotField showAll="0"/>
    <pivotField axis="axisRow" showAll="0">
      <items count="5">
        <item x="1"/>
        <item x="2"/>
        <item x="0"/>
        <item x="3"/>
        <item t="default"/>
      </items>
    </pivotField>
    <pivotField showAll="0"/>
    <pivotField showAll="0"/>
    <pivotField showAll="0">
      <items count="6">
        <item x="2"/>
        <item x="1"/>
        <item x="3"/>
        <item x="0"/>
        <item x="4"/>
        <item t="default"/>
      </items>
    </pivotField>
    <pivotField showAll="0"/>
    <pivotField showAll="0"/>
    <pivotField showAll="0"/>
    <pivotField showAll="0"/>
    <pivotField showAll="0"/>
    <pivotField showAll="0"/>
    <pivotField showAll="0"/>
    <pivotField showAll="0"/>
    <pivotField showAll="0" defaultSubtotal="0"/>
    <pivotField showAll="0" defaultSubtotal="0"/>
  </pivotFields>
  <rowFields count="1">
    <field x="10"/>
  </rowFields>
  <rowItems count="5">
    <i>
      <x/>
    </i>
    <i>
      <x v="1"/>
    </i>
    <i>
      <x v="2"/>
    </i>
    <i>
      <x v="3"/>
    </i>
    <i t="grand">
      <x/>
    </i>
  </rowItems>
  <colItems count="1">
    <i/>
  </colItems>
  <dataFields count="1">
    <dataField name="Count of Customer ID" fld="5" subtotal="count" baseField="0" baseItem="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0" count="1" selected="0">
            <x v="0"/>
          </reference>
        </references>
      </pivotArea>
    </chartFormat>
    <chartFormat chart="2" format="7">
      <pivotArea type="data" outline="0" fieldPosition="0">
        <references count="2">
          <reference field="4294967294" count="1" selected="0">
            <x v="0"/>
          </reference>
          <reference field="10" count="1" selected="0">
            <x v="1"/>
          </reference>
        </references>
      </pivotArea>
    </chartFormat>
    <chartFormat chart="2" format="8">
      <pivotArea type="data" outline="0" fieldPosition="0">
        <references count="2">
          <reference field="4294967294" count="1" selected="0">
            <x v="0"/>
          </reference>
          <reference field="10" count="1" selected="0">
            <x v="2"/>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CBA8F51-379C-415E-BE41-D25FA65A53D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5:N78" firstHeaderRow="1" firstDataRow="2" firstDataCol="1"/>
  <pivotFields count="24">
    <pivotField showAll="0"/>
    <pivotField showAll="0"/>
    <pivotField showAll="0"/>
    <pivotField axis="axisCol" showAll="0">
      <items count="14">
        <item x="4"/>
        <item x="10"/>
        <item x="6"/>
        <item x="8"/>
        <item x="5"/>
        <item x="1"/>
        <item x="2"/>
        <item x="3"/>
        <item x="0"/>
        <item x="7"/>
        <item x="11"/>
        <item x="9"/>
        <item x="12"/>
        <item t="default"/>
      </items>
    </pivotField>
    <pivotField showAll="0"/>
    <pivotField showAll="0"/>
    <pivotField showAll="0"/>
    <pivotField showAll="0"/>
    <pivotField showAll="0"/>
    <pivotField showAll="0"/>
    <pivotField showAll="0"/>
    <pivotField showAll="0"/>
    <pivotField showAll="0"/>
    <pivotField axis="axisRow" showAll="0">
      <items count="6">
        <item h="1" x="2"/>
        <item x="1"/>
        <item h="1" x="3"/>
        <item h="1" x="0"/>
        <item h="1" x="4"/>
        <item t="default"/>
      </items>
    </pivotField>
    <pivotField showAll="0"/>
    <pivotField showAll="0"/>
    <pivotField showAll="0"/>
    <pivotField showAll="0"/>
    <pivotField showAll="0"/>
    <pivotField dataField="1" showAll="0"/>
    <pivotField showAll="0"/>
    <pivotField showAll="0"/>
    <pivotField showAll="0" defaultSubtotal="0"/>
    <pivotField showAll="0" defaultSubtotal="0"/>
  </pivotFields>
  <rowFields count="1">
    <field x="13"/>
  </rowFields>
  <rowItems count="2">
    <i>
      <x v="1"/>
    </i>
    <i t="grand">
      <x/>
    </i>
  </rowItems>
  <colFields count="1">
    <field x="3"/>
  </colFields>
  <colItems count="13">
    <i>
      <x/>
    </i>
    <i>
      <x v="1"/>
    </i>
    <i>
      <x v="2"/>
    </i>
    <i>
      <x v="3"/>
    </i>
    <i>
      <x v="4"/>
    </i>
    <i>
      <x v="5"/>
    </i>
    <i>
      <x v="6"/>
    </i>
    <i>
      <x v="7"/>
    </i>
    <i>
      <x v="8"/>
    </i>
    <i>
      <x v="9"/>
    </i>
    <i>
      <x v="10"/>
    </i>
    <i>
      <x v="11"/>
    </i>
    <i t="grand">
      <x/>
    </i>
  </colItems>
  <dataFields count="1">
    <dataField name="Sum of Sales"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 xr10:uid="{B845C7BD-D2C2-4721-A880-51148FCE6EFB}" sourceName="COFFEE TYPE">
  <pivotTables>
    <pivotTable tabId="9" name="PivotTable13"/>
    <pivotTable tabId="9" name="PivotTable10"/>
    <pivotTable tabId="9" name="PivotTable4"/>
    <pivotTable tabId="9" name="PivotTable5"/>
    <pivotTable tabId="9" name="PivotTable6"/>
    <pivotTable tabId="9" name="PivotTable7"/>
    <pivotTable tabId="9" name="PivotTable8"/>
    <pivotTable tabId="9" name="PivotTable2"/>
    <pivotTable tabId="9" name="PivotTable15"/>
    <pivotTable tabId="9" name="PivotTable16"/>
    <pivotTable tabId="9" name="PivotTable17"/>
    <pivotTable tabId="9" name="PivotTable18"/>
  </pivotTables>
  <data>
    <tabular pivotCacheId="1194613884">
      <items count="5">
        <i x="2" s="1"/>
        <i x="1" s="1"/>
        <i x="3" s="1"/>
        <i x="0" s="1"/>
        <i x="4"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39A6A55-CA04-403D-A501-CD9C8EF5F7D0}" sourceName="YEAR">
  <pivotTables>
    <pivotTable tabId="9" name="PivotTable2"/>
    <pivotTable tabId="9" name="PivotTable15"/>
    <pivotTable tabId="9" name="PivotTable16"/>
    <pivotTable tabId="9" name="PivotTable17"/>
    <pivotTable tabId="9" name="PivotTable18"/>
  </pivotTables>
  <data>
    <tabular pivotCacheId="1194613884">
      <items count="5">
        <i x="0" s="1"/>
        <i x="3" s="1"/>
        <i x="1" s="1"/>
        <i x="2" s="1"/>
        <i x="4"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73ED501-A98A-4AA2-80AE-AE878156B512}" sourceName="COUNTRY">
  <pivotTables>
    <pivotTable tabId="9" name="PivotTable2"/>
    <pivotTable tabId="9" name="PivotTable4"/>
    <pivotTable tabId="9" name="PivotTable5"/>
    <pivotTable tabId="9" name="PivotTable6"/>
    <pivotTable tabId="9" name="PivotTable15"/>
    <pivotTable tabId="9" name="PivotTable16"/>
    <pivotTable tabId="9" name="PivotTable17"/>
    <pivotTable tabId="9" name="PivotTable18"/>
  </pivotTables>
  <data>
    <tabular pivotCacheId="1194613884">
      <items count="4">
        <i x="1" s="1"/>
        <i x="2" s="1"/>
        <i x="0" s="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FFEE TYPE" xr10:uid="{EE33A131-7884-47E9-9AC6-E158EA4E0FE5}" cache="Slicer_COFFEE_TYPE" caption="COFFEE TYPE" startItem="1" showCaption="0" style="Slicer Style 1" rowHeight="241300"/>
  <slicer name="YEAR" xr10:uid="{09FB80D8-6A67-4216-94AB-65255CD2F44C}" cache="Slicer_YEAR" caption="YEAR" showCaption="0" style="Slicer Style 1" rowHeight="241300"/>
  <slicer name="COUNTRY" xr10:uid="{2F7A1B6D-A34E-4AA3-BCBB-674D2A808981}" cache="Slicer_COUNTRY" caption="COUNTRY" showCaption="0"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FFEE TYPE 1" xr10:uid="{C9B750A0-DF5A-4F12-B356-7F3D11BEC69A}" cache="Slicer_COFFEE_TYPE" caption="COFFEE TYPE" showCaption="0" style="Slicer Style 1" rowHeight="241300"/>
  <slicer name="YEAR 1" xr10:uid="{2E17F881-452B-431B-A34E-A4EF5D19973E}" cache="Slicer_YEAR" caption="YEAR" showCaption="0" style="Slicer Style 1" rowHeight="241300"/>
  <slicer name="COUNTRY 1" xr10:uid="{1784FFCF-644B-41CF-B952-E7F3C432FC10}" cache="Slicer_COUNTRY" caption="COUNTRY" showCaption="0" style="Slicer Style 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1"/>
  <sheetViews>
    <sheetView workbookViewId="0">
      <selection activeCell="F1" sqref="F1"/>
    </sheetView>
  </sheetViews>
  <sheetFormatPr defaultRowHeight="14.4" x14ac:dyDescent="0.3"/>
  <cols>
    <col min="1" max="1" width="15.109375" bestFit="1" customWidth="1"/>
    <col min="2" max="2" width="12.109375" bestFit="1" customWidth="1"/>
    <col min="3" max="3" width="15.88671875" bestFit="1" customWidth="1"/>
    <col min="4" max="4" width="9.6640625" bestFit="1" customWidth="1"/>
    <col min="5" max="5" width="8.109375" bestFit="1" customWidth="1"/>
    <col min="6" max="6" width="6.6640625" bestFit="1" customWidth="1"/>
    <col min="7" max="7" width="8.88671875" bestFit="1" customWidth="1"/>
    <col min="8" max="8" width="7.44140625" bestFit="1" customWidth="1"/>
  </cols>
  <sheetData>
    <row r="1" spans="1:8" x14ac:dyDescent="0.3">
      <c r="A1" s="13" t="s">
        <v>1918</v>
      </c>
      <c r="B1" s="14" t="s">
        <v>1919</v>
      </c>
      <c r="C1" s="15" t="s">
        <v>1920</v>
      </c>
      <c r="D1" s="15" t="s">
        <v>1921</v>
      </c>
      <c r="E1" s="15" t="s">
        <v>1922</v>
      </c>
      <c r="F1" s="16" t="s">
        <v>1928</v>
      </c>
      <c r="G1" s="15" t="s">
        <v>1929</v>
      </c>
      <c r="H1" s="15" t="s">
        <v>1930</v>
      </c>
    </row>
    <row r="2" spans="1:8" x14ac:dyDescent="0.3">
      <c r="A2" s="1" t="s">
        <v>0</v>
      </c>
      <c r="B2" s="2">
        <v>43713</v>
      </c>
      <c r="C2" s="3" t="s">
        <v>1</v>
      </c>
      <c r="D2" s="4" t="s">
        <v>2</v>
      </c>
      <c r="E2" s="3">
        <v>2</v>
      </c>
      <c r="F2" s="5">
        <f>INDEX([1]products!$A$1:$G$49,MATCH([1]orders!$D2,[1]products!$A$1:$A$49,0),MATCH([1]orders!K$1,[1]products!$A$1:$G$1,0))</f>
        <v>1</v>
      </c>
      <c r="G2" s="6">
        <f>INDEX([1]products!$A$1:$G$49,MATCH([1]orders!$D2,[1]products!$A$1:$A$49,0),MATCH([1]orders!L$1,[1]products!$A$1:$G$1,0))</f>
        <v>9.9499999999999993</v>
      </c>
      <c r="H2" s="6">
        <f t="shared" ref="H2:H65" si="0">E2*G2</f>
        <v>19.899999999999999</v>
      </c>
    </row>
    <row r="3" spans="1:8" x14ac:dyDescent="0.3">
      <c r="A3" s="1" t="s">
        <v>0</v>
      </c>
      <c r="B3" s="2">
        <v>43713</v>
      </c>
      <c r="C3" s="3" t="s">
        <v>1</v>
      </c>
      <c r="D3" s="4" t="s">
        <v>3</v>
      </c>
      <c r="E3" s="3">
        <v>5</v>
      </c>
      <c r="F3" s="5">
        <f>INDEX([1]products!$A$1:$G$49,MATCH([1]orders!$D3,[1]products!$A$1:$A$49,0),MATCH([1]orders!K$1,[1]products!$A$1:$G$1,0))</f>
        <v>0.5</v>
      </c>
      <c r="G3" s="6">
        <f>INDEX([1]products!$A$1:$G$49,MATCH([1]orders!$D3,[1]products!$A$1:$A$49,0),MATCH([1]orders!L$1,[1]products!$A$1:$G$1,0))</f>
        <v>8.25</v>
      </c>
      <c r="H3" s="6">
        <f t="shared" si="0"/>
        <v>41.25</v>
      </c>
    </row>
    <row r="4" spans="1:8" x14ac:dyDescent="0.3">
      <c r="A4" s="1" t="s">
        <v>4</v>
      </c>
      <c r="B4" s="2">
        <v>44364</v>
      </c>
      <c r="C4" s="3" t="s">
        <v>5</v>
      </c>
      <c r="D4" s="4" t="s">
        <v>6</v>
      </c>
      <c r="E4" s="3">
        <v>1</v>
      </c>
      <c r="F4" s="5">
        <f>INDEX([1]products!$A$1:$G$49,MATCH([1]orders!$D4,[1]products!$A$1:$A$49,0),MATCH([1]orders!K$1,[1]products!$A$1:$G$1,0))</f>
        <v>1</v>
      </c>
      <c r="G4" s="6">
        <f>INDEX([1]products!$A$1:$G$49,MATCH([1]orders!$D4,[1]products!$A$1:$A$49,0),MATCH([1]orders!L$1,[1]products!$A$1:$G$1,0))</f>
        <v>12.95</v>
      </c>
      <c r="H4" s="6">
        <f t="shared" si="0"/>
        <v>12.95</v>
      </c>
    </row>
    <row r="5" spans="1:8" x14ac:dyDescent="0.3">
      <c r="A5" s="1" t="s">
        <v>7</v>
      </c>
      <c r="B5" s="2">
        <v>44392</v>
      </c>
      <c r="C5" s="3" t="s">
        <v>8</v>
      </c>
      <c r="D5" s="4" t="s">
        <v>9</v>
      </c>
      <c r="E5" s="3">
        <v>2</v>
      </c>
      <c r="F5" s="5">
        <f>INDEX([1]products!$A$1:$G$49,MATCH([1]orders!$D5,[1]products!$A$1:$A$49,0),MATCH([1]orders!K$1,[1]products!$A$1:$G$1,0))</f>
        <v>1</v>
      </c>
      <c r="G5" s="6">
        <f>INDEX([1]products!$A$1:$G$49,MATCH([1]orders!$D5,[1]products!$A$1:$A$49,0),MATCH([1]orders!L$1,[1]products!$A$1:$G$1,0))</f>
        <v>13.75</v>
      </c>
      <c r="H5" s="6">
        <f t="shared" si="0"/>
        <v>27.5</v>
      </c>
    </row>
    <row r="6" spans="1:8" x14ac:dyDescent="0.3">
      <c r="A6" s="1" t="s">
        <v>7</v>
      </c>
      <c r="B6" s="2">
        <v>44392</v>
      </c>
      <c r="C6" s="3" t="s">
        <v>8</v>
      </c>
      <c r="D6" s="4" t="s">
        <v>10</v>
      </c>
      <c r="E6" s="3">
        <v>2</v>
      </c>
      <c r="F6" s="5">
        <f>INDEX([1]products!$A$1:$G$49,MATCH([1]orders!$D6,[1]products!$A$1:$A$49,0),MATCH([1]orders!K$1,[1]products!$A$1:$G$1,0))</f>
        <v>2.5</v>
      </c>
      <c r="G6" s="6">
        <f>INDEX([1]products!$A$1:$G$49,MATCH([1]orders!$D6,[1]products!$A$1:$A$49,0),MATCH([1]orders!L$1,[1]products!$A$1:$G$1,0))</f>
        <v>27.484999999999996</v>
      </c>
      <c r="H6" s="6">
        <f t="shared" si="0"/>
        <v>54.969999999999992</v>
      </c>
    </row>
    <row r="7" spans="1:8" x14ac:dyDescent="0.3">
      <c r="A7" s="1" t="s">
        <v>11</v>
      </c>
      <c r="B7" s="2">
        <v>44412</v>
      </c>
      <c r="C7" s="3" t="s">
        <v>12</v>
      </c>
      <c r="D7" s="4" t="s">
        <v>13</v>
      </c>
      <c r="E7" s="3">
        <v>3</v>
      </c>
      <c r="F7" s="5">
        <f>INDEX([1]products!$A$1:$G$49,MATCH([1]orders!$D7,[1]products!$A$1:$A$49,0),MATCH([1]orders!K$1,[1]products!$A$1:$G$1,0))</f>
        <v>1</v>
      </c>
      <c r="G7" s="6">
        <f>INDEX([1]products!$A$1:$G$49,MATCH([1]orders!$D7,[1]products!$A$1:$A$49,0),MATCH([1]orders!L$1,[1]products!$A$1:$G$1,0))</f>
        <v>12.95</v>
      </c>
      <c r="H7" s="6">
        <f t="shared" si="0"/>
        <v>38.849999999999994</v>
      </c>
    </row>
    <row r="8" spans="1:8" x14ac:dyDescent="0.3">
      <c r="A8" s="1" t="s">
        <v>14</v>
      </c>
      <c r="B8" s="2">
        <v>44582</v>
      </c>
      <c r="C8" s="3" t="s">
        <v>15</v>
      </c>
      <c r="D8" s="4" t="s">
        <v>16</v>
      </c>
      <c r="E8" s="3">
        <v>3</v>
      </c>
      <c r="F8" s="5">
        <f>INDEX([1]products!$A$1:$G$49,MATCH([1]orders!$D8,[1]products!$A$1:$A$49,0),MATCH([1]orders!K$1,[1]products!$A$1:$G$1,0))</f>
        <v>0.5</v>
      </c>
      <c r="G8" s="6">
        <f>INDEX([1]products!$A$1:$G$49,MATCH([1]orders!$D8,[1]products!$A$1:$A$49,0),MATCH([1]orders!L$1,[1]products!$A$1:$G$1,0))</f>
        <v>7.29</v>
      </c>
      <c r="H8" s="6">
        <f t="shared" si="0"/>
        <v>21.87</v>
      </c>
    </row>
    <row r="9" spans="1:8" x14ac:dyDescent="0.3">
      <c r="A9" s="1" t="s">
        <v>17</v>
      </c>
      <c r="B9" s="2">
        <v>44701</v>
      </c>
      <c r="C9" s="3" t="s">
        <v>18</v>
      </c>
      <c r="D9" s="4" t="s">
        <v>19</v>
      </c>
      <c r="E9" s="3">
        <v>1</v>
      </c>
      <c r="F9" s="5">
        <f>INDEX([1]products!$A$1:$G$49,MATCH([1]orders!$D9,[1]products!$A$1:$A$49,0),MATCH([1]orders!K$1,[1]products!$A$1:$G$1,0))</f>
        <v>0.2</v>
      </c>
      <c r="G9" s="6">
        <f>INDEX([1]products!$A$1:$G$49,MATCH([1]orders!$D9,[1]products!$A$1:$A$49,0),MATCH([1]orders!L$1,[1]products!$A$1:$G$1,0))</f>
        <v>4.7549999999999999</v>
      </c>
      <c r="H9" s="6">
        <f t="shared" si="0"/>
        <v>4.7549999999999999</v>
      </c>
    </row>
    <row r="10" spans="1:8" x14ac:dyDescent="0.3">
      <c r="A10" s="1" t="s">
        <v>20</v>
      </c>
      <c r="B10" s="2">
        <v>43467</v>
      </c>
      <c r="C10" s="3" t="s">
        <v>21</v>
      </c>
      <c r="D10" s="4" t="s">
        <v>22</v>
      </c>
      <c r="E10" s="3">
        <v>3</v>
      </c>
      <c r="F10" s="5">
        <f>INDEX([1]products!$A$1:$G$49,MATCH([1]orders!$D10,[1]products!$A$1:$A$49,0),MATCH([1]orders!K$1,[1]products!$A$1:$G$1,0))</f>
        <v>0.5</v>
      </c>
      <c r="G10" s="6">
        <f>INDEX([1]products!$A$1:$G$49,MATCH([1]orders!$D10,[1]products!$A$1:$A$49,0),MATCH([1]orders!L$1,[1]products!$A$1:$G$1,0))</f>
        <v>5.97</v>
      </c>
      <c r="H10" s="6">
        <f t="shared" si="0"/>
        <v>17.91</v>
      </c>
    </row>
    <row r="11" spans="1:8" x14ac:dyDescent="0.3">
      <c r="A11" s="1" t="s">
        <v>23</v>
      </c>
      <c r="B11" s="2">
        <v>43713</v>
      </c>
      <c r="C11" s="3" t="s">
        <v>24</v>
      </c>
      <c r="D11" s="4" t="s">
        <v>22</v>
      </c>
      <c r="E11" s="3">
        <v>1</v>
      </c>
      <c r="F11" s="5">
        <f>INDEX([1]products!$A$1:$G$49,MATCH([1]orders!$D11,[1]products!$A$1:$A$49,0),MATCH([1]orders!K$1,[1]products!$A$1:$G$1,0))</f>
        <v>0.5</v>
      </c>
      <c r="G11" s="6">
        <f>INDEX([1]products!$A$1:$G$49,MATCH([1]orders!$D11,[1]products!$A$1:$A$49,0),MATCH([1]orders!L$1,[1]products!$A$1:$G$1,0))</f>
        <v>5.97</v>
      </c>
      <c r="H11" s="6">
        <f t="shared" si="0"/>
        <v>5.97</v>
      </c>
    </row>
    <row r="12" spans="1:8" x14ac:dyDescent="0.3">
      <c r="A12" s="1" t="s">
        <v>25</v>
      </c>
      <c r="B12" s="2">
        <v>44263</v>
      </c>
      <c r="C12" s="3" t="s">
        <v>26</v>
      </c>
      <c r="D12" s="4" t="s">
        <v>27</v>
      </c>
      <c r="E12" s="3">
        <v>4</v>
      </c>
      <c r="F12" s="5">
        <f>INDEX([1]products!$A$1:$G$49,MATCH([1]orders!$D12,[1]products!$A$1:$A$49,0),MATCH([1]orders!K$1,[1]products!$A$1:$G$1,0))</f>
        <v>1</v>
      </c>
      <c r="G12" s="6">
        <f>INDEX([1]products!$A$1:$G$49,MATCH([1]orders!$D12,[1]products!$A$1:$A$49,0),MATCH([1]orders!L$1,[1]products!$A$1:$G$1,0))</f>
        <v>9.9499999999999993</v>
      </c>
      <c r="H12" s="6">
        <f t="shared" si="0"/>
        <v>39.799999999999997</v>
      </c>
    </row>
    <row r="13" spans="1:8" x14ac:dyDescent="0.3">
      <c r="A13" s="1" t="s">
        <v>28</v>
      </c>
      <c r="B13" s="2">
        <v>44132</v>
      </c>
      <c r="C13" s="3" t="s">
        <v>29</v>
      </c>
      <c r="D13" s="4" t="s">
        <v>30</v>
      </c>
      <c r="E13" s="3">
        <v>5</v>
      </c>
      <c r="F13" s="5">
        <f>INDEX([1]products!$A$1:$G$49,MATCH([1]orders!$D13,[1]products!$A$1:$A$49,0),MATCH([1]orders!K$1,[1]products!$A$1:$G$1,0))</f>
        <v>2.5</v>
      </c>
      <c r="G13" s="6">
        <f>INDEX([1]products!$A$1:$G$49,MATCH([1]orders!$D13,[1]products!$A$1:$A$49,0),MATCH([1]orders!L$1,[1]products!$A$1:$G$1,0))</f>
        <v>34.154999999999994</v>
      </c>
      <c r="H13" s="6">
        <f t="shared" si="0"/>
        <v>170.77499999999998</v>
      </c>
    </row>
    <row r="14" spans="1:8" x14ac:dyDescent="0.3">
      <c r="A14" s="1" t="s">
        <v>31</v>
      </c>
      <c r="B14" s="2">
        <v>44744</v>
      </c>
      <c r="C14" s="3" t="s">
        <v>32</v>
      </c>
      <c r="D14" s="4" t="s">
        <v>2</v>
      </c>
      <c r="E14" s="3">
        <v>5</v>
      </c>
      <c r="F14" s="5">
        <f>INDEX([1]products!$A$1:$G$49,MATCH([1]orders!$D14,[1]products!$A$1:$A$49,0),MATCH([1]orders!K$1,[1]products!$A$1:$G$1,0))</f>
        <v>1</v>
      </c>
      <c r="G14" s="6">
        <f>INDEX([1]products!$A$1:$G$49,MATCH([1]orders!$D14,[1]products!$A$1:$A$49,0),MATCH([1]orders!L$1,[1]products!$A$1:$G$1,0))</f>
        <v>9.9499999999999993</v>
      </c>
      <c r="H14" s="6">
        <f t="shared" si="0"/>
        <v>49.75</v>
      </c>
    </row>
    <row r="15" spans="1:8" x14ac:dyDescent="0.3">
      <c r="A15" s="1" t="s">
        <v>33</v>
      </c>
      <c r="B15" s="2">
        <v>43973</v>
      </c>
      <c r="C15" s="3" t="s">
        <v>34</v>
      </c>
      <c r="D15" s="4" t="s">
        <v>35</v>
      </c>
      <c r="E15" s="3">
        <v>2</v>
      </c>
      <c r="F15" s="5">
        <f>INDEX([1]products!$A$1:$G$49,MATCH([1]orders!$D15,[1]products!$A$1:$A$49,0),MATCH([1]orders!K$1,[1]products!$A$1:$G$1,0))</f>
        <v>2.5</v>
      </c>
      <c r="G15" s="6">
        <f>INDEX([1]products!$A$1:$G$49,MATCH([1]orders!$D15,[1]products!$A$1:$A$49,0),MATCH([1]orders!L$1,[1]products!$A$1:$G$1,0))</f>
        <v>20.584999999999997</v>
      </c>
      <c r="H15" s="6">
        <f t="shared" si="0"/>
        <v>41.169999999999995</v>
      </c>
    </row>
    <row r="16" spans="1:8" x14ac:dyDescent="0.3">
      <c r="A16" s="1" t="s">
        <v>36</v>
      </c>
      <c r="B16" s="2">
        <v>44656</v>
      </c>
      <c r="C16" s="3" t="s">
        <v>37</v>
      </c>
      <c r="D16" s="4" t="s">
        <v>38</v>
      </c>
      <c r="E16" s="3">
        <v>3</v>
      </c>
      <c r="F16" s="5">
        <f>INDEX([1]products!$A$1:$G$49,MATCH([1]orders!$D16,[1]products!$A$1:$A$49,0),MATCH([1]orders!K$1,[1]products!$A$1:$G$1,0))</f>
        <v>0.2</v>
      </c>
      <c r="G16" s="6">
        <f>INDEX([1]products!$A$1:$G$49,MATCH([1]orders!$D16,[1]products!$A$1:$A$49,0),MATCH([1]orders!L$1,[1]products!$A$1:$G$1,0))</f>
        <v>3.8849999999999998</v>
      </c>
      <c r="H16" s="6">
        <f t="shared" si="0"/>
        <v>11.654999999999999</v>
      </c>
    </row>
    <row r="17" spans="1:8" x14ac:dyDescent="0.3">
      <c r="A17" s="1" t="s">
        <v>39</v>
      </c>
      <c r="B17" s="2">
        <v>44719</v>
      </c>
      <c r="C17" s="3" t="s">
        <v>40</v>
      </c>
      <c r="D17" s="4" t="s">
        <v>41</v>
      </c>
      <c r="E17" s="3">
        <v>5</v>
      </c>
      <c r="F17" s="5">
        <f>INDEX([1]products!$A$1:$G$49,MATCH([1]orders!$D17,[1]products!$A$1:$A$49,0),MATCH([1]orders!K$1,[1]products!$A$1:$G$1,0))</f>
        <v>2.5</v>
      </c>
      <c r="G17" s="6">
        <f>INDEX([1]products!$A$1:$G$49,MATCH([1]orders!$D17,[1]products!$A$1:$A$49,0),MATCH([1]orders!L$1,[1]products!$A$1:$G$1,0))</f>
        <v>22.884999999999998</v>
      </c>
      <c r="H17" s="6">
        <f t="shared" si="0"/>
        <v>114.42499999999998</v>
      </c>
    </row>
    <row r="18" spans="1:8" x14ac:dyDescent="0.3">
      <c r="A18" s="1" t="s">
        <v>42</v>
      </c>
      <c r="B18" s="2">
        <v>43544</v>
      </c>
      <c r="C18" s="3" t="s">
        <v>43</v>
      </c>
      <c r="D18" s="4" t="s">
        <v>44</v>
      </c>
      <c r="E18" s="3">
        <v>6</v>
      </c>
      <c r="F18" s="5">
        <f>INDEX([1]products!$A$1:$G$49,MATCH([1]orders!$D18,[1]products!$A$1:$A$49,0),MATCH([1]orders!K$1,[1]products!$A$1:$G$1,0))</f>
        <v>0.2</v>
      </c>
      <c r="G18" s="6">
        <f>INDEX([1]products!$A$1:$G$49,MATCH([1]orders!$D18,[1]products!$A$1:$A$49,0),MATCH([1]orders!L$1,[1]products!$A$1:$G$1,0))</f>
        <v>3.375</v>
      </c>
      <c r="H18" s="6">
        <f t="shared" si="0"/>
        <v>20.25</v>
      </c>
    </row>
    <row r="19" spans="1:8" x14ac:dyDescent="0.3">
      <c r="A19" s="1" t="s">
        <v>45</v>
      </c>
      <c r="B19" s="2">
        <v>43757</v>
      </c>
      <c r="C19" s="3" t="s">
        <v>46</v>
      </c>
      <c r="D19" s="4" t="s">
        <v>6</v>
      </c>
      <c r="E19" s="3">
        <v>6</v>
      </c>
      <c r="F19" s="5">
        <f>INDEX([1]products!$A$1:$G$49,MATCH([1]orders!$D19,[1]products!$A$1:$A$49,0),MATCH([1]orders!K$1,[1]products!$A$1:$G$1,0))</f>
        <v>1</v>
      </c>
      <c r="G19" s="6">
        <f>INDEX([1]products!$A$1:$G$49,MATCH([1]orders!$D19,[1]products!$A$1:$A$49,0),MATCH([1]orders!L$1,[1]products!$A$1:$G$1,0))</f>
        <v>12.95</v>
      </c>
      <c r="H19" s="6">
        <f t="shared" si="0"/>
        <v>77.699999999999989</v>
      </c>
    </row>
    <row r="20" spans="1:8" x14ac:dyDescent="0.3">
      <c r="A20" s="1" t="s">
        <v>47</v>
      </c>
      <c r="B20" s="2">
        <v>43629</v>
      </c>
      <c r="C20" s="3" t="s">
        <v>48</v>
      </c>
      <c r="D20" s="4" t="s">
        <v>35</v>
      </c>
      <c r="E20" s="3">
        <v>4</v>
      </c>
      <c r="F20" s="5">
        <f>INDEX([1]products!$A$1:$G$49,MATCH([1]orders!$D20,[1]products!$A$1:$A$49,0),MATCH([1]orders!K$1,[1]products!$A$1:$G$1,0))</f>
        <v>2.5</v>
      </c>
      <c r="G20" s="6">
        <f>INDEX([1]products!$A$1:$G$49,MATCH([1]orders!$D20,[1]products!$A$1:$A$49,0),MATCH([1]orders!L$1,[1]products!$A$1:$G$1,0))</f>
        <v>20.584999999999997</v>
      </c>
      <c r="H20" s="6">
        <f t="shared" si="0"/>
        <v>82.339999999999989</v>
      </c>
    </row>
    <row r="21" spans="1:8" x14ac:dyDescent="0.3">
      <c r="A21" s="1" t="s">
        <v>49</v>
      </c>
      <c r="B21" s="2">
        <v>44169</v>
      </c>
      <c r="C21" s="3" t="s">
        <v>50</v>
      </c>
      <c r="D21" s="4" t="s">
        <v>44</v>
      </c>
      <c r="E21" s="3">
        <v>5</v>
      </c>
      <c r="F21" s="5">
        <f>INDEX([1]products!$A$1:$G$49,MATCH([1]orders!$D21,[1]products!$A$1:$A$49,0),MATCH([1]orders!K$1,[1]products!$A$1:$G$1,0))</f>
        <v>0.2</v>
      </c>
      <c r="G21" s="6">
        <f>INDEX([1]products!$A$1:$G$49,MATCH([1]orders!$D21,[1]products!$A$1:$A$49,0),MATCH([1]orders!L$1,[1]products!$A$1:$G$1,0))</f>
        <v>3.375</v>
      </c>
      <c r="H21" s="6">
        <f t="shared" si="0"/>
        <v>16.875</v>
      </c>
    </row>
    <row r="22" spans="1:8" x14ac:dyDescent="0.3">
      <c r="A22" s="1" t="s">
        <v>49</v>
      </c>
      <c r="B22" s="2">
        <v>44169</v>
      </c>
      <c r="C22" s="3" t="s">
        <v>50</v>
      </c>
      <c r="D22" s="4" t="s">
        <v>51</v>
      </c>
      <c r="E22" s="3">
        <v>4</v>
      </c>
      <c r="F22" s="5">
        <f>INDEX([1]products!$A$1:$G$49,MATCH([1]orders!$D22,[1]products!$A$1:$A$49,0),MATCH([1]orders!K$1,[1]products!$A$1:$G$1,0))</f>
        <v>0.2</v>
      </c>
      <c r="G22" s="6">
        <f>INDEX([1]products!$A$1:$G$49,MATCH([1]orders!$D22,[1]products!$A$1:$A$49,0),MATCH([1]orders!L$1,[1]products!$A$1:$G$1,0))</f>
        <v>3.645</v>
      </c>
      <c r="H22" s="6">
        <f t="shared" si="0"/>
        <v>14.58</v>
      </c>
    </row>
    <row r="23" spans="1:8" x14ac:dyDescent="0.3">
      <c r="A23" s="1" t="s">
        <v>52</v>
      </c>
      <c r="B23" s="2">
        <v>44169</v>
      </c>
      <c r="C23" s="3" t="s">
        <v>53</v>
      </c>
      <c r="D23" s="4" t="s">
        <v>54</v>
      </c>
      <c r="E23" s="3">
        <v>6</v>
      </c>
      <c r="F23" s="5">
        <f>INDEX([1]products!$A$1:$G$49,MATCH([1]orders!$D23,[1]products!$A$1:$A$49,0),MATCH([1]orders!K$1,[1]products!$A$1:$G$1,0))</f>
        <v>0.2</v>
      </c>
      <c r="G23" s="6">
        <f>INDEX([1]products!$A$1:$G$49,MATCH([1]orders!$D23,[1]products!$A$1:$A$49,0),MATCH([1]orders!L$1,[1]products!$A$1:$G$1,0))</f>
        <v>2.9849999999999999</v>
      </c>
      <c r="H23" s="6">
        <f t="shared" si="0"/>
        <v>17.91</v>
      </c>
    </row>
    <row r="24" spans="1:8" x14ac:dyDescent="0.3">
      <c r="A24" s="1" t="s">
        <v>55</v>
      </c>
      <c r="B24" s="2">
        <v>44218</v>
      </c>
      <c r="C24" s="3" t="s">
        <v>56</v>
      </c>
      <c r="D24" s="4" t="s">
        <v>41</v>
      </c>
      <c r="E24" s="3">
        <v>4</v>
      </c>
      <c r="F24" s="5">
        <f>INDEX([1]products!$A$1:$G$49,MATCH([1]orders!$D24,[1]products!$A$1:$A$49,0),MATCH([1]orders!K$1,[1]products!$A$1:$G$1,0))</f>
        <v>2.5</v>
      </c>
      <c r="G24" s="6">
        <f>INDEX([1]products!$A$1:$G$49,MATCH([1]orders!$D24,[1]products!$A$1:$A$49,0),MATCH([1]orders!L$1,[1]products!$A$1:$G$1,0))</f>
        <v>22.884999999999998</v>
      </c>
      <c r="H24" s="6">
        <f t="shared" si="0"/>
        <v>91.539999999999992</v>
      </c>
    </row>
    <row r="25" spans="1:8" x14ac:dyDescent="0.3">
      <c r="A25" s="1" t="s">
        <v>57</v>
      </c>
      <c r="B25" s="2">
        <v>44603</v>
      </c>
      <c r="C25" s="3" t="s">
        <v>58</v>
      </c>
      <c r="D25" s="4" t="s">
        <v>54</v>
      </c>
      <c r="E25" s="3">
        <v>4</v>
      </c>
      <c r="F25" s="5">
        <f>INDEX([1]products!$A$1:$G$49,MATCH([1]orders!$D25,[1]products!$A$1:$A$49,0),MATCH([1]orders!K$1,[1]products!$A$1:$G$1,0))</f>
        <v>0.2</v>
      </c>
      <c r="G25" s="6">
        <f>INDEX([1]products!$A$1:$G$49,MATCH([1]orders!$D25,[1]products!$A$1:$A$49,0),MATCH([1]orders!L$1,[1]products!$A$1:$G$1,0))</f>
        <v>2.9849999999999999</v>
      </c>
      <c r="H25" s="6">
        <f t="shared" si="0"/>
        <v>11.94</v>
      </c>
    </row>
    <row r="26" spans="1:8" x14ac:dyDescent="0.3">
      <c r="A26" s="1" t="s">
        <v>59</v>
      </c>
      <c r="B26" s="2">
        <v>44454</v>
      </c>
      <c r="C26" s="3" t="s">
        <v>60</v>
      </c>
      <c r="D26" s="4" t="s">
        <v>61</v>
      </c>
      <c r="E26" s="3">
        <v>1</v>
      </c>
      <c r="F26" s="5">
        <f>INDEX([1]products!$A$1:$G$49,MATCH([1]orders!$D26,[1]products!$A$1:$A$49,0),MATCH([1]orders!K$1,[1]products!$A$1:$G$1,0))</f>
        <v>1</v>
      </c>
      <c r="G26" s="6">
        <f>INDEX([1]products!$A$1:$G$49,MATCH([1]orders!$D26,[1]products!$A$1:$A$49,0),MATCH([1]orders!L$1,[1]products!$A$1:$G$1,0))</f>
        <v>11.25</v>
      </c>
      <c r="H26" s="6">
        <f t="shared" si="0"/>
        <v>11.25</v>
      </c>
    </row>
    <row r="27" spans="1:8" x14ac:dyDescent="0.3">
      <c r="A27" s="1" t="s">
        <v>62</v>
      </c>
      <c r="B27" s="2">
        <v>44128</v>
      </c>
      <c r="C27" s="3" t="s">
        <v>63</v>
      </c>
      <c r="D27" s="4" t="s">
        <v>64</v>
      </c>
      <c r="E27" s="3">
        <v>3</v>
      </c>
      <c r="F27" s="5">
        <f>INDEX([1]products!$A$1:$G$49,MATCH([1]orders!$D27,[1]products!$A$1:$A$49,0),MATCH([1]orders!K$1,[1]products!$A$1:$G$1,0))</f>
        <v>0.2</v>
      </c>
      <c r="G27" s="6">
        <f>INDEX([1]products!$A$1:$G$49,MATCH([1]orders!$D27,[1]products!$A$1:$A$49,0),MATCH([1]orders!L$1,[1]products!$A$1:$G$1,0))</f>
        <v>4.125</v>
      </c>
      <c r="H27" s="6">
        <f t="shared" si="0"/>
        <v>12.375</v>
      </c>
    </row>
    <row r="28" spans="1:8" x14ac:dyDescent="0.3">
      <c r="A28" s="1" t="s">
        <v>65</v>
      </c>
      <c r="B28" s="2">
        <v>43516</v>
      </c>
      <c r="C28" s="3" t="s">
        <v>66</v>
      </c>
      <c r="D28" s="4" t="s">
        <v>67</v>
      </c>
      <c r="E28" s="3">
        <v>4</v>
      </c>
      <c r="F28" s="5">
        <f>INDEX([1]products!$A$1:$G$49,MATCH([1]orders!$D28,[1]products!$A$1:$A$49,0),MATCH([1]orders!K$1,[1]products!$A$1:$G$1,0))</f>
        <v>0.5</v>
      </c>
      <c r="G28" s="6">
        <f>INDEX([1]products!$A$1:$G$49,MATCH([1]orders!$D28,[1]products!$A$1:$A$49,0),MATCH([1]orders!L$1,[1]products!$A$1:$G$1,0))</f>
        <v>6.75</v>
      </c>
      <c r="H28" s="6">
        <f t="shared" si="0"/>
        <v>27</v>
      </c>
    </row>
    <row r="29" spans="1:8" x14ac:dyDescent="0.3">
      <c r="A29" s="1" t="s">
        <v>68</v>
      </c>
      <c r="B29" s="2">
        <v>43746</v>
      </c>
      <c r="C29" s="3" t="s">
        <v>69</v>
      </c>
      <c r="D29" s="4" t="s">
        <v>44</v>
      </c>
      <c r="E29" s="3">
        <v>5</v>
      </c>
      <c r="F29" s="5">
        <f>INDEX([1]products!$A$1:$G$49,MATCH([1]orders!$D29,[1]products!$A$1:$A$49,0),MATCH([1]orders!K$1,[1]products!$A$1:$G$1,0))</f>
        <v>0.2</v>
      </c>
      <c r="G29" s="6">
        <f>INDEX([1]products!$A$1:$G$49,MATCH([1]orders!$D29,[1]products!$A$1:$A$49,0),MATCH([1]orders!L$1,[1]products!$A$1:$G$1,0))</f>
        <v>3.375</v>
      </c>
      <c r="H29" s="6">
        <f t="shared" si="0"/>
        <v>16.875</v>
      </c>
    </row>
    <row r="30" spans="1:8" x14ac:dyDescent="0.3">
      <c r="A30" s="1" t="s">
        <v>70</v>
      </c>
      <c r="B30" s="2">
        <v>44775</v>
      </c>
      <c r="C30" s="3" t="s">
        <v>71</v>
      </c>
      <c r="D30" s="4" t="s">
        <v>72</v>
      </c>
      <c r="E30" s="3">
        <v>3</v>
      </c>
      <c r="F30" s="5">
        <f>INDEX([1]products!$A$1:$G$49,MATCH([1]orders!$D30,[1]products!$A$1:$A$49,0),MATCH([1]orders!K$1,[1]products!$A$1:$G$1,0))</f>
        <v>0.5</v>
      </c>
      <c r="G30" s="6">
        <f>INDEX([1]products!$A$1:$G$49,MATCH([1]orders!$D30,[1]products!$A$1:$A$49,0),MATCH([1]orders!L$1,[1]products!$A$1:$G$1,0))</f>
        <v>5.97</v>
      </c>
      <c r="H30" s="6">
        <f t="shared" si="0"/>
        <v>17.91</v>
      </c>
    </row>
    <row r="31" spans="1:8" x14ac:dyDescent="0.3">
      <c r="A31" s="1" t="s">
        <v>73</v>
      </c>
      <c r="B31" s="2">
        <v>43516</v>
      </c>
      <c r="C31" s="3" t="s">
        <v>74</v>
      </c>
      <c r="D31" s="4" t="s">
        <v>27</v>
      </c>
      <c r="E31" s="3">
        <v>4</v>
      </c>
      <c r="F31" s="5">
        <f>INDEX([1]products!$A$1:$G$49,MATCH([1]orders!$D31,[1]products!$A$1:$A$49,0),MATCH([1]orders!K$1,[1]products!$A$1:$G$1,0))</f>
        <v>1</v>
      </c>
      <c r="G31" s="6">
        <f>INDEX([1]products!$A$1:$G$49,MATCH([1]orders!$D31,[1]products!$A$1:$A$49,0),MATCH([1]orders!L$1,[1]products!$A$1:$G$1,0))</f>
        <v>9.9499999999999993</v>
      </c>
      <c r="H31" s="6">
        <f t="shared" si="0"/>
        <v>39.799999999999997</v>
      </c>
    </row>
    <row r="32" spans="1:8" x14ac:dyDescent="0.3">
      <c r="A32" s="1" t="s">
        <v>75</v>
      </c>
      <c r="B32" s="2">
        <v>44464</v>
      </c>
      <c r="C32" s="3" t="s">
        <v>76</v>
      </c>
      <c r="D32" s="4" t="s">
        <v>77</v>
      </c>
      <c r="E32" s="3">
        <v>5</v>
      </c>
      <c r="F32" s="5">
        <f>INDEX([1]products!$A$1:$G$49,MATCH([1]orders!$D32,[1]products!$A$1:$A$49,0),MATCH([1]orders!K$1,[1]products!$A$1:$G$1,0))</f>
        <v>0.2</v>
      </c>
      <c r="G32" s="6">
        <f>INDEX([1]products!$A$1:$G$49,MATCH([1]orders!$D32,[1]products!$A$1:$A$49,0),MATCH([1]orders!L$1,[1]products!$A$1:$G$1,0))</f>
        <v>4.3650000000000002</v>
      </c>
      <c r="H32" s="6">
        <f t="shared" si="0"/>
        <v>21.825000000000003</v>
      </c>
    </row>
    <row r="33" spans="1:8" x14ac:dyDescent="0.3">
      <c r="A33" s="1" t="s">
        <v>75</v>
      </c>
      <c r="B33" s="2">
        <v>44464</v>
      </c>
      <c r="C33" s="3" t="s">
        <v>76</v>
      </c>
      <c r="D33" s="4" t="s">
        <v>72</v>
      </c>
      <c r="E33" s="3">
        <v>6</v>
      </c>
      <c r="F33" s="5">
        <f>INDEX([1]products!$A$1:$G$49,MATCH([1]orders!$D33,[1]products!$A$1:$A$49,0),MATCH([1]orders!K$1,[1]products!$A$1:$G$1,0))</f>
        <v>0.5</v>
      </c>
      <c r="G33" s="6">
        <f>INDEX([1]products!$A$1:$G$49,MATCH([1]orders!$D33,[1]products!$A$1:$A$49,0),MATCH([1]orders!L$1,[1]products!$A$1:$G$1,0))</f>
        <v>5.97</v>
      </c>
      <c r="H33" s="6">
        <f t="shared" si="0"/>
        <v>35.82</v>
      </c>
    </row>
    <row r="34" spans="1:8" x14ac:dyDescent="0.3">
      <c r="A34" s="1" t="s">
        <v>75</v>
      </c>
      <c r="B34" s="2">
        <v>44464</v>
      </c>
      <c r="C34" s="3" t="s">
        <v>76</v>
      </c>
      <c r="D34" s="4" t="s">
        <v>78</v>
      </c>
      <c r="E34" s="3">
        <v>6</v>
      </c>
      <c r="F34" s="5">
        <f>INDEX([1]products!$A$1:$G$49,MATCH([1]orders!$D34,[1]products!$A$1:$A$49,0),MATCH([1]orders!K$1,[1]products!$A$1:$G$1,0))</f>
        <v>0.5</v>
      </c>
      <c r="G34" s="6">
        <f>INDEX([1]products!$A$1:$G$49,MATCH([1]orders!$D34,[1]products!$A$1:$A$49,0),MATCH([1]orders!L$1,[1]products!$A$1:$G$1,0))</f>
        <v>8.73</v>
      </c>
      <c r="H34" s="6">
        <f t="shared" si="0"/>
        <v>52.38</v>
      </c>
    </row>
    <row r="35" spans="1:8" x14ac:dyDescent="0.3">
      <c r="A35" s="1" t="s">
        <v>79</v>
      </c>
      <c r="B35" s="2">
        <v>44394</v>
      </c>
      <c r="C35" s="3" t="s">
        <v>80</v>
      </c>
      <c r="D35" s="4" t="s">
        <v>19</v>
      </c>
      <c r="E35" s="3">
        <v>5</v>
      </c>
      <c r="F35" s="5">
        <f>INDEX([1]products!$A$1:$G$49,MATCH([1]orders!$D35,[1]products!$A$1:$A$49,0),MATCH([1]orders!K$1,[1]products!$A$1:$G$1,0))</f>
        <v>0.2</v>
      </c>
      <c r="G35" s="6">
        <f>INDEX([1]products!$A$1:$G$49,MATCH([1]orders!$D35,[1]products!$A$1:$A$49,0),MATCH([1]orders!L$1,[1]products!$A$1:$G$1,0))</f>
        <v>4.7549999999999999</v>
      </c>
      <c r="H35" s="6">
        <f t="shared" si="0"/>
        <v>23.774999999999999</v>
      </c>
    </row>
    <row r="36" spans="1:8" x14ac:dyDescent="0.3">
      <c r="A36" s="1" t="s">
        <v>81</v>
      </c>
      <c r="B36" s="2">
        <v>44011</v>
      </c>
      <c r="C36" s="3" t="s">
        <v>82</v>
      </c>
      <c r="D36" s="4" t="s">
        <v>83</v>
      </c>
      <c r="E36" s="3">
        <v>6</v>
      </c>
      <c r="F36" s="5">
        <f>INDEX([1]products!$A$1:$G$49,MATCH([1]orders!$D36,[1]products!$A$1:$A$49,0),MATCH([1]orders!K$1,[1]products!$A$1:$G$1,0))</f>
        <v>0.5</v>
      </c>
      <c r="G36" s="6">
        <f>INDEX([1]products!$A$1:$G$49,MATCH([1]orders!$D36,[1]products!$A$1:$A$49,0),MATCH([1]orders!L$1,[1]products!$A$1:$G$1,0))</f>
        <v>9.51</v>
      </c>
      <c r="H36" s="6">
        <f t="shared" si="0"/>
        <v>57.06</v>
      </c>
    </row>
    <row r="37" spans="1:8" x14ac:dyDescent="0.3">
      <c r="A37" s="1" t="s">
        <v>84</v>
      </c>
      <c r="B37" s="2">
        <v>44348</v>
      </c>
      <c r="C37" s="3" t="s">
        <v>85</v>
      </c>
      <c r="D37" s="4" t="s">
        <v>72</v>
      </c>
      <c r="E37" s="3">
        <v>6</v>
      </c>
      <c r="F37" s="5">
        <f>INDEX([1]products!$A$1:$G$49,MATCH([1]orders!$D37,[1]products!$A$1:$A$49,0),MATCH([1]orders!K$1,[1]products!$A$1:$G$1,0))</f>
        <v>0.5</v>
      </c>
      <c r="G37" s="6">
        <f>INDEX([1]products!$A$1:$G$49,MATCH([1]orders!$D37,[1]products!$A$1:$A$49,0),MATCH([1]orders!L$1,[1]products!$A$1:$G$1,0))</f>
        <v>5.97</v>
      </c>
      <c r="H37" s="6">
        <f t="shared" si="0"/>
        <v>35.82</v>
      </c>
    </row>
    <row r="38" spans="1:8" x14ac:dyDescent="0.3">
      <c r="A38" s="1" t="s">
        <v>86</v>
      </c>
      <c r="B38" s="2">
        <v>44233</v>
      </c>
      <c r="C38" s="3" t="s">
        <v>87</v>
      </c>
      <c r="D38" s="4" t="s">
        <v>77</v>
      </c>
      <c r="E38" s="3">
        <v>2</v>
      </c>
      <c r="F38" s="5">
        <f>INDEX([1]products!$A$1:$G$49,MATCH([1]orders!$D38,[1]products!$A$1:$A$49,0),MATCH([1]orders!K$1,[1]products!$A$1:$G$1,0))</f>
        <v>0.2</v>
      </c>
      <c r="G38" s="6">
        <f>INDEX([1]products!$A$1:$G$49,MATCH([1]orders!$D38,[1]products!$A$1:$A$49,0),MATCH([1]orders!L$1,[1]products!$A$1:$G$1,0))</f>
        <v>4.3650000000000002</v>
      </c>
      <c r="H38" s="6">
        <f t="shared" si="0"/>
        <v>8.73</v>
      </c>
    </row>
    <row r="39" spans="1:8" x14ac:dyDescent="0.3">
      <c r="A39" s="1" t="s">
        <v>88</v>
      </c>
      <c r="B39" s="2">
        <v>43580</v>
      </c>
      <c r="C39" s="3" t="s">
        <v>89</v>
      </c>
      <c r="D39" s="4" t="s">
        <v>83</v>
      </c>
      <c r="E39" s="3">
        <v>3</v>
      </c>
      <c r="F39" s="5">
        <f>INDEX([1]products!$A$1:$G$49,MATCH([1]orders!$D39,[1]products!$A$1:$A$49,0),MATCH([1]orders!K$1,[1]products!$A$1:$G$1,0))</f>
        <v>0.5</v>
      </c>
      <c r="G39" s="6">
        <f>INDEX([1]products!$A$1:$G$49,MATCH([1]orders!$D39,[1]products!$A$1:$A$49,0),MATCH([1]orders!L$1,[1]products!$A$1:$G$1,0))</f>
        <v>9.51</v>
      </c>
      <c r="H39" s="6">
        <f t="shared" si="0"/>
        <v>28.53</v>
      </c>
    </row>
    <row r="40" spans="1:8" x14ac:dyDescent="0.3">
      <c r="A40" s="1" t="s">
        <v>90</v>
      </c>
      <c r="B40" s="2">
        <v>43946</v>
      </c>
      <c r="C40" s="3" t="s">
        <v>91</v>
      </c>
      <c r="D40" s="4" t="s">
        <v>41</v>
      </c>
      <c r="E40" s="3">
        <v>5</v>
      </c>
      <c r="F40" s="5">
        <f>INDEX([1]products!$A$1:$G$49,MATCH([1]orders!$D40,[1]products!$A$1:$A$49,0),MATCH([1]orders!K$1,[1]products!$A$1:$G$1,0))</f>
        <v>2.5</v>
      </c>
      <c r="G40" s="6">
        <f>INDEX([1]products!$A$1:$G$49,MATCH([1]orders!$D40,[1]products!$A$1:$A$49,0),MATCH([1]orders!L$1,[1]products!$A$1:$G$1,0))</f>
        <v>22.884999999999998</v>
      </c>
      <c r="H40" s="6">
        <f t="shared" si="0"/>
        <v>114.42499999999998</v>
      </c>
    </row>
    <row r="41" spans="1:8" x14ac:dyDescent="0.3">
      <c r="A41" s="1" t="s">
        <v>92</v>
      </c>
      <c r="B41" s="2">
        <v>44524</v>
      </c>
      <c r="C41" s="3" t="s">
        <v>93</v>
      </c>
      <c r="D41" s="4" t="s">
        <v>2</v>
      </c>
      <c r="E41" s="3">
        <v>6</v>
      </c>
      <c r="F41" s="5">
        <f>INDEX([1]products!$A$1:$G$49,MATCH([1]orders!$D41,[1]products!$A$1:$A$49,0),MATCH([1]orders!K$1,[1]products!$A$1:$G$1,0))</f>
        <v>1</v>
      </c>
      <c r="G41" s="6">
        <f>INDEX([1]products!$A$1:$G$49,MATCH([1]orders!$D41,[1]products!$A$1:$A$49,0),MATCH([1]orders!L$1,[1]products!$A$1:$G$1,0))</f>
        <v>9.9499999999999993</v>
      </c>
      <c r="H41" s="6">
        <f t="shared" si="0"/>
        <v>59.699999999999996</v>
      </c>
    </row>
    <row r="42" spans="1:8" x14ac:dyDescent="0.3">
      <c r="A42" s="1" t="s">
        <v>94</v>
      </c>
      <c r="B42" s="2">
        <v>44305</v>
      </c>
      <c r="C42" s="3" t="s">
        <v>95</v>
      </c>
      <c r="D42" s="4" t="s">
        <v>96</v>
      </c>
      <c r="E42" s="3">
        <v>3</v>
      </c>
      <c r="F42" s="5">
        <f>INDEX([1]products!$A$1:$G$49,MATCH([1]orders!$D42,[1]products!$A$1:$A$49,0),MATCH([1]orders!K$1,[1]products!$A$1:$G$1,0))</f>
        <v>1</v>
      </c>
      <c r="G42" s="6">
        <f>INDEX([1]products!$A$1:$G$49,MATCH([1]orders!$D42,[1]products!$A$1:$A$49,0),MATCH([1]orders!L$1,[1]products!$A$1:$G$1,0))</f>
        <v>14.55</v>
      </c>
      <c r="H42" s="6">
        <f t="shared" si="0"/>
        <v>43.650000000000006</v>
      </c>
    </row>
    <row r="43" spans="1:8" x14ac:dyDescent="0.3">
      <c r="A43" s="1" t="s">
        <v>97</v>
      </c>
      <c r="B43" s="2">
        <v>44749</v>
      </c>
      <c r="C43" s="3" t="s">
        <v>98</v>
      </c>
      <c r="D43" s="4" t="s">
        <v>51</v>
      </c>
      <c r="E43" s="3">
        <v>2</v>
      </c>
      <c r="F43" s="5">
        <f>INDEX([1]products!$A$1:$G$49,MATCH([1]orders!$D43,[1]products!$A$1:$A$49,0),MATCH([1]orders!K$1,[1]products!$A$1:$G$1,0))</f>
        <v>0.2</v>
      </c>
      <c r="G43" s="6">
        <f>INDEX([1]products!$A$1:$G$49,MATCH([1]orders!$D43,[1]products!$A$1:$A$49,0),MATCH([1]orders!L$1,[1]products!$A$1:$G$1,0))</f>
        <v>3.645</v>
      </c>
      <c r="H43" s="6">
        <f t="shared" si="0"/>
        <v>7.29</v>
      </c>
    </row>
    <row r="44" spans="1:8" x14ac:dyDescent="0.3">
      <c r="A44" s="1" t="s">
        <v>99</v>
      </c>
      <c r="B44" s="2">
        <v>43607</v>
      </c>
      <c r="C44" s="3" t="s">
        <v>100</v>
      </c>
      <c r="D44" s="4" t="s">
        <v>101</v>
      </c>
      <c r="E44" s="3">
        <v>3</v>
      </c>
      <c r="F44" s="5">
        <f>INDEX([1]products!$A$1:$G$49,MATCH([1]orders!$D44,[1]products!$A$1:$A$49,0),MATCH([1]orders!K$1,[1]products!$A$1:$G$1,0))</f>
        <v>0.2</v>
      </c>
      <c r="G44" s="6">
        <f>INDEX([1]products!$A$1:$G$49,MATCH([1]orders!$D44,[1]products!$A$1:$A$49,0),MATCH([1]orders!L$1,[1]products!$A$1:$G$1,0))</f>
        <v>2.6849999999999996</v>
      </c>
      <c r="H44" s="6">
        <f t="shared" si="0"/>
        <v>8.0549999999999997</v>
      </c>
    </row>
    <row r="45" spans="1:8" x14ac:dyDescent="0.3">
      <c r="A45" s="1" t="s">
        <v>102</v>
      </c>
      <c r="B45" s="2">
        <v>44473</v>
      </c>
      <c r="C45" s="3" t="s">
        <v>103</v>
      </c>
      <c r="D45" s="4" t="s">
        <v>104</v>
      </c>
      <c r="E45" s="3">
        <v>2</v>
      </c>
      <c r="F45" s="5">
        <f>INDEX([1]products!$A$1:$G$49,MATCH([1]orders!$D45,[1]products!$A$1:$A$49,0),MATCH([1]orders!K$1,[1]products!$A$1:$G$1,0))</f>
        <v>2.5</v>
      </c>
      <c r="G45" s="6">
        <f>INDEX([1]products!$A$1:$G$49,MATCH([1]orders!$D45,[1]products!$A$1:$A$49,0),MATCH([1]orders!L$1,[1]products!$A$1:$G$1,0))</f>
        <v>36.454999999999998</v>
      </c>
      <c r="H45" s="6">
        <f t="shared" si="0"/>
        <v>72.91</v>
      </c>
    </row>
    <row r="46" spans="1:8" x14ac:dyDescent="0.3">
      <c r="A46" s="1" t="s">
        <v>105</v>
      </c>
      <c r="B46" s="2">
        <v>43932</v>
      </c>
      <c r="C46" s="3" t="s">
        <v>106</v>
      </c>
      <c r="D46" s="4" t="s">
        <v>3</v>
      </c>
      <c r="E46" s="3">
        <v>2</v>
      </c>
      <c r="F46" s="5">
        <f>INDEX([1]products!$A$1:$G$49,MATCH([1]orders!$D46,[1]products!$A$1:$A$49,0),MATCH([1]orders!K$1,[1]products!$A$1:$G$1,0))</f>
        <v>0.5</v>
      </c>
      <c r="G46" s="6">
        <f>INDEX([1]products!$A$1:$G$49,MATCH([1]orders!$D46,[1]products!$A$1:$A$49,0),MATCH([1]orders!L$1,[1]products!$A$1:$G$1,0))</f>
        <v>8.25</v>
      </c>
      <c r="H46" s="6">
        <f t="shared" si="0"/>
        <v>16.5</v>
      </c>
    </row>
    <row r="47" spans="1:8" x14ac:dyDescent="0.3">
      <c r="A47" s="1" t="s">
        <v>107</v>
      </c>
      <c r="B47" s="2">
        <v>44592</v>
      </c>
      <c r="C47" s="3" t="s">
        <v>108</v>
      </c>
      <c r="D47" s="4" t="s">
        <v>109</v>
      </c>
      <c r="E47" s="3">
        <v>6</v>
      </c>
      <c r="F47" s="5">
        <f>INDEX([1]products!$A$1:$G$49,MATCH([1]orders!$D47,[1]products!$A$1:$A$49,0),MATCH([1]orders!K$1,[1]products!$A$1:$G$1,0))</f>
        <v>2.5</v>
      </c>
      <c r="G47" s="6">
        <f>INDEX([1]products!$A$1:$G$49,MATCH([1]orders!$D47,[1]products!$A$1:$A$49,0),MATCH([1]orders!L$1,[1]products!$A$1:$G$1,0))</f>
        <v>29.784999999999997</v>
      </c>
      <c r="H47" s="6">
        <f t="shared" si="0"/>
        <v>178.70999999999998</v>
      </c>
    </row>
    <row r="48" spans="1:8" x14ac:dyDescent="0.3">
      <c r="A48" s="1" t="s">
        <v>110</v>
      </c>
      <c r="B48" s="2">
        <v>43776</v>
      </c>
      <c r="C48" s="3" t="s">
        <v>111</v>
      </c>
      <c r="D48" s="4" t="s">
        <v>112</v>
      </c>
      <c r="E48" s="3">
        <v>2</v>
      </c>
      <c r="F48" s="5">
        <f>INDEX([1]products!$A$1:$G$49,MATCH([1]orders!$D48,[1]products!$A$1:$A$49,0),MATCH([1]orders!K$1,[1]products!$A$1:$G$1,0))</f>
        <v>2.5</v>
      </c>
      <c r="G48" s="6">
        <f>INDEX([1]products!$A$1:$G$49,MATCH([1]orders!$D48,[1]products!$A$1:$A$49,0),MATCH([1]orders!L$1,[1]products!$A$1:$G$1,0))</f>
        <v>31.624999999999996</v>
      </c>
      <c r="H48" s="6">
        <f t="shared" si="0"/>
        <v>63.249999999999993</v>
      </c>
    </row>
    <row r="49" spans="1:8" x14ac:dyDescent="0.3">
      <c r="A49" s="1" t="s">
        <v>113</v>
      </c>
      <c r="B49" s="2">
        <v>43644</v>
      </c>
      <c r="C49" s="3" t="s">
        <v>114</v>
      </c>
      <c r="D49" s="4" t="s">
        <v>115</v>
      </c>
      <c r="E49" s="3">
        <v>2</v>
      </c>
      <c r="F49" s="5">
        <f>INDEX([1]products!$A$1:$G$49,MATCH([1]orders!$D49,[1]products!$A$1:$A$49,0),MATCH([1]orders!K$1,[1]products!$A$1:$G$1,0))</f>
        <v>0.2</v>
      </c>
      <c r="G49" s="6">
        <f>INDEX([1]products!$A$1:$G$49,MATCH([1]orders!$D49,[1]products!$A$1:$A$49,0),MATCH([1]orders!L$1,[1]products!$A$1:$G$1,0))</f>
        <v>3.8849999999999998</v>
      </c>
      <c r="H49" s="6">
        <f t="shared" si="0"/>
        <v>7.77</v>
      </c>
    </row>
    <row r="50" spans="1:8" x14ac:dyDescent="0.3">
      <c r="A50" s="1" t="s">
        <v>116</v>
      </c>
      <c r="B50" s="2">
        <v>44085</v>
      </c>
      <c r="C50" s="3" t="s">
        <v>117</v>
      </c>
      <c r="D50" s="4" t="s">
        <v>118</v>
      </c>
      <c r="E50" s="3">
        <v>4</v>
      </c>
      <c r="F50" s="5">
        <f>INDEX([1]products!$A$1:$G$49,MATCH([1]orders!$D50,[1]products!$A$1:$A$49,0),MATCH([1]orders!K$1,[1]products!$A$1:$G$1,0))</f>
        <v>2.5</v>
      </c>
      <c r="G50" s="6">
        <f>INDEX([1]products!$A$1:$G$49,MATCH([1]orders!$D50,[1]products!$A$1:$A$49,0),MATCH([1]orders!L$1,[1]products!$A$1:$G$1,0))</f>
        <v>22.884999999999998</v>
      </c>
      <c r="H50" s="6">
        <f t="shared" si="0"/>
        <v>91.539999999999992</v>
      </c>
    </row>
    <row r="51" spans="1:8" x14ac:dyDescent="0.3">
      <c r="A51" s="1" t="s">
        <v>119</v>
      </c>
      <c r="B51" s="2">
        <v>44790</v>
      </c>
      <c r="C51" s="3" t="s">
        <v>120</v>
      </c>
      <c r="D51" s="4" t="s">
        <v>6</v>
      </c>
      <c r="E51" s="3">
        <v>3</v>
      </c>
      <c r="F51" s="5">
        <f>INDEX([1]products!$A$1:$G$49,MATCH([1]orders!$D51,[1]products!$A$1:$A$49,0),MATCH([1]orders!K$1,[1]products!$A$1:$G$1,0))</f>
        <v>1</v>
      </c>
      <c r="G51" s="6">
        <f>INDEX([1]products!$A$1:$G$49,MATCH([1]orders!$D51,[1]products!$A$1:$A$49,0),MATCH([1]orders!L$1,[1]products!$A$1:$G$1,0))</f>
        <v>12.95</v>
      </c>
      <c r="H51" s="6">
        <f t="shared" si="0"/>
        <v>38.849999999999994</v>
      </c>
    </row>
    <row r="52" spans="1:8" x14ac:dyDescent="0.3">
      <c r="A52" s="1" t="s">
        <v>121</v>
      </c>
      <c r="B52" s="2">
        <v>44792</v>
      </c>
      <c r="C52" s="3" t="s">
        <v>122</v>
      </c>
      <c r="D52" s="4" t="s">
        <v>123</v>
      </c>
      <c r="E52" s="3">
        <v>2</v>
      </c>
      <c r="F52" s="5">
        <f>INDEX([1]products!$A$1:$G$49,MATCH([1]orders!$D52,[1]products!$A$1:$A$49,0),MATCH([1]orders!K$1,[1]products!$A$1:$G$1,0))</f>
        <v>0.5</v>
      </c>
      <c r="G52" s="6">
        <f>INDEX([1]products!$A$1:$G$49,MATCH([1]orders!$D52,[1]products!$A$1:$A$49,0),MATCH([1]orders!L$1,[1]products!$A$1:$G$1,0))</f>
        <v>7.77</v>
      </c>
      <c r="H52" s="6">
        <f t="shared" si="0"/>
        <v>15.54</v>
      </c>
    </row>
    <row r="53" spans="1:8" x14ac:dyDescent="0.3">
      <c r="A53" s="1" t="s">
        <v>124</v>
      </c>
      <c r="B53" s="2">
        <v>43600</v>
      </c>
      <c r="C53" s="3" t="s">
        <v>125</v>
      </c>
      <c r="D53" s="4" t="s">
        <v>104</v>
      </c>
      <c r="E53" s="3">
        <v>4</v>
      </c>
      <c r="F53" s="5">
        <f>INDEX([1]products!$A$1:$G$49,MATCH([1]orders!$D53,[1]products!$A$1:$A$49,0),MATCH([1]orders!K$1,[1]products!$A$1:$G$1,0))</f>
        <v>2.5</v>
      </c>
      <c r="G53" s="6">
        <f>INDEX([1]products!$A$1:$G$49,MATCH([1]orders!$D53,[1]products!$A$1:$A$49,0),MATCH([1]orders!L$1,[1]products!$A$1:$G$1,0))</f>
        <v>36.454999999999998</v>
      </c>
      <c r="H53" s="6">
        <f t="shared" si="0"/>
        <v>145.82</v>
      </c>
    </row>
    <row r="54" spans="1:8" x14ac:dyDescent="0.3">
      <c r="A54" s="1" t="s">
        <v>126</v>
      </c>
      <c r="B54" s="2">
        <v>43719</v>
      </c>
      <c r="C54" s="3" t="s">
        <v>127</v>
      </c>
      <c r="D54" s="4" t="s">
        <v>22</v>
      </c>
      <c r="E54" s="3">
        <v>5</v>
      </c>
      <c r="F54" s="5">
        <f>INDEX([1]products!$A$1:$G$49,MATCH([1]orders!$D54,[1]products!$A$1:$A$49,0),MATCH([1]orders!K$1,[1]products!$A$1:$G$1,0))</f>
        <v>0.5</v>
      </c>
      <c r="G54" s="6">
        <f>INDEX([1]products!$A$1:$G$49,MATCH([1]orders!$D54,[1]products!$A$1:$A$49,0),MATCH([1]orders!L$1,[1]products!$A$1:$G$1,0))</f>
        <v>5.97</v>
      </c>
      <c r="H54" s="6">
        <f t="shared" si="0"/>
        <v>29.849999999999998</v>
      </c>
    </row>
    <row r="55" spans="1:8" x14ac:dyDescent="0.3">
      <c r="A55" s="1" t="s">
        <v>126</v>
      </c>
      <c r="B55" s="2">
        <v>43719</v>
      </c>
      <c r="C55" s="3" t="s">
        <v>127</v>
      </c>
      <c r="D55" s="4" t="s">
        <v>104</v>
      </c>
      <c r="E55" s="3">
        <v>2</v>
      </c>
      <c r="F55" s="5">
        <f>INDEX([1]products!$A$1:$G$49,MATCH([1]orders!$D55,[1]products!$A$1:$A$49,0),MATCH([1]orders!K$1,[1]products!$A$1:$G$1,0))</f>
        <v>2.5</v>
      </c>
      <c r="G55" s="6">
        <f>INDEX([1]products!$A$1:$G$49,MATCH([1]orders!$D55,[1]products!$A$1:$A$49,0),MATCH([1]orders!L$1,[1]products!$A$1:$G$1,0))</f>
        <v>36.454999999999998</v>
      </c>
      <c r="H55" s="6">
        <f t="shared" si="0"/>
        <v>72.91</v>
      </c>
    </row>
    <row r="56" spans="1:8" x14ac:dyDescent="0.3">
      <c r="A56" s="1" t="s">
        <v>128</v>
      </c>
      <c r="B56" s="2">
        <v>44271</v>
      </c>
      <c r="C56" s="3" t="s">
        <v>129</v>
      </c>
      <c r="D56" s="4" t="s">
        <v>96</v>
      </c>
      <c r="E56" s="3">
        <v>5</v>
      </c>
      <c r="F56" s="5">
        <f>INDEX([1]products!$A$1:$G$49,MATCH([1]orders!$D56,[1]products!$A$1:$A$49,0),MATCH([1]orders!K$1,[1]products!$A$1:$G$1,0))</f>
        <v>1</v>
      </c>
      <c r="G56" s="6">
        <f>INDEX([1]products!$A$1:$G$49,MATCH([1]orders!$D56,[1]products!$A$1:$A$49,0),MATCH([1]orders!L$1,[1]products!$A$1:$G$1,0))</f>
        <v>14.55</v>
      </c>
      <c r="H56" s="6">
        <f t="shared" si="0"/>
        <v>72.75</v>
      </c>
    </row>
    <row r="57" spans="1:8" x14ac:dyDescent="0.3">
      <c r="A57" s="1" t="s">
        <v>130</v>
      </c>
      <c r="B57" s="2">
        <v>44168</v>
      </c>
      <c r="C57" s="3" t="s">
        <v>131</v>
      </c>
      <c r="D57" s="4" t="s">
        <v>132</v>
      </c>
      <c r="E57" s="3">
        <v>3</v>
      </c>
      <c r="F57" s="5">
        <f>INDEX([1]products!$A$1:$G$49,MATCH([1]orders!$D57,[1]products!$A$1:$A$49,0),MATCH([1]orders!K$1,[1]products!$A$1:$G$1,0))</f>
        <v>1</v>
      </c>
      <c r="G57" s="6">
        <f>INDEX([1]products!$A$1:$G$49,MATCH([1]orders!$D57,[1]products!$A$1:$A$49,0),MATCH([1]orders!L$1,[1]products!$A$1:$G$1,0))</f>
        <v>15.85</v>
      </c>
      <c r="H57" s="6">
        <f t="shared" si="0"/>
        <v>47.55</v>
      </c>
    </row>
    <row r="58" spans="1:8" x14ac:dyDescent="0.3">
      <c r="A58" s="1" t="s">
        <v>133</v>
      </c>
      <c r="B58" s="2">
        <v>43857</v>
      </c>
      <c r="C58" s="3" t="s">
        <v>134</v>
      </c>
      <c r="D58" s="4" t="s">
        <v>51</v>
      </c>
      <c r="E58" s="3">
        <v>3</v>
      </c>
      <c r="F58" s="5">
        <f>INDEX([1]products!$A$1:$G$49,MATCH([1]orders!$D58,[1]products!$A$1:$A$49,0),MATCH([1]orders!K$1,[1]products!$A$1:$G$1,0))</f>
        <v>0.2</v>
      </c>
      <c r="G58" s="6">
        <f>INDEX([1]products!$A$1:$G$49,MATCH([1]orders!$D58,[1]products!$A$1:$A$49,0),MATCH([1]orders!L$1,[1]products!$A$1:$G$1,0))</f>
        <v>3.645</v>
      </c>
      <c r="H58" s="6">
        <f t="shared" si="0"/>
        <v>10.935</v>
      </c>
    </row>
    <row r="59" spans="1:8" x14ac:dyDescent="0.3">
      <c r="A59" s="1" t="s">
        <v>135</v>
      </c>
      <c r="B59" s="2">
        <v>44759</v>
      </c>
      <c r="C59" s="3" t="s">
        <v>136</v>
      </c>
      <c r="D59" s="4" t="s">
        <v>137</v>
      </c>
      <c r="E59" s="3">
        <v>4</v>
      </c>
      <c r="F59" s="5">
        <f>INDEX([1]products!$A$1:$G$49,MATCH([1]orders!$D59,[1]products!$A$1:$A$49,0),MATCH([1]orders!K$1,[1]products!$A$1:$G$1,0))</f>
        <v>1</v>
      </c>
      <c r="G59" s="6">
        <f>INDEX([1]products!$A$1:$G$49,MATCH([1]orders!$D59,[1]products!$A$1:$A$49,0),MATCH([1]orders!L$1,[1]products!$A$1:$G$1,0))</f>
        <v>14.85</v>
      </c>
      <c r="H59" s="6">
        <f t="shared" si="0"/>
        <v>59.4</v>
      </c>
    </row>
    <row r="60" spans="1:8" x14ac:dyDescent="0.3">
      <c r="A60" s="1" t="s">
        <v>138</v>
      </c>
      <c r="B60" s="2">
        <v>44624</v>
      </c>
      <c r="C60" s="3" t="s">
        <v>139</v>
      </c>
      <c r="D60" s="4" t="s">
        <v>109</v>
      </c>
      <c r="E60" s="3">
        <v>3</v>
      </c>
      <c r="F60" s="5">
        <f>INDEX([1]products!$A$1:$G$49,MATCH([1]orders!$D60,[1]products!$A$1:$A$49,0),MATCH([1]orders!K$1,[1]products!$A$1:$G$1,0))</f>
        <v>2.5</v>
      </c>
      <c r="G60" s="6">
        <f>INDEX([1]products!$A$1:$G$49,MATCH([1]orders!$D60,[1]products!$A$1:$A$49,0),MATCH([1]orders!L$1,[1]products!$A$1:$G$1,0))</f>
        <v>29.784999999999997</v>
      </c>
      <c r="H60" s="6">
        <f t="shared" si="0"/>
        <v>89.35499999999999</v>
      </c>
    </row>
    <row r="61" spans="1:8" x14ac:dyDescent="0.3">
      <c r="A61" s="1" t="s">
        <v>140</v>
      </c>
      <c r="B61" s="2">
        <v>44537</v>
      </c>
      <c r="C61" s="3" t="s">
        <v>141</v>
      </c>
      <c r="D61" s="4" t="s">
        <v>78</v>
      </c>
      <c r="E61" s="3">
        <v>3</v>
      </c>
      <c r="F61" s="5">
        <f>INDEX([1]products!$A$1:$G$49,MATCH([1]orders!$D61,[1]products!$A$1:$A$49,0),MATCH([1]orders!K$1,[1]products!$A$1:$G$1,0))</f>
        <v>0.5</v>
      </c>
      <c r="G61" s="6">
        <f>INDEX([1]products!$A$1:$G$49,MATCH([1]orders!$D61,[1]products!$A$1:$A$49,0),MATCH([1]orders!L$1,[1]products!$A$1:$G$1,0))</f>
        <v>8.73</v>
      </c>
      <c r="H61" s="6">
        <f t="shared" si="0"/>
        <v>26.19</v>
      </c>
    </row>
    <row r="62" spans="1:8" x14ac:dyDescent="0.3">
      <c r="A62" s="1" t="s">
        <v>142</v>
      </c>
      <c r="B62" s="2">
        <v>44252</v>
      </c>
      <c r="C62" s="3" t="s">
        <v>143</v>
      </c>
      <c r="D62" s="4" t="s">
        <v>118</v>
      </c>
      <c r="E62" s="3">
        <v>5</v>
      </c>
      <c r="F62" s="5">
        <f>INDEX([1]products!$A$1:$G$49,MATCH([1]orders!$D62,[1]products!$A$1:$A$49,0),MATCH([1]orders!K$1,[1]products!$A$1:$G$1,0))</f>
        <v>2.5</v>
      </c>
      <c r="G62" s="6">
        <f>INDEX([1]products!$A$1:$G$49,MATCH([1]orders!$D62,[1]products!$A$1:$A$49,0),MATCH([1]orders!L$1,[1]products!$A$1:$G$1,0))</f>
        <v>22.884999999999998</v>
      </c>
      <c r="H62" s="6">
        <f t="shared" si="0"/>
        <v>114.42499999999998</v>
      </c>
    </row>
    <row r="63" spans="1:8" x14ac:dyDescent="0.3">
      <c r="A63" s="1" t="s">
        <v>144</v>
      </c>
      <c r="B63" s="2">
        <v>43521</v>
      </c>
      <c r="C63" s="3" t="s">
        <v>145</v>
      </c>
      <c r="D63" s="4" t="s">
        <v>146</v>
      </c>
      <c r="E63" s="3">
        <v>5</v>
      </c>
      <c r="F63" s="5">
        <f>INDEX([1]products!$A$1:$G$49,MATCH([1]orders!$D63,[1]products!$A$1:$A$49,0),MATCH([1]orders!K$1,[1]products!$A$1:$G$1,0))</f>
        <v>0.5</v>
      </c>
      <c r="G63" s="6">
        <f>INDEX([1]products!$A$1:$G$49,MATCH([1]orders!$D63,[1]products!$A$1:$A$49,0),MATCH([1]orders!L$1,[1]products!$A$1:$G$1,0))</f>
        <v>5.3699999999999992</v>
      </c>
      <c r="H63" s="6">
        <f t="shared" si="0"/>
        <v>26.849999999999994</v>
      </c>
    </row>
    <row r="64" spans="1:8" x14ac:dyDescent="0.3">
      <c r="A64" s="1" t="s">
        <v>147</v>
      </c>
      <c r="B64" s="2">
        <v>43505</v>
      </c>
      <c r="C64" s="3" t="s">
        <v>148</v>
      </c>
      <c r="D64" s="4" t="s">
        <v>19</v>
      </c>
      <c r="E64" s="3">
        <v>5</v>
      </c>
      <c r="F64" s="5">
        <f>INDEX([1]products!$A$1:$G$49,MATCH([1]orders!$D64,[1]products!$A$1:$A$49,0),MATCH([1]orders!K$1,[1]products!$A$1:$G$1,0))</f>
        <v>0.2</v>
      </c>
      <c r="G64" s="6">
        <f>INDEX([1]products!$A$1:$G$49,MATCH([1]orders!$D64,[1]products!$A$1:$A$49,0),MATCH([1]orders!L$1,[1]products!$A$1:$G$1,0))</f>
        <v>4.7549999999999999</v>
      </c>
      <c r="H64" s="6">
        <f t="shared" si="0"/>
        <v>23.774999999999999</v>
      </c>
    </row>
    <row r="65" spans="1:8" x14ac:dyDescent="0.3">
      <c r="A65" s="1" t="s">
        <v>149</v>
      </c>
      <c r="B65" s="2">
        <v>43868</v>
      </c>
      <c r="C65" s="3" t="s">
        <v>150</v>
      </c>
      <c r="D65" s="4" t="s">
        <v>67</v>
      </c>
      <c r="E65" s="3">
        <v>1</v>
      </c>
      <c r="F65" s="5">
        <f>INDEX([1]products!$A$1:$G$49,MATCH([1]orders!$D65,[1]products!$A$1:$A$49,0),MATCH([1]orders!K$1,[1]products!$A$1:$G$1,0))</f>
        <v>0.5</v>
      </c>
      <c r="G65" s="6">
        <f>INDEX([1]products!$A$1:$G$49,MATCH([1]orders!$D65,[1]products!$A$1:$A$49,0),MATCH([1]orders!L$1,[1]products!$A$1:$G$1,0))</f>
        <v>6.75</v>
      </c>
      <c r="H65" s="6">
        <f t="shared" si="0"/>
        <v>6.75</v>
      </c>
    </row>
    <row r="66" spans="1:8" x14ac:dyDescent="0.3">
      <c r="A66" s="1" t="s">
        <v>151</v>
      </c>
      <c r="B66" s="2">
        <v>43913</v>
      </c>
      <c r="C66" s="3" t="s">
        <v>152</v>
      </c>
      <c r="D66" s="4" t="s">
        <v>22</v>
      </c>
      <c r="E66" s="3">
        <v>6</v>
      </c>
      <c r="F66" s="5">
        <f>INDEX([1]products!$A$1:$G$49,MATCH([1]orders!$D66,[1]products!$A$1:$A$49,0),MATCH([1]orders!K$1,[1]products!$A$1:$G$1,0))</f>
        <v>0.5</v>
      </c>
      <c r="G66" s="6">
        <f>INDEX([1]products!$A$1:$G$49,MATCH([1]orders!$D66,[1]products!$A$1:$A$49,0),MATCH([1]orders!L$1,[1]products!$A$1:$G$1,0))</f>
        <v>5.97</v>
      </c>
      <c r="H66" s="6">
        <f t="shared" ref="H66:H129" si="1">E66*G66</f>
        <v>35.82</v>
      </c>
    </row>
    <row r="67" spans="1:8" x14ac:dyDescent="0.3">
      <c r="A67" s="1" t="s">
        <v>153</v>
      </c>
      <c r="B67" s="2">
        <v>44626</v>
      </c>
      <c r="C67" s="3" t="s">
        <v>154</v>
      </c>
      <c r="D67" s="4" t="s">
        <v>35</v>
      </c>
      <c r="E67" s="3">
        <v>4</v>
      </c>
      <c r="F67" s="5">
        <f>INDEX([1]products!$A$1:$G$49,MATCH([1]orders!$D67,[1]products!$A$1:$A$49,0),MATCH([1]orders!K$1,[1]products!$A$1:$G$1,0))</f>
        <v>2.5</v>
      </c>
      <c r="G67" s="6">
        <f>INDEX([1]products!$A$1:$G$49,MATCH([1]orders!$D67,[1]products!$A$1:$A$49,0),MATCH([1]orders!L$1,[1]products!$A$1:$G$1,0))</f>
        <v>20.584999999999997</v>
      </c>
      <c r="H67" s="6">
        <f t="shared" si="1"/>
        <v>82.339999999999989</v>
      </c>
    </row>
    <row r="68" spans="1:8" x14ac:dyDescent="0.3">
      <c r="A68" s="1" t="s">
        <v>155</v>
      </c>
      <c r="B68" s="2">
        <v>44666</v>
      </c>
      <c r="C68" s="3" t="s">
        <v>156</v>
      </c>
      <c r="D68" s="4" t="s">
        <v>157</v>
      </c>
      <c r="E68" s="3">
        <v>1</v>
      </c>
      <c r="F68" s="5">
        <f>INDEX([1]products!$A$1:$G$49,MATCH([1]orders!$D68,[1]products!$A$1:$A$49,0),MATCH([1]orders!K$1,[1]products!$A$1:$G$1,0))</f>
        <v>0.5</v>
      </c>
      <c r="G68" s="6">
        <f>INDEX([1]products!$A$1:$G$49,MATCH([1]orders!$D68,[1]products!$A$1:$A$49,0),MATCH([1]orders!L$1,[1]products!$A$1:$G$1,0))</f>
        <v>7.169999999999999</v>
      </c>
      <c r="H68" s="6">
        <f t="shared" si="1"/>
        <v>7.169999999999999</v>
      </c>
    </row>
    <row r="69" spans="1:8" x14ac:dyDescent="0.3">
      <c r="A69" s="1" t="s">
        <v>158</v>
      </c>
      <c r="B69" s="2">
        <v>44519</v>
      </c>
      <c r="C69" s="3" t="s">
        <v>159</v>
      </c>
      <c r="D69" s="4" t="s">
        <v>19</v>
      </c>
      <c r="E69" s="3">
        <v>2</v>
      </c>
      <c r="F69" s="5">
        <f>INDEX([1]products!$A$1:$G$49,MATCH([1]orders!$D69,[1]products!$A$1:$A$49,0),MATCH([1]orders!K$1,[1]products!$A$1:$G$1,0))</f>
        <v>0.2</v>
      </c>
      <c r="G69" s="6">
        <f>INDEX([1]products!$A$1:$G$49,MATCH([1]orders!$D69,[1]products!$A$1:$A$49,0),MATCH([1]orders!L$1,[1]products!$A$1:$G$1,0))</f>
        <v>4.7549999999999999</v>
      </c>
      <c r="H69" s="6">
        <f t="shared" si="1"/>
        <v>9.51</v>
      </c>
    </row>
    <row r="70" spans="1:8" x14ac:dyDescent="0.3">
      <c r="A70" s="1" t="s">
        <v>160</v>
      </c>
      <c r="B70" s="2">
        <v>43754</v>
      </c>
      <c r="C70" s="3" t="s">
        <v>161</v>
      </c>
      <c r="D70" s="4" t="s">
        <v>162</v>
      </c>
      <c r="E70" s="3">
        <v>1</v>
      </c>
      <c r="F70" s="5">
        <f>INDEX([1]products!$A$1:$G$49,MATCH([1]orders!$D70,[1]products!$A$1:$A$49,0),MATCH([1]orders!K$1,[1]products!$A$1:$G$1,0))</f>
        <v>0.2</v>
      </c>
      <c r="G70" s="6">
        <f>INDEX([1]products!$A$1:$G$49,MATCH([1]orders!$D70,[1]products!$A$1:$A$49,0),MATCH([1]orders!L$1,[1]products!$A$1:$G$1,0))</f>
        <v>2.9849999999999999</v>
      </c>
      <c r="H70" s="6">
        <f t="shared" si="1"/>
        <v>2.9849999999999999</v>
      </c>
    </row>
    <row r="71" spans="1:8" x14ac:dyDescent="0.3">
      <c r="A71" s="1" t="s">
        <v>163</v>
      </c>
      <c r="B71" s="2">
        <v>43795</v>
      </c>
      <c r="C71" s="3" t="s">
        <v>164</v>
      </c>
      <c r="D71" s="4" t="s">
        <v>2</v>
      </c>
      <c r="E71" s="3">
        <v>6</v>
      </c>
      <c r="F71" s="5">
        <f>INDEX([1]products!$A$1:$G$49,MATCH([1]orders!$D71,[1]products!$A$1:$A$49,0),MATCH([1]orders!K$1,[1]products!$A$1:$G$1,0))</f>
        <v>1</v>
      </c>
      <c r="G71" s="6">
        <f>INDEX([1]products!$A$1:$G$49,MATCH([1]orders!$D71,[1]products!$A$1:$A$49,0),MATCH([1]orders!L$1,[1]products!$A$1:$G$1,0))</f>
        <v>9.9499999999999993</v>
      </c>
      <c r="H71" s="6">
        <f t="shared" si="1"/>
        <v>59.699999999999996</v>
      </c>
    </row>
    <row r="72" spans="1:8" x14ac:dyDescent="0.3">
      <c r="A72" s="1" t="s">
        <v>165</v>
      </c>
      <c r="B72" s="2">
        <v>43646</v>
      </c>
      <c r="C72" s="3" t="s">
        <v>166</v>
      </c>
      <c r="D72" s="4" t="s">
        <v>30</v>
      </c>
      <c r="E72" s="3">
        <v>4</v>
      </c>
      <c r="F72" s="5">
        <f>INDEX([1]products!$A$1:$G$49,MATCH([1]orders!$D72,[1]products!$A$1:$A$49,0),MATCH([1]orders!K$1,[1]products!$A$1:$G$1,0))</f>
        <v>2.5</v>
      </c>
      <c r="G72" s="6">
        <f>INDEX([1]products!$A$1:$G$49,MATCH([1]orders!$D72,[1]products!$A$1:$A$49,0),MATCH([1]orders!L$1,[1]products!$A$1:$G$1,0))</f>
        <v>34.154999999999994</v>
      </c>
      <c r="H72" s="6">
        <f t="shared" si="1"/>
        <v>136.61999999999998</v>
      </c>
    </row>
    <row r="73" spans="1:8" x14ac:dyDescent="0.3">
      <c r="A73" s="1" t="s">
        <v>167</v>
      </c>
      <c r="B73" s="2">
        <v>44200</v>
      </c>
      <c r="C73" s="3" t="s">
        <v>168</v>
      </c>
      <c r="D73" s="4" t="s">
        <v>19</v>
      </c>
      <c r="E73" s="3">
        <v>2</v>
      </c>
      <c r="F73" s="5">
        <f>INDEX([1]products!$A$1:$G$49,MATCH([1]orders!$D73,[1]products!$A$1:$A$49,0),MATCH([1]orders!K$1,[1]products!$A$1:$G$1,0))</f>
        <v>0.2</v>
      </c>
      <c r="G73" s="6">
        <f>INDEX([1]products!$A$1:$G$49,MATCH([1]orders!$D73,[1]products!$A$1:$A$49,0),MATCH([1]orders!L$1,[1]products!$A$1:$G$1,0))</f>
        <v>4.7549999999999999</v>
      </c>
      <c r="H73" s="6">
        <f t="shared" si="1"/>
        <v>9.51</v>
      </c>
    </row>
    <row r="74" spans="1:8" x14ac:dyDescent="0.3">
      <c r="A74" s="1" t="s">
        <v>169</v>
      </c>
      <c r="B74" s="2">
        <v>44131</v>
      </c>
      <c r="C74" s="3" t="s">
        <v>170</v>
      </c>
      <c r="D74" s="4" t="s">
        <v>171</v>
      </c>
      <c r="E74" s="3">
        <v>3</v>
      </c>
      <c r="F74" s="5">
        <f>INDEX([1]products!$A$1:$G$49,MATCH([1]orders!$D74,[1]products!$A$1:$A$49,0),MATCH([1]orders!K$1,[1]products!$A$1:$G$1,0))</f>
        <v>2.5</v>
      </c>
      <c r="G74" s="6">
        <f>INDEX([1]products!$A$1:$G$49,MATCH([1]orders!$D74,[1]products!$A$1:$A$49,0),MATCH([1]orders!L$1,[1]products!$A$1:$G$1,0))</f>
        <v>25.874999999999996</v>
      </c>
      <c r="H74" s="6">
        <f t="shared" si="1"/>
        <v>77.624999999999986</v>
      </c>
    </row>
    <row r="75" spans="1:8" x14ac:dyDescent="0.3">
      <c r="A75" s="1" t="s">
        <v>172</v>
      </c>
      <c r="B75" s="2">
        <v>44362</v>
      </c>
      <c r="C75" s="3" t="s">
        <v>173</v>
      </c>
      <c r="D75" s="4" t="s">
        <v>77</v>
      </c>
      <c r="E75" s="3">
        <v>5</v>
      </c>
      <c r="F75" s="5">
        <f>INDEX([1]products!$A$1:$G$49,MATCH([1]orders!$D75,[1]products!$A$1:$A$49,0),MATCH([1]orders!K$1,[1]products!$A$1:$G$1,0))</f>
        <v>0.2</v>
      </c>
      <c r="G75" s="6">
        <f>INDEX([1]products!$A$1:$G$49,MATCH([1]orders!$D75,[1]products!$A$1:$A$49,0),MATCH([1]orders!L$1,[1]products!$A$1:$G$1,0))</f>
        <v>4.3650000000000002</v>
      </c>
      <c r="H75" s="6">
        <f t="shared" si="1"/>
        <v>21.825000000000003</v>
      </c>
    </row>
    <row r="76" spans="1:8" x14ac:dyDescent="0.3">
      <c r="A76" s="1" t="s">
        <v>174</v>
      </c>
      <c r="B76" s="2">
        <v>44396</v>
      </c>
      <c r="C76" s="3" t="s">
        <v>175</v>
      </c>
      <c r="D76" s="4" t="s">
        <v>176</v>
      </c>
      <c r="E76" s="3">
        <v>2</v>
      </c>
      <c r="F76" s="5">
        <f>INDEX([1]products!$A$1:$G$49,MATCH([1]orders!$D76,[1]products!$A$1:$A$49,0),MATCH([1]orders!K$1,[1]products!$A$1:$G$1,0))</f>
        <v>0.5</v>
      </c>
      <c r="G76" s="6">
        <f>INDEX([1]products!$A$1:$G$49,MATCH([1]orders!$D76,[1]products!$A$1:$A$49,0),MATCH([1]orders!L$1,[1]products!$A$1:$G$1,0))</f>
        <v>8.91</v>
      </c>
      <c r="H76" s="6">
        <f t="shared" si="1"/>
        <v>17.82</v>
      </c>
    </row>
    <row r="77" spans="1:8" x14ac:dyDescent="0.3">
      <c r="A77" s="1" t="s">
        <v>177</v>
      </c>
      <c r="B77" s="2">
        <v>44400</v>
      </c>
      <c r="C77" s="3" t="s">
        <v>178</v>
      </c>
      <c r="D77" s="4" t="s">
        <v>179</v>
      </c>
      <c r="E77" s="3">
        <v>6</v>
      </c>
      <c r="F77" s="5">
        <f>INDEX([1]products!$A$1:$G$49,MATCH([1]orders!$D77,[1]products!$A$1:$A$49,0),MATCH([1]orders!K$1,[1]products!$A$1:$G$1,0))</f>
        <v>1</v>
      </c>
      <c r="G77" s="6">
        <f>INDEX([1]products!$A$1:$G$49,MATCH([1]orders!$D77,[1]products!$A$1:$A$49,0),MATCH([1]orders!L$1,[1]products!$A$1:$G$1,0))</f>
        <v>8.9499999999999993</v>
      </c>
      <c r="H77" s="6">
        <f t="shared" si="1"/>
        <v>53.699999999999996</v>
      </c>
    </row>
    <row r="78" spans="1:8" x14ac:dyDescent="0.3">
      <c r="A78" s="1" t="s">
        <v>180</v>
      </c>
      <c r="B78" s="2">
        <v>43855</v>
      </c>
      <c r="C78" s="3" t="s">
        <v>181</v>
      </c>
      <c r="D78" s="4" t="s">
        <v>182</v>
      </c>
      <c r="E78" s="3">
        <v>1</v>
      </c>
      <c r="F78" s="5">
        <f>INDEX([1]products!$A$1:$G$49,MATCH([1]orders!$D78,[1]products!$A$1:$A$49,0),MATCH([1]orders!K$1,[1]products!$A$1:$G$1,0))</f>
        <v>0.2</v>
      </c>
      <c r="G78" s="6">
        <f>INDEX([1]products!$A$1:$G$49,MATCH([1]orders!$D78,[1]products!$A$1:$A$49,0),MATCH([1]orders!L$1,[1]products!$A$1:$G$1,0))</f>
        <v>3.5849999999999995</v>
      </c>
      <c r="H78" s="6">
        <f t="shared" si="1"/>
        <v>3.5849999999999995</v>
      </c>
    </row>
    <row r="79" spans="1:8" x14ac:dyDescent="0.3">
      <c r="A79" s="1" t="s">
        <v>183</v>
      </c>
      <c r="B79" s="2">
        <v>43594</v>
      </c>
      <c r="C79" s="3" t="s">
        <v>184</v>
      </c>
      <c r="D79" s="4" t="s">
        <v>51</v>
      </c>
      <c r="E79" s="3">
        <v>2</v>
      </c>
      <c r="F79" s="5">
        <f>INDEX([1]products!$A$1:$G$49,MATCH([1]orders!$D79,[1]products!$A$1:$A$49,0),MATCH([1]orders!K$1,[1]products!$A$1:$G$1,0))</f>
        <v>0.2</v>
      </c>
      <c r="G79" s="6">
        <f>INDEX([1]products!$A$1:$G$49,MATCH([1]orders!$D79,[1]products!$A$1:$A$49,0),MATCH([1]orders!L$1,[1]products!$A$1:$G$1,0))</f>
        <v>3.645</v>
      </c>
      <c r="H79" s="6">
        <f t="shared" si="1"/>
        <v>7.29</v>
      </c>
    </row>
    <row r="80" spans="1:8" x14ac:dyDescent="0.3">
      <c r="A80" s="1" t="s">
        <v>185</v>
      </c>
      <c r="B80" s="2">
        <v>43920</v>
      </c>
      <c r="C80" s="3" t="s">
        <v>186</v>
      </c>
      <c r="D80" s="4" t="s">
        <v>67</v>
      </c>
      <c r="E80" s="3">
        <v>6</v>
      </c>
      <c r="F80" s="5">
        <f>INDEX([1]products!$A$1:$G$49,MATCH([1]orders!$D80,[1]products!$A$1:$A$49,0),MATCH([1]orders!K$1,[1]products!$A$1:$G$1,0))</f>
        <v>0.5</v>
      </c>
      <c r="G80" s="6">
        <f>INDEX([1]products!$A$1:$G$49,MATCH([1]orders!$D80,[1]products!$A$1:$A$49,0),MATCH([1]orders!L$1,[1]products!$A$1:$G$1,0))</f>
        <v>6.75</v>
      </c>
      <c r="H80" s="6">
        <f t="shared" si="1"/>
        <v>40.5</v>
      </c>
    </row>
    <row r="81" spans="1:8" x14ac:dyDescent="0.3">
      <c r="A81" s="1" t="s">
        <v>187</v>
      </c>
      <c r="B81" s="2">
        <v>44633</v>
      </c>
      <c r="C81" s="3" t="s">
        <v>188</v>
      </c>
      <c r="D81" s="4" t="s">
        <v>189</v>
      </c>
      <c r="E81" s="3">
        <v>4</v>
      </c>
      <c r="F81" s="5">
        <f>INDEX([1]products!$A$1:$G$49,MATCH([1]orders!$D81,[1]products!$A$1:$A$49,0),MATCH([1]orders!K$1,[1]products!$A$1:$G$1,0))</f>
        <v>1</v>
      </c>
      <c r="G81" s="6">
        <f>INDEX([1]products!$A$1:$G$49,MATCH([1]orders!$D81,[1]products!$A$1:$A$49,0),MATCH([1]orders!L$1,[1]products!$A$1:$G$1,0))</f>
        <v>11.95</v>
      </c>
      <c r="H81" s="6">
        <f t="shared" si="1"/>
        <v>47.8</v>
      </c>
    </row>
    <row r="82" spans="1:8" x14ac:dyDescent="0.3">
      <c r="A82" s="1" t="s">
        <v>190</v>
      </c>
      <c r="B82" s="2">
        <v>43572</v>
      </c>
      <c r="C82" s="3" t="s">
        <v>191</v>
      </c>
      <c r="D82" s="4" t="s">
        <v>192</v>
      </c>
      <c r="E82" s="3">
        <v>5</v>
      </c>
      <c r="F82" s="5">
        <f>INDEX([1]products!$A$1:$G$49,MATCH([1]orders!$D82,[1]products!$A$1:$A$49,0),MATCH([1]orders!K$1,[1]products!$A$1:$G$1,0))</f>
        <v>0.5</v>
      </c>
      <c r="G82" s="6">
        <f>INDEX([1]products!$A$1:$G$49,MATCH([1]orders!$D82,[1]products!$A$1:$A$49,0),MATCH([1]orders!L$1,[1]products!$A$1:$G$1,0))</f>
        <v>7.77</v>
      </c>
      <c r="H82" s="6">
        <f t="shared" si="1"/>
        <v>38.849999999999994</v>
      </c>
    </row>
    <row r="83" spans="1:8" x14ac:dyDescent="0.3">
      <c r="A83" s="1" t="s">
        <v>193</v>
      </c>
      <c r="B83" s="2">
        <v>43763</v>
      </c>
      <c r="C83" s="3" t="s">
        <v>194</v>
      </c>
      <c r="D83" s="4" t="s">
        <v>104</v>
      </c>
      <c r="E83" s="3">
        <v>3</v>
      </c>
      <c r="F83" s="5">
        <f>INDEX([1]products!$A$1:$G$49,MATCH([1]orders!$D83,[1]products!$A$1:$A$49,0),MATCH([1]orders!K$1,[1]products!$A$1:$G$1,0))</f>
        <v>2.5</v>
      </c>
      <c r="G83" s="6">
        <f>INDEX([1]products!$A$1:$G$49,MATCH([1]orders!$D83,[1]products!$A$1:$A$49,0),MATCH([1]orders!L$1,[1]products!$A$1:$G$1,0))</f>
        <v>36.454999999999998</v>
      </c>
      <c r="H83" s="6">
        <f t="shared" si="1"/>
        <v>109.36499999999999</v>
      </c>
    </row>
    <row r="84" spans="1:8" x14ac:dyDescent="0.3">
      <c r="A84" s="1" t="s">
        <v>195</v>
      </c>
      <c r="B84" s="2">
        <v>43721</v>
      </c>
      <c r="C84" s="3" t="s">
        <v>196</v>
      </c>
      <c r="D84" s="4" t="s">
        <v>197</v>
      </c>
      <c r="E84" s="3">
        <v>3</v>
      </c>
      <c r="F84" s="5">
        <f>INDEX([1]products!$A$1:$G$49,MATCH([1]orders!$D84,[1]products!$A$1:$A$49,0),MATCH([1]orders!K$1,[1]products!$A$1:$G$1,0))</f>
        <v>2.5</v>
      </c>
      <c r="G84" s="6">
        <f>INDEX([1]products!$A$1:$G$49,MATCH([1]orders!$D84,[1]products!$A$1:$A$49,0),MATCH([1]orders!L$1,[1]products!$A$1:$G$1,0))</f>
        <v>33.464999999999996</v>
      </c>
      <c r="H84" s="6">
        <f t="shared" si="1"/>
        <v>100.39499999999998</v>
      </c>
    </row>
    <row r="85" spans="1:8" x14ac:dyDescent="0.3">
      <c r="A85" s="1" t="s">
        <v>198</v>
      </c>
      <c r="B85" s="2">
        <v>43933</v>
      </c>
      <c r="C85" s="3" t="s">
        <v>199</v>
      </c>
      <c r="D85" s="4" t="s">
        <v>35</v>
      </c>
      <c r="E85" s="3">
        <v>4</v>
      </c>
      <c r="F85" s="5">
        <f>INDEX([1]products!$A$1:$G$49,MATCH([1]orders!$D85,[1]products!$A$1:$A$49,0),MATCH([1]orders!K$1,[1]products!$A$1:$G$1,0))</f>
        <v>2.5</v>
      </c>
      <c r="G85" s="6">
        <f>INDEX([1]products!$A$1:$G$49,MATCH([1]orders!$D85,[1]products!$A$1:$A$49,0),MATCH([1]orders!L$1,[1]products!$A$1:$G$1,0))</f>
        <v>20.584999999999997</v>
      </c>
      <c r="H85" s="6">
        <f t="shared" si="1"/>
        <v>82.339999999999989</v>
      </c>
    </row>
    <row r="86" spans="1:8" x14ac:dyDescent="0.3">
      <c r="A86" s="1" t="s">
        <v>200</v>
      </c>
      <c r="B86" s="2">
        <v>43783</v>
      </c>
      <c r="C86" s="3" t="s">
        <v>201</v>
      </c>
      <c r="D86" s="4" t="s">
        <v>83</v>
      </c>
      <c r="E86" s="3">
        <v>1</v>
      </c>
      <c r="F86" s="5">
        <f>INDEX([1]products!$A$1:$G$49,MATCH([1]orders!$D86,[1]products!$A$1:$A$49,0),MATCH([1]orders!K$1,[1]products!$A$1:$G$1,0))</f>
        <v>0.5</v>
      </c>
      <c r="G86" s="6">
        <f>INDEX([1]products!$A$1:$G$49,MATCH([1]orders!$D86,[1]products!$A$1:$A$49,0),MATCH([1]orders!L$1,[1]products!$A$1:$G$1,0))</f>
        <v>9.51</v>
      </c>
      <c r="H86" s="6">
        <f t="shared" si="1"/>
        <v>9.51</v>
      </c>
    </row>
    <row r="87" spans="1:8" x14ac:dyDescent="0.3">
      <c r="A87" s="1" t="s">
        <v>202</v>
      </c>
      <c r="B87" s="2">
        <v>43664</v>
      </c>
      <c r="C87" s="3" t="s">
        <v>203</v>
      </c>
      <c r="D87" s="4" t="s">
        <v>204</v>
      </c>
      <c r="E87" s="3">
        <v>3</v>
      </c>
      <c r="F87" s="5">
        <f>INDEX([1]products!$A$1:$G$49,MATCH([1]orders!$D87,[1]products!$A$1:$A$49,0),MATCH([1]orders!K$1,[1]products!$A$1:$G$1,0))</f>
        <v>2.5</v>
      </c>
      <c r="G87" s="6">
        <f>INDEX([1]products!$A$1:$G$49,MATCH([1]orders!$D87,[1]products!$A$1:$A$49,0),MATCH([1]orders!L$1,[1]products!$A$1:$G$1,0))</f>
        <v>29.784999999999997</v>
      </c>
      <c r="H87" s="6">
        <f t="shared" si="1"/>
        <v>89.35499999999999</v>
      </c>
    </row>
    <row r="88" spans="1:8" x14ac:dyDescent="0.3">
      <c r="A88" s="1" t="s">
        <v>202</v>
      </c>
      <c r="B88" s="2">
        <v>43664</v>
      </c>
      <c r="C88" s="3" t="s">
        <v>203</v>
      </c>
      <c r="D88" s="4" t="s">
        <v>54</v>
      </c>
      <c r="E88" s="3">
        <v>4</v>
      </c>
      <c r="F88" s="5">
        <f>INDEX([1]products!$A$1:$G$49,MATCH([1]orders!$D88,[1]products!$A$1:$A$49,0),MATCH([1]orders!K$1,[1]products!$A$1:$G$1,0))</f>
        <v>0.2</v>
      </c>
      <c r="G88" s="6">
        <f>INDEX([1]products!$A$1:$G$49,MATCH([1]orders!$D88,[1]products!$A$1:$A$49,0),MATCH([1]orders!L$1,[1]products!$A$1:$G$1,0))</f>
        <v>2.9849999999999999</v>
      </c>
      <c r="H88" s="6">
        <f t="shared" si="1"/>
        <v>11.94</v>
      </c>
    </row>
    <row r="89" spans="1:8" x14ac:dyDescent="0.3">
      <c r="A89" s="1" t="s">
        <v>205</v>
      </c>
      <c r="B89" s="2">
        <v>44289</v>
      </c>
      <c r="C89" s="3" t="s">
        <v>206</v>
      </c>
      <c r="D89" s="4" t="s">
        <v>61</v>
      </c>
      <c r="E89" s="3">
        <v>3</v>
      </c>
      <c r="F89" s="5">
        <f>INDEX([1]products!$A$1:$G$49,MATCH([1]orders!$D89,[1]products!$A$1:$A$49,0),MATCH([1]orders!K$1,[1]products!$A$1:$G$1,0))</f>
        <v>1</v>
      </c>
      <c r="G89" s="6">
        <f>INDEX([1]products!$A$1:$G$49,MATCH([1]orders!$D89,[1]products!$A$1:$A$49,0),MATCH([1]orders!L$1,[1]products!$A$1:$G$1,0))</f>
        <v>11.25</v>
      </c>
      <c r="H89" s="6">
        <f t="shared" si="1"/>
        <v>33.75</v>
      </c>
    </row>
    <row r="90" spans="1:8" x14ac:dyDescent="0.3">
      <c r="A90" s="1" t="s">
        <v>207</v>
      </c>
      <c r="B90" s="2">
        <v>44284</v>
      </c>
      <c r="C90" s="3" t="s">
        <v>208</v>
      </c>
      <c r="D90" s="4" t="s">
        <v>189</v>
      </c>
      <c r="E90" s="3">
        <v>3</v>
      </c>
      <c r="F90" s="5">
        <f>INDEX([1]products!$A$1:$G$49,MATCH([1]orders!$D90,[1]products!$A$1:$A$49,0),MATCH([1]orders!K$1,[1]products!$A$1:$G$1,0))</f>
        <v>1</v>
      </c>
      <c r="G90" s="6">
        <f>INDEX([1]products!$A$1:$G$49,MATCH([1]orders!$D90,[1]products!$A$1:$A$49,0),MATCH([1]orders!L$1,[1]products!$A$1:$G$1,0))</f>
        <v>11.95</v>
      </c>
      <c r="H90" s="6">
        <f t="shared" si="1"/>
        <v>35.849999999999994</v>
      </c>
    </row>
    <row r="91" spans="1:8" x14ac:dyDescent="0.3">
      <c r="A91" s="1" t="s">
        <v>209</v>
      </c>
      <c r="B91" s="2">
        <v>44545</v>
      </c>
      <c r="C91" s="3" t="s">
        <v>210</v>
      </c>
      <c r="D91" s="4" t="s">
        <v>6</v>
      </c>
      <c r="E91" s="3">
        <v>6</v>
      </c>
      <c r="F91" s="5">
        <f>INDEX([1]products!$A$1:$G$49,MATCH([1]orders!$D91,[1]products!$A$1:$A$49,0),MATCH([1]orders!K$1,[1]products!$A$1:$G$1,0))</f>
        <v>1</v>
      </c>
      <c r="G91" s="6">
        <f>INDEX([1]products!$A$1:$G$49,MATCH([1]orders!$D91,[1]products!$A$1:$A$49,0),MATCH([1]orders!L$1,[1]products!$A$1:$G$1,0))</f>
        <v>12.95</v>
      </c>
      <c r="H91" s="6">
        <f t="shared" si="1"/>
        <v>77.699999999999989</v>
      </c>
    </row>
    <row r="92" spans="1:8" x14ac:dyDescent="0.3">
      <c r="A92" s="1" t="s">
        <v>211</v>
      </c>
      <c r="B92" s="2">
        <v>43971</v>
      </c>
      <c r="C92" s="3" t="s">
        <v>212</v>
      </c>
      <c r="D92" s="4" t="s">
        <v>6</v>
      </c>
      <c r="E92" s="3">
        <v>4</v>
      </c>
      <c r="F92" s="5">
        <f>INDEX([1]products!$A$1:$G$49,MATCH([1]orders!$D92,[1]products!$A$1:$A$49,0),MATCH([1]orders!K$1,[1]products!$A$1:$G$1,0))</f>
        <v>1</v>
      </c>
      <c r="G92" s="6">
        <f>INDEX([1]products!$A$1:$G$49,MATCH([1]orders!$D92,[1]products!$A$1:$A$49,0),MATCH([1]orders!L$1,[1]products!$A$1:$G$1,0))</f>
        <v>12.95</v>
      </c>
      <c r="H92" s="6">
        <f t="shared" si="1"/>
        <v>51.8</v>
      </c>
    </row>
    <row r="93" spans="1:8" x14ac:dyDescent="0.3">
      <c r="A93" s="1" t="s">
        <v>213</v>
      </c>
      <c r="B93" s="2">
        <v>44137</v>
      </c>
      <c r="C93" s="3" t="s">
        <v>214</v>
      </c>
      <c r="D93" s="4" t="s">
        <v>171</v>
      </c>
      <c r="E93" s="3">
        <v>4</v>
      </c>
      <c r="F93" s="5">
        <f>INDEX([1]products!$A$1:$G$49,MATCH([1]orders!$D93,[1]products!$A$1:$A$49,0),MATCH([1]orders!K$1,[1]products!$A$1:$G$1,0))</f>
        <v>2.5</v>
      </c>
      <c r="G93" s="6">
        <f>INDEX([1]products!$A$1:$G$49,MATCH([1]orders!$D93,[1]products!$A$1:$A$49,0),MATCH([1]orders!L$1,[1]products!$A$1:$G$1,0))</f>
        <v>25.874999999999996</v>
      </c>
      <c r="H93" s="6">
        <f t="shared" si="1"/>
        <v>103.49999999999999</v>
      </c>
    </row>
    <row r="94" spans="1:8" x14ac:dyDescent="0.3">
      <c r="A94" s="1" t="s">
        <v>215</v>
      </c>
      <c r="B94" s="2">
        <v>44037</v>
      </c>
      <c r="C94" s="3" t="s">
        <v>216</v>
      </c>
      <c r="D94" s="4" t="s">
        <v>137</v>
      </c>
      <c r="E94" s="3">
        <v>3</v>
      </c>
      <c r="F94" s="5">
        <f>INDEX([1]products!$A$1:$G$49,MATCH([1]orders!$D94,[1]products!$A$1:$A$49,0),MATCH([1]orders!K$1,[1]products!$A$1:$G$1,0))</f>
        <v>1</v>
      </c>
      <c r="G94" s="6">
        <f>INDEX([1]products!$A$1:$G$49,MATCH([1]orders!$D94,[1]products!$A$1:$A$49,0),MATCH([1]orders!L$1,[1]products!$A$1:$G$1,0))</f>
        <v>14.85</v>
      </c>
      <c r="H94" s="6">
        <f t="shared" si="1"/>
        <v>44.55</v>
      </c>
    </row>
    <row r="95" spans="1:8" x14ac:dyDescent="0.3">
      <c r="A95" s="1" t="s">
        <v>217</v>
      </c>
      <c r="B95" s="2">
        <v>43538</v>
      </c>
      <c r="C95" s="3" t="s">
        <v>218</v>
      </c>
      <c r="D95" s="4" t="s">
        <v>176</v>
      </c>
      <c r="E95" s="3">
        <v>4</v>
      </c>
      <c r="F95" s="5">
        <f>INDEX([1]products!$A$1:$G$49,MATCH([1]orders!$D95,[1]products!$A$1:$A$49,0),MATCH([1]orders!K$1,[1]products!$A$1:$G$1,0))</f>
        <v>0.5</v>
      </c>
      <c r="G95" s="6">
        <f>INDEX([1]products!$A$1:$G$49,MATCH([1]orders!$D95,[1]products!$A$1:$A$49,0),MATCH([1]orders!L$1,[1]products!$A$1:$G$1,0))</f>
        <v>8.91</v>
      </c>
      <c r="H95" s="6">
        <f t="shared" si="1"/>
        <v>35.64</v>
      </c>
    </row>
    <row r="96" spans="1:8" x14ac:dyDescent="0.3">
      <c r="A96" s="1" t="s">
        <v>219</v>
      </c>
      <c r="B96" s="2">
        <v>44014</v>
      </c>
      <c r="C96" s="3" t="s">
        <v>220</v>
      </c>
      <c r="D96" s="4" t="s">
        <v>54</v>
      </c>
      <c r="E96" s="3">
        <v>6</v>
      </c>
      <c r="F96" s="5">
        <f>INDEX([1]products!$A$1:$G$49,MATCH([1]orders!$D96,[1]products!$A$1:$A$49,0),MATCH([1]orders!K$1,[1]products!$A$1:$G$1,0))</f>
        <v>0.2</v>
      </c>
      <c r="G96" s="6">
        <f>INDEX([1]products!$A$1:$G$49,MATCH([1]orders!$D96,[1]products!$A$1:$A$49,0),MATCH([1]orders!L$1,[1]products!$A$1:$G$1,0))</f>
        <v>2.9849999999999999</v>
      </c>
      <c r="H96" s="6">
        <f t="shared" si="1"/>
        <v>17.91</v>
      </c>
    </row>
    <row r="97" spans="1:8" x14ac:dyDescent="0.3">
      <c r="A97" s="1" t="s">
        <v>221</v>
      </c>
      <c r="B97" s="2">
        <v>43816</v>
      </c>
      <c r="C97" s="3" t="s">
        <v>222</v>
      </c>
      <c r="D97" s="4" t="s">
        <v>171</v>
      </c>
      <c r="E97" s="3">
        <v>6</v>
      </c>
      <c r="F97" s="5">
        <f>INDEX([1]products!$A$1:$G$49,MATCH([1]orders!$D97,[1]products!$A$1:$A$49,0),MATCH([1]orders!K$1,[1]products!$A$1:$G$1,0))</f>
        <v>2.5</v>
      </c>
      <c r="G97" s="6">
        <f>INDEX([1]products!$A$1:$G$49,MATCH([1]orders!$D97,[1]products!$A$1:$A$49,0),MATCH([1]orders!L$1,[1]products!$A$1:$G$1,0))</f>
        <v>25.874999999999996</v>
      </c>
      <c r="H97" s="6">
        <f t="shared" si="1"/>
        <v>155.24999999999997</v>
      </c>
    </row>
    <row r="98" spans="1:8" x14ac:dyDescent="0.3">
      <c r="A98" s="1" t="s">
        <v>223</v>
      </c>
      <c r="B98" s="2">
        <v>44171</v>
      </c>
      <c r="C98" s="3" t="s">
        <v>224</v>
      </c>
      <c r="D98" s="4" t="s">
        <v>54</v>
      </c>
      <c r="E98" s="3">
        <v>2</v>
      </c>
      <c r="F98" s="5">
        <f>INDEX([1]products!$A$1:$G$49,MATCH([1]orders!$D98,[1]products!$A$1:$A$49,0),MATCH([1]orders!K$1,[1]products!$A$1:$G$1,0))</f>
        <v>0.2</v>
      </c>
      <c r="G98" s="6">
        <f>INDEX([1]products!$A$1:$G$49,MATCH([1]orders!$D98,[1]products!$A$1:$A$49,0),MATCH([1]orders!L$1,[1]products!$A$1:$G$1,0))</f>
        <v>2.9849999999999999</v>
      </c>
      <c r="H98" s="6">
        <f t="shared" si="1"/>
        <v>5.97</v>
      </c>
    </row>
    <row r="99" spans="1:8" x14ac:dyDescent="0.3">
      <c r="A99" s="1" t="s">
        <v>225</v>
      </c>
      <c r="B99" s="2">
        <v>44259</v>
      </c>
      <c r="C99" s="3" t="s">
        <v>226</v>
      </c>
      <c r="D99" s="4" t="s">
        <v>67</v>
      </c>
      <c r="E99" s="3">
        <v>2</v>
      </c>
      <c r="F99" s="5">
        <f>INDEX([1]products!$A$1:$G$49,MATCH([1]orders!$D99,[1]products!$A$1:$A$49,0),MATCH([1]orders!K$1,[1]products!$A$1:$G$1,0))</f>
        <v>0.5</v>
      </c>
      <c r="G99" s="6">
        <f>INDEX([1]products!$A$1:$G$49,MATCH([1]orders!$D99,[1]products!$A$1:$A$49,0),MATCH([1]orders!L$1,[1]products!$A$1:$G$1,0))</f>
        <v>6.75</v>
      </c>
      <c r="H99" s="6">
        <f t="shared" si="1"/>
        <v>13.5</v>
      </c>
    </row>
    <row r="100" spans="1:8" x14ac:dyDescent="0.3">
      <c r="A100" s="1" t="s">
        <v>227</v>
      </c>
      <c r="B100" s="2">
        <v>44394</v>
      </c>
      <c r="C100" s="3" t="s">
        <v>228</v>
      </c>
      <c r="D100" s="4" t="s">
        <v>54</v>
      </c>
      <c r="E100" s="3">
        <v>1</v>
      </c>
      <c r="F100" s="5">
        <f>INDEX([1]products!$A$1:$G$49,MATCH([1]orders!$D100,[1]products!$A$1:$A$49,0),MATCH([1]orders!K$1,[1]products!$A$1:$G$1,0))</f>
        <v>0.2</v>
      </c>
      <c r="G100" s="6">
        <f>INDEX([1]products!$A$1:$G$49,MATCH([1]orders!$D100,[1]products!$A$1:$A$49,0),MATCH([1]orders!L$1,[1]products!$A$1:$G$1,0))</f>
        <v>2.9849999999999999</v>
      </c>
      <c r="H100" s="6">
        <f t="shared" si="1"/>
        <v>2.9849999999999999</v>
      </c>
    </row>
    <row r="101" spans="1:8" x14ac:dyDescent="0.3">
      <c r="A101" s="1" t="s">
        <v>229</v>
      </c>
      <c r="B101" s="2">
        <v>44139</v>
      </c>
      <c r="C101" s="3" t="s">
        <v>230</v>
      </c>
      <c r="D101" s="4" t="s">
        <v>77</v>
      </c>
      <c r="E101" s="3">
        <v>3</v>
      </c>
      <c r="F101" s="5">
        <f>INDEX([1]products!$A$1:$G$49,MATCH([1]orders!$D101,[1]products!$A$1:$A$49,0),MATCH([1]orders!K$1,[1]products!$A$1:$G$1,0))</f>
        <v>0.2</v>
      </c>
      <c r="G101" s="6">
        <f>INDEX([1]products!$A$1:$G$49,MATCH([1]orders!$D101,[1]products!$A$1:$A$49,0),MATCH([1]orders!L$1,[1]products!$A$1:$G$1,0))</f>
        <v>4.3650000000000002</v>
      </c>
      <c r="H101" s="6">
        <f t="shared" si="1"/>
        <v>13.095000000000001</v>
      </c>
    </row>
    <row r="102" spans="1:8" x14ac:dyDescent="0.3">
      <c r="A102" s="1" t="s">
        <v>231</v>
      </c>
      <c r="B102" s="2">
        <v>44291</v>
      </c>
      <c r="C102" s="3" t="s">
        <v>232</v>
      </c>
      <c r="D102" s="4" t="s">
        <v>115</v>
      </c>
      <c r="E102" s="3">
        <v>2</v>
      </c>
      <c r="F102" s="5">
        <f>INDEX([1]products!$A$1:$G$49,MATCH([1]orders!$D102,[1]products!$A$1:$A$49,0),MATCH([1]orders!K$1,[1]products!$A$1:$G$1,0))</f>
        <v>0.2</v>
      </c>
      <c r="G102" s="6">
        <f>INDEX([1]products!$A$1:$G$49,MATCH([1]orders!$D102,[1]products!$A$1:$A$49,0),MATCH([1]orders!L$1,[1]products!$A$1:$G$1,0))</f>
        <v>3.8849999999999998</v>
      </c>
      <c r="H102" s="6">
        <f t="shared" si="1"/>
        <v>7.77</v>
      </c>
    </row>
    <row r="103" spans="1:8" x14ac:dyDescent="0.3">
      <c r="A103" s="1" t="s">
        <v>233</v>
      </c>
      <c r="B103" s="2">
        <v>43891</v>
      </c>
      <c r="C103" s="3" t="s">
        <v>234</v>
      </c>
      <c r="D103" s="4" t="s">
        <v>109</v>
      </c>
      <c r="E103" s="3">
        <v>5</v>
      </c>
      <c r="F103" s="5">
        <f>INDEX([1]products!$A$1:$G$49,MATCH([1]orders!$D103,[1]products!$A$1:$A$49,0),MATCH([1]orders!K$1,[1]products!$A$1:$G$1,0))</f>
        <v>2.5</v>
      </c>
      <c r="G103" s="6">
        <f>INDEX([1]products!$A$1:$G$49,MATCH([1]orders!$D103,[1]products!$A$1:$A$49,0),MATCH([1]orders!L$1,[1]products!$A$1:$G$1,0))</f>
        <v>29.784999999999997</v>
      </c>
      <c r="H103" s="6">
        <f t="shared" si="1"/>
        <v>148.92499999999998</v>
      </c>
    </row>
    <row r="104" spans="1:8" x14ac:dyDescent="0.3">
      <c r="A104" s="1" t="s">
        <v>235</v>
      </c>
      <c r="B104" s="2">
        <v>44488</v>
      </c>
      <c r="C104" s="3" t="s">
        <v>236</v>
      </c>
      <c r="D104" s="4" t="s">
        <v>13</v>
      </c>
      <c r="E104" s="3">
        <v>3</v>
      </c>
      <c r="F104" s="5">
        <f>INDEX([1]products!$A$1:$G$49,MATCH([1]orders!$D104,[1]products!$A$1:$A$49,0),MATCH([1]orders!K$1,[1]products!$A$1:$G$1,0))</f>
        <v>1</v>
      </c>
      <c r="G104" s="6">
        <f>INDEX([1]products!$A$1:$G$49,MATCH([1]orders!$D104,[1]products!$A$1:$A$49,0),MATCH([1]orders!L$1,[1]products!$A$1:$G$1,0))</f>
        <v>12.95</v>
      </c>
      <c r="H104" s="6">
        <f t="shared" si="1"/>
        <v>38.849999999999994</v>
      </c>
    </row>
    <row r="105" spans="1:8" x14ac:dyDescent="0.3">
      <c r="A105" s="1" t="s">
        <v>237</v>
      </c>
      <c r="B105" s="2">
        <v>44750</v>
      </c>
      <c r="C105" s="3" t="s">
        <v>238</v>
      </c>
      <c r="D105" s="4" t="s">
        <v>162</v>
      </c>
      <c r="E105" s="3">
        <v>4</v>
      </c>
      <c r="F105" s="5">
        <f>INDEX([1]products!$A$1:$G$49,MATCH([1]orders!$D105,[1]products!$A$1:$A$49,0),MATCH([1]orders!K$1,[1]products!$A$1:$G$1,0))</f>
        <v>0.2</v>
      </c>
      <c r="G105" s="6">
        <f>INDEX([1]products!$A$1:$G$49,MATCH([1]orders!$D105,[1]products!$A$1:$A$49,0),MATCH([1]orders!L$1,[1]products!$A$1:$G$1,0))</f>
        <v>2.9849999999999999</v>
      </c>
      <c r="H105" s="6">
        <f t="shared" si="1"/>
        <v>11.94</v>
      </c>
    </row>
    <row r="106" spans="1:8" x14ac:dyDescent="0.3">
      <c r="A106" s="1" t="s">
        <v>239</v>
      </c>
      <c r="B106" s="2">
        <v>43694</v>
      </c>
      <c r="C106" s="3" t="s">
        <v>240</v>
      </c>
      <c r="D106" s="4" t="s">
        <v>96</v>
      </c>
      <c r="E106" s="3">
        <v>6</v>
      </c>
      <c r="F106" s="5">
        <f>INDEX([1]products!$A$1:$G$49,MATCH([1]orders!$D106,[1]products!$A$1:$A$49,0),MATCH([1]orders!K$1,[1]products!$A$1:$G$1,0))</f>
        <v>1</v>
      </c>
      <c r="G106" s="6">
        <f>INDEX([1]products!$A$1:$G$49,MATCH([1]orders!$D106,[1]products!$A$1:$A$49,0),MATCH([1]orders!L$1,[1]products!$A$1:$G$1,0))</f>
        <v>14.55</v>
      </c>
      <c r="H106" s="6">
        <f t="shared" si="1"/>
        <v>87.300000000000011</v>
      </c>
    </row>
    <row r="107" spans="1:8" x14ac:dyDescent="0.3">
      <c r="A107" s="1" t="s">
        <v>241</v>
      </c>
      <c r="B107" s="2">
        <v>43982</v>
      </c>
      <c r="C107" s="3" t="s">
        <v>242</v>
      </c>
      <c r="D107" s="4" t="s">
        <v>67</v>
      </c>
      <c r="E107" s="3">
        <v>6</v>
      </c>
      <c r="F107" s="5">
        <f>INDEX([1]products!$A$1:$G$49,MATCH([1]orders!$D107,[1]products!$A$1:$A$49,0),MATCH([1]orders!K$1,[1]products!$A$1:$G$1,0))</f>
        <v>0.5</v>
      </c>
      <c r="G107" s="6">
        <f>INDEX([1]products!$A$1:$G$49,MATCH([1]orders!$D107,[1]products!$A$1:$A$49,0),MATCH([1]orders!L$1,[1]products!$A$1:$G$1,0))</f>
        <v>6.75</v>
      </c>
      <c r="H107" s="6">
        <f t="shared" si="1"/>
        <v>40.5</v>
      </c>
    </row>
    <row r="108" spans="1:8" x14ac:dyDescent="0.3">
      <c r="A108" s="1" t="s">
        <v>243</v>
      </c>
      <c r="B108" s="2">
        <v>43956</v>
      </c>
      <c r="C108" s="3" t="s">
        <v>244</v>
      </c>
      <c r="D108" s="4" t="s">
        <v>245</v>
      </c>
      <c r="E108" s="3">
        <v>2</v>
      </c>
      <c r="F108" s="5">
        <f>INDEX([1]products!$A$1:$G$49,MATCH([1]orders!$D108,[1]products!$A$1:$A$49,0),MATCH([1]orders!K$1,[1]products!$A$1:$G$1,0))</f>
        <v>1</v>
      </c>
      <c r="G108" s="6">
        <f>INDEX([1]products!$A$1:$G$49,MATCH([1]orders!$D108,[1]products!$A$1:$A$49,0),MATCH([1]orders!L$1,[1]products!$A$1:$G$1,0))</f>
        <v>12.15</v>
      </c>
      <c r="H108" s="6">
        <f t="shared" si="1"/>
        <v>24.3</v>
      </c>
    </row>
    <row r="109" spans="1:8" x14ac:dyDescent="0.3">
      <c r="A109" s="1" t="s">
        <v>246</v>
      </c>
      <c r="B109" s="2">
        <v>43569</v>
      </c>
      <c r="C109" s="3" t="s">
        <v>247</v>
      </c>
      <c r="D109" s="4" t="s">
        <v>22</v>
      </c>
      <c r="E109" s="3">
        <v>3</v>
      </c>
      <c r="F109" s="5">
        <f>INDEX([1]products!$A$1:$G$49,MATCH([1]orders!$D109,[1]products!$A$1:$A$49,0),MATCH([1]orders!K$1,[1]products!$A$1:$G$1,0))</f>
        <v>0.5</v>
      </c>
      <c r="G109" s="6">
        <f>INDEX([1]products!$A$1:$G$49,MATCH([1]orders!$D109,[1]products!$A$1:$A$49,0),MATCH([1]orders!L$1,[1]products!$A$1:$G$1,0))</f>
        <v>5.97</v>
      </c>
      <c r="H109" s="6">
        <f t="shared" si="1"/>
        <v>17.91</v>
      </c>
    </row>
    <row r="110" spans="1:8" x14ac:dyDescent="0.3">
      <c r="A110" s="1" t="s">
        <v>248</v>
      </c>
      <c r="B110" s="2">
        <v>44041</v>
      </c>
      <c r="C110" s="3" t="s">
        <v>249</v>
      </c>
      <c r="D110" s="4" t="s">
        <v>67</v>
      </c>
      <c r="E110" s="3">
        <v>4</v>
      </c>
      <c r="F110" s="5">
        <f>INDEX([1]products!$A$1:$G$49,MATCH([1]orders!$D110,[1]products!$A$1:$A$49,0),MATCH([1]orders!K$1,[1]products!$A$1:$G$1,0))</f>
        <v>0.5</v>
      </c>
      <c r="G110" s="6">
        <f>INDEX([1]products!$A$1:$G$49,MATCH([1]orders!$D110,[1]products!$A$1:$A$49,0),MATCH([1]orders!L$1,[1]products!$A$1:$G$1,0))</f>
        <v>6.75</v>
      </c>
      <c r="H110" s="6">
        <f t="shared" si="1"/>
        <v>27</v>
      </c>
    </row>
    <row r="111" spans="1:8" x14ac:dyDescent="0.3">
      <c r="A111" s="1" t="s">
        <v>250</v>
      </c>
      <c r="B111" s="2">
        <v>43811</v>
      </c>
      <c r="C111" s="3" t="s">
        <v>251</v>
      </c>
      <c r="D111" s="4" t="s">
        <v>123</v>
      </c>
      <c r="E111" s="3">
        <v>1</v>
      </c>
      <c r="F111" s="5">
        <f>INDEX([1]products!$A$1:$G$49,MATCH([1]orders!$D111,[1]products!$A$1:$A$49,0),MATCH([1]orders!K$1,[1]products!$A$1:$G$1,0))</f>
        <v>0.5</v>
      </c>
      <c r="G111" s="6">
        <f>INDEX([1]products!$A$1:$G$49,MATCH([1]orders!$D111,[1]products!$A$1:$A$49,0),MATCH([1]orders!L$1,[1]products!$A$1:$G$1,0))</f>
        <v>7.77</v>
      </c>
      <c r="H111" s="6">
        <f t="shared" si="1"/>
        <v>7.77</v>
      </c>
    </row>
    <row r="112" spans="1:8" x14ac:dyDescent="0.3">
      <c r="A112" s="1" t="s">
        <v>252</v>
      </c>
      <c r="B112" s="2">
        <v>44727</v>
      </c>
      <c r="C112" s="3" t="s">
        <v>253</v>
      </c>
      <c r="D112" s="4" t="s">
        <v>254</v>
      </c>
      <c r="E112" s="3">
        <v>3</v>
      </c>
      <c r="F112" s="5">
        <f>INDEX([1]products!$A$1:$G$49,MATCH([1]orders!$D112,[1]products!$A$1:$A$49,0),MATCH([1]orders!K$1,[1]products!$A$1:$G$1,0))</f>
        <v>0.2</v>
      </c>
      <c r="G112" s="6">
        <f>INDEX([1]products!$A$1:$G$49,MATCH([1]orders!$D112,[1]products!$A$1:$A$49,0),MATCH([1]orders!L$1,[1]products!$A$1:$G$1,0))</f>
        <v>4.4550000000000001</v>
      </c>
      <c r="H112" s="6">
        <f t="shared" si="1"/>
        <v>13.365</v>
      </c>
    </row>
    <row r="113" spans="1:8" x14ac:dyDescent="0.3">
      <c r="A113" s="1" t="s">
        <v>255</v>
      </c>
      <c r="B113" s="2">
        <v>43642</v>
      </c>
      <c r="C113" s="3" t="s">
        <v>256</v>
      </c>
      <c r="D113" s="4" t="s">
        <v>146</v>
      </c>
      <c r="E113" s="3">
        <v>5</v>
      </c>
      <c r="F113" s="5">
        <f>INDEX([1]products!$A$1:$G$49,MATCH([1]orders!$D113,[1]products!$A$1:$A$49,0),MATCH([1]orders!K$1,[1]products!$A$1:$G$1,0))</f>
        <v>0.5</v>
      </c>
      <c r="G113" s="6">
        <f>INDEX([1]products!$A$1:$G$49,MATCH([1]orders!$D113,[1]products!$A$1:$A$49,0),MATCH([1]orders!L$1,[1]products!$A$1:$G$1,0))</f>
        <v>5.3699999999999992</v>
      </c>
      <c r="H113" s="6">
        <f t="shared" si="1"/>
        <v>26.849999999999994</v>
      </c>
    </row>
    <row r="114" spans="1:8" x14ac:dyDescent="0.3">
      <c r="A114" s="1" t="s">
        <v>257</v>
      </c>
      <c r="B114" s="2">
        <v>44481</v>
      </c>
      <c r="C114" s="3" t="s">
        <v>258</v>
      </c>
      <c r="D114" s="4" t="s">
        <v>61</v>
      </c>
      <c r="E114" s="3">
        <v>1</v>
      </c>
      <c r="F114" s="5">
        <f>INDEX([1]products!$A$1:$G$49,MATCH([1]orders!$D114,[1]products!$A$1:$A$49,0),MATCH([1]orders!K$1,[1]products!$A$1:$G$1,0))</f>
        <v>1</v>
      </c>
      <c r="G114" s="6">
        <f>INDEX([1]products!$A$1:$G$49,MATCH([1]orders!$D114,[1]products!$A$1:$A$49,0),MATCH([1]orders!L$1,[1]products!$A$1:$G$1,0))</f>
        <v>11.25</v>
      </c>
      <c r="H114" s="6">
        <f t="shared" si="1"/>
        <v>11.25</v>
      </c>
    </row>
    <row r="115" spans="1:8" x14ac:dyDescent="0.3">
      <c r="A115" s="1" t="s">
        <v>259</v>
      </c>
      <c r="B115" s="2">
        <v>43556</v>
      </c>
      <c r="C115" s="3" t="s">
        <v>260</v>
      </c>
      <c r="D115" s="4" t="s">
        <v>96</v>
      </c>
      <c r="E115" s="3">
        <v>1</v>
      </c>
      <c r="F115" s="5">
        <f>INDEX([1]products!$A$1:$G$49,MATCH([1]orders!$D115,[1]products!$A$1:$A$49,0),MATCH([1]orders!K$1,[1]products!$A$1:$G$1,0))</f>
        <v>1</v>
      </c>
      <c r="G115" s="6">
        <f>INDEX([1]products!$A$1:$G$49,MATCH([1]orders!$D115,[1]products!$A$1:$A$49,0),MATCH([1]orders!L$1,[1]products!$A$1:$G$1,0))</f>
        <v>14.55</v>
      </c>
      <c r="H115" s="6">
        <f t="shared" si="1"/>
        <v>14.55</v>
      </c>
    </row>
    <row r="116" spans="1:8" x14ac:dyDescent="0.3">
      <c r="A116" s="1" t="s">
        <v>261</v>
      </c>
      <c r="B116" s="2">
        <v>44265</v>
      </c>
      <c r="C116" s="3" t="s">
        <v>262</v>
      </c>
      <c r="D116" s="4" t="s">
        <v>182</v>
      </c>
      <c r="E116" s="3">
        <v>4</v>
      </c>
      <c r="F116" s="5">
        <f>INDEX([1]products!$A$1:$G$49,MATCH([1]orders!$D116,[1]products!$A$1:$A$49,0),MATCH([1]orders!K$1,[1]products!$A$1:$G$1,0))</f>
        <v>0.2</v>
      </c>
      <c r="G116" s="6">
        <f>INDEX([1]products!$A$1:$G$49,MATCH([1]orders!$D116,[1]products!$A$1:$A$49,0),MATCH([1]orders!L$1,[1]products!$A$1:$G$1,0))</f>
        <v>3.5849999999999995</v>
      </c>
      <c r="H116" s="6">
        <f t="shared" si="1"/>
        <v>14.339999999999998</v>
      </c>
    </row>
    <row r="117" spans="1:8" x14ac:dyDescent="0.3">
      <c r="A117" s="1" t="s">
        <v>263</v>
      </c>
      <c r="B117" s="2">
        <v>43693</v>
      </c>
      <c r="C117" s="3" t="s">
        <v>264</v>
      </c>
      <c r="D117" s="4" t="s">
        <v>132</v>
      </c>
      <c r="E117" s="3">
        <v>1</v>
      </c>
      <c r="F117" s="5">
        <f>INDEX([1]products!$A$1:$G$49,MATCH([1]orders!$D117,[1]products!$A$1:$A$49,0),MATCH([1]orders!K$1,[1]products!$A$1:$G$1,0))</f>
        <v>1</v>
      </c>
      <c r="G117" s="6">
        <f>INDEX([1]products!$A$1:$G$49,MATCH([1]orders!$D117,[1]products!$A$1:$A$49,0),MATCH([1]orders!L$1,[1]products!$A$1:$G$1,0))</f>
        <v>15.85</v>
      </c>
      <c r="H117" s="6">
        <f t="shared" si="1"/>
        <v>15.85</v>
      </c>
    </row>
    <row r="118" spans="1:8" x14ac:dyDescent="0.3">
      <c r="A118" s="1" t="s">
        <v>265</v>
      </c>
      <c r="B118" s="2">
        <v>44054</v>
      </c>
      <c r="C118" s="3" t="s">
        <v>266</v>
      </c>
      <c r="D118" s="4" t="s">
        <v>19</v>
      </c>
      <c r="E118" s="3">
        <v>4</v>
      </c>
      <c r="F118" s="5">
        <f>INDEX([1]products!$A$1:$G$49,MATCH([1]orders!$D118,[1]products!$A$1:$A$49,0),MATCH([1]orders!K$1,[1]products!$A$1:$G$1,0))</f>
        <v>0.2</v>
      </c>
      <c r="G118" s="6">
        <f>INDEX([1]products!$A$1:$G$49,MATCH([1]orders!$D118,[1]products!$A$1:$A$49,0),MATCH([1]orders!L$1,[1]products!$A$1:$G$1,0))</f>
        <v>4.7549999999999999</v>
      </c>
      <c r="H118" s="6">
        <f t="shared" si="1"/>
        <v>19.02</v>
      </c>
    </row>
    <row r="119" spans="1:8" x14ac:dyDescent="0.3">
      <c r="A119" s="1" t="s">
        <v>267</v>
      </c>
      <c r="B119" s="2">
        <v>44656</v>
      </c>
      <c r="C119" s="3" t="s">
        <v>268</v>
      </c>
      <c r="D119" s="4" t="s">
        <v>83</v>
      </c>
      <c r="E119" s="3">
        <v>4</v>
      </c>
      <c r="F119" s="5">
        <f>INDEX([1]products!$A$1:$G$49,MATCH([1]orders!$D119,[1]products!$A$1:$A$49,0),MATCH([1]orders!K$1,[1]products!$A$1:$G$1,0))</f>
        <v>0.5</v>
      </c>
      <c r="G119" s="6">
        <f>INDEX([1]products!$A$1:$G$49,MATCH([1]orders!$D119,[1]products!$A$1:$A$49,0),MATCH([1]orders!L$1,[1]products!$A$1:$G$1,0))</f>
        <v>9.51</v>
      </c>
      <c r="H119" s="6">
        <f t="shared" si="1"/>
        <v>38.04</v>
      </c>
    </row>
    <row r="120" spans="1:8" x14ac:dyDescent="0.3">
      <c r="A120" s="1" t="s">
        <v>269</v>
      </c>
      <c r="B120" s="2">
        <v>43760</v>
      </c>
      <c r="C120" s="3" t="s">
        <v>270</v>
      </c>
      <c r="D120" s="4" t="s">
        <v>16</v>
      </c>
      <c r="E120" s="3">
        <v>3</v>
      </c>
      <c r="F120" s="5">
        <f>INDEX([1]products!$A$1:$G$49,MATCH([1]orders!$D120,[1]products!$A$1:$A$49,0),MATCH([1]orders!K$1,[1]products!$A$1:$G$1,0))</f>
        <v>0.5</v>
      </c>
      <c r="G120" s="6">
        <f>INDEX([1]products!$A$1:$G$49,MATCH([1]orders!$D120,[1]products!$A$1:$A$49,0),MATCH([1]orders!L$1,[1]products!$A$1:$G$1,0))</f>
        <v>7.29</v>
      </c>
      <c r="H120" s="6">
        <f t="shared" si="1"/>
        <v>21.87</v>
      </c>
    </row>
    <row r="121" spans="1:8" x14ac:dyDescent="0.3">
      <c r="A121" s="1" t="s">
        <v>271</v>
      </c>
      <c r="B121" s="2">
        <v>44471</v>
      </c>
      <c r="C121" s="3" t="s">
        <v>272</v>
      </c>
      <c r="D121" s="4" t="s">
        <v>64</v>
      </c>
      <c r="E121" s="3">
        <v>1</v>
      </c>
      <c r="F121" s="5">
        <f>INDEX([1]products!$A$1:$G$49,MATCH([1]orders!$D121,[1]products!$A$1:$A$49,0),MATCH([1]orders!K$1,[1]products!$A$1:$G$1,0))</f>
        <v>0.2</v>
      </c>
      <c r="G121" s="6">
        <f>INDEX([1]products!$A$1:$G$49,MATCH([1]orders!$D121,[1]products!$A$1:$A$49,0),MATCH([1]orders!L$1,[1]products!$A$1:$G$1,0))</f>
        <v>4.125</v>
      </c>
      <c r="H121" s="6">
        <f t="shared" si="1"/>
        <v>4.125</v>
      </c>
    </row>
    <row r="122" spans="1:8" x14ac:dyDescent="0.3">
      <c r="A122" s="1" t="s">
        <v>271</v>
      </c>
      <c r="B122" s="2">
        <v>44471</v>
      </c>
      <c r="C122" s="3" t="s">
        <v>272</v>
      </c>
      <c r="D122" s="4" t="s">
        <v>115</v>
      </c>
      <c r="E122" s="3">
        <v>1</v>
      </c>
      <c r="F122" s="5">
        <f>INDEX([1]products!$A$1:$G$49,MATCH([1]orders!$D122,[1]products!$A$1:$A$49,0),MATCH([1]orders!K$1,[1]products!$A$1:$G$1,0))</f>
        <v>0.2</v>
      </c>
      <c r="G122" s="6">
        <f>INDEX([1]products!$A$1:$G$49,MATCH([1]orders!$D122,[1]products!$A$1:$A$49,0),MATCH([1]orders!L$1,[1]products!$A$1:$G$1,0))</f>
        <v>3.8849999999999998</v>
      </c>
      <c r="H122" s="6">
        <f t="shared" si="1"/>
        <v>3.8849999999999998</v>
      </c>
    </row>
    <row r="123" spans="1:8" x14ac:dyDescent="0.3">
      <c r="A123" s="1" t="s">
        <v>271</v>
      </c>
      <c r="B123" s="2">
        <v>44471</v>
      </c>
      <c r="C123" s="3" t="s">
        <v>272</v>
      </c>
      <c r="D123" s="4" t="s">
        <v>9</v>
      </c>
      <c r="E123" s="3">
        <v>5</v>
      </c>
      <c r="F123" s="5">
        <f>INDEX([1]products!$A$1:$G$49,MATCH([1]orders!$D123,[1]products!$A$1:$A$49,0),MATCH([1]orders!K$1,[1]products!$A$1:$G$1,0))</f>
        <v>1</v>
      </c>
      <c r="G123" s="6">
        <f>INDEX([1]products!$A$1:$G$49,MATCH([1]orders!$D123,[1]products!$A$1:$A$49,0),MATCH([1]orders!L$1,[1]products!$A$1:$G$1,0))</f>
        <v>13.75</v>
      </c>
      <c r="H123" s="6">
        <f t="shared" si="1"/>
        <v>68.75</v>
      </c>
    </row>
    <row r="124" spans="1:8" x14ac:dyDescent="0.3">
      <c r="A124" s="1" t="s">
        <v>273</v>
      </c>
      <c r="B124" s="2">
        <v>44268</v>
      </c>
      <c r="C124" s="3" t="s">
        <v>274</v>
      </c>
      <c r="D124" s="4" t="s">
        <v>72</v>
      </c>
      <c r="E124" s="3">
        <v>4</v>
      </c>
      <c r="F124" s="5">
        <f>INDEX([1]products!$A$1:$G$49,MATCH([1]orders!$D124,[1]products!$A$1:$A$49,0),MATCH([1]orders!K$1,[1]products!$A$1:$G$1,0))</f>
        <v>0.5</v>
      </c>
      <c r="G124" s="6">
        <f>INDEX([1]products!$A$1:$G$49,MATCH([1]orders!$D124,[1]products!$A$1:$A$49,0),MATCH([1]orders!L$1,[1]products!$A$1:$G$1,0))</f>
        <v>5.97</v>
      </c>
      <c r="H124" s="6">
        <f t="shared" si="1"/>
        <v>23.88</v>
      </c>
    </row>
    <row r="125" spans="1:8" x14ac:dyDescent="0.3">
      <c r="A125" s="1" t="s">
        <v>275</v>
      </c>
      <c r="B125" s="2">
        <v>44724</v>
      </c>
      <c r="C125" s="3" t="s">
        <v>276</v>
      </c>
      <c r="D125" s="4" t="s">
        <v>104</v>
      </c>
      <c r="E125" s="3">
        <v>4</v>
      </c>
      <c r="F125" s="5">
        <f>INDEX([1]products!$A$1:$G$49,MATCH([1]orders!$D125,[1]products!$A$1:$A$49,0),MATCH([1]orders!K$1,[1]products!$A$1:$G$1,0))</f>
        <v>2.5</v>
      </c>
      <c r="G125" s="6">
        <f>INDEX([1]products!$A$1:$G$49,MATCH([1]orders!$D125,[1]products!$A$1:$A$49,0),MATCH([1]orders!L$1,[1]products!$A$1:$G$1,0))</f>
        <v>36.454999999999998</v>
      </c>
      <c r="H125" s="6">
        <f t="shared" si="1"/>
        <v>145.82</v>
      </c>
    </row>
    <row r="126" spans="1:8" x14ac:dyDescent="0.3">
      <c r="A126" s="1" t="s">
        <v>277</v>
      </c>
      <c r="B126" s="2">
        <v>43582</v>
      </c>
      <c r="C126" s="3" t="s">
        <v>278</v>
      </c>
      <c r="D126" s="4" t="s">
        <v>77</v>
      </c>
      <c r="E126" s="3">
        <v>5</v>
      </c>
      <c r="F126" s="5">
        <f>INDEX([1]products!$A$1:$G$49,MATCH([1]orders!$D126,[1]products!$A$1:$A$49,0),MATCH([1]orders!K$1,[1]products!$A$1:$G$1,0))</f>
        <v>0.2</v>
      </c>
      <c r="G126" s="6">
        <f>INDEX([1]products!$A$1:$G$49,MATCH([1]orders!$D126,[1]products!$A$1:$A$49,0),MATCH([1]orders!L$1,[1]products!$A$1:$G$1,0))</f>
        <v>4.3650000000000002</v>
      </c>
      <c r="H126" s="6">
        <f t="shared" si="1"/>
        <v>21.825000000000003</v>
      </c>
    </row>
    <row r="127" spans="1:8" x14ac:dyDescent="0.3">
      <c r="A127" s="1" t="s">
        <v>279</v>
      </c>
      <c r="B127" s="2">
        <v>43608</v>
      </c>
      <c r="C127" s="3" t="s">
        <v>280</v>
      </c>
      <c r="D127" s="4" t="s">
        <v>78</v>
      </c>
      <c r="E127" s="3">
        <v>3</v>
      </c>
      <c r="F127" s="5">
        <f>INDEX([1]products!$A$1:$G$49,MATCH([1]orders!$D127,[1]products!$A$1:$A$49,0),MATCH([1]orders!K$1,[1]products!$A$1:$G$1,0))</f>
        <v>0.5</v>
      </c>
      <c r="G127" s="6">
        <f>INDEX([1]products!$A$1:$G$49,MATCH([1]orders!$D127,[1]products!$A$1:$A$49,0),MATCH([1]orders!L$1,[1]products!$A$1:$G$1,0))</f>
        <v>8.73</v>
      </c>
      <c r="H127" s="6">
        <f t="shared" si="1"/>
        <v>26.19</v>
      </c>
    </row>
    <row r="128" spans="1:8" x14ac:dyDescent="0.3">
      <c r="A128" s="1" t="s">
        <v>281</v>
      </c>
      <c r="B128" s="2">
        <v>44026</v>
      </c>
      <c r="C128" s="3" t="s">
        <v>282</v>
      </c>
      <c r="D128" s="4" t="s">
        <v>61</v>
      </c>
      <c r="E128" s="3">
        <v>1</v>
      </c>
      <c r="F128" s="5">
        <f>INDEX([1]products!$A$1:$G$49,MATCH([1]orders!$D128,[1]products!$A$1:$A$49,0),MATCH([1]orders!K$1,[1]products!$A$1:$G$1,0))</f>
        <v>1</v>
      </c>
      <c r="G128" s="6">
        <f>INDEX([1]products!$A$1:$G$49,MATCH([1]orders!$D128,[1]products!$A$1:$A$49,0),MATCH([1]orders!L$1,[1]products!$A$1:$G$1,0))</f>
        <v>11.25</v>
      </c>
      <c r="H128" s="6">
        <f t="shared" si="1"/>
        <v>11.25</v>
      </c>
    </row>
    <row r="129" spans="1:8" x14ac:dyDescent="0.3">
      <c r="A129" s="1" t="s">
        <v>283</v>
      </c>
      <c r="B129" s="2">
        <v>44510</v>
      </c>
      <c r="C129" s="3" t="s">
        <v>284</v>
      </c>
      <c r="D129" s="4" t="s">
        <v>13</v>
      </c>
      <c r="E129" s="3">
        <v>6</v>
      </c>
      <c r="F129" s="5">
        <f>INDEX([1]products!$A$1:$G$49,MATCH([1]orders!$D129,[1]products!$A$1:$A$49,0),MATCH([1]orders!K$1,[1]products!$A$1:$G$1,0))</f>
        <v>1</v>
      </c>
      <c r="G129" s="6">
        <f>INDEX([1]products!$A$1:$G$49,MATCH([1]orders!$D129,[1]products!$A$1:$A$49,0),MATCH([1]orders!L$1,[1]products!$A$1:$G$1,0))</f>
        <v>12.95</v>
      </c>
      <c r="H129" s="6">
        <f t="shared" si="1"/>
        <v>77.699999999999989</v>
      </c>
    </row>
    <row r="130" spans="1:8" x14ac:dyDescent="0.3">
      <c r="A130" s="1" t="s">
        <v>285</v>
      </c>
      <c r="B130" s="2">
        <v>44439</v>
      </c>
      <c r="C130" s="3" t="s">
        <v>286</v>
      </c>
      <c r="D130" s="4" t="s">
        <v>67</v>
      </c>
      <c r="E130" s="3">
        <v>1</v>
      </c>
      <c r="F130" s="5">
        <f>INDEX([1]products!$A$1:$G$49,MATCH([1]orders!$D130,[1]products!$A$1:$A$49,0),MATCH([1]orders!K$1,[1]products!$A$1:$G$1,0))</f>
        <v>0.5</v>
      </c>
      <c r="G130" s="6">
        <f>INDEX([1]products!$A$1:$G$49,MATCH([1]orders!$D130,[1]products!$A$1:$A$49,0),MATCH([1]orders!L$1,[1]products!$A$1:$G$1,0))</f>
        <v>6.75</v>
      </c>
      <c r="H130" s="6">
        <f t="shared" ref="H130:H193" si="2">E130*G130</f>
        <v>6.75</v>
      </c>
    </row>
    <row r="131" spans="1:8" x14ac:dyDescent="0.3">
      <c r="A131" s="1" t="s">
        <v>287</v>
      </c>
      <c r="B131" s="2">
        <v>43652</v>
      </c>
      <c r="C131" s="3" t="s">
        <v>288</v>
      </c>
      <c r="D131" s="4" t="s">
        <v>245</v>
      </c>
      <c r="E131" s="3">
        <v>1</v>
      </c>
      <c r="F131" s="5">
        <f>INDEX([1]products!$A$1:$G$49,MATCH([1]orders!$D131,[1]products!$A$1:$A$49,0),MATCH([1]orders!K$1,[1]products!$A$1:$G$1,0))</f>
        <v>1</v>
      </c>
      <c r="G131" s="6">
        <f>INDEX([1]products!$A$1:$G$49,MATCH([1]orders!$D131,[1]products!$A$1:$A$49,0),MATCH([1]orders!L$1,[1]products!$A$1:$G$1,0))</f>
        <v>12.15</v>
      </c>
      <c r="H131" s="6">
        <f t="shared" si="2"/>
        <v>12.15</v>
      </c>
    </row>
    <row r="132" spans="1:8" x14ac:dyDescent="0.3">
      <c r="A132" s="1" t="s">
        <v>289</v>
      </c>
      <c r="B132" s="2">
        <v>44624</v>
      </c>
      <c r="C132" s="3" t="s">
        <v>290</v>
      </c>
      <c r="D132" s="4" t="s">
        <v>204</v>
      </c>
      <c r="E132" s="3">
        <v>5</v>
      </c>
      <c r="F132" s="5">
        <f>INDEX([1]products!$A$1:$G$49,MATCH([1]orders!$D132,[1]products!$A$1:$A$49,0),MATCH([1]orders!K$1,[1]products!$A$1:$G$1,0))</f>
        <v>2.5</v>
      </c>
      <c r="G132" s="6">
        <f>INDEX([1]products!$A$1:$G$49,MATCH([1]orders!$D132,[1]products!$A$1:$A$49,0),MATCH([1]orders!L$1,[1]products!$A$1:$G$1,0))</f>
        <v>29.784999999999997</v>
      </c>
      <c r="H132" s="6">
        <f t="shared" si="2"/>
        <v>148.92499999999998</v>
      </c>
    </row>
    <row r="133" spans="1:8" x14ac:dyDescent="0.3">
      <c r="A133" s="1" t="s">
        <v>291</v>
      </c>
      <c r="B133" s="2">
        <v>44196</v>
      </c>
      <c r="C133" s="3" t="s">
        <v>292</v>
      </c>
      <c r="D133" s="4" t="s">
        <v>16</v>
      </c>
      <c r="E133" s="3">
        <v>2</v>
      </c>
      <c r="F133" s="5">
        <f>INDEX([1]products!$A$1:$G$49,MATCH([1]orders!$D133,[1]products!$A$1:$A$49,0),MATCH([1]orders!K$1,[1]products!$A$1:$G$1,0))</f>
        <v>0.5</v>
      </c>
      <c r="G133" s="6">
        <f>INDEX([1]products!$A$1:$G$49,MATCH([1]orders!$D133,[1]products!$A$1:$A$49,0),MATCH([1]orders!L$1,[1]products!$A$1:$G$1,0))</f>
        <v>7.29</v>
      </c>
      <c r="H133" s="6">
        <f t="shared" si="2"/>
        <v>14.58</v>
      </c>
    </row>
    <row r="134" spans="1:8" x14ac:dyDescent="0.3">
      <c r="A134" s="1" t="s">
        <v>293</v>
      </c>
      <c r="B134" s="2">
        <v>44043</v>
      </c>
      <c r="C134" s="3" t="s">
        <v>294</v>
      </c>
      <c r="D134" s="4" t="s">
        <v>204</v>
      </c>
      <c r="E134" s="3">
        <v>5</v>
      </c>
      <c r="F134" s="5">
        <f>INDEX([1]products!$A$1:$G$49,MATCH([1]orders!$D134,[1]products!$A$1:$A$49,0),MATCH([1]orders!K$1,[1]products!$A$1:$G$1,0))</f>
        <v>2.5</v>
      </c>
      <c r="G134" s="6">
        <f>INDEX([1]products!$A$1:$G$49,MATCH([1]orders!$D134,[1]products!$A$1:$A$49,0),MATCH([1]orders!L$1,[1]products!$A$1:$G$1,0))</f>
        <v>29.784999999999997</v>
      </c>
      <c r="H134" s="6">
        <f t="shared" si="2"/>
        <v>148.92499999999998</v>
      </c>
    </row>
    <row r="135" spans="1:8" x14ac:dyDescent="0.3">
      <c r="A135" s="1" t="s">
        <v>295</v>
      </c>
      <c r="B135" s="2">
        <v>44340</v>
      </c>
      <c r="C135" s="3" t="s">
        <v>296</v>
      </c>
      <c r="D135" s="4" t="s">
        <v>13</v>
      </c>
      <c r="E135" s="3">
        <v>1</v>
      </c>
      <c r="F135" s="5">
        <f>INDEX([1]products!$A$1:$G$49,MATCH([1]orders!$D135,[1]products!$A$1:$A$49,0),MATCH([1]orders!K$1,[1]products!$A$1:$G$1,0))</f>
        <v>1</v>
      </c>
      <c r="G135" s="6">
        <f>INDEX([1]products!$A$1:$G$49,MATCH([1]orders!$D135,[1]products!$A$1:$A$49,0),MATCH([1]orders!L$1,[1]products!$A$1:$G$1,0))</f>
        <v>12.95</v>
      </c>
      <c r="H135" s="6">
        <f t="shared" si="2"/>
        <v>12.95</v>
      </c>
    </row>
    <row r="136" spans="1:8" x14ac:dyDescent="0.3">
      <c r="A136" s="1" t="s">
        <v>297</v>
      </c>
      <c r="B136" s="2">
        <v>44758</v>
      </c>
      <c r="C136" s="3" t="s">
        <v>298</v>
      </c>
      <c r="D136" s="4" t="s">
        <v>112</v>
      </c>
      <c r="E136" s="3">
        <v>3</v>
      </c>
      <c r="F136" s="5">
        <f>INDEX([1]products!$A$1:$G$49,MATCH([1]orders!$D136,[1]products!$A$1:$A$49,0),MATCH([1]orders!K$1,[1]products!$A$1:$G$1,0))</f>
        <v>2.5</v>
      </c>
      <c r="G136" s="6">
        <f>INDEX([1]products!$A$1:$G$49,MATCH([1]orders!$D136,[1]products!$A$1:$A$49,0),MATCH([1]orders!L$1,[1]products!$A$1:$G$1,0))</f>
        <v>31.624999999999996</v>
      </c>
      <c r="H136" s="6">
        <f t="shared" si="2"/>
        <v>94.874999999999986</v>
      </c>
    </row>
    <row r="137" spans="1:8" x14ac:dyDescent="0.3">
      <c r="A137" s="1" t="s">
        <v>299</v>
      </c>
      <c r="B137" s="2">
        <v>44232</v>
      </c>
      <c r="C137" s="3" t="s">
        <v>300</v>
      </c>
      <c r="D137" s="4" t="s">
        <v>192</v>
      </c>
      <c r="E137" s="3">
        <v>5</v>
      </c>
      <c r="F137" s="5">
        <f>INDEX([1]products!$A$1:$G$49,MATCH([1]orders!$D137,[1]products!$A$1:$A$49,0),MATCH([1]orders!K$1,[1]products!$A$1:$G$1,0))</f>
        <v>0.5</v>
      </c>
      <c r="G137" s="6">
        <f>INDEX([1]products!$A$1:$G$49,MATCH([1]orders!$D137,[1]products!$A$1:$A$49,0),MATCH([1]orders!L$1,[1]products!$A$1:$G$1,0))</f>
        <v>7.77</v>
      </c>
      <c r="H137" s="6">
        <f t="shared" si="2"/>
        <v>38.849999999999994</v>
      </c>
    </row>
    <row r="138" spans="1:8" x14ac:dyDescent="0.3">
      <c r="A138" s="1" t="s">
        <v>301</v>
      </c>
      <c r="B138" s="2">
        <v>44406</v>
      </c>
      <c r="C138" s="3" t="s">
        <v>302</v>
      </c>
      <c r="D138" s="4" t="s">
        <v>54</v>
      </c>
      <c r="E138" s="3">
        <v>4</v>
      </c>
      <c r="F138" s="5">
        <f>INDEX([1]products!$A$1:$G$49,MATCH([1]orders!$D138,[1]products!$A$1:$A$49,0),MATCH([1]orders!K$1,[1]products!$A$1:$G$1,0))</f>
        <v>0.2</v>
      </c>
      <c r="G138" s="6">
        <f>INDEX([1]products!$A$1:$G$49,MATCH([1]orders!$D138,[1]products!$A$1:$A$49,0),MATCH([1]orders!L$1,[1]products!$A$1:$G$1,0))</f>
        <v>2.9849999999999999</v>
      </c>
      <c r="H138" s="6">
        <f t="shared" si="2"/>
        <v>11.94</v>
      </c>
    </row>
    <row r="139" spans="1:8" x14ac:dyDescent="0.3">
      <c r="A139" s="1" t="s">
        <v>303</v>
      </c>
      <c r="B139" s="2">
        <v>44637</v>
      </c>
      <c r="C139" s="3" t="s">
        <v>304</v>
      </c>
      <c r="D139" s="4" t="s">
        <v>30</v>
      </c>
      <c r="E139" s="3">
        <v>3</v>
      </c>
      <c r="F139" s="5">
        <f>INDEX([1]products!$A$1:$G$49,MATCH([1]orders!$D139,[1]products!$A$1:$A$49,0),MATCH([1]orders!K$1,[1]products!$A$1:$G$1,0))</f>
        <v>2.5</v>
      </c>
      <c r="G139" s="6">
        <f>INDEX([1]products!$A$1:$G$49,MATCH([1]orders!$D139,[1]products!$A$1:$A$49,0),MATCH([1]orders!L$1,[1]products!$A$1:$G$1,0))</f>
        <v>34.154999999999994</v>
      </c>
      <c r="H139" s="6">
        <f t="shared" si="2"/>
        <v>102.46499999999997</v>
      </c>
    </row>
    <row r="140" spans="1:8" x14ac:dyDescent="0.3">
      <c r="A140" s="1" t="s">
        <v>305</v>
      </c>
      <c r="B140" s="2">
        <v>44238</v>
      </c>
      <c r="C140" s="3" t="s">
        <v>306</v>
      </c>
      <c r="D140" s="4" t="s">
        <v>245</v>
      </c>
      <c r="E140" s="3">
        <v>4</v>
      </c>
      <c r="F140" s="5">
        <f>INDEX([1]products!$A$1:$G$49,MATCH([1]orders!$D140,[1]products!$A$1:$A$49,0),MATCH([1]orders!K$1,[1]products!$A$1:$G$1,0))</f>
        <v>1</v>
      </c>
      <c r="G140" s="6">
        <f>INDEX([1]products!$A$1:$G$49,MATCH([1]orders!$D140,[1]products!$A$1:$A$49,0),MATCH([1]orders!L$1,[1]products!$A$1:$G$1,0))</f>
        <v>12.15</v>
      </c>
      <c r="H140" s="6">
        <f t="shared" si="2"/>
        <v>48.6</v>
      </c>
    </row>
    <row r="141" spans="1:8" x14ac:dyDescent="0.3">
      <c r="A141" s="1" t="s">
        <v>307</v>
      </c>
      <c r="B141" s="2">
        <v>43509</v>
      </c>
      <c r="C141" s="3" t="s">
        <v>308</v>
      </c>
      <c r="D141" s="4" t="s">
        <v>13</v>
      </c>
      <c r="E141" s="3">
        <v>6</v>
      </c>
      <c r="F141" s="5">
        <f>INDEX([1]products!$A$1:$G$49,MATCH([1]orders!$D141,[1]products!$A$1:$A$49,0),MATCH([1]orders!K$1,[1]products!$A$1:$G$1,0))</f>
        <v>1</v>
      </c>
      <c r="G141" s="6">
        <f>INDEX([1]products!$A$1:$G$49,MATCH([1]orders!$D141,[1]products!$A$1:$A$49,0),MATCH([1]orders!L$1,[1]products!$A$1:$G$1,0))</f>
        <v>12.95</v>
      </c>
      <c r="H141" s="6">
        <f t="shared" si="2"/>
        <v>77.699999999999989</v>
      </c>
    </row>
    <row r="142" spans="1:8" x14ac:dyDescent="0.3">
      <c r="A142" s="1" t="s">
        <v>309</v>
      </c>
      <c r="B142" s="2">
        <v>44694</v>
      </c>
      <c r="C142" s="3" t="s">
        <v>310</v>
      </c>
      <c r="D142" s="4" t="s">
        <v>109</v>
      </c>
      <c r="E142" s="3">
        <v>1</v>
      </c>
      <c r="F142" s="5">
        <f>INDEX([1]products!$A$1:$G$49,MATCH([1]orders!$D142,[1]products!$A$1:$A$49,0),MATCH([1]orders!K$1,[1]products!$A$1:$G$1,0))</f>
        <v>2.5</v>
      </c>
      <c r="G142" s="6">
        <f>INDEX([1]products!$A$1:$G$49,MATCH([1]orders!$D142,[1]products!$A$1:$A$49,0),MATCH([1]orders!L$1,[1]products!$A$1:$G$1,0))</f>
        <v>29.784999999999997</v>
      </c>
      <c r="H142" s="6">
        <f t="shared" si="2"/>
        <v>29.784999999999997</v>
      </c>
    </row>
    <row r="143" spans="1:8" x14ac:dyDescent="0.3">
      <c r="A143" s="1" t="s">
        <v>311</v>
      </c>
      <c r="B143" s="2">
        <v>43970</v>
      </c>
      <c r="C143" s="3" t="s">
        <v>312</v>
      </c>
      <c r="D143" s="4" t="s">
        <v>115</v>
      </c>
      <c r="E143" s="3">
        <v>4</v>
      </c>
      <c r="F143" s="5">
        <f>INDEX([1]products!$A$1:$G$49,MATCH([1]orders!$D143,[1]products!$A$1:$A$49,0),MATCH([1]orders!K$1,[1]products!$A$1:$G$1,0))</f>
        <v>0.2</v>
      </c>
      <c r="G143" s="6">
        <f>INDEX([1]products!$A$1:$G$49,MATCH([1]orders!$D143,[1]products!$A$1:$A$49,0),MATCH([1]orders!L$1,[1]products!$A$1:$G$1,0))</f>
        <v>3.8849999999999998</v>
      </c>
      <c r="H143" s="6">
        <f t="shared" si="2"/>
        <v>15.54</v>
      </c>
    </row>
    <row r="144" spans="1:8" x14ac:dyDescent="0.3">
      <c r="A144" s="1" t="s">
        <v>313</v>
      </c>
      <c r="B144" s="2">
        <v>44678</v>
      </c>
      <c r="C144" s="3" t="s">
        <v>314</v>
      </c>
      <c r="D144" s="4" t="s">
        <v>30</v>
      </c>
      <c r="E144" s="3">
        <v>4</v>
      </c>
      <c r="F144" s="5">
        <f>INDEX([1]products!$A$1:$G$49,MATCH([1]orders!$D144,[1]products!$A$1:$A$49,0),MATCH([1]orders!K$1,[1]products!$A$1:$G$1,0))</f>
        <v>2.5</v>
      </c>
      <c r="G144" s="6">
        <f>INDEX([1]products!$A$1:$G$49,MATCH([1]orders!$D144,[1]products!$A$1:$A$49,0),MATCH([1]orders!L$1,[1]products!$A$1:$G$1,0))</f>
        <v>34.154999999999994</v>
      </c>
      <c r="H144" s="6">
        <f t="shared" si="2"/>
        <v>136.61999999999998</v>
      </c>
    </row>
    <row r="145" spans="1:8" x14ac:dyDescent="0.3">
      <c r="A145" s="1" t="s">
        <v>315</v>
      </c>
      <c r="B145" s="2">
        <v>44083</v>
      </c>
      <c r="C145" s="3" t="s">
        <v>316</v>
      </c>
      <c r="D145" s="4" t="s">
        <v>78</v>
      </c>
      <c r="E145" s="3">
        <v>2</v>
      </c>
      <c r="F145" s="5">
        <f>INDEX([1]products!$A$1:$G$49,MATCH([1]orders!$D145,[1]products!$A$1:$A$49,0),MATCH([1]orders!K$1,[1]products!$A$1:$G$1,0))</f>
        <v>0.5</v>
      </c>
      <c r="G145" s="6">
        <f>INDEX([1]products!$A$1:$G$49,MATCH([1]orders!$D145,[1]products!$A$1:$A$49,0),MATCH([1]orders!L$1,[1]products!$A$1:$G$1,0))</f>
        <v>8.73</v>
      </c>
      <c r="H145" s="6">
        <f t="shared" si="2"/>
        <v>17.46</v>
      </c>
    </row>
    <row r="146" spans="1:8" x14ac:dyDescent="0.3">
      <c r="A146" s="1" t="s">
        <v>317</v>
      </c>
      <c r="B146" s="2">
        <v>44265</v>
      </c>
      <c r="C146" s="3" t="s">
        <v>318</v>
      </c>
      <c r="D146" s="4" t="s">
        <v>30</v>
      </c>
      <c r="E146" s="3">
        <v>2</v>
      </c>
      <c r="F146" s="5">
        <f>INDEX([1]products!$A$1:$G$49,MATCH([1]orders!$D146,[1]products!$A$1:$A$49,0),MATCH([1]orders!K$1,[1]products!$A$1:$G$1,0))</f>
        <v>2.5</v>
      </c>
      <c r="G146" s="6">
        <f>INDEX([1]products!$A$1:$G$49,MATCH([1]orders!$D146,[1]products!$A$1:$A$49,0),MATCH([1]orders!L$1,[1]products!$A$1:$G$1,0))</f>
        <v>34.154999999999994</v>
      </c>
      <c r="H146" s="6">
        <f t="shared" si="2"/>
        <v>68.309999999999988</v>
      </c>
    </row>
    <row r="147" spans="1:8" x14ac:dyDescent="0.3">
      <c r="A147" s="1" t="s">
        <v>319</v>
      </c>
      <c r="B147" s="2">
        <v>43562</v>
      </c>
      <c r="C147" s="3" t="s">
        <v>320</v>
      </c>
      <c r="D147" s="4" t="s">
        <v>77</v>
      </c>
      <c r="E147" s="3">
        <v>4</v>
      </c>
      <c r="F147" s="5">
        <f>INDEX([1]products!$A$1:$G$49,MATCH([1]orders!$D147,[1]products!$A$1:$A$49,0),MATCH([1]orders!K$1,[1]products!$A$1:$G$1,0))</f>
        <v>0.2</v>
      </c>
      <c r="G147" s="6">
        <f>INDEX([1]products!$A$1:$G$49,MATCH([1]orders!$D147,[1]products!$A$1:$A$49,0),MATCH([1]orders!L$1,[1]products!$A$1:$G$1,0))</f>
        <v>4.3650000000000002</v>
      </c>
      <c r="H147" s="6">
        <f t="shared" si="2"/>
        <v>17.46</v>
      </c>
    </row>
    <row r="148" spans="1:8" x14ac:dyDescent="0.3">
      <c r="A148" s="1" t="s">
        <v>321</v>
      </c>
      <c r="B148" s="2">
        <v>44024</v>
      </c>
      <c r="C148" s="3" t="s">
        <v>322</v>
      </c>
      <c r="D148" s="4" t="s">
        <v>96</v>
      </c>
      <c r="E148" s="3">
        <v>3</v>
      </c>
      <c r="F148" s="5">
        <f>INDEX([1]products!$A$1:$G$49,MATCH([1]orders!$D148,[1]products!$A$1:$A$49,0),MATCH([1]orders!K$1,[1]products!$A$1:$G$1,0))</f>
        <v>1</v>
      </c>
      <c r="G148" s="6">
        <f>INDEX([1]products!$A$1:$G$49,MATCH([1]orders!$D148,[1]products!$A$1:$A$49,0),MATCH([1]orders!L$1,[1]products!$A$1:$G$1,0))</f>
        <v>14.55</v>
      </c>
      <c r="H148" s="6">
        <f t="shared" si="2"/>
        <v>43.650000000000006</v>
      </c>
    </row>
    <row r="149" spans="1:8" x14ac:dyDescent="0.3">
      <c r="A149" s="1" t="s">
        <v>321</v>
      </c>
      <c r="B149" s="2">
        <v>44024</v>
      </c>
      <c r="C149" s="3" t="s">
        <v>322</v>
      </c>
      <c r="D149" s="4" t="s">
        <v>9</v>
      </c>
      <c r="E149" s="3">
        <v>2</v>
      </c>
      <c r="F149" s="5">
        <f>INDEX([1]products!$A$1:$G$49,MATCH([1]orders!$D149,[1]products!$A$1:$A$49,0),MATCH([1]orders!K$1,[1]products!$A$1:$G$1,0))</f>
        <v>1</v>
      </c>
      <c r="G149" s="6">
        <f>INDEX([1]products!$A$1:$G$49,MATCH([1]orders!$D149,[1]products!$A$1:$A$49,0),MATCH([1]orders!L$1,[1]products!$A$1:$G$1,0))</f>
        <v>13.75</v>
      </c>
      <c r="H149" s="6">
        <f t="shared" si="2"/>
        <v>27.5</v>
      </c>
    </row>
    <row r="150" spans="1:8" x14ac:dyDescent="0.3">
      <c r="A150" s="1" t="s">
        <v>323</v>
      </c>
      <c r="B150" s="2">
        <v>44551</v>
      </c>
      <c r="C150" s="3" t="s">
        <v>324</v>
      </c>
      <c r="D150" s="4" t="s">
        <v>51</v>
      </c>
      <c r="E150" s="3">
        <v>5</v>
      </c>
      <c r="F150" s="5">
        <f>INDEX([1]products!$A$1:$G$49,MATCH([1]orders!$D150,[1]products!$A$1:$A$49,0),MATCH([1]orders!K$1,[1]products!$A$1:$G$1,0))</f>
        <v>0.2</v>
      </c>
      <c r="G150" s="6">
        <f>INDEX([1]products!$A$1:$G$49,MATCH([1]orders!$D150,[1]products!$A$1:$A$49,0),MATCH([1]orders!L$1,[1]products!$A$1:$G$1,0))</f>
        <v>3.645</v>
      </c>
      <c r="H150" s="6">
        <f t="shared" si="2"/>
        <v>18.225000000000001</v>
      </c>
    </row>
    <row r="151" spans="1:8" x14ac:dyDescent="0.3">
      <c r="A151" s="1" t="s">
        <v>325</v>
      </c>
      <c r="B151" s="2">
        <v>44108</v>
      </c>
      <c r="C151" s="3" t="s">
        <v>326</v>
      </c>
      <c r="D151" s="4" t="s">
        <v>171</v>
      </c>
      <c r="E151" s="3">
        <v>2</v>
      </c>
      <c r="F151" s="5">
        <f>INDEX([1]products!$A$1:$G$49,MATCH([1]orders!$D151,[1]products!$A$1:$A$49,0),MATCH([1]orders!K$1,[1]products!$A$1:$G$1,0))</f>
        <v>2.5</v>
      </c>
      <c r="G151" s="6">
        <f>INDEX([1]products!$A$1:$G$49,MATCH([1]orders!$D151,[1]products!$A$1:$A$49,0),MATCH([1]orders!L$1,[1]products!$A$1:$G$1,0))</f>
        <v>25.874999999999996</v>
      </c>
      <c r="H151" s="6">
        <f t="shared" si="2"/>
        <v>51.749999999999993</v>
      </c>
    </row>
    <row r="152" spans="1:8" x14ac:dyDescent="0.3">
      <c r="A152" s="1" t="s">
        <v>327</v>
      </c>
      <c r="B152" s="2">
        <v>44051</v>
      </c>
      <c r="C152" s="3" t="s">
        <v>328</v>
      </c>
      <c r="D152" s="4" t="s">
        <v>13</v>
      </c>
      <c r="E152" s="3">
        <v>1</v>
      </c>
      <c r="F152" s="5">
        <f>INDEX([1]products!$A$1:$G$49,MATCH([1]orders!$D152,[1]products!$A$1:$A$49,0),MATCH([1]orders!K$1,[1]products!$A$1:$G$1,0))</f>
        <v>1</v>
      </c>
      <c r="G152" s="6">
        <f>INDEX([1]products!$A$1:$G$49,MATCH([1]orders!$D152,[1]products!$A$1:$A$49,0),MATCH([1]orders!L$1,[1]products!$A$1:$G$1,0))</f>
        <v>12.95</v>
      </c>
      <c r="H152" s="6">
        <f t="shared" si="2"/>
        <v>12.95</v>
      </c>
    </row>
    <row r="153" spans="1:8" x14ac:dyDescent="0.3">
      <c r="A153" s="1" t="s">
        <v>329</v>
      </c>
      <c r="B153" s="2">
        <v>44115</v>
      </c>
      <c r="C153" s="3" t="s">
        <v>330</v>
      </c>
      <c r="D153" s="4" t="s">
        <v>61</v>
      </c>
      <c r="E153" s="3">
        <v>3</v>
      </c>
      <c r="F153" s="5">
        <f>INDEX([1]products!$A$1:$G$49,MATCH([1]orders!$D153,[1]products!$A$1:$A$49,0),MATCH([1]orders!K$1,[1]products!$A$1:$G$1,0))</f>
        <v>1</v>
      </c>
      <c r="G153" s="6">
        <f>INDEX([1]products!$A$1:$G$49,MATCH([1]orders!$D153,[1]products!$A$1:$A$49,0),MATCH([1]orders!L$1,[1]products!$A$1:$G$1,0))</f>
        <v>11.25</v>
      </c>
      <c r="H153" s="6">
        <f t="shared" si="2"/>
        <v>33.75</v>
      </c>
    </row>
    <row r="154" spans="1:8" x14ac:dyDescent="0.3">
      <c r="A154" s="1" t="s">
        <v>331</v>
      </c>
      <c r="B154" s="2">
        <v>44510</v>
      </c>
      <c r="C154" s="3" t="s">
        <v>332</v>
      </c>
      <c r="D154" s="4" t="s">
        <v>41</v>
      </c>
      <c r="E154" s="3">
        <v>3</v>
      </c>
      <c r="F154" s="5">
        <f>INDEX([1]products!$A$1:$G$49,MATCH([1]orders!$D154,[1]products!$A$1:$A$49,0),MATCH([1]orders!K$1,[1]products!$A$1:$G$1,0))</f>
        <v>2.5</v>
      </c>
      <c r="G154" s="6">
        <f>INDEX([1]products!$A$1:$G$49,MATCH([1]orders!$D154,[1]products!$A$1:$A$49,0),MATCH([1]orders!L$1,[1]products!$A$1:$G$1,0))</f>
        <v>22.884999999999998</v>
      </c>
      <c r="H154" s="6">
        <f t="shared" si="2"/>
        <v>68.655000000000001</v>
      </c>
    </row>
    <row r="155" spans="1:8" x14ac:dyDescent="0.3">
      <c r="A155" s="1" t="s">
        <v>333</v>
      </c>
      <c r="B155" s="2">
        <v>44367</v>
      </c>
      <c r="C155" s="3" t="s">
        <v>334</v>
      </c>
      <c r="D155" s="4" t="s">
        <v>101</v>
      </c>
      <c r="E155" s="3">
        <v>1</v>
      </c>
      <c r="F155" s="5">
        <f>INDEX([1]products!$A$1:$G$49,MATCH([1]orders!$D155,[1]products!$A$1:$A$49,0),MATCH([1]orders!K$1,[1]products!$A$1:$G$1,0))</f>
        <v>0.2</v>
      </c>
      <c r="G155" s="6">
        <f>INDEX([1]products!$A$1:$G$49,MATCH([1]orders!$D155,[1]products!$A$1:$A$49,0),MATCH([1]orders!L$1,[1]products!$A$1:$G$1,0))</f>
        <v>2.6849999999999996</v>
      </c>
      <c r="H155" s="6">
        <f t="shared" si="2"/>
        <v>2.6849999999999996</v>
      </c>
    </row>
    <row r="156" spans="1:8" x14ac:dyDescent="0.3">
      <c r="A156" s="1" t="s">
        <v>335</v>
      </c>
      <c r="B156" s="2">
        <v>44473</v>
      </c>
      <c r="C156" s="3" t="s">
        <v>336</v>
      </c>
      <c r="D156" s="4" t="s">
        <v>118</v>
      </c>
      <c r="E156" s="3">
        <v>5</v>
      </c>
      <c r="F156" s="5">
        <f>INDEX([1]products!$A$1:$G$49,MATCH([1]orders!$D156,[1]products!$A$1:$A$49,0),MATCH([1]orders!K$1,[1]products!$A$1:$G$1,0))</f>
        <v>2.5</v>
      </c>
      <c r="G156" s="6">
        <f>INDEX([1]products!$A$1:$G$49,MATCH([1]orders!$D156,[1]products!$A$1:$A$49,0),MATCH([1]orders!L$1,[1]products!$A$1:$G$1,0))</f>
        <v>22.884999999999998</v>
      </c>
      <c r="H156" s="6">
        <f t="shared" si="2"/>
        <v>114.42499999999998</v>
      </c>
    </row>
    <row r="157" spans="1:8" x14ac:dyDescent="0.3">
      <c r="A157" s="1" t="s">
        <v>337</v>
      </c>
      <c r="B157" s="2">
        <v>43640</v>
      </c>
      <c r="C157" s="3" t="s">
        <v>338</v>
      </c>
      <c r="D157" s="4" t="s">
        <v>171</v>
      </c>
      <c r="E157" s="3">
        <v>6</v>
      </c>
      <c r="F157" s="5">
        <f>INDEX([1]products!$A$1:$G$49,MATCH([1]orders!$D157,[1]products!$A$1:$A$49,0),MATCH([1]orders!K$1,[1]products!$A$1:$G$1,0))</f>
        <v>2.5</v>
      </c>
      <c r="G157" s="6">
        <f>INDEX([1]products!$A$1:$G$49,MATCH([1]orders!$D157,[1]products!$A$1:$A$49,0),MATCH([1]orders!L$1,[1]products!$A$1:$G$1,0))</f>
        <v>25.874999999999996</v>
      </c>
      <c r="H157" s="6">
        <f t="shared" si="2"/>
        <v>155.24999999999997</v>
      </c>
    </row>
    <row r="158" spans="1:8" x14ac:dyDescent="0.3">
      <c r="A158" s="1" t="s">
        <v>339</v>
      </c>
      <c r="B158" s="2">
        <v>43764</v>
      </c>
      <c r="C158" s="3" t="s">
        <v>340</v>
      </c>
      <c r="D158" s="4" t="s">
        <v>171</v>
      </c>
      <c r="E158" s="3">
        <v>3</v>
      </c>
      <c r="F158" s="5">
        <f>INDEX([1]products!$A$1:$G$49,MATCH([1]orders!$D158,[1]products!$A$1:$A$49,0),MATCH([1]orders!K$1,[1]products!$A$1:$G$1,0))</f>
        <v>2.5</v>
      </c>
      <c r="G158" s="6">
        <f>INDEX([1]products!$A$1:$G$49,MATCH([1]orders!$D158,[1]products!$A$1:$A$49,0),MATCH([1]orders!L$1,[1]products!$A$1:$G$1,0))</f>
        <v>25.874999999999996</v>
      </c>
      <c r="H158" s="6">
        <f t="shared" si="2"/>
        <v>77.624999999999986</v>
      </c>
    </row>
    <row r="159" spans="1:8" x14ac:dyDescent="0.3">
      <c r="A159" s="1" t="s">
        <v>341</v>
      </c>
      <c r="B159" s="2">
        <v>44374</v>
      </c>
      <c r="C159" s="3" t="s">
        <v>342</v>
      </c>
      <c r="D159" s="4" t="s">
        <v>35</v>
      </c>
      <c r="E159" s="3">
        <v>3</v>
      </c>
      <c r="F159" s="5">
        <f>INDEX([1]products!$A$1:$G$49,MATCH([1]orders!$D159,[1]products!$A$1:$A$49,0),MATCH([1]orders!K$1,[1]products!$A$1:$G$1,0))</f>
        <v>2.5</v>
      </c>
      <c r="G159" s="6">
        <f>INDEX([1]products!$A$1:$G$49,MATCH([1]orders!$D159,[1]products!$A$1:$A$49,0),MATCH([1]orders!L$1,[1]products!$A$1:$G$1,0))</f>
        <v>20.584999999999997</v>
      </c>
      <c r="H159" s="6">
        <f t="shared" si="2"/>
        <v>61.754999999999995</v>
      </c>
    </row>
    <row r="160" spans="1:8" x14ac:dyDescent="0.3">
      <c r="A160" s="1" t="s">
        <v>343</v>
      </c>
      <c r="B160" s="2">
        <v>43714</v>
      </c>
      <c r="C160" s="3" t="s">
        <v>344</v>
      </c>
      <c r="D160" s="4" t="s">
        <v>35</v>
      </c>
      <c r="E160" s="3">
        <v>6</v>
      </c>
      <c r="F160" s="5">
        <f>INDEX([1]products!$A$1:$G$49,MATCH([1]orders!$D160,[1]products!$A$1:$A$49,0),MATCH([1]orders!K$1,[1]products!$A$1:$G$1,0))</f>
        <v>2.5</v>
      </c>
      <c r="G160" s="6">
        <f>INDEX([1]products!$A$1:$G$49,MATCH([1]orders!$D160,[1]products!$A$1:$A$49,0),MATCH([1]orders!L$1,[1]products!$A$1:$G$1,0))</f>
        <v>20.584999999999997</v>
      </c>
      <c r="H160" s="6">
        <f t="shared" si="2"/>
        <v>123.50999999999999</v>
      </c>
    </row>
    <row r="161" spans="1:8" x14ac:dyDescent="0.3">
      <c r="A161" s="1" t="s">
        <v>345</v>
      </c>
      <c r="B161" s="2">
        <v>44316</v>
      </c>
      <c r="C161" s="3" t="s">
        <v>346</v>
      </c>
      <c r="D161" s="4" t="s">
        <v>104</v>
      </c>
      <c r="E161" s="3">
        <v>6</v>
      </c>
      <c r="F161" s="5">
        <f>INDEX([1]products!$A$1:$G$49,MATCH([1]orders!$D161,[1]products!$A$1:$A$49,0),MATCH([1]orders!K$1,[1]products!$A$1:$G$1,0))</f>
        <v>2.5</v>
      </c>
      <c r="G161" s="6">
        <f>INDEX([1]products!$A$1:$G$49,MATCH([1]orders!$D161,[1]products!$A$1:$A$49,0),MATCH([1]orders!L$1,[1]products!$A$1:$G$1,0))</f>
        <v>36.454999999999998</v>
      </c>
      <c r="H161" s="6">
        <f t="shared" si="2"/>
        <v>218.73</v>
      </c>
    </row>
    <row r="162" spans="1:8" x14ac:dyDescent="0.3">
      <c r="A162" s="1" t="s">
        <v>347</v>
      </c>
      <c r="B162" s="2">
        <v>43837</v>
      </c>
      <c r="C162" s="3" t="s">
        <v>348</v>
      </c>
      <c r="D162" s="4" t="s">
        <v>3</v>
      </c>
      <c r="E162" s="3">
        <v>4</v>
      </c>
      <c r="F162" s="5">
        <f>INDEX([1]products!$A$1:$G$49,MATCH([1]orders!$D162,[1]products!$A$1:$A$49,0),MATCH([1]orders!K$1,[1]products!$A$1:$G$1,0))</f>
        <v>0.5</v>
      </c>
      <c r="G162" s="6">
        <f>INDEX([1]products!$A$1:$G$49,MATCH([1]orders!$D162,[1]products!$A$1:$A$49,0),MATCH([1]orders!L$1,[1]products!$A$1:$G$1,0))</f>
        <v>8.25</v>
      </c>
      <c r="H162" s="6">
        <f t="shared" si="2"/>
        <v>33</v>
      </c>
    </row>
    <row r="163" spans="1:8" x14ac:dyDescent="0.3">
      <c r="A163" s="1" t="s">
        <v>349</v>
      </c>
      <c r="B163" s="2">
        <v>44207</v>
      </c>
      <c r="C163" s="3" t="s">
        <v>350</v>
      </c>
      <c r="D163" s="4" t="s">
        <v>192</v>
      </c>
      <c r="E163" s="3">
        <v>3</v>
      </c>
      <c r="F163" s="5">
        <f>INDEX([1]products!$A$1:$G$49,MATCH([1]orders!$D163,[1]products!$A$1:$A$49,0),MATCH([1]orders!K$1,[1]products!$A$1:$G$1,0))</f>
        <v>0.5</v>
      </c>
      <c r="G163" s="6">
        <f>INDEX([1]products!$A$1:$G$49,MATCH([1]orders!$D163,[1]products!$A$1:$A$49,0),MATCH([1]orders!L$1,[1]products!$A$1:$G$1,0))</f>
        <v>7.77</v>
      </c>
      <c r="H163" s="6">
        <f t="shared" si="2"/>
        <v>23.31</v>
      </c>
    </row>
    <row r="164" spans="1:8" x14ac:dyDescent="0.3">
      <c r="A164" s="1" t="s">
        <v>351</v>
      </c>
      <c r="B164" s="2">
        <v>44515</v>
      </c>
      <c r="C164" s="3" t="s">
        <v>352</v>
      </c>
      <c r="D164" s="4" t="s">
        <v>16</v>
      </c>
      <c r="E164" s="3">
        <v>3</v>
      </c>
      <c r="F164" s="5">
        <f>INDEX([1]products!$A$1:$G$49,MATCH([1]orders!$D164,[1]products!$A$1:$A$49,0),MATCH([1]orders!K$1,[1]products!$A$1:$G$1,0))</f>
        <v>0.5</v>
      </c>
      <c r="G164" s="6">
        <f>INDEX([1]products!$A$1:$G$49,MATCH([1]orders!$D164,[1]products!$A$1:$A$49,0),MATCH([1]orders!L$1,[1]products!$A$1:$G$1,0))</f>
        <v>7.29</v>
      </c>
      <c r="H164" s="6">
        <f t="shared" si="2"/>
        <v>21.87</v>
      </c>
    </row>
    <row r="165" spans="1:8" x14ac:dyDescent="0.3">
      <c r="A165" s="1" t="s">
        <v>353</v>
      </c>
      <c r="B165" s="2">
        <v>43619</v>
      </c>
      <c r="C165" s="3" t="s">
        <v>354</v>
      </c>
      <c r="D165" s="4" t="s">
        <v>101</v>
      </c>
      <c r="E165" s="3">
        <v>6</v>
      </c>
      <c r="F165" s="5">
        <f>INDEX([1]products!$A$1:$G$49,MATCH([1]orders!$D165,[1]products!$A$1:$A$49,0),MATCH([1]orders!K$1,[1]products!$A$1:$G$1,0))</f>
        <v>0.2</v>
      </c>
      <c r="G165" s="6">
        <f>INDEX([1]products!$A$1:$G$49,MATCH([1]orders!$D165,[1]products!$A$1:$A$49,0),MATCH([1]orders!L$1,[1]products!$A$1:$G$1,0))</f>
        <v>2.6849999999999996</v>
      </c>
      <c r="H165" s="6">
        <f t="shared" si="2"/>
        <v>16.11</v>
      </c>
    </row>
    <row r="166" spans="1:8" x14ac:dyDescent="0.3">
      <c r="A166" s="1" t="s">
        <v>355</v>
      </c>
      <c r="B166" s="2">
        <v>44182</v>
      </c>
      <c r="C166" s="3" t="s">
        <v>356</v>
      </c>
      <c r="D166" s="4" t="s">
        <v>16</v>
      </c>
      <c r="E166" s="3">
        <v>4</v>
      </c>
      <c r="F166" s="5">
        <f>INDEX([1]products!$A$1:$G$49,MATCH([1]orders!$D166,[1]products!$A$1:$A$49,0),MATCH([1]orders!K$1,[1]products!$A$1:$G$1,0))</f>
        <v>0.5</v>
      </c>
      <c r="G166" s="6">
        <f>INDEX([1]products!$A$1:$G$49,MATCH([1]orders!$D166,[1]products!$A$1:$A$49,0),MATCH([1]orders!L$1,[1]products!$A$1:$G$1,0))</f>
        <v>7.29</v>
      </c>
      <c r="H166" s="6">
        <f t="shared" si="2"/>
        <v>29.16</v>
      </c>
    </row>
    <row r="167" spans="1:8" x14ac:dyDescent="0.3">
      <c r="A167" s="1" t="s">
        <v>357</v>
      </c>
      <c r="B167" s="2">
        <v>44234</v>
      </c>
      <c r="C167" s="3" t="s">
        <v>358</v>
      </c>
      <c r="D167" s="4" t="s">
        <v>179</v>
      </c>
      <c r="E167" s="3">
        <v>6</v>
      </c>
      <c r="F167" s="5">
        <f>INDEX([1]products!$A$1:$G$49,MATCH([1]orders!$D167,[1]products!$A$1:$A$49,0),MATCH([1]orders!K$1,[1]products!$A$1:$G$1,0))</f>
        <v>1</v>
      </c>
      <c r="G167" s="6">
        <f>INDEX([1]products!$A$1:$G$49,MATCH([1]orders!$D167,[1]products!$A$1:$A$49,0),MATCH([1]orders!L$1,[1]products!$A$1:$G$1,0))</f>
        <v>8.9499999999999993</v>
      </c>
      <c r="H167" s="6">
        <f t="shared" si="2"/>
        <v>53.699999999999996</v>
      </c>
    </row>
    <row r="168" spans="1:8" x14ac:dyDescent="0.3">
      <c r="A168" s="1" t="s">
        <v>359</v>
      </c>
      <c r="B168" s="2">
        <v>44270</v>
      </c>
      <c r="C168" s="3" t="s">
        <v>360</v>
      </c>
      <c r="D168" s="4" t="s">
        <v>146</v>
      </c>
      <c r="E168" s="3">
        <v>5</v>
      </c>
      <c r="F168" s="5">
        <f>INDEX([1]products!$A$1:$G$49,MATCH([1]orders!$D168,[1]products!$A$1:$A$49,0),MATCH([1]orders!K$1,[1]products!$A$1:$G$1,0))</f>
        <v>0.5</v>
      </c>
      <c r="G168" s="6">
        <f>INDEX([1]products!$A$1:$G$49,MATCH([1]orders!$D168,[1]products!$A$1:$A$49,0),MATCH([1]orders!L$1,[1]products!$A$1:$G$1,0))</f>
        <v>5.3699999999999992</v>
      </c>
      <c r="H168" s="6">
        <f t="shared" si="2"/>
        <v>26.849999999999994</v>
      </c>
    </row>
    <row r="169" spans="1:8" x14ac:dyDescent="0.3">
      <c r="A169" s="1" t="s">
        <v>361</v>
      </c>
      <c r="B169" s="2">
        <v>44777</v>
      </c>
      <c r="C169" s="3" t="s">
        <v>362</v>
      </c>
      <c r="D169" s="4" t="s">
        <v>3</v>
      </c>
      <c r="E169" s="3">
        <v>5</v>
      </c>
      <c r="F169" s="5">
        <f>INDEX([1]products!$A$1:$G$49,MATCH([1]orders!$D169,[1]products!$A$1:$A$49,0),MATCH([1]orders!K$1,[1]products!$A$1:$G$1,0))</f>
        <v>0.5</v>
      </c>
      <c r="G169" s="6">
        <f>INDEX([1]products!$A$1:$G$49,MATCH([1]orders!$D169,[1]products!$A$1:$A$49,0),MATCH([1]orders!L$1,[1]products!$A$1:$G$1,0))</f>
        <v>8.25</v>
      </c>
      <c r="H169" s="6">
        <f t="shared" si="2"/>
        <v>41.25</v>
      </c>
    </row>
    <row r="170" spans="1:8" x14ac:dyDescent="0.3">
      <c r="A170" s="1" t="s">
        <v>363</v>
      </c>
      <c r="B170" s="2">
        <v>43484</v>
      </c>
      <c r="C170" s="3" t="s">
        <v>364</v>
      </c>
      <c r="D170" s="4" t="s">
        <v>67</v>
      </c>
      <c r="E170" s="3">
        <v>6</v>
      </c>
      <c r="F170" s="5">
        <f>INDEX([1]products!$A$1:$G$49,MATCH([1]orders!$D170,[1]products!$A$1:$A$49,0),MATCH([1]orders!K$1,[1]products!$A$1:$G$1,0))</f>
        <v>0.5</v>
      </c>
      <c r="G170" s="6">
        <f>INDEX([1]products!$A$1:$G$49,MATCH([1]orders!$D170,[1]products!$A$1:$A$49,0),MATCH([1]orders!L$1,[1]products!$A$1:$G$1,0))</f>
        <v>6.75</v>
      </c>
      <c r="H170" s="6">
        <f t="shared" si="2"/>
        <v>40.5</v>
      </c>
    </row>
    <row r="171" spans="1:8" x14ac:dyDescent="0.3">
      <c r="A171" s="1" t="s">
        <v>365</v>
      </c>
      <c r="B171" s="2">
        <v>44643</v>
      </c>
      <c r="C171" s="3" t="s">
        <v>366</v>
      </c>
      <c r="D171" s="4" t="s">
        <v>179</v>
      </c>
      <c r="E171" s="3">
        <v>2</v>
      </c>
      <c r="F171" s="5">
        <f>INDEX([1]products!$A$1:$G$49,MATCH([1]orders!$D171,[1]products!$A$1:$A$49,0),MATCH([1]orders!K$1,[1]products!$A$1:$G$1,0))</f>
        <v>1</v>
      </c>
      <c r="G171" s="6">
        <f>INDEX([1]products!$A$1:$G$49,MATCH([1]orders!$D171,[1]products!$A$1:$A$49,0),MATCH([1]orders!L$1,[1]products!$A$1:$G$1,0))</f>
        <v>8.9499999999999993</v>
      </c>
      <c r="H171" s="6">
        <f t="shared" si="2"/>
        <v>17.899999999999999</v>
      </c>
    </row>
    <row r="172" spans="1:8" x14ac:dyDescent="0.3">
      <c r="A172" s="1" t="s">
        <v>367</v>
      </c>
      <c r="B172" s="2">
        <v>44476</v>
      </c>
      <c r="C172" s="3" t="s">
        <v>368</v>
      </c>
      <c r="D172" s="4" t="s">
        <v>30</v>
      </c>
      <c r="E172" s="3">
        <v>2</v>
      </c>
      <c r="F172" s="5">
        <f>INDEX([1]products!$A$1:$G$49,MATCH([1]orders!$D172,[1]products!$A$1:$A$49,0),MATCH([1]orders!K$1,[1]products!$A$1:$G$1,0))</f>
        <v>2.5</v>
      </c>
      <c r="G172" s="6">
        <f>INDEX([1]products!$A$1:$G$49,MATCH([1]orders!$D172,[1]products!$A$1:$A$49,0),MATCH([1]orders!L$1,[1]products!$A$1:$G$1,0))</f>
        <v>34.154999999999994</v>
      </c>
      <c r="H172" s="6">
        <f t="shared" si="2"/>
        <v>68.309999999999988</v>
      </c>
    </row>
    <row r="173" spans="1:8" x14ac:dyDescent="0.3">
      <c r="A173" s="1" t="s">
        <v>369</v>
      </c>
      <c r="B173" s="2">
        <v>43544</v>
      </c>
      <c r="C173" s="3" t="s">
        <v>370</v>
      </c>
      <c r="D173" s="4" t="s">
        <v>112</v>
      </c>
      <c r="E173" s="3">
        <v>2</v>
      </c>
      <c r="F173" s="5">
        <f>INDEX([1]products!$A$1:$G$49,MATCH([1]orders!$D173,[1]products!$A$1:$A$49,0),MATCH([1]orders!K$1,[1]products!$A$1:$G$1,0))</f>
        <v>2.5</v>
      </c>
      <c r="G173" s="6">
        <f>INDEX([1]products!$A$1:$G$49,MATCH([1]orders!$D173,[1]products!$A$1:$A$49,0),MATCH([1]orders!L$1,[1]products!$A$1:$G$1,0))</f>
        <v>31.624999999999996</v>
      </c>
      <c r="H173" s="6">
        <f t="shared" si="2"/>
        <v>63.249999999999993</v>
      </c>
    </row>
    <row r="174" spans="1:8" x14ac:dyDescent="0.3">
      <c r="A174" s="1" t="s">
        <v>371</v>
      </c>
      <c r="B174" s="2">
        <v>44545</v>
      </c>
      <c r="C174" s="3" t="s">
        <v>372</v>
      </c>
      <c r="D174" s="4" t="s">
        <v>16</v>
      </c>
      <c r="E174" s="3">
        <v>3</v>
      </c>
      <c r="F174" s="5">
        <f>INDEX([1]products!$A$1:$G$49,MATCH([1]orders!$D174,[1]products!$A$1:$A$49,0),MATCH([1]orders!K$1,[1]products!$A$1:$G$1,0))</f>
        <v>0.5</v>
      </c>
      <c r="G174" s="6">
        <f>INDEX([1]products!$A$1:$G$49,MATCH([1]orders!$D174,[1]products!$A$1:$A$49,0),MATCH([1]orders!L$1,[1]products!$A$1:$G$1,0))</f>
        <v>7.29</v>
      </c>
      <c r="H174" s="6">
        <f t="shared" si="2"/>
        <v>21.87</v>
      </c>
    </row>
    <row r="175" spans="1:8" x14ac:dyDescent="0.3">
      <c r="A175" s="1" t="s">
        <v>373</v>
      </c>
      <c r="B175" s="2">
        <v>44720</v>
      </c>
      <c r="C175" s="3" t="s">
        <v>374</v>
      </c>
      <c r="D175" s="4" t="s">
        <v>41</v>
      </c>
      <c r="E175" s="3">
        <v>4</v>
      </c>
      <c r="F175" s="5">
        <f>INDEX([1]products!$A$1:$G$49,MATCH([1]orders!$D175,[1]products!$A$1:$A$49,0),MATCH([1]orders!K$1,[1]products!$A$1:$G$1,0))</f>
        <v>2.5</v>
      </c>
      <c r="G175" s="6">
        <f>INDEX([1]products!$A$1:$G$49,MATCH([1]orders!$D175,[1]products!$A$1:$A$49,0),MATCH([1]orders!L$1,[1]products!$A$1:$G$1,0))</f>
        <v>22.884999999999998</v>
      </c>
      <c r="H175" s="6">
        <f t="shared" si="2"/>
        <v>91.539999999999992</v>
      </c>
    </row>
    <row r="176" spans="1:8" x14ac:dyDescent="0.3">
      <c r="A176" s="1" t="s">
        <v>375</v>
      </c>
      <c r="B176" s="2">
        <v>43813</v>
      </c>
      <c r="C176" s="3" t="s">
        <v>376</v>
      </c>
      <c r="D176" s="4" t="s">
        <v>30</v>
      </c>
      <c r="E176" s="3">
        <v>6</v>
      </c>
      <c r="F176" s="5">
        <f>INDEX([1]products!$A$1:$G$49,MATCH([1]orders!$D176,[1]products!$A$1:$A$49,0),MATCH([1]orders!K$1,[1]products!$A$1:$G$1,0))</f>
        <v>2.5</v>
      </c>
      <c r="G176" s="6">
        <f>INDEX([1]products!$A$1:$G$49,MATCH([1]orders!$D176,[1]products!$A$1:$A$49,0),MATCH([1]orders!L$1,[1]products!$A$1:$G$1,0))</f>
        <v>34.154999999999994</v>
      </c>
      <c r="H176" s="6">
        <f t="shared" si="2"/>
        <v>204.92999999999995</v>
      </c>
    </row>
    <row r="177" spans="1:8" x14ac:dyDescent="0.3">
      <c r="A177" s="1" t="s">
        <v>377</v>
      </c>
      <c r="B177" s="2">
        <v>44296</v>
      </c>
      <c r="C177" s="3" t="s">
        <v>378</v>
      </c>
      <c r="D177" s="4" t="s">
        <v>112</v>
      </c>
      <c r="E177" s="3">
        <v>2</v>
      </c>
      <c r="F177" s="5">
        <f>INDEX([1]products!$A$1:$G$49,MATCH([1]orders!$D177,[1]products!$A$1:$A$49,0),MATCH([1]orders!K$1,[1]products!$A$1:$G$1,0))</f>
        <v>2.5</v>
      </c>
      <c r="G177" s="6">
        <f>INDEX([1]products!$A$1:$G$49,MATCH([1]orders!$D177,[1]products!$A$1:$A$49,0),MATCH([1]orders!L$1,[1]products!$A$1:$G$1,0))</f>
        <v>31.624999999999996</v>
      </c>
      <c r="H177" s="6">
        <f t="shared" si="2"/>
        <v>63.249999999999993</v>
      </c>
    </row>
    <row r="178" spans="1:8" x14ac:dyDescent="0.3">
      <c r="A178" s="1" t="s">
        <v>379</v>
      </c>
      <c r="B178" s="2">
        <v>43900</v>
      </c>
      <c r="C178" s="3" t="s">
        <v>380</v>
      </c>
      <c r="D178" s="4" t="s">
        <v>30</v>
      </c>
      <c r="E178" s="3">
        <v>1</v>
      </c>
      <c r="F178" s="5">
        <f>INDEX([1]products!$A$1:$G$49,MATCH([1]orders!$D178,[1]products!$A$1:$A$49,0),MATCH([1]orders!K$1,[1]products!$A$1:$G$1,0))</f>
        <v>2.5</v>
      </c>
      <c r="G178" s="6">
        <f>INDEX([1]products!$A$1:$G$49,MATCH([1]orders!$D178,[1]products!$A$1:$A$49,0),MATCH([1]orders!L$1,[1]products!$A$1:$G$1,0))</f>
        <v>34.154999999999994</v>
      </c>
      <c r="H178" s="6">
        <f t="shared" si="2"/>
        <v>34.154999999999994</v>
      </c>
    </row>
    <row r="179" spans="1:8" x14ac:dyDescent="0.3">
      <c r="A179" s="1" t="s">
        <v>381</v>
      </c>
      <c r="B179" s="2">
        <v>44120</v>
      </c>
      <c r="C179" s="3" t="s">
        <v>382</v>
      </c>
      <c r="D179" s="4" t="s">
        <v>10</v>
      </c>
      <c r="E179" s="3">
        <v>4</v>
      </c>
      <c r="F179" s="5">
        <f>INDEX([1]products!$A$1:$G$49,MATCH([1]orders!$D179,[1]products!$A$1:$A$49,0),MATCH([1]orders!K$1,[1]products!$A$1:$G$1,0))</f>
        <v>2.5</v>
      </c>
      <c r="G179" s="6">
        <f>INDEX([1]products!$A$1:$G$49,MATCH([1]orders!$D179,[1]products!$A$1:$A$49,0),MATCH([1]orders!L$1,[1]products!$A$1:$G$1,0))</f>
        <v>27.484999999999996</v>
      </c>
      <c r="H179" s="6">
        <f t="shared" si="2"/>
        <v>109.93999999999998</v>
      </c>
    </row>
    <row r="180" spans="1:8" x14ac:dyDescent="0.3">
      <c r="A180" s="1" t="s">
        <v>383</v>
      </c>
      <c r="B180" s="2">
        <v>43746</v>
      </c>
      <c r="C180" s="3" t="s">
        <v>384</v>
      </c>
      <c r="D180" s="4" t="s">
        <v>6</v>
      </c>
      <c r="E180" s="3">
        <v>2</v>
      </c>
      <c r="F180" s="5">
        <f>INDEX([1]products!$A$1:$G$49,MATCH([1]orders!$D180,[1]products!$A$1:$A$49,0),MATCH([1]orders!K$1,[1]products!$A$1:$G$1,0))</f>
        <v>1</v>
      </c>
      <c r="G180" s="6">
        <f>INDEX([1]products!$A$1:$G$49,MATCH([1]orders!$D180,[1]products!$A$1:$A$49,0),MATCH([1]orders!L$1,[1]products!$A$1:$G$1,0))</f>
        <v>12.95</v>
      </c>
      <c r="H180" s="6">
        <f t="shared" si="2"/>
        <v>25.9</v>
      </c>
    </row>
    <row r="181" spans="1:8" x14ac:dyDescent="0.3">
      <c r="A181" s="1" t="s">
        <v>385</v>
      </c>
      <c r="B181" s="2">
        <v>43830</v>
      </c>
      <c r="C181" s="3" t="s">
        <v>386</v>
      </c>
      <c r="D181" s="4" t="s">
        <v>54</v>
      </c>
      <c r="E181" s="3">
        <v>1</v>
      </c>
      <c r="F181" s="5">
        <f>INDEX([1]products!$A$1:$G$49,MATCH([1]orders!$D181,[1]products!$A$1:$A$49,0),MATCH([1]orders!K$1,[1]products!$A$1:$G$1,0))</f>
        <v>0.2</v>
      </c>
      <c r="G181" s="6">
        <f>INDEX([1]products!$A$1:$G$49,MATCH([1]orders!$D181,[1]products!$A$1:$A$49,0),MATCH([1]orders!L$1,[1]products!$A$1:$G$1,0))</f>
        <v>2.9849999999999999</v>
      </c>
      <c r="H181" s="6">
        <f t="shared" si="2"/>
        <v>2.9849999999999999</v>
      </c>
    </row>
    <row r="182" spans="1:8" x14ac:dyDescent="0.3">
      <c r="A182" s="1" t="s">
        <v>387</v>
      </c>
      <c r="B182" s="2">
        <v>43910</v>
      </c>
      <c r="C182" s="3" t="s">
        <v>388</v>
      </c>
      <c r="D182" s="4" t="s">
        <v>254</v>
      </c>
      <c r="E182" s="3">
        <v>5</v>
      </c>
      <c r="F182" s="5">
        <f>INDEX([1]products!$A$1:$G$49,MATCH([1]orders!$D182,[1]products!$A$1:$A$49,0),MATCH([1]orders!K$1,[1]products!$A$1:$G$1,0))</f>
        <v>0.2</v>
      </c>
      <c r="G182" s="6">
        <f>INDEX([1]products!$A$1:$G$49,MATCH([1]orders!$D182,[1]products!$A$1:$A$49,0),MATCH([1]orders!L$1,[1]products!$A$1:$G$1,0))</f>
        <v>4.4550000000000001</v>
      </c>
      <c r="H182" s="6">
        <f t="shared" si="2"/>
        <v>22.274999999999999</v>
      </c>
    </row>
    <row r="183" spans="1:8" x14ac:dyDescent="0.3">
      <c r="A183" s="1" t="s">
        <v>387</v>
      </c>
      <c r="B183" s="2">
        <v>43910</v>
      </c>
      <c r="C183" s="3" t="s">
        <v>388</v>
      </c>
      <c r="D183" s="4" t="s">
        <v>72</v>
      </c>
      <c r="E183" s="3">
        <v>5</v>
      </c>
      <c r="F183" s="5">
        <f>INDEX([1]products!$A$1:$G$49,MATCH([1]orders!$D183,[1]products!$A$1:$A$49,0),MATCH([1]orders!K$1,[1]products!$A$1:$G$1,0))</f>
        <v>0.5</v>
      </c>
      <c r="G183" s="6">
        <f>INDEX([1]products!$A$1:$G$49,MATCH([1]orders!$D183,[1]products!$A$1:$A$49,0),MATCH([1]orders!L$1,[1]products!$A$1:$G$1,0))</f>
        <v>5.97</v>
      </c>
      <c r="H183" s="6">
        <f t="shared" si="2"/>
        <v>29.849999999999998</v>
      </c>
    </row>
    <row r="184" spans="1:8" x14ac:dyDescent="0.3">
      <c r="A184" s="1" t="s">
        <v>389</v>
      </c>
      <c r="B184" s="2">
        <v>44284</v>
      </c>
      <c r="C184" s="3" t="s">
        <v>390</v>
      </c>
      <c r="D184" s="4" t="s">
        <v>146</v>
      </c>
      <c r="E184" s="3">
        <v>6</v>
      </c>
      <c r="F184" s="5">
        <f>INDEX([1]products!$A$1:$G$49,MATCH([1]orders!$D184,[1]products!$A$1:$A$49,0),MATCH([1]orders!K$1,[1]products!$A$1:$G$1,0))</f>
        <v>0.5</v>
      </c>
      <c r="G184" s="6">
        <f>INDEX([1]products!$A$1:$G$49,MATCH([1]orders!$D184,[1]products!$A$1:$A$49,0),MATCH([1]orders!L$1,[1]products!$A$1:$G$1,0))</f>
        <v>5.3699999999999992</v>
      </c>
      <c r="H184" s="6">
        <f t="shared" si="2"/>
        <v>32.22</v>
      </c>
    </row>
    <row r="185" spans="1:8" x14ac:dyDescent="0.3">
      <c r="A185" s="1" t="s">
        <v>391</v>
      </c>
      <c r="B185" s="2">
        <v>44512</v>
      </c>
      <c r="C185" s="3" t="s">
        <v>392</v>
      </c>
      <c r="D185" s="4" t="s">
        <v>64</v>
      </c>
      <c r="E185" s="3">
        <v>2</v>
      </c>
      <c r="F185" s="5">
        <f>INDEX([1]products!$A$1:$G$49,MATCH([1]orders!$D185,[1]products!$A$1:$A$49,0),MATCH([1]orders!K$1,[1]products!$A$1:$G$1,0))</f>
        <v>0.2</v>
      </c>
      <c r="G185" s="6">
        <f>INDEX([1]products!$A$1:$G$49,MATCH([1]orders!$D185,[1]products!$A$1:$A$49,0),MATCH([1]orders!L$1,[1]products!$A$1:$G$1,0))</f>
        <v>4.125</v>
      </c>
      <c r="H185" s="6">
        <f t="shared" si="2"/>
        <v>8.25</v>
      </c>
    </row>
    <row r="186" spans="1:8" x14ac:dyDescent="0.3">
      <c r="A186" s="1" t="s">
        <v>393</v>
      </c>
      <c r="B186" s="2">
        <v>44397</v>
      </c>
      <c r="C186" s="3" t="s">
        <v>394</v>
      </c>
      <c r="D186" s="4" t="s">
        <v>192</v>
      </c>
      <c r="E186" s="3">
        <v>4</v>
      </c>
      <c r="F186" s="5">
        <f>INDEX([1]products!$A$1:$G$49,MATCH([1]orders!$D186,[1]products!$A$1:$A$49,0),MATCH([1]orders!K$1,[1]products!$A$1:$G$1,0))</f>
        <v>0.5</v>
      </c>
      <c r="G186" s="6">
        <f>INDEX([1]products!$A$1:$G$49,MATCH([1]orders!$D186,[1]products!$A$1:$A$49,0),MATCH([1]orders!L$1,[1]products!$A$1:$G$1,0))</f>
        <v>7.77</v>
      </c>
      <c r="H186" s="6">
        <f t="shared" si="2"/>
        <v>31.08</v>
      </c>
    </row>
    <row r="187" spans="1:8" x14ac:dyDescent="0.3">
      <c r="A187" s="1" t="s">
        <v>395</v>
      </c>
      <c r="B187" s="2">
        <v>43483</v>
      </c>
      <c r="C187" s="3" t="s">
        <v>396</v>
      </c>
      <c r="D187" s="4" t="s">
        <v>16</v>
      </c>
      <c r="E187" s="3">
        <v>5</v>
      </c>
      <c r="F187" s="5">
        <f>INDEX([1]products!$A$1:$G$49,MATCH([1]orders!$D187,[1]products!$A$1:$A$49,0),MATCH([1]orders!K$1,[1]products!$A$1:$G$1,0))</f>
        <v>0.5</v>
      </c>
      <c r="G187" s="6">
        <f>INDEX([1]products!$A$1:$G$49,MATCH([1]orders!$D187,[1]products!$A$1:$A$49,0),MATCH([1]orders!L$1,[1]products!$A$1:$G$1,0))</f>
        <v>7.29</v>
      </c>
      <c r="H187" s="6">
        <f t="shared" si="2"/>
        <v>36.450000000000003</v>
      </c>
    </row>
    <row r="188" spans="1:8" x14ac:dyDescent="0.3">
      <c r="A188" s="1" t="s">
        <v>397</v>
      </c>
      <c r="B188" s="2">
        <v>43684</v>
      </c>
      <c r="C188" s="3" t="s">
        <v>398</v>
      </c>
      <c r="D188" s="4" t="s">
        <v>41</v>
      </c>
      <c r="E188" s="3">
        <v>3</v>
      </c>
      <c r="F188" s="5">
        <f>INDEX([1]products!$A$1:$G$49,MATCH([1]orders!$D188,[1]products!$A$1:$A$49,0),MATCH([1]orders!K$1,[1]products!$A$1:$G$1,0))</f>
        <v>2.5</v>
      </c>
      <c r="G188" s="6">
        <f>INDEX([1]products!$A$1:$G$49,MATCH([1]orders!$D188,[1]products!$A$1:$A$49,0),MATCH([1]orders!L$1,[1]products!$A$1:$G$1,0))</f>
        <v>22.884999999999998</v>
      </c>
      <c r="H188" s="6">
        <f t="shared" si="2"/>
        <v>68.655000000000001</v>
      </c>
    </row>
    <row r="189" spans="1:8" x14ac:dyDescent="0.3">
      <c r="A189" s="1" t="s">
        <v>399</v>
      </c>
      <c r="B189" s="2">
        <v>44633</v>
      </c>
      <c r="C189" s="3" t="s">
        <v>400</v>
      </c>
      <c r="D189" s="4" t="s">
        <v>78</v>
      </c>
      <c r="E189" s="3">
        <v>5</v>
      </c>
      <c r="F189" s="5">
        <f>INDEX([1]products!$A$1:$G$49,MATCH([1]orders!$D189,[1]products!$A$1:$A$49,0),MATCH([1]orders!K$1,[1]products!$A$1:$G$1,0))</f>
        <v>0.5</v>
      </c>
      <c r="G189" s="6">
        <f>INDEX([1]products!$A$1:$G$49,MATCH([1]orders!$D189,[1]products!$A$1:$A$49,0),MATCH([1]orders!L$1,[1]products!$A$1:$G$1,0))</f>
        <v>8.73</v>
      </c>
      <c r="H189" s="6">
        <f t="shared" si="2"/>
        <v>43.650000000000006</v>
      </c>
    </row>
    <row r="190" spans="1:8" x14ac:dyDescent="0.3">
      <c r="A190" s="1" t="s">
        <v>401</v>
      </c>
      <c r="B190" s="2">
        <v>44698</v>
      </c>
      <c r="C190" s="3" t="s">
        <v>402</v>
      </c>
      <c r="D190" s="4" t="s">
        <v>254</v>
      </c>
      <c r="E190" s="3">
        <v>1</v>
      </c>
      <c r="F190" s="5">
        <f>INDEX([1]products!$A$1:$G$49,MATCH([1]orders!$D190,[1]products!$A$1:$A$49,0),MATCH([1]orders!K$1,[1]products!$A$1:$G$1,0))</f>
        <v>0.2</v>
      </c>
      <c r="G190" s="6">
        <f>INDEX([1]products!$A$1:$G$49,MATCH([1]orders!$D190,[1]products!$A$1:$A$49,0),MATCH([1]orders!L$1,[1]products!$A$1:$G$1,0))</f>
        <v>4.4550000000000001</v>
      </c>
      <c r="H190" s="6">
        <f t="shared" si="2"/>
        <v>4.4550000000000001</v>
      </c>
    </row>
    <row r="191" spans="1:8" x14ac:dyDescent="0.3">
      <c r="A191" s="1" t="s">
        <v>403</v>
      </c>
      <c r="B191" s="2">
        <v>43813</v>
      </c>
      <c r="C191" s="3" t="s">
        <v>404</v>
      </c>
      <c r="D191" s="4" t="s">
        <v>96</v>
      </c>
      <c r="E191" s="3">
        <v>3</v>
      </c>
      <c r="F191" s="5">
        <f>INDEX([1]products!$A$1:$G$49,MATCH([1]orders!$D191,[1]products!$A$1:$A$49,0),MATCH([1]orders!K$1,[1]products!$A$1:$G$1,0))</f>
        <v>1</v>
      </c>
      <c r="G191" s="6">
        <f>INDEX([1]products!$A$1:$G$49,MATCH([1]orders!$D191,[1]products!$A$1:$A$49,0),MATCH([1]orders!L$1,[1]products!$A$1:$G$1,0))</f>
        <v>14.55</v>
      </c>
      <c r="H191" s="6">
        <f t="shared" si="2"/>
        <v>43.650000000000006</v>
      </c>
    </row>
    <row r="192" spans="1:8" x14ac:dyDescent="0.3">
      <c r="A192" s="1" t="s">
        <v>405</v>
      </c>
      <c r="B192" s="2">
        <v>43845</v>
      </c>
      <c r="C192" s="3" t="s">
        <v>406</v>
      </c>
      <c r="D192" s="4" t="s">
        <v>197</v>
      </c>
      <c r="E192" s="3">
        <v>1</v>
      </c>
      <c r="F192" s="5">
        <f>INDEX([1]products!$A$1:$G$49,MATCH([1]orders!$D192,[1]products!$A$1:$A$49,0),MATCH([1]orders!K$1,[1]products!$A$1:$G$1,0))</f>
        <v>2.5</v>
      </c>
      <c r="G192" s="6">
        <f>INDEX([1]products!$A$1:$G$49,MATCH([1]orders!$D192,[1]products!$A$1:$A$49,0),MATCH([1]orders!L$1,[1]products!$A$1:$G$1,0))</f>
        <v>33.464999999999996</v>
      </c>
      <c r="H192" s="6">
        <f t="shared" si="2"/>
        <v>33.464999999999996</v>
      </c>
    </row>
    <row r="193" spans="1:8" x14ac:dyDescent="0.3">
      <c r="A193" s="1" t="s">
        <v>407</v>
      </c>
      <c r="B193" s="2">
        <v>43567</v>
      </c>
      <c r="C193" s="3" t="s">
        <v>408</v>
      </c>
      <c r="D193" s="4" t="s">
        <v>38</v>
      </c>
      <c r="E193" s="3">
        <v>5</v>
      </c>
      <c r="F193" s="5">
        <f>INDEX([1]products!$A$1:$G$49,MATCH([1]orders!$D193,[1]products!$A$1:$A$49,0),MATCH([1]orders!K$1,[1]products!$A$1:$G$1,0))</f>
        <v>0.2</v>
      </c>
      <c r="G193" s="6">
        <f>INDEX([1]products!$A$1:$G$49,MATCH([1]orders!$D193,[1]products!$A$1:$A$49,0),MATCH([1]orders!L$1,[1]products!$A$1:$G$1,0))</f>
        <v>3.8849999999999998</v>
      </c>
      <c r="H193" s="6">
        <f t="shared" si="2"/>
        <v>19.424999999999997</v>
      </c>
    </row>
    <row r="194" spans="1:8" x14ac:dyDescent="0.3">
      <c r="A194" s="1" t="s">
        <v>409</v>
      </c>
      <c r="B194" s="2">
        <v>43919</v>
      </c>
      <c r="C194" s="3" t="s">
        <v>410</v>
      </c>
      <c r="D194" s="4" t="s">
        <v>245</v>
      </c>
      <c r="E194" s="3">
        <v>6</v>
      </c>
      <c r="F194" s="5">
        <f>INDEX([1]products!$A$1:$G$49,MATCH([1]orders!$D194,[1]products!$A$1:$A$49,0),MATCH([1]orders!K$1,[1]products!$A$1:$G$1,0))</f>
        <v>1</v>
      </c>
      <c r="G194" s="6">
        <f>INDEX([1]products!$A$1:$G$49,MATCH([1]orders!$D194,[1]products!$A$1:$A$49,0),MATCH([1]orders!L$1,[1]products!$A$1:$G$1,0))</f>
        <v>12.15</v>
      </c>
      <c r="H194" s="6">
        <f t="shared" ref="H194:H257" si="3">E194*G194</f>
        <v>72.900000000000006</v>
      </c>
    </row>
    <row r="195" spans="1:8" x14ac:dyDescent="0.3">
      <c r="A195" s="1" t="s">
        <v>411</v>
      </c>
      <c r="B195" s="2">
        <v>44644</v>
      </c>
      <c r="C195" s="3" t="s">
        <v>412</v>
      </c>
      <c r="D195" s="4" t="s">
        <v>137</v>
      </c>
      <c r="E195" s="3">
        <v>3</v>
      </c>
      <c r="F195" s="5">
        <f>INDEX([1]products!$A$1:$G$49,MATCH([1]orders!$D195,[1]products!$A$1:$A$49,0),MATCH([1]orders!K$1,[1]products!$A$1:$G$1,0))</f>
        <v>1</v>
      </c>
      <c r="G195" s="6">
        <f>INDEX([1]products!$A$1:$G$49,MATCH([1]orders!$D195,[1]products!$A$1:$A$49,0),MATCH([1]orders!L$1,[1]products!$A$1:$G$1,0))</f>
        <v>14.85</v>
      </c>
      <c r="H195" s="6">
        <f t="shared" si="3"/>
        <v>44.55</v>
      </c>
    </row>
    <row r="196" spans="1:8" x14ac:dyDescent="0.3">
      <c r="A196" s="1" t="s">
        <v>413</v>
      </c>
      <c r="B196" s="2">
        <v>44398</v>
      </c>
      <c r="C196" s="3" t="s">
        <v>414</v>
      </c>
      <c r="D196" s="4" t="s">
        <v>16</v>
      </c>
      <c r="E196" s="3">
        <v>5</v>
      </c>
      <c r="F196" s="5">
        <f>INDEX([1]products!$A$1:$G$49,MATCH([1]orders!$D196,[1]products!$A$1:$A$49,0),MATCH([1]orders!K$1,[1]products!$A$1:$G$1,0))</f>
        <v>0.5</v>
      </c>
      <c r="G196" s="6">
        <f>INDEX([1]products!$A$1:$G$49,MATCH([1]orders!$D196,[1]products!$A$1:$A$49,0),MATCH([1]orders!L$1,[1]products!$A$1:$G$1,0))</f>
        <v>7.29</v>
      </c>
      <c r="H196" s="6">
        <f t="shared" si="3"/>
        <v>36.450000000000003</v>
      </c>
    </row>
    <row r="197" spans="1:8" x14ac:dyDescent="0.3">
      <c r="A197" s="1" t="s">
        <v>415</v>
      </c>
      <c r="B197" s="2">
        <v>43683</v>
      </c>
      <c r="C197" s="3" t="s">
        <v>416</v>
      </c>
      <c r="D197" s="4" t="s">
        <v>6</v>
      </c>
      <c r="E197" s="3">
        <v>3</v>
      </c>
      <c r="F197" s="5">
        <f>INDEX([1]products!$A$1:$G$49,MATCH([1]orders!$D197,[1]products!$A$1:$A$49,0),MATCH([1]orders!K$1,[1]products!$A$1:$G$1,0))</f>
        <v>1</v>
      </c>
      <c r="G197" s="6">
        <f>INDEX([1]products!$A$1:$G$49,MATCH([1]orders!$D197,[1]products!$A$1:$A$49,0),MATCH([1]orders!L$1,[1]products!$A$1:$G$1,0))</f>
        <v>12.95</v>
      </c>
      <c r="H197" s="6">
        <f t="shared" si="3"/>
        <v>38.849999999999994</v>
      </c>
    </row>
    <row r="198" spans="1:8" x14ac:dyDescent="0.3">
      <c r="A198" s="1" t="s">
        <v>417</v>
      </c>
      <c r="B198" s="2">
        <v>44339</v>
      </c>
      <c r="C198" s="3" t="s">
        <v>418</v>
      </c>
      <c r="D198" s="4" t="s">
        <v>176</v>
      </c>
      <c r="E198" s="3">
        <v>6</v>
      </c>
      <c r="F198" s="5">
        <f>INDEX([1]products!$A$1:$G$49,MATCH([1]orders!$D198,[1]products!$A$1:$A$49,0),MATCH([1]orders!K$1,[1]products!$A$1:$G$1,0))</f>
        <v>0.5</v>
      </c>
      <c r="G198" s="6">
        <f>INDEX([1]products!$A$1:$G$49,MATCH([1]orders!$D198,[1]products!$A$1:$A$49,0),MATCH([1]orders!L$1,[1]products!$A$1:$G$1,0))</f>
        <v>8.91</v>
      </c>
      <c r="H198" s="6">
        <f t="shared" si="3"/>
        <v>53.46</v>
      </c>
    </row>
    <row r="199" spans="1:8" x14ac:dyDescent="0.3">
      <c r="A199" s="1" t="s">
        <v>417</v>
      </c>
      <c r="B199" s="2">
        <v>44339</v>
      </c>
      <c r="C199" s="3" t="s">
        <v>418</v>
      </c>
      <c r="D199" s="4" t="s">
        <v>109</v>
      </c>
      <c r="E199" s="3">
        <v>2</v>
      </c>
      <c r="F199" s="5">
        <f>INDEX([1]products!$A$1:$G$49,MATCH([1]orders!$D199,[1]products!$A$1:$A$49,0),MATCH([1]orders!K$1,[1]products!$A$1:$G$1,0))</f>
        <v>2.5</v>
      </c>
      <c r="G199" s="6">
        <f>INDEX([1]products!$A$1:$G$49,MATCH([1]orders!$D199,[1]products!$A$1:$A$49,0),MATCH([1]orders!L$1,[1]products!$A$1:$G$1,0))</f>
        <v>29.784999999999997</v>
      </c>
      <c r="H199" s="6">
        <f t="shared" si="3"/>
        <v>59.569999999999993</v>
      </c>
    </row>
    <row r="200" spans="1:8" x14ac:dyDescent="0.3">
      <c r="A200" s="1" t="s">
        <v>417</v>
      </c>
      <c r="B200" s="2">
        <v>44339</v>
      </c>
      <c r="C200" s="3" t="s">
        <v>418</v>
      </c>
      <c r="D200" s="4" t="s">
        <v>109</v>
      </c>
      <c r="E200" s="3">
        <v>3</v>
      </c>
      <c r="F200" s="5">
        <f>INDEX([1]products!$A$1:$G$49,MATCH([1]orders!$D200,[1]products!$A$1:$A$49,0),MATCH([1]orders!K$1,[1]products!$A$1:$G$1,0))</f>
        <v>2.5</v>
      </c>
      <c r="G200" s="6">
        <f>INDEX([1]products!$A$1:$G$49,MATCH([1]orders!$D200,[1]products!$A$1:$A$49,0),MATCH([1]orders!L$1,[1]products!$A$1:$G$1,0))</f>
        <v>29.784999999999997</v>
      </c>
      <c r="H200" s="6">
        <f t="shared" si="3"/>
        <v>89.35499999999999</v>
      </c>
    </row>
    <row r="201" spans="1:8" x14ac:dyDescent="0.3">
      <c r="A201" s="1" t="s">
        <v>417</v>
      </c>
      <c r="B201" s="2">
        <v>44339</v>
      </c>
      <c r="C201" s="3" t="s">
        <v>418</v>
      </c>
      <c r="D201" s="4" t="s">
        <v>83</v>
      </c>
      <c r="E201" s="3">
        <v>4</v>
      </c>
      <c r="F201" s="5">
        <f>INDEX([1]products!$A$1:$G$49,MATCH([1]orders!$D201,[1]products!$A$1:$A$49,0),MATCH([1]orders!K$1,[1]products!$A$1:$G$1,0))</f>
        <v>0.5</v>
      </c>
      <c r="G201" s="6">
        <f>INDEX([1]products!$A$1:$G$49,MATCH([1]orders!$D201,[1]products!$A$1:$A$49,0),MATCH([1]orders!L$1,[1]products!$A$1:$G$1,0))</f>
        <v>9.51</v>
      </c>
      <c r="H201" s="6">
        <f t="shared" si="3"/>
        <v>38.04</v>
      </c>
    </row>
    <row r="202" spans="1:8" x14ac:dyDescent="0.3">
      <c r="A202" s="1" t="s">
        <v>417</v>
      </c>
      <c r="B202" s="2">
        <v>44339</v>
      </c>
      <c r="C202" s="3" t="s">
        <v>418</v>
      </c>
      <c r="D202" s="4" t="s">
        <v>9</v>
      </c>
      <c r="E202" s="3">
        <v>3</v>
      </c>
      <c r="F202" s="5">
        <f>INDEX([1]products!$A$1:$G$49,MATCH([1]orders!$D202,[1]products!$A$1:$A$49,0),MATCH([1]orders!K$1,[1]products!$A$1:$G$1,0))</f>
        <v>1</v>
      </c>
      <c r="G202" s="6">
        <f>INDEX([1]products!$A$1:$G$49,MATCH([1]orders!$D202,[1]products!$A$1:$A$49,0),MATCH([1]orders!L$1,[1]products!$A$1:$G$1,0))</f>
        <v>13.75</v>
      </c>
      <c r="H202" s="6">
        <f t="shared" si="3"/>
        <v>41.25</v>
      </c>
    </row>
    <row r="203" spans="1:8" x14ac:dyDescent="0.3">
      <c r="A203" s="1" t="s">
        <v>419</v>
      </c>
      <c r="B203" s="2">
        <v>44294</v>
      </c>
      <c r="C203" s="3" t="s">
        <v>420</v>
      </c>
      <c r="D203" s="4" t="s">
        <v>83</v>
      </c>
      <c r="E203" s="3">
        <v>6</v>
      </c>
      <c r="F203" s="5">
        <f>INDEX([1]products!$A$1:$G$49,MATCH([1]orders!$D203,[1]products!$A$1:$A$49,0),MATCH([1]orders!K$1,[1]products!$A$1:$G$1,0))</f>
        <v>0.5</v>
      </c>
      <c r="G203" s="6">
        <f>INDEX([1]products!$A$1:$G$49,MATCH([1]orders!$D203,[1]products!$A$1:$A$49,0),MATCH([1]orders!L$1,[1]products!$A$1:$G$1,0))</f>
        <v>9.51</v>
      </c>
      <c r="H203" s="6">
        <f t="shared" si="3"/>
        <v>57.06</v>
      </c>
    </row>
    <row r="204" spans="1:8" x14ac:dyDescent="0.3">
      <c r="A204" s="1" t="s">
        <v>421</v>
      </c>
      <c r="B204" s="2">
        <v>44486</v>
      </c>
      <c r="C204" s="3" t="s">
        <v>422</v>
      </c>
      <c r="D204" s="4" t="s">
        <v>109</v>
      </c>
      <c r="E204" s="3">
        <v>6</v>
      </c>
      <c r="F204" s="5">
        <f>INDEX([1]products!$A$1:$G$49,MATCH([1]orders!$D204,[1]products!$A$1:$A$49,0),MATCH([1]orders!K$1,[1]products!$A$1:$G$1,0))</f>
        <v>2.5</v>
      </c>
      <c r="G204" s="6">
        <f>INDEX([1]products!$A$1:$G$49,MATCH([1]orders!$D204,[1]products!$A$1:$A$49,0),MATCH([1]orders!L$1,[1]products!$A$1:$G$1,0))</f>
        <v>29.784999999999997</v>
      </c>
      <c r="H204" s="6">
        <f t="shared" si="3"/>
        <v>178.70999999999998</v>
      </c>
    </row>
    <row r="205" spans="1:8" x14ac:dyDescent="0.3">
      <c r="A205" s="1" t="s">
        <v>423</v>
      </c>
      <c r="B205" s="2">
        <v>44608</v>
      </c>
      <c r="C205" s="3" t="s">
        <v>424</v>
      </c>
      <c r="D205" s="4" t="s">
        <v>19</v>
      </c>
      <c r="E205" s="3">
        <v>1</v>
      </c>
      <c r="F205" s="5">
        <f>INDEX([1]products!$A$1:$G$49,MATCH([1]orders!$D205,[1]products!$A$1:$A$49,0),MATCH([1]orders!K$1,[1]products!$A$1:$G$1,0))</f>
        <v>0.2</v>
      </c>
      <c r="G205" s="6">
        <f>INDEX([1]products!$A$1:$G$49,MATCH([1]orders!$D205,[1]products!$A$1:$A$49,0),MATCH([1]orders!L$1,[1]products!$A$1:$G$1,0))</f>
        <v>4.7549999999999999</v>
      </c>
      <c r="H205" s="6">
        <f t="shared" si="3"/>
        <v>4.7549999999999999</v>
      </c>
    </row>
    <row r="206" spans="1:8" x14ac:dyDescent="0.3">
      <c r="A206" s="1" t="s">
        <v>425</v>
      </c>
      <c r="B206" s="2">
        <v>44027</v>
      </c>
      <c r="C206" s="3" t="s">
        <v>426</v>
      </c>
      <c r="D206" s="4" t="s">
        <v>9</v>
      </c>
      <c r="E206" s="3">
        <v>6</v>
      </c>
      <c r="F206" s="5">
        <f>INDEX([1]products!$A$1:$G$49,MATCH([1]orders!$D206,[1]products!$A$1:$A$49,0),MATCH([1]orders!K$1,[1]products!$A$1:$G$1,0))</f>
        <v>1</v>
      </c>
      <c r="G206" s="6">
        <f>INDEX([1]products!$A$1:$G$49,MATCH([1]orders!$D206,[1]products!$A$1:$A$49,0),MATCH([1]orders!L$1,[1]products!$A$1:$G$1,0))</f>
        <v>13.75</v>
      </c>
      <c r="H206" s="6">
        <f t="shared" si="3"/>
        <v>82.5</v>
      </c>
    </row>
    <row r="207" spans="1:8" x14ac:dyDescent="0.3">
      <c r="A207" s="1" t="s">
        <v>427</v>
      </c>
      <c r="B207" s="2">
        <v>43883</v>
      </c>
      <c r="C207" s="3" t="s">
        <v>428</v>
      </c>
      <c r="D207" s="4" t="s">
        <v>101</v>
      </c>
      <c r="E207" s="3">
        <v>3</v>
      </c>
      <c r="F207" s="5">
        <f>INDEX([1]products!$A$1:$G$49,MATCH([1]orders!$D207,[1]products!$A$1:$A$49,0),MATCH([1]orders!K$1,[1]products!$A$1:$G$1,0))</f>
        <v>0.2</v>
      </c>
      <c r="G207" s="6">
        <f>INDEX([1]products!$A$1:$G$49,MATCH([1]orders!$D207,[1]products!$A$1:$A$49,0),MATCH([1]orders!L$1,[1]products!$A$1:$G$1,0))</f>
        <v>2.6849999999999996</v>
      </c>
      <c r="H207" s="6">
        <f t="shared" si="3"/>
        <v>8.0549999999999997</v>
      </c>
    </row>
    <row r="208" spans="1:8" x14ac:dyDescent="0.3">
      <c r="A208" s="1" t="s">
        <v>429</v>
      </c>
      <c r="B208" s="2">
        <v>44211</v>
      </c>
      <c r="C208" s="3" t="s">
        <v>430</v>
      </c>
      <c r="D208" s="4" t="s">
        <v>61</v>
      </c>
      <c r="E208" s="3">
        <v>2</v>
      </c>
      <c r="F208" s="5">
        <f>INDEX([1]products!$A$1:$G$49,MATCH([1]orders!$D208,[1]products!$A$1:$A$49,0),MATCH([1]orders!K$1,[1]products!$A$1:$G$1,0))</f>
        <v>1</v>
      </c>
      <c r="G208" s="6">
        <f>INDEX([1]products!$A$1:$G$49,MATCH([1]orders!$D208,[1]products!$A$1:$A$49,0),MATCH([1]orders!L$1,[1]products!$A$1:$G$1,0))</f>
        <v>11.25</v>
      </c>
      <c r="H208" s="6">
        <f t="shared" si="3"/>
        <v>22.5</v>
      </c>
    </row>
    <row r="209" spans="1:8" x14ac:dyDescent="0.3">
      <c r="A209" s="1" t="s">
        <v>431</v>
      </c>
      <c r="B209" s="2">
        <v>44207</v>
      </c>
      <c r="C209" s="3" t="s">
        <v>432</v>
      </c>
      <c r="D209" s="4" t="s">
        <v>67</v>
      </c>
      <c r="E209" s="3">
        <v>6</v>
      </c>
      <c r="F209" s="5">
        <f>INDEX([1]products!$A$1:$G$49,MATCH([1]orders!$D209,[1]products!$A$1:$A$49,0),MATCH([1]orders!K$1,[1]products!$A$1:$G$1,0))</f>
        <v>0.5</v>
      </c>
      <c r="G209" s="6">
        <f>INDEX([1]products!$A$1:$G$49,MATCH([1]orders!$D209,[1]products!$A$1:$A$49,0),MATCH([1]orders!L$1,[1]products!$A$1:$G$1,0))</f>
        <v>6.75</v>
      </c>
      <c r="H209" s="6">
        <f t="shared" si="3"/>
        <v>40.5</v>
      </c>
    </row>
    <row r="210" spans="1:8" x14ac:dyDescent="0.3">
      <c r="A210" s="1" t="s">
        <v>433</v>
      </c>
      <c r="B210" s="2">
        <v>44659</v>
      </c>
      <c r="C210" s="3" t="s">
        <v>434</v>
      </c>
      <c r="D210" s="4" t="s">
        <v>16</v>
      </c>
      <c r="E210" s="3">
        <v>4</v>
      </c>
      <c r="F210" s="5">
        <f>INDEX([1]products!$A$1:$G$49,MATCH([1]orders!$D210,[1]products!$A$1:$A$49,0),MATCH([1]orders!K$1,[1]products!$A$1:$G$1,0))</f>
        <v>0.5</v>
      </c>
      <c r="G210" s="6">
        <f>INDEX([1]products!$A$1:$G$49,MATCH([1]orders!$D210,[1]products!$A$1:$A$49,0),MATCH([1]orders!L$1,[1]products!$A$1:$G$1,0))</f>
        <v>7.29</v>
      </c>
      <c r="H210" s="6">
        <f t="shared" si="3"/>
        <v>29.16</v>
      </c>
    </row>
    <row r="211" spans="1:8" x14ac:dyDescent="0.3">
      <c r="A211" s="1" t="s">
        <v>435</v>
      </c>
      <c r="B211" s="2">
        <v>44105</v>
      </c>
      <c r="C211" s="3" t="s">
        <v>436</v>
      </c>
      <c r="D211" s="4" t="s">
        <v>67</v>
      </c>
      <c r="E211" s="3">
        <v>1</v>
      </c>
      <c r="F211" s="5">
        <f>INDEX([1]products!$A$1:$G$49,MATCH([1]orders!$D211,[1]products!$A$1:$A$49,0),MATCH([1]orders!K$1,[1]products!$A$1:$G$1,0))</f>
        <v>0.5</v>
      </c>
      <c r="G211" s="6">
        <f>INDEX([1]products!$A$1:$G$49,MATCH([1]orders!$D211,[1]products!$A$1:$A$49,0),MATCH([1]orders!L$1,[1]products!$A$1:$G$1,0))</f>
        <v>6.75</v>
      </c>
      <c r="H211" s="6">
        <f t="shared" si="3"/>
        <v>6.75</v>
      </c>
    </row>
    <row r="212" spans="1:8" x14ac:dyDescent="0.3">
      <c r="A212" s="1" t="s">
        <v>437</v>
      </c>
      <c r="B212" s="2">
        <v>43766</v>
      </c>
      <c r="C212" s="3" t="s">
        <v>438</v>
      </c>
      <c r="D212" s="4" t="s">
        <v>13</v>
      </c>
      <c r="E212" s="3">
        <v>4</v>
      </c>
      <c r="F212" s="5">
        <f>INDEX([1]products!$A$1:$G$49,MATCH([1]orders!$D212,[1]products!$A$1:$A$49,0),MATCH([1]orders!K$1,[1]products!$A$1:$G$1,0))</f>
        <v>1</v>
      </c>
      <c r="G212" s="6">
        <f>INDEX([1]products!$A$1:$G$49,MATCH([1]orders!$D212,[1]products!$A$1:$A$49,0),MATCH([1]orders!L$1,[1]products!$A$1:$G$1,0))</f>
        <v>12.95</v>
      </c>
      <c r="H212" s="6">
        <f t="shared" si="3"/>
        <v>51.8</v>
      </c>
    </row>
    <row r="213" spans="1:8" x14ac:dyDescent="0.3">
      <c r="A213" s="1" t="s">
        <v>439</v>
      </c>
      <c r="B213" s="2">
        <v>44283</v>
      </c>
      <c r="C213" s="3" t="s">
        <v>440</v>
      </c>
      <c r="D213" s="4" t="s">
        <v>176</v>
      </c>
      <c r="E213" s="3">
        <v>6</v>
      </c>
      <c r="F213" s="5">
        <f>INDEX([1]products!$A$1:$G$49,MATCH([1]orders!$D213,[1]products!$A$1:$A$49,0),MATCH([1]orders!K$1,[1]products!$A$1:$G$1,0))</f>
        <v>0.5</v>
      </c>
      <c r="G213" s="6">
        <f>INDEX([1]products!$A$1:$G$49,MATCH([1]orders!$D213,[1]products!$A$1:$A$49,0),MATCH([1]orders!L$1,[1]products!$A$1:$G$1,0))</f>
        <v>8.91</v>
      </c>
      <c r="H213" s="6">
        <f t="shared" si="3"/>
        <v>53.46</v>
      </c>
    </row>
    <row r="214" spans="1:8" x14ac:dyDescent="0.3">
      <c r="A214" s="1" t="s">
        <v>441</v>
      </c>
      <c r="B214" s="2">
        <v>43921</v>
      </c>
      <c r="C214" s="3" t="s">
        <v>442</v>
      </c>
      <c r="D214" s="4" t="s">
        <v>51</v>
      </c>
      <c r="E214" s="3">
        <v>4</v>
      </c>
      <c r="F214" s="5">
        <f>INDEX([1]products!$A$1:$G$49,MATCH([1]orders!$D214,[1]products!$A$1:$A$49,0),MATCH([1]orders!K$1,[1]products!$A$1:$G$1,0))</f>
        <v>0.2</v>
      </c>
      <c r="G214" s="6">
        <f>INDEX([1]products!$A$1:$G$49,MATCH([1]orders!$D214,[1]products!$A$1:$A$49,0),MATCH([1]orders!L$1,[1]products!$A$1:$G$1,0))</f>
        <v>3.645</v>
      </c>
      <c r="H214" s="6">
        <f t="shared" si="3"/>
        <v>14.58</v>
      </c>
    </row>
    <row r="215" spans="1:8" x14ac:dyDescent="0.3">
      <c r="A215" s="1" t="s">
        <v>443</v>
      </c>
      <c r="B215" s="2">
        <v>44646</v>
      </c>
      <c r="C215" s="3" t="s">
        <v>444</v>
      </c>
      <c r="D215" s="4" t="s">
        <v>35</v>
      </c>
      <c r="E215" s="3">
        <v>1</v>
      </c>
      <c r="F215" s="5">
        <f>INDEX([1]products!$A$1:$G$49,MATCH([1]orders!$D215,[1]products!$A$1:$A$49,0),MATCH([1]orders!K$1,[1]products!$A$1:$G$1,0))</f>
        <v>2.5</v>
      </c>
      <c r="G215" s="6">
        <f>INDEX([1]products!$A$1:$G$49,MATCH([1]orders!$D215,[1]products!$A$1:$A$49,0),MATCH([1]orders!L$1,[1]products!$A$1:$G$1,0))</f>
        <v>20.584999999999997</v>
      </c>
      <c r="H215" s="6">
        <f t="shared" si="3"/>
        <v>20.584999999999997</v>
      </c>
    </row>
    <row r="216" spans="1:8" x14ac:dyDescent="0.3">
      <c r="A216" s="1" t="s">
        <v>445</v>
      </c>
      <c r="B216" s="2">
        <v>43775</v>
      </c>
      <c r="C216" s="3" t="s">
        <v>446</v>
      </c>
      <c r="D216" s="4" t="s">
        <v>132</v>
      </c>
      <c r="E216" s="3">
        <v>2</v>
      </c>
      <c r="F216" s="5">
        <f>INDEX([1]products!$A$1:$G$49,MATCH([1]orders!$D216,[1]products!$A$1:$A$49,0),MATCH([1]orders!K$1,[1]products!$A$1:$G$1,0))</f>
        <v>1</v>
      </c>
      <c r="G216" s="6">
        <f>INDEX([1]products!$A$1:$G$49,MATCH([1]orders!$D216,[1]products!$A$1:$A$49,0),MATCH([1]orders!L$1,[1]products!$A$1:$G$1,0))</f>
        <v>15.85</v>
      </c>
      <c r="H216" s="6">
        <f t="shared" si="3"/>
        <v>31.7</v>
      </c>
    </row>
    <row r="217" spans="1:8" x14ac:dyDescent="0.3">
      <c r="A217" s="1" t="s">
        <v>447</v>
      </c>
      <c r="B217" s="2">
        <v>43829</v>
      </c>
      <c r="C217" s="3" t="s">
        <v>448</v>
      </c>
      <c r="D217" s="4" t="s">
        <v>38</v>
      </c>
      <c r="E217" s="3">
        <v>6</v>
      </c>
      <c r="F217" s="5">
        <f>INDEX([1]products!$A$1:$G$49,MATCH([1]orders!$D217,[1]products!$A$1:$A$49,0),MATCH([1]orders!K$1,[1]products!$A$1:$G$1,0))</f>
        <v>0.2</v>
      </c>
      <c r="G217" s="6">
        <f>INDEX([1]products!$A$1:$G$49,MATCH([1]orders!$D217,[1]products!$A$1:$A$49,0),MATCH([1]orders!L$1,[1]products!$A$1:$G$1,0))</f>
        <v>3.8849999999999998</v>
      </c>
      <c r="H217" s="6">
        <f t="shared" si="3"/>
        <v>23.31</v>
      </c>
    </row>
    <row r="218" spans="1:8" x14ac:dyDescent="0.3">
      <c r="A218" s="1" t="s">
        <v>449</v>
      </c>
      <c r="B218" s="2">
        <v>44470</v>
      </c>
      <c r="C218" s="3" t="s">
        <v>450</v>
      </c>
      <c r="D218" s="4" t="s">
        <v>96</v>
      </c>
      <c r="E218" s="3">
        <v>4</v>
      </c>
      <c r="F218" s="5">
        <f>INDEX([1]products!$A$1:$G$49,MATCH([1]orders!$D218,[1]products!$A$1:$A$49,0),MATCH([1]orders!K$1,[1]products!$A$1:$G$1,0))</f>
        <v>1</v>
      </c>
      <c r="G218" s="6">
        <f>INDEX([1]products!$A$1:$G$49,MATCH([1]orders!$D218,[1]products!$A$1:$A$49,0),MATCH([1]orders!L$1,[1]products!$A$1:$G$1,0))</f>
        <v>14.55</v>
      </c>
      <c r="H218" s="6">
        <f t="shared" si="3"/>
        <v>58.2</v>
      </c>
    </row>
    <row r="219" spans="1:8" x14ac:dyDescent="0.3">
      <c r="A219" s="1" t="s">
        <v>451</v>
      </c>
      <c r="B219" s="2">
        <v>44174</v>
      </c>
      <c r="C219" s="3" t="s">
        <v>452</v>
      </c>
      <c r="D219" s="4" t="s">
        <v>176</v>
      </c>
      <c r="E219" s="3">
        <v>4</v>
      </c>
      <c r="F219" s="5">
        <f>INDEX([1]products!$A$1:$G$49,MATCH([1]orders!$D219,[1]products!$A$1:$A$49,0),MATCH([1]orders!K$1,[1]products!$A$1:$G$1,0))</f>
        <v>0.5</v>
      </c>
      <c r="G219" s="6">
        <f>INDEX([1]products!$A$1:$G$49,MATCH([1]orders!$D219,[1]products!$A$1:$A$49,0),MATCH([1]orders!L$1,[1]products!$A$1:$G$1,0))</f>
        <v>8.91</v>
      </c>
      <c r="H219" s="6">
        <f t="shared" si="3"/>
        <v>35.64</v>
      </c>
    </row>
    <row r="220" spans="1:8" x14ac:dyDescent="0.3">
      <c r="A220" s="1" t="s">
        <v>453</v>
      </c>
      <c r="B220" s="2">
        <v>44317</v>
      </c>
      <c r="C220" s="3" t="s">
        <v>454</v>
      </c>
      <c r="D220" s="4" t="s">
        <v>61</v>
      </c>
      <c r="E220" s="3">
        <v>5</v>
      </c>
      <c r="F220" s="5">
        <f>INDEX([1]products!$A$1:$G$49,MATCH([1]orders!$D220,[1]products!$A$1:$A$49,0),MATCH([1]orders!K$1,[1]products!$A$1:$G$1,0))</f>
        <v>1</v>
      </c>
      <c r="G220" s="6">
        <f>INDEX([1]products!$A$1:$G$49,MATCH([1]orders!$D220,[1]products!$A$1:$A$49,0),MATCH([1]orders!L$1,[1]products!$A$1:$G$1,0))</f>
        <v>11.25</v>
      </c>
      <c r="H220" s="6">
        <f t="shared" si="3"/>
        <v>56.25</v>
      </c>
    </row>
    <row r="221" spans="1:8" x14ac:dyDescent="0.3">
      <c r="A221" s="1" t="s">
        <v>455</v>
      </c>
      <c r="B221" s="2">
        <v>44777</v>
      </c>
      <c r="C221" s="3" t="s">
        <v>456</v>
      </c>
      <c r="D221" s="4" t="s">
        <v>182</v>
      </c>
      <c r="E221" s="3">
        <v>3</v>
      </c>
      <c r="F221" s="5">
        <f>INDEX([1]products!$A$1:$G$49,MATCH([1]orders!$D221,[1]products!$A$1:$A$49,0),MATCH([1]orders!K$1,[1]products!$A$1:$G$1,0))</f>
        <v>0.2</v>
      </c>
      <c r="G221" s="6">
        <f>INDEX([1]products!$A$1:$G$49,MATCH([1]orders!$D221,[1]products!$A$1:$A$49,0),MATCH([1]orders!L$1,[1]products!$A$1:$G$1,0))</f>
        <v>3.5849999999999995</v>
      </c>
      <c r="H221" s="6">
        <f t="shared" si="3"/>
        <v>10.754999999999999</v>
      </c>
    </row>
    <row r="222" spans="1:8" x14ac:dyDescent="0.3">
      <c r="A222" s="1" t="s">
        <v>455</v>
      </c>
      <c r="B222" s="2">
        <v>44777</v>
      </c>
      <c r="C222" s="3" t="s">
        <v>456</v>
      </c>
      <c r="D222" s="4" t="s">
        <v>162</v>
      </c>
      <c r="E222" s="3">
        <v>5</v>
      </c>
      <c r="F222" s="5">
        <f>INDEX([1]products!$A$1:$G$49,MATCH([1]orders!$D222,[1]products!$A$1:$A$49,0),MATCH([1]orders!K$1,[1]products!$A$1:$G$1,0))</f>
        <v>0.2</v>
      </c>
      <c r="G222" s="6">
        <f>INDEX([1]products!$A$1:$G$49,MATCH([1]orders!$D222,[1]products!$A$1:$A$49,0),MATCH([1]orders!L$1,[1]products!$A$1:$G$1,0))</f>
        <v>2.9849999999999999</v>
      </c>
      <c r="H222" s="6">
        <f t="shared" si="3"/>
        <v>14.924999999999999</v>
      </c>
    </row>
    <row r="223" spans="1:8" x14ac:dyDescent="0.3">
      <c r="A223" s="1" t="s">
        <v>457</v>
      </c>
      <c r="B223" s="2">
        <v>44513</v>
      </c>
      <c r="C223" s="3" t="s">
        <v>458</v>
      </c>
      <c r="D223" s="4" t="s">
        <v>6</v>
      </c>
      <c r="E223" s="3">
        <v>6</v>
      </c>
      <c r="F223" s="5">
        <f>INDEX([1]products!$A$1:$G$49,MATCH([1]orders!$D223,[1]products!$A$1:$A$49,0),MATCH([1]orders!K$1,[1]products!$A$1:$G$1,0))</f>
        <v>1</v>
      </c>
      <c r="G223" s="6">
        <f>INDEX([1]products!$A$1:$G$49,MATCH([1]orders!$D223,[1]products!$A$1:$A$49,0),MATCH([1]orders!L$1,[1]products!$A$1:$G$1,0))</f>
        <v>12.95</v>
      </c>
      <c r="H223" s="6">
        <f t="shared" si="3"/>
        <v>77.699999999999989</v>
      </c>
    </row>
    <row r="224" spans="1:8" x14ac:dyDescent="0.3">
      <c r="A224" s="1" t="s">
        <v>459</v>
      </c>
      <c r="B224" s="2">
        <v>44090</v>
      </c>
      <c r="C224" s="3" t="s">
        <v>460</v>
      </c>
      <c r="D224" s="4" t="s">
        <v>123</v>
      </c>
      <c r="E224" s="3">
        <v>3</v>
      </c>
      <c r="F224" s="5">
        <f>INDEX([1]products!$A$1:$G$49,MATCH([1]orders!$D224,[1]products!$A$1:$A$49,0),MATCH([1]orders!K$1,[1]products!$A$1:$G$1,0))</f>
        <v>0.5</v>
      </c>
      <c r="G224" s="6">
        <f>INDEX([1]products!$A$1:$G$49,MATCH([1]orders!$D224,[1]products!$A$1:$A$49,0),MATCH([1]orders!L$1,[1]products!$A$1:$G$1,0))</f>
        <v>7.77</v>
      </c>
      <c r="H224" s="6">
        <f t="shared" si="3"/>
        <v>23.31</v>
      </c>
    </row>
    <row r="225" spans="1:8" x14ac:dyDescent="0.3">
      <c r="A225" s="1" t="s">
        <v>461</v>
      </c>
      <c r="B225" s="2">
        <v>44109</v>
      </c>
      <c r="C225" s="3" t="s">
        <v>462</v>
      </c>
      <c r="D225" s="4" t="s">
        <v>137</v>
      </c>
      <c r="E225" s="3">
        <v>4</v>
      </c>
      <c r="F225" s="5">
        <f>INDEX([1]products!$A$1:$G$49,MATCH([1]orders!$D225,[1]products!$A$1:$A$49,0),MATCH([1]orders!K$1,[1]products!$A$1:$G$1,0))</f>
        <v>1</v>
      </c>
      <c r="G225" s="6">
        <f>INDEX([1]products!$A$1:$G$49,MATCH([1]orders!$D225,[1]products!$A$1:$A$49,0),MATCH([1]orders!L$1,[1]products!$A$1:$G$1,0))</f>
        <v>14.85</v>
      </c>
      <c r="H225" s="6">
        <f t="shared" si="3"/>
        <v>59.4</v>
      </c>
    </row>
    <row r="226" spans="1:8" x14ac:dyDescent="0.3">
      <c r="A226" s="1" t="s">
        <v>463</v>
      </c>
      <c r="B226" s="2">
        <v>43836</v>
      </c>
      <c r="C226" s="3" t="s">
        <v>464</v>
      </c>
      <c r="D226" s="4" t="s">
        <v>109</v>
      </c>
      <c r="E226" s="3">
        <v>4</v>
      </c>
      <c r="F226" s="5">
        <f>INDEX([1]products!$A$1:$G$49,MATCH([1]orders!$D226,[1]products!$A$1:$A$49,0),MATCH([1]orders!K$1,[1]products!$A$1:$G$1,0))</f>
        <v>2.5</v>
      </c>
      <c r="G226" s="6">
        <f>INDEX([1]products!$A$1:$G$49,MATCH([1]orders!$D226,[1]products!$A$1:$A$49,0),MATCH([1]orders!L$1,[1]products!$A$1:$G$1,0))</f>
        <v>29.784999999999997</v>
      </c>
      <c r="H226" s="6">
        <f t="shared" si="3"/>
        <v>119.13999999999999</v>
      </c>
    </row>
    <row r="227" spans="1:8" x14ac:dyDescent="0.3">
      <c r="A227" s="1" t="s">
        <v>465</v>
      </c>
      <c r="B227" s="2">
        <v>44337</v>
      </c>
      <c r="C227" s="3" t="s">
        <v>466</v>
      </c>
      <c r="D227" s="4" t="s">
        <v>182</v>
      </c>
      <c r="E227" s="3">
        <v>4</v>
      </c>
      <c r="F227" s="5">
        <f>INDEX([1]products!$A$1:$G$49,MATCH([1]orders!$D227,[1]products!$A$1:$A$49,0),MATCH([1]orders!K$1,[1]products!$A$1:$G$1,0))</f>
        <v>0.2</v>
      </c>
      <c r="G227" s="6">
        <f>INDEX([1]products!$A$1:$G$49,MATCH([1]orders!$D227,[1]products!$A$1:$A$49,0),MATCH([1]orders!L$1,[1]products!$A$1:$G$1,0))</f>
        <v>3.5849999999999995</v>
      </c>
      <c r="H227" s="6">
        <f t="shared" si="3"/>
        <v>14.339999999999998</v>
      </c>
    </row>
    <row r="228" spans="1:8" x14ac:dyDescent="0.3">
      <c r="A228" s="1" t="s">
        <v>467</v>
      </c>
      <c r="B228" s="2">
        <v>43887</v>
      </c>
      <c r="C228" s="3" t="s">
        <v>468</v>
      </c>
      <c r="D228" s="4" t="s">
        <v>171</v>
      </c>
      <c r="E228" s="3">
        <v>5</v>
      </c>
      <c r="F228" s="5">
        <f>INDEX([1]products!$A$1:$G$49,MATCH([1]orders!$D228,[1]products!$A$1:$A$49,0),MATCH([1]orders!K$1,[1]products!$A$1:$G$1,0))</f>
        <v>2.5</v>
      </c>
      <c r="G228" s="6">
        <f>INDEX([1]products!$A$1:$G$49,MATCH([1]orders!$D228,[1]products!$A$1:$A$49,0),MATCH([1]orders!L$1,[1]products!$A$1:$G$1,0))</f>
        <v>25.874999999999996</v>
      </c>
      <c r="H228" s="6">
        <f t="shared" si="3"/>
        <v>129.37499999999997</v>
      </c>
    </row>
    <row r="229" spans="1:8" x14ac:dyDescent="0.3">
      <c r="A229" s="1" t="s">
        <v>469</v>
      </c>
      <c r="B229" s="2">
        <v>43880</v>
      </c>
      <c r="C229" s="3" t="s">
        <v>470</v>
      </c>
      <c r="D229" s="4" t="s">
        <v>101</v>
      </c>
      <c r="E229" s="3">
        <v>6</v>
      </c>
      <c r="F229" s="5">
        <f>INDEX([1]products!$A$1:$G$49,MATCH([1]orders!$D229,[1]products!$A$1:$A$49,0),MATCH([1]orders!K$1,[1]products!$A$1:$G$1,0))</f>
        <v>0.2</v>
      </c>
      <c r="G229" s="6">
        <f>INDEX([1]products!$A$1:$G$49,MATCH([1]orders!$D229,[1]products!$A$1:$A$49,0),MATCH([1]orders!L$1,[1]products!$A$1:$G$1,0))</f>
        <v>2.6849999999999996</v>
      </c>
      <c r="H229" s="6">
        <f t="shared" si="3"/>
        <v>16.11</v>
      </c>
    </row>
    <row r="230" spans="1:8" x14ac:dyDescent="0.3">
      <c r="A230" s="1" t="s">
        <v>471</v>
      </c>
      <c r="B230" s="2">
        <v>44376</v>
      </c>
      <c r="C230" s="3" t="s">
        <v>472</v>
      </c>
      <c r="D230" s="4" t="s">
        <v>182</v>
      </c>
      <c r="E230" s="3">
        <v>5</v>
      </c>
      <c r="F230" s="5">
        <f>INDEX([1]products!$A$1:$G$49,MATCH([1]orders!$D230,[1]products!$A$1:$A$49,0),MATCH([1]orders!K$1,[1]products!$A$1:$G$1,0))</f>
        <v>0.2</v>
      </c>
      <c r="G230" s="6">
        <f>INDEX([1]products!$A$1:$G$49,MATCH([1]orders!$D230,[1]products!$A$1:$A$49,0),MATCH([1]orders!L$1,[1]products!$A$1:$G$1,0))</f>
        <v>3.5849999999999995</v>
      </c>
      <c r="H230" s="6">
        <f t="shared" si="3"/>
        <v>17.924999999999997</v>
      </c>
    </row>
    <row r="231" spans="1:8" x14ac:dyDescent="0.3">
      <c r="A231" s="1" t="s">
        <v>473</v>
      </c>
      <c r="B231" s="2">
        <v>44282</v>
      </c>
      <c r="C231" s="3" t="s">
        <v>474</v>
      </c>
      <c r="D231" s="4" t="s">
        <v>77</v>
      </c>
      <c r="E231" s="3">
        <v>2</v>
      </c>
      <c r="F231" s="5">
        <f>INDEX([1]products!$A$1:$G$49,MATCH([1]orders!$D231,[1]products!$A$1:$A$49,0),MATCH([1]orders!K$1,[1]products!$A$1:$G$1,0))</f>
        <v>0.2</v>
      </c>
      <c r="G231" s="6">
        <f>INDEX([1]products!$A$1:$G$49,MATCH([1]orders!$D231,[1]products!$A$1:$A$49,0),MATCH([1]orders!L$1,[1]products!$A$1:$G$1,0))</f>
        <v>4.3650000000000002</v>
      </c>
      <c r="H231" s="6">
        <f t="shared" si="3"/>
        <v>8.73</v>
      </c>
    </row>
    <row r="232" spans="1:8" x14ac:dyDescent="0.3">
      <c r="A232" s="1" t="s">
        <v>475</v>
      </c>
      <c r="B232" s="2">
        <v>44496</v>
      </c>
      <c r="C232" s="3" t="s">
        <v>476</v>
      </c>
      <c r="D232" s="4" t="s">
        <v>171</v>
      </c>
      <c r="E232" s="3">
        <v>2</v>
      </c>
      <c r="F232" s="5">
        <f>INDEX([1]products!$A$1:$G$49,MATCH([1]orders!$D232,[1]products!$A$1:$A$49,0),MATCH([1]orders!K$1,[1]products!$A$1:$G$1,0))</f>
        <v>2.5</v>
      </c>
      <c r="G232" s="6">
        <f>INDEX([1]products!$A$1:$G$49,MATCH([1]orders!$D232,[1]products!$A$1:$A$49,0),MATCH([1]orders!L$1,[1]products!$A$1:$G$1,0))</f>
        <v>25.874999999999996</v>
      </c>
      <c r="H232" s="6">
        <f t="shared" si="3"/>
        <v>51.749999999999993</v>
      </c>
    </row>
    <row r="233" spans="1:8" x14ac:dyDescent="0.3">
      <c r="A233" s="1" t="s">
        <v>477</v>
      </c>
      <c r="B233" s="2">
        <v>43628</v>
      </c>
      <c r="C233" s="3" t="s">
        <v>478</v>
      </c>
      <c r="D233" s="4" t="s">
        <v>77</v>
      </c>
      <c r="E233" s="3">
        <v>2</v>
      </c>
      <c r="F233" s="5">
        <f>INDEX([1]products!$A$1:$G$49,MATCH([1]orders!$D233,[1]products!$A$1:$A$49,0),MATCH([1]orders!K$1,[1]products!$A$1:$G$1,0))</f>
        <v>0.2</v>
      </c>
      <c r="G233" s="6">
        <f>INDEX([1]products!$A$1:$G$49,MATCH([1]orders!$D233,[1]products!$A$1:$A$49,0),MATCH([1]orders!L$1,[1]products!$A$1:$G$1,0))</f>
        <v>4.3650000000000002</v>
      </c>
      <c r="H233" s="6">
        <f t="shared" si="3"/>
        <v>8.73</v>
      </c>
    </row>
    <row r="234" spans="1:8" x14ac:dyDescent="0.3">
      <c r="A234" s="1" t="s">
        <v>479</v>
      </c>
      <c r="B234" s="2">
        <v>44010</v>
      </c>
      <c r="C234" s="3" t="s">
        <v>480</v>
      </c>
      <c r="D234" s="4" t="s">
        <v>19</v>
      </c>
      <c r="E234" s="3">
        <v>5</v>
      </c>
      <c r="F234" s="5">
        <f>INDEX([1]products!$A$1:$G$49,MATCH([1]orders!$D234,[1]products!$A$1:$A$49,0),MATCH([1]orders!K$1,[1]products!$A$1:$G$1,0))</f>
        <v>0.2</v>
      </c>
      <c r="G234" s="6">
        <f>INDEX([1]products!$A$1:$G$49,MATCH([1]orders!$D234,[1]products!$A$1:$A$49,0),MATCH([1]orders!L$1,[1]products!$A$1:$G$1,0))</f>
        <v>4.7549999999999999</v>
      </c>
      <c r="H234" s="6">
        <f t="shared" si="3"/>
        <v>23.774999999999999</v>
      </c>
    </row>
    <row r="235" spans="1:8" x14ac:dyDescent="0.3">
      <c r="A235" s="1" t="s">
        <v>481</v>
      </c>
      <c r="B235" s="2">
        <v>44278</v>
      </c>
      <c r="C235" s="3" t="s">
        <v>482</v>
      </c>
      <c r="D235" s="4" t="s">
        <v>64</v>
      </c>
      <c r="E235" s="3">
        <v>5</v>
      </c>
      <c r="F235" s="5">
        <f>INDEX([1]products!$A$1:$G$49,MATCH([1]orders!$D235,[1]products!$A$1:$A$49,0),MATCH([1]orders!K$1,[1]products!$A$1:$G$1,0))</f>
        <v>0.2</v>
      </c>
      <c r="G235" s="6">
        <f>INDEX([1]products!$A$1:$G$49,MATCH([1]orders!$D235,[1]products!$A$1:$A$49,0),MATCH([1]orders!L$1,[1]products!$A$1:$G$1,0))</f>
        <v>4.125</v>
      </c>
      <c r="H235" s="6">
        <f t="shared" si="3"/>
        <v>20.625</v>
      </c>
    </row>
    <row r="236" spans="1:8" x14ac:dyDescent="0.3">
      <c r="A236" s="1" t="s">
        <v>483</v>
      </c>
      <c r="B236" s="2">
        <v>44602</v>
      </c>
      <c r="C236" s="3" t="s">
        <v>484</v>
      </c>
      <c r="D236" s="4" t="s">
        <v>104</v>
      </c>
      <c r="E236" s="3">
        <v>1</v>
      </c>
      <c r="F236" s="5">
        <f>INDEX([1]products!$A$1:$G$49,MATCH([1]orders!$D236,[1]products!$A$1:$A$49,0),MATCH([1]orders!K$1,[1]products!$A$1:$G$1,0))</f>
        <v>2.5</v>
      </c>
      <c r="G236" s="6">
        <f>INDEX([1]products!$A$1:$G$49,MATCH([1]orders!$D236,[1]products!$A$1:$A$49,0),MATCH([1]orders!L$1,[1]products!$A$1:$G$1,0))</f>
        <v>36.454999999999998</v>
      </c>
      <c r="H236" s="6">
        <f t="shared" si="3"/>
        <v>36.454999999999998</v>
      </c>
    </row>
    <row r="237" spans="1:8" x14ac:dyDescent="0.3">
      <c r="A237" s="1" t="s">
        <v>485</v>
      </c>
      <c r="B237" s="2">
        <v>43571</v>
      </c>
      <c r="C237" s="3" t="s">
        <v>486</v>
      </c>
      <c r="D237" s="4" t="s">
        <v>104</v>
      </c>
      <c r="E237" s="3">
        <v>5</v>
      </c>
      <c r="F237" s="5">
        <f>INDEX([1]products!$A$1:$G$49,MATCH([1]orders!$D237,[1]products!$A$1:$A$49,0),MATCH([1]orders!K$1,[1]products!$A$1:$G$1,0))</f>
        <v>2.5</v>
      </c>
      <c r="G237" s="6">
        <f>INDEX([1]products!$A$1:$G$49,MATCH([1]orders!$D237,[1]products!$A$1:$A$49,0),MATCH([1]orders!L$1,[1]products!$A$1:$G$1,0))</f>
        <v>36.454999999999998</v>
      </c>
      <c r="H237" s="6">
        <f t="shared" si="3"/>
        <v>182.27499999999998</v>
      </c>
    </row>
    <row r="238" spans="1:8" x14ac:dyDescent="0.3">
      <c r="A238" s="1" t="s">
        <v>487</v>
      </c>
      <c r="B238" s="2">
        <v>43873</v>
      </c>
      <c r="C238" s="3" t="s">
        <v>488</v>
      </c>
      <c r="D238" s="4" t="s">
        <v>109</v>
      </c>
      <c r="E238" s="3">
        <v>3</v>
      </c>
      <c r="F238" s="5">
        <f>INDEX([1]products!$A$1:$G$49,MATCH([1]orders!$D238,[1]products!$A$1:$A$49,0),MATCH([1]orders!K$1,[1]products!$A$1:$G$1,0))</f>
        <v>2.5</v>
      </c>
      <c r="G238" s="6">
        <f>INDEX([1]products!$A$1:$G$49,MATCH([1]orders!$D238,[1]products!$A$1:$A$49,0),MATCH([1]orders!L$1,[1]products!$A$1:$G$1,0))</f>
        <v>29.784999999999997</v>
      </c>
      <c r="H238" s="6">
        <f t="shared" si="3"/>
        <v>89.35499999999999</v>
      </c>
    </row>
    <row r="239" spans="1:8" x14ac:dyDescent="0.3">
      <c r="A239" s="1" t="s">
        <v>489</v>
      </c>
      <c r="B239" s="2">
        <v>44563</v>
      </c>
      <c r="C239" s="3" t="s">
        <v>490</v>
      </c>
      <c r="D239" s="4" t="s">
        <v>182</v>
      </c>
      <c r="E239" s="3">
        <v>1</v>
      </c>
      <c r="F239" s="5">
        <f>INDEX([1]products!$A$1:$G$49,MATCH([1]orders!$D239,[1]products!$A$1:$A$49,0),MATCH([1]orders!K$1,[1]products!$A$1:$G$1,0))</f>
        <v>0.2</v>
      </c>
      <c r="G239" s="6">
        <f>INDEX([1]products!$A$1:$G$49,MATCH([1]orders!$D239,[1]products!$A$1:$A$49,0),MATCH([1]orders!L$1,[1]products!$A$1:$G$1,0))</f>
        <v>3.5849999999999995</v>
      </c>
      <c r="H239" s="6">
        <f t="shared" si="3"/>
        <v>3.5849999999999995</v>
      </c>
    </row>
    <row r="240" spans="1:8" x14ac:dyDescent="0.3">
      <c r="A240" s="1" t="s">
        <v>491</v>
      </c>
      <c r="B240" s="2">
        <v>44172</v>
      </c>
      <c r="C240" s="3" t="s">
        <v>492</v>
      </c>
      <c r="D240" s="4" t="s">
        <v>41</v>
      </c>
      <c r="E240" s="3">
        <v>2</v>
      </c>
      <c r="F240" s="5">
        <f>INDEX([1]products!$A$1:$G$49,MATCH([1]orders!$D240,[1]products!$A$1:$A$49,0),MATCH([1]orders!K$1,[1]products!$A$1:$G$1,0))</f>
        <v>2.5</v>
      </c>
      <c r="G240" s="6">
        <f>INDEX([1]products!$A$1:$G$49,MATCH([1]orders!$D240,[1]products!$A$1:$A$49,0),MATCH([1]orders!L$1,[1]products!$A$1:$G$1,0))</f>
        <v>22.884999999999998</v>
      </c>
      <c r="H240" s="6">
        <f t="shared" si="3"/>
        <v>45.769999999999996</v>
      </c>
    </row>
    <row r="241" spans="1:8" x14ac:dyDescent="0.3">
      <c r="A241" s="1" t="s">
        <v>493</v>
      </c>
      <c r="B241" s="2">
        <v>43881</v>
      </c>
      <c r="C241" s="3" t="s">
        <v>494</v>
      </c>
      <c r="D241" s="4" t="s">
        <v>137</v>
      </c>
      <c r="E241" s="3">
        <v>4</v>
      </c>
      <c r="F241" s="5">
        <f>INDEX([1]products!$A$1:$G$49,MATCH([1]orders!$D241,[1]products!$A$1:$A$49,0),MATCH([1]orders!K$1,[1]products!$A$1:$G$1,0))</f>
        <v>1</v>
      </c>
      <c r="G241" s="6">
        <f>INDEX([1]products!$A$1:$G$49,MATCH([1]orders!$D241,[1]products!$A$1:$A$49,0),MATCH([1]orders!L$1,[1]products!$A$1:$G$1,0))</f>
        <v>14.85</v>
      </c>
      <c r="H241" s="6">
        <f t="shared" si="3"/>
        <v>59.4</v>
      </c>
    </row>
    <row r="242" spans="1:8" x14ac:dyDescent="0.3">
      <c r="A242" s="1" t="s">
        <v>495</v>
      </c>
      <c r="B242" s="2">
        <v>43993</v>
      </c>
      <c r="C242" s="3" t="s">
        <v>496</v>
      </c>
      <c r="D242" s="4" t="s">
        <v>171</v>
      </c>
      <c r="E242" s="3">
        <v>6</v>
      </c>
      <c r="F242" s="5">
        <f>INDEX([1]products!$A$1:$G$49,MATCH([1]orders!$D242,[1]products!$A$1:$A$49,0),MATCH([1]orders!K$1,[1]products!$A$1:$G$1,0))</f>
        <v>2.5</v>
      </c>
      <c r="G242" s="6">
        <f>INDEX([1]products!$A$1:$G$49,MATCH([1]orders!$D242,[1]products!$A$1:$A$49,0),MATCH([1]orders!L$1,[1]products!$A$1:$G$1,0))</f>
        <v>25.874999999999996</v>
      </c>
      <c r="H242" s="6">
        <f t="shared" si="3"/>
        <v>155.24999999999997</v>
      </c>
    </row>
    <row r="243" spans="1:8" x14ac:dyDescent="0.3">
      <c r="A243" s="1" t="s">
        <v>497</v>
      </c>
      <c r="B243" s="2">
        <v>44082</v>
      </c>
      <c r="C243" s="3" t="s">
        <v>498</v>
      </c>
      <c r="D243" s="4" t="s">
        <v>41</v>
      </c>
      <c r="E243" s="3">
        <v>2</v>
      </c>
      <c r="F243" s="5">
        <f>INDEX([1]products!$A$1:$G$49,MATCH([1]orders!$D243,[1]products!$A$1:$A$49,0),MATCH([1]orders!K$1,[1]products!$A$1:$G$1,0))</f>
        <v>2.5</v>
      </c>
      <c r="G243" s="6">
        <f>INDEX([1]products!$A$1:$G$49,MATCH([1]orders!$D243,[1]products!$A$1:$A$49,0),MATCH([1]orders!L$1,[1]products!$A$1:$G$1,0))</f>
        <v>22.884999999999998</v>
      </c>
      <c r="H243" s="6">
        <f t="shared" si="3"/>
        <v>45.769999999999996</v>
      </c>
    </row>
    <row r="244" spans="1:8" x14ac:dyDescent="0.3">
      <c r="A244" s="1" t="s">
        <v>499</v>
      </c>
      <c r="B244" s="2">
        <v>43918</v>
      </c>
      <c r="C244" s="3" t="s">
        <v>500</v>
      </c>
      <c r="D244" s="4" t="s">
        <v>245</v>
      </c>
      <c r="E244" s="3">
        <v>3</v>
      </c>
      <c r="F244" s="5">
        <f>INDEX([1]products!$A$1:$G$49,MATCH([1]orders!$D244,[1]products!$A$1:$A$49,0),MATCH([1]orders!K$1,[1]products!$A$1:$G$1,0))</f>
        <v>1</v>
      </c>
      <c r="G244" s="6">
        <f>INDEX([1]products!$A$1:$G$49,MATCH([1]orders!$D244,[1]products!$A$1:$A$49,0),MATCH([1]orders!L$1,[1]products!$A$1:$G$1,0))</f>
        <v>12.15</v>
      </c>
      <c r="H244" s="6">
        <f t="shared" si="3"/>
        <v>36.450000000000003</v>
      </c>
    </row>
    <row r="245" spans="1:8" x14ac:dyDescent="0.3">
      <c r="A245" s="1" t="s">
        <v>501</v>
      </c>
      <c r="B245" s="2">
        <v>44114</v>
      </c>
      <c r="C245" s="3" t="s">
        <v>502</v>
      </c>
      <c r="D245" s="4" t="s">
        <v>16</v>
      </c>
      <c r="E245" s="3">
        <v>4</v>
      </c>
      <c r="F245" s="5">
        <f>INDEX([1]products!$A$1:$G$49,MATCH([1]orders!$D245,[1]products!$A$1:$A$49,0),MATCH([1]orders!K$1,[1]products!$A$1:$G$1,0))</f>
        <v>0.5</v>
      </c>
      <c r="G245" s="6">
        <f>INDEX([1]products!$A$1:$G$49,MATCH([1]orders!$D245,[1]products!$A$1:$A$49,0),MATCH([1]orders!L$1,[1]products!$A$1:$G$1,0))</f>
        <v>7.29</v>
      </c>
      <c r="H245" s="6">
        <f t="shared" si="3"/>
        <v>29.16</v>
      </c>
    </row>
    <row r="246" spans="1:8" x14ac:dyDescent="0.3">
      <c r="A246" s="1" t="s">
        <v>503</v>
      </c>
      <c r="B246" s="2">
        <v>44702</v>
      </c>
      <c r="C246" s="3" t="s">
        <v>504</v>
      </c>
      <c r="D246" s="4" t="s">
        <v>197</v>
      </c>
      <c r="E246" s="3">
        <v>4</v>
      </c>
      <c r="F246" s="5">
        <f>INDEX([1]products!$A$1:$G$49,MATCH([1]orders!$D246,[1]products!$A$1:$A$49,0),MATCH([1]orders!K$1,[1]products!$A$1:$G$1,0))</f>
        <v>2.5</v>
      </c>
      <c r="G246" s="6">
        <f>INDEX([1]products!$A$1:$G$49,MATCH([1]orders!$D246,[1]products!$A$1:$A$49,0),MATCH([1]orders!L$1,[1]products!$A$1:$G$1,0))</f>
        <v>33.464999999999996</v>
      </c>
      <c r="H246" s="6">
        <f t="shared" si="3"/>
        <v>133.85999999999999</v>
      </c>
    </row>
    <row r="247" spans="1:8" x14ac:dyDescent="0.3">
      <c r="A247" s="1" t="s">
        <v>505</v>
      </c>
      <c r="B247" s="2">
        <v>43951</v>
      </c>
      <c r="C247" s="3" t="s">
        <v>506</v>
      </c>
      <c r="D247" s="4" t="s">
        <v>19</v>
      </c>
      <c r="E247" s="3">
        <v>5</v>
      </c>
      <c r="F247" s="5">
        <f>INDEX([1]products!$A$1:$G$49,MATCH([1]orders!$D247,[1]products!$A$1:$A$49,0),MATCH([1]orders!K$1,[1]products!$A$1:$G$1,0))</f>
        <v>0.2</v>
      </c>
      <c r="G247" s="6">
        <f>INDEX([1]products!$A$1:$G$49,MATCH([1]orders!$D247,[1]products!$A$1:$A$49,0),MATCH([1]orders!L$1,[1]products!$A$1:$G$1,0))</f>
        <v>4.7549999999999999</v>
      </c>
      <c r="H247" s="6">
        <f t="shared" si="3"/>
        <v>23.774999999999999</v>
      </c>
    </row>
    <row r="248" spans="1:8" x14ac:dyDescent="0.3">
      <c r="A248" s="1" t="s">
        <v>507</v>
      </c>
      <c r="B248" s="2">
        <v>44542</v>
      </c>
      <c r="C248" s="3" t="s">
        <v>508</v>
      </c>
      <c r="D248" s="4" t="s">
        <v>13</v>
      </c>
      <c r="E248" s="3">
        <v>3</v>
      </c>
      <c r="F248" s="5">
        <f>INDEX([1]products!$A$1:$G$49,MATCH([1]orders!$D248,[1]products!$A$1:$A$49,0),MATCH([1]orders!K$1,[1]products!$A$1:$G$1,0))</f>
        <v>1</v>
      </c>
      <c r="G248" s="6">
        <f>INDEX([1]products!$A$1:$G$49,MATCH([1]orders!$D248,[1]products!$A$1:$A$49,0),MATCH([1]orders!L$1,[1]products!$A$1:$G$1,0))</f>
        <v>12.95</v>
      </c>
      <c r="H248" s="6">
        <f t="shared" si="3"/>
        <v>38.849999999999994</v>
      </c>
    </row>
    <row r="249" spans="1:8" x14ac:dyDescent="0.3">
      <c r="A249" s="1" t="s">
        <v>509</v>
      </c>
      <c r="B249" s="2">
        <v>44131</v>
      </c>
      <c r="C249" s="3" t="s">
        <v>510</v>
      </c>
      <c r="D249" s="4" t="s">
        <v>182</v>
      </c>
      <c r="E249" s="3">
        <v>6</v>
      </c>
      <c r="F249" s="5">
        <f>INDEX([1]products!$A$1:$G$49,MATCH([1]orders!$D249,[1]products!$A$1:$A$49,0),MATCH([1]orders!K$1,[1]products!$A$1:$G$1,0))</f>
        <v>0.2</v>
      </c>
      <c r="G249" s="6">
        <f>INDEX([1]products!$A$1:$G$49,MATCH([1]orders!$D249,[1]products!$A$1:$A$49,0),MATCH([1]orders!L$1,[1]products!$A$1:$G$1,0))</f>
        <v>3.5849999999999995</v>
      </c>
      <c r="H249" s="6">
        <f t="shared" si="3"/>
        <v>21.509999999999998</v>
      </c>
    </row>
    <row r="250" spans="1:8" x14ac:dyDescent="0.3">
      <c r="A250" s="1" t="s">
        <v>511</v>
      </c>
      <c r="B250" s="2">
        <v>44019</v>
      </c>
      <c r="C250" s="3" t="s">
        <v>512</v>
      </c>
      <c r="D250" s="4" t="s">
        <v>27</v>
      </c>
      <c r="E250" s="3">
        <v>1</v>
      </c>
      <c r="F250" s="5">
        <f>INDEX([1]products!$A$1:$G$49,MATCH([1]orders!$D250,[1]products!$A$1:$A$49,0),MATCH([1]orders!K$1,[1]products!$A$1:$G$1,0))</f>
        <v>1</v>
      </c>
      <c r="G250" s="6">
        <f>INDEX([1]products!$A$1:$G$49,MATCH([1]orders!$D250,[1]products!$A$1:$A$49,0),MATCH([1]orders!L$1,[1]products!$A$1:$G$1,0))</f>
        <v>9.9499999999999993</v>
      </c>
      <c r="H250" s="6">
        <f t="shared" si="3"/>
        <v>9.9499999999999993</v>
      </c>
    </row>
    <row r="251" spans="1:8" x14ac:dyDescent="0.3">
      <c r="A251" s="1" t="s">
        <v>513</v>
      </c>
      <c r="B251" s="2">
        <v>43861</v>
      </c>
      <c r="C251" s="3" t="s">
        <v>514</v>
      </c>
      <c r="D251" s="4" t="s">
        <v>132</v>
      </c>
      <c r="E251" s="3">
        <v>1</v>
      </c>
      <c r="F251" s="5">
        <f>INDEX([1]products!$A$1:$G$49,MATCH([1]orders!$D251,[1]products!$A$1:$A$49,0),MATCH([1]orders!K$1,[1]products!$A$1:$G$1,0))</f>
        <v>1</v>
      </c>
      <c r="G251" s="6">
        <f>INDEX([1]products!$A$1:$G$49,MATCH([1]orders!$D251,[1]products!$A$1:$A$49,0),MATCH([1]orders!L$1,[1]products!$A$1:$G$1,0))</f>
        <v>15.85</v>
      </c>
      <c r="H251" s="6">
        <f t="shared" si="3"/>
        <v>15.85</v>
      </c>
    </row>
    <row r="252" spans="1:8" x14ac:dyDescent="0.3">
      <c r="A252" s="1" t="s">
        <v>515</v>
      </c>
      <c r="B252" s="2">
        <v>43879</v>
      </c>
      <c r="C252" s="3" t="s">
        <v>516</v>
      </c>
      <c r="D252" s="4" t="s">
        <v>162</v>
      </c>
      <c r="E252" s="3">
        <v>1</v>
      </c>
      <c r="F252" s="5">
        <f>INDEX([1]products!$A$1:$G$49,MATCH([1]orders!$D252,[1]products!$A$1:$A$49,0),MATCH([1]orders!K$1,[1]products!$A$1:$G$1,0))</f>
        <v>0.2</v>
      </c>
      <c r="G252" s="6">
        <f>INDEX([1]products!$A$1:$G$49,MATCH([1]orders!$D252,[1]products!$A$1:$A$49,0),MATCH([1]orders!L$1,[1]products!$A$1:$G$1,0))</f>
        <v>2.9849999999999999</v>
      </c>
      <c r="H252" s="6">
        <f t="shared" si="3"/>
        <v>2.9849999999999999</v>
      </c>
    </row>
    <row r="253" spans="1:8" x14ac:dyDescent="0.3">
      <c r="A253" s="1" t="s">
        <v>517</v>
      </c>
      <c r="B253" s="2">
        <v>44360</v>
      </c>
      <c r="C253" s="3" t="s">
        <v>518</v>
      </c>
      <c r="D253" s="4" t="s">
        <v>9</v>
      </c>
      <c r="E253" s="3">
        <v>5</v>
      </c>
      <c r="F253" s="5">
        <f>INDEX([1]products!$A$1:$G$49,MATCH([1]orders!$D253,[1]products!$A$1:$A$49,0),MATCH([1]orders!K$1,[1]products!$A$1:$G$1,0))</f>
        <v>1</v>
      </c>
      <c r="G253" s="6">
        <f>INDEX([1]products!$A$1:$G$49,MATCH([1]orders!$D253,[1]products!$A$1:$A$49,0),MATCH([1]orders!L$1,[1]products!$A$1:$G$1,0))</f>
        <v>13.75</v>
      </c>
      <c r="H253" s="6">
        <f t="shared" si="3"/>
        <v>68.75</v>
      </c>
    </row>
    <row r="254" spans="1:8" x14ac:dyDescent="0.3">
      <c r="A254" s="1" t="s">
        <v>519</v>
      </c>
      <c r="B254" s="2">
        <v>44779</v>
      </c>
      <c r="C254" s="3" t="s">
        <v>520</v>
      </c>
      <c r="D254" s="4" t="s">
        <v>27</v>
      </c>
      <c r="E254" s="3">
        <v>3</v>
      </c>
      <c r="F254" s="5">
        <f>INDEX([1]products!$A$1:$G$49,MATCH([1]orders!$D254,[1]products!$A$1:$A$49,0),MATCH([1]orders!K$1,[1]products!$A$1:$G$1,0))</f>
        <v>1</v>
      </c>
      <c r="G254" s="6">
        <f>INDEX([1]products!$A$1:$G$49,MATCH([1]orders!$D254,[1]products!$A$1:$A$49,0),MATCH([1]orders!L$1,[1]products!$A$1:$G$1,0))</f>
        <v>9.9499999999999993</v>
      </c>
      <c r="H254" s="6">
        <f t="shared" si="3"/>
        <v>29.849999999999998</v>
      </c>
    </row>
    <row r="255" spans="1:8" x14ac:dyDescent="0.3">
      <c r="A255" s="1" t="s">
        <v>521</v>
      </c>
      <c r="B255" s="2">
        <v>44523</v>
      </c>
      <c r="C255" s="3" t="s">
        <v>522</v>
      </c>
      <c r="D255" s="4" t="s">
        <v>96</v>
      </c>
      <c r="E255" s="3">
        <v>4</v>
      </c>
      <c r="F255" s="5">
        <f>INDEX([1]products!$A$1:$G$49,MATCH([1]orders!$D255,[1]products!$A$1:$A$49,0),MATCH([1]orders!K$1,[1]products!$A$1:$G$1,0))</f>
        <v>1</v>
      </c>
      <c r="G255" s="6">
        <f>INDEX([1]products!$A$1:$G$49,MATCH([1]orders!$D255,[1]products!$A$1:$A$49,0),MATCH([1]orders!L$1,[1]products!$A$1:$G$1,0))</f>
        <v>14.55</v>
      </c>
      <c r="H255" s="6">
        <f t="shared" si="3"/>
        <v>58.2</v>
      </c>
    </row>
    <row r="256" spans="1:8" x14ac:dyDescent="0.3">
      <c r="A256" s="1" t="s">
        <v>523</v>
      </c>
      <c r="B256" s="2">
        <v>44482</v>
      </c>
      <c r="C256" s="3" t="s">
        <v>524</v>
      </c>
      <c r="D256" s="4" t="s">
        <v>157</v>
      </c>
      <c r="E256" s="3">
        <v>4</v>
      </c>
      <c r="F256" s="5">
        <f>INDEX([1]products!$A$1:$G$49,MATCH([1]orders!$D256,[1]products!$A$1:$A$49,0),MATCH([1]orders!K$1,[1]products!$A$1:$G$1,0))</f>
        <v>0.5</v>
      </c>
      <c r="G256" s="6">
        <f>INDEX([1]products!$A$1:$G$49,MATCH([1]orders!$D256,[1]products!$A$1:$A$49,0),MATCH([1]orders!L$1,[1]products!$A$1:$G$1,0))</f>
        <v>7.169999999999999</v>
      </c>
      <c r="H256" s="6">
        <f t="shared" si="3"/>
        <v>28.679999999999996</v>
      </c>
    </row>
    <row r="257" spans="1:8" x14ac:dyDescent="0.3">
      <c r="A257" s="1" t="s">
        <v>525</v>
      </c>
      <c r="B257" s="2">
        <v>44439</v>
      </c>
      <c r="C257" s="3" t="s">
        <v>526</v>
      </c>
      <c r="D257" s="4" t="s">
        <v>157</v>
      </c>
      <c r="E257" s="3">
        <v>3</v>
      </c>
      <c r="F257" s="5">
        <f>INDEX([1]products!$A$1:$G$49,MATCH([1]orders!$D257,[1]products!$A$1:$A$49,0),MATCH([1]orders!K$1,[1]products!$A$1:$G$1,0))</f>
        <v>0.5</v>
      </c>
      <c r="G257" s="6">
        <f>INDEX([1]products!$A$1:$G$49,MATCH([1]orders!$D257,[1]products!$A$1:$A$49,0),MATCH([1]orders!L$1,[1]products!$A$1:$G$1,0))</f>
        <v>7.169999999999999</v>
      </c>
      <c r="H257" s="6">
        <f t="shared" si="3"/>
        <v>21.509999999999998</v>
      </c>
    </row>
    <row r="258" spans="1:8" x14ac:dyDescent="0.3">
      <c r="A258" s="1" t="s">
        <v>527</v>
      </c>
      <c r="B258" s="2">
        <v>43846</v>
      </c>
      <c r="C258" s="3" t="s">
        <v>514</v>
      </c>
      <c r="D258" s="4" t="s">
        <v>78</v>
      </c>
      <c r="E258" s="3">
        <v>2</v>
      </c>
      <c r="F258" s="5">
        <f>INDEX([1]products!$A$1:$G$49,MATCH([1]orders!$D258,[1]products!$A$1:$A$49,0),MATCH([1]orders!K$1,[1]products!$A$1:$G$1,0))</f>
        <v>0.5</v>
      </c>
      <c r="G258" s="6">
        <f>INDEX([1]products!$A$1:$G$49,MATCH([1]orders!$D258,[1]products!$A$1:$A$49,0),MATCH([1]orders!L$1,[1]products!$A$1:$G$1,0))</f>
        <v>8.73</v>
      </c>
      <c r="H258" s="6">
        <f t="shared" ref="H258:H321" si="4">E258*G258</f>
        <v>17.46</v>
      </c>
    </row>
    <row r="259" spans="1:8" x14ac:dyDescent="0.3">
      <c r="A259" s="1" t="s">
        <v>528</v>
      </c>
      <c r="B259" s="2">
        <v>44676</v>
      </c>
      <c r="C259" s="3" t="s">
        <v>529</v>
      </c>
      <c r="D259" s="4" t="s">
        <v>530</v>
      </c>
      <c r="E259" s="3">
        <v>1</v>
      </c>
      <c r="F259" s="5">
        <f>INDEX([1]products!$A$1:$G$49,MATCH([1]orders!$D259,[1]products!$A$1:$A$49,0),MATCH([1]orders!K$1,[1]products!$A$1:$G$1,0))</f>
        <v>2.5</v>
      </c>
      <c r="G259" s="6">
        <f>INDEX([1]products!$A$1:$G$49,MATCH([1]orders!$D259,[1]products!$A$1:$A$49,0),MATCH([1]orders!L$1,[1]products!$A$1:$G$1,0))</f>
        <v>27.945</v>
      </c>
      <c r="H259" s="6">
        <f t="shared" si="4"/>
        <v>27.945</v>
      </c>
    </row>
    <row r="260" spans="1:8" x14ac:dyDescent="0.3">
      <c r="A260" s="1" t="s">
        <v>531</v>
      </c>
      <c r="B260" s="2">
        <v>44513</v>
      </c>
      <c r="C260" s="3" t="s">
        <v>532</v>
      </c>
      <c r="D260" s="4" t="s">
        <v>530</v>
      </c>
      <c r="E260" s="3">
        <v>5</v>
      </c>
      <c r="F260" s="5">
        <f>INDEX([1]products!$A$1:$G$49,MATCH([1]orders!$D260,[1]products!$A$1:$A$49,0),MATCH([1]orders!K$1,[1]products!$A$1:$G$1,0))</f>
        <v>2.5</v>
      </c>
      <c r="G260" s="6">
        <f>INDEX([1]products!$A$1:$G$49,MATCH([1]orders!$D260,[1]products!$A$1:$A$49,0),MATCH([1]orders!L$1,[1]products!$A$1:$G$1,0))</f>
        <v>27.945</v>
      </c>
      <c r="H260" s="6">
        <f t="shared" si="4"/>
        <v>139.72499999999999</v>
      </c>
    </row>
    <row r="261" spans="1:8" x14ac:dyDescent="0.3">
      <c r="A261" s="1" t="s">
        <v>533</v>
      </c>
      <c r="B261" s="2">
        <v>44355</v>
      </c>
      <c r="C261" s="3" t="s">
        <v>534</v>
      </c>
      <c r="D261" s="4" t="s">
        <v>162</v>
      </c>
      <c r="E261" s="3">
        <v>2</v>
      </c>
      <c r="F261" s="5">
        <f>INDEX([1]products!$A$1:$G$49,MATCH([1]orders!$D261,[1]products!$A$1:$A$49,0),MATCH([1]orders!K$1,[1]products!$A$1:$G$1,0))</f>
        <v>0.2</v>
      </c>
      <c r="G261" s="6">
        <f>INDEX([1]products!$A$1:$G$49,MATCH([1]orders!$D261,[1]products!$A$1:$A$49,0),MATCH([1]orders!L$1,[1]products!$A$1:$G$1,0))</f>
        <v>2.9849999999999999</v>
      </c>
      <c r="H261" s="6">
        <f t="shared" si="4"/>
        <v>5.97</v>
      </c>
    </row>
    <row r="262" spans="1:8" x14ac:dyDescent="0.3">
      <c r="A262" s="1" t="s">
        <v>535</v>
      </c>
      <c r="B262" s="2">
        <v>44156</v>
      </c>
      <c r="C262" s="3" t="s">
        <v>536</v>
      </c>
      <c r="D262" s="4" t="s">
        <v>10</v>
      </c>
      <c r="E262" s="3">
        <v>1</v>
      </c>
      <c r="F262" s="5">
        <f>INDEX([1]products!$A$1:$G$49,MATCH([1]orders!$D262,[1]products!$A$1:$A$49,0),MATCH([1]orders!K$1,[1]products!$A$1:$G$1,0))</f>
        <v>2.5</v>
      </c>
      <c r="G262" s="6">
        <f>INDEX([1]products!$A$1:$G$49,MATCH([1]orders!$D262,[1]products!$A$1:$A$49,0),MATCH([1]orders!L$1,[1]products!$A$1:$G$1,0))</f>
        <v>27.484999999999996</v>
      </c>
      <c r="H262" s="6">
        <f t="shared" si="4"/>
        <v>27.484999999999996</v>
      </c>
    </row>
    <row r="263" spans="1:8" x14ac:dyDescent="0.3">
      <c r="A263" s="1" t="s">
        <v>537</v>
      </c>
      <c r="B263" s="2">
        <v>43538</v>
      </c>
      <c r="C263" s="3" t="s">
        <v>538</v>
      </c>
      <c r="D263" s="4" t="s">
        <v>189</v>
      </c>
      <c r="E263" s="3">
        <v>5</v>
      </c>
      <c r="F263" s="5">
        <f>INDEX([1]products!$A$1:$G$49,MATCH([1]orders!$D263,[1]products!$A$1:$A$49,0),MATCH([1]orders!K$1,[1]products!$A$1:$G$1,0))</f>
        <v>1</v>
      </c>
      <c r="G263" s="6">
        <f>INDEX([1]products!$A$1:$G$49,MATCH([1]orders!$D263,[1]products!$A$1:$A$49,0),MATCH([1]orders!L$1,[1]products!$A$1:$G$1,0))</f>
        <v>11.95</v>
      </c>
      <c r="H263" s="6">
        <f t="shared" si="4"/>
        <v>59.75</v>
      </c>
    </row>
    <row r="264" spans="1:8" x14ac:dyDescent="0.3">
      <c r="A264" s="1" t="s">
        <v>539</v>
      </c>
      <c r="B264" s="2">
        <v>43693</v>
      </c>
      <c r="C264" s="3" t="s">
        <v>540</v>
      </c>
      <c r="D264" s="4" t="s">
        <v>9</v>
      </c>
      <c r="E264" s="3">
        <v>3</v>
      </c>
      <c r="F264" s="5">
        <f>INDEX([1]products!$A$1:$G$49,MATCH([1]orders!$D264,[1]products!$A$1:$A$49,0),MATCH([1]orders!K$1,[1]products!$A$1:$G$1,0))</f>
        <v>1</v>
      </c>
      <c r="G264" s="6">
        <f>INDEX([1]products!$A$1:$G$49,MATCH([1]orders!$D264,[1]products!$A$1:$A$49,0),MATCH([1]orders!L$1,[1]products!$A$1:$G$1,0))</f>
        <v>13.75</v>
      </c>
      <c r="H264" s="6">
        <f t="shared" si="4"/>
        <v>41.25</v>
      </c>
    </row>
    <row r="265" spans="1:8" x14ac:dyDescent="0.3">
      <c r="A265" s="1" t="s">
        <v>541</v>
      </c>
      <c r="B265" s="2">
        <v>43577</v>
      </c>
      <c r="C265" s="3" t="s">
        <v>542</v>
      </c>
      <c r="D265" s="4" t="s">
        <v>197</v>
      </c>
      <c r="E265" s="3">
        <v>4</v>
      </c>
      <c r="F265" s="5">
        <f>INDEX([1]products!$A$1:$G$49,MATCH([1]orders!$D265,[1]products!$A$1:$A$49,0),MATCH([1]orders!K$1,[1]products!$A$1:$G$1,0))</f>
        <v>2.5</v>
      </c>
      <c r="G265" s="6">
        <f>INDEX([1]products!$A$1:$G$49,MATCH([1]orders!$D265,[1]products!$A$1:$A$49,0),MATCH([1]orders!L$1,[1]products!$A$1:$G$1,0))</f>
        <v>33.464999999999996</v>
      </c>
      <c r="H265" s="6">
        <f t="shared" si="4"/>
        <v>133.85999999999999</v>
      </c>
    </row>
    <row r="266" spans="1:8" x14ac:dyDescent="0.3">
      <c r="A266" s="1" t="s">
        <v>543</v>
      </c>
      <c r="B266" s="2">
        <v>44683</v>
      </c>
      <c r="C266" s="3" t="s">
        <v>544</v>
      </c>
      <c r="D266" s="4" t="s">
        <v>189</v>
      </c>
      <c r="E266" s="3">
        <v>5</v>
      </c>
      <c r="F266" s="5">
        <f>INDEX([1]products!$A$1:$G$49,MATCH([1]orders!$D266,[1]products!$A$1:$A$49,0),MATCH([1]orders!K$1,[1]products!$A$1:$G$1,0))</f>
        <v>1</v>
      </c>
      <c r="G266" s="6">
        <f>INDEX([1]products!$A$1:$G$49,MATCH([1]orders!$D266,[1]products!$A$1:$A$49,0),MATCH([1]orders!L$1,[1]products!$A$1:$G$1,0))</f>
        <v>11.95</v>
      </c>
      <c r="H266" s="6">
        <f t="shared" si="4"/>
        <v>59.75</v>
      </c>
    </row>
    <row r="267" spans="1:8" x14ac:dyDescent="0.3">
      <c r="A267" s="1" t="s">
        <v>545</v>
      </c>
      <c r="B267" s="2">
        <v>43872</v>
      </c>
      <c r="C267" s="3" t="s">
        <v>546</v>
      </c>
      <c r="D267" s="4" t="s">
        <v>72</v>
      </c>
      <c r="E267" s="3">
        <v>1</v>
      </c>
      <c r="F267" s="5">
        <f>INDEX([1]products!$A$1:$G$49,MATCH([1]orders!$D267,[1]products!$A$1:$A$49,0),MATCH([1]orders!K$1,[1]products!$A$1:$G$1,0))</f>
        <v>0.5</v>
      </c>
      <c r="G267" s="6">
        <f>INDEX([1]products!$A$1:$G$49,MATCH([1]orders!$D267,[1]products!$A$1:$A$49,0),MATCH([1]orders!L$1,[1]products!$A$1:$G$1,0))</f>
        <v>5.97</v>
      </c>
      <c r="H267" s="6">
        <f t="shared" si="4"/>
        <v>5.97</v>
      </c>
    </row>
    <row r="268" spans="1:8" x14ac:dyDescent="0.3">
      <c r="A268" s="1" t="s">
        <v>547</v>
      </c>
      <c r="B268" s="2">
        <v>44283</v>
      </c>
      <c r="C268" s="3" t="s">
        <v>548</v>
      </c>
      <c r="D268" s="4" t="s">
        <v>245</v>
      </c>
      <c r="E268" s="3">
        <v>2</v>
      </c>
      <c r="F268" s="5">
        <f>INDEX([1]products!$A$1:$G$49,MATCH([1]orders!$D268,[1]products!$A$1:$A$49,0),MATCH([1]orders!K$1,[1]products!$A$1:$G$1,0))</f>
        <v>1</v>
      </c>
      <c r="G268" s="6">
        <f>INDEX([1]products!$A$1:$G$49,MATCH([1]orders!$D268,[1]products!$A$1:$A$49,0),MATCH([1]orders!L$1,[1]products!$A$1:$G$1,0))</f>
        <v>12.15</v>
      </c>
      <c r="H268" s="6">
        <f t="shared" si="4"/>
        <v>24.3</v>
      </c>
    </row>
    <row r="269" spans="1:8" x14ac:dyDescent="0.3">
      <c r="A269" s="1" t="s">
        <v>549</v>
      </c>
      <c r="B269" s="2">
        <v>44324</v>
      </c>
      <c r="C269" s="3" t="s">
        <v>550</v>
      </c>
      <c r="D269" s="4" t="s">
        <v>51</v>
      </c>
      <c r="E269" s="3">
        <v>6</v>
      </c>
      <c r="F269" s="5">
        <f>INDEX([1]products!$A$1:$G$49,MATCH([1]orders!$D269,[1]products!$A$1:$A$49,0),MATCH([1]orders!K$1,[1]products!$A$1:$G$1,0))</f>
        <v>0.2</v>
      </c>
      <c r="G269" s="6">
        <f>INDEX([1]products!$A$1:$G$49,MATCH([1]orders!$D269,[1]products!$A$1:$A$49,0),MATCH([1]orders!L$1,[1]products!$A$1:$G$1,0))</f>
        <v>3.645</v>
      </c>
      <c r="H269" s="6">
        <f t="shared" si="4"/>
        <v>21.87</v>
      </c>
    </row>
    <row r="270" spans="1:8" x14ac:dyDescent="0.3">
      <c r="A270" s="1" t="s">
        <v>551</v>
      </c>
      <c r="B270" s="2">
        <v>43790</v>
      </c>
      <c r="C270" s="3" t="s">
        <v>438</v>
      </c>
      <c r="D270" s="4" t="s">
        <v>27</v>
      </c>
      <c r="E270" s="3">
        <v>2</v>
      </c>
      <c r="F270" s="5">
        <f>INDEX([1]products!$A$1:$G$49,MATCH([1]orders!$D270,[1]products!$A$1:$A$49,0),MATCH([1]orders!K$1,[1]products!$A$1:$G$1,0))</f>
        <v>1</v>
      </c>
      <c r="G270" s="6">
        <f>INDEX([1]products!$A$1:$G$49,MATCH([1]orders!$D270,[1]products!$A$1:$A$49,0),MATCH([1]orders!L$1,[1]products!$A$1:$G$1,0))</f>
        <v>9.9499999999999993</v>
      </c>
      <c r="H270" s="6">
        <f t="shared" si="4"/>
        <v>19.899999999999999</v>
      </c>
    </row>
    <row r="271" spans="1:8" x14ac:dyDescent="0.3">
      <c r="A271" s="1" t="s">
        <v>552</v>
      </c>
      <c r="B271" s="2">
        <v>44333</v>
      </c>
      <c r="C271" s="3" t="s">
        <v>553</v>
      </c>
      <c r="D271" s="4" t="s">
        <v>54</v>
      </c>
      <c r="E271" s="3">
        <v>2</v>
      </c>
      <c r="F271" s="5">
        <f>INDEX([1]products!$A$1:$G$49,MATCH([1]orders!$D271,[1]products!$A$1:$A$49,0),MATCH([1]orders!K$1,[1]products!$A$1:$G$1,0))</f>
        <v>0.2</v>
      </c>
      <c r="G271" s="6">
        <f>INDEX([1]products!$A$1:$G$49,MATCH([1]orders!$D271,[1]products!$A$1:$A$49,0),MATCH([1]orders!L$1,[1]products!$A$1:$G$1,0))</f>
        <v>2.9849999999999999</v>
      </c>
      <c r="H271" s="6">
        <f t="shared" si="4"/>
        <v>5.97</v>
      </c>
    </row>
    <row r="272" spans="1:8" x14ac:dyDescent="0.3">
      <c r="A272" s="1" t="s">
        <v>554</v>
      </c>
      <c r="B272" s="2">
        <v>43655</v>
      </c>
      <c r="C272" s="3" t="s">
        <v>555</v>
      </c>
      <c r="D272" s="4" t="s">
        <v>16</v>
      </c>
      <c r="E272" s="3">
        <v>1</v>
      </c>
      <c r="F272" s="5">
        <f>INDEX([1]products!$A$1:$G$49,MATCH([1]orders!$D272,[1]products!$A$1:$A$49,0),MATCH([1]orders!K$1,[1]products!$A$1:$G$1,0))</f>
        <v>0.5</v>
      </c>
      <c r="G272" s="6">
        <f>INDEX([1]products!$A$1:$G$49,MATCH([1]orders!$D272,[1]products!$A$1:$A$49,0),MATCH([1]orders!L$1,[1]products!$A$1:$G$1,0))</f>
        <v>7.29</v>
      </c>
      <c r="H272" s="6">
        <f t="shared" si="4"/>
        <v>7.29</v>
      </c>
    </row>
    <row r="273" spans="1:8" x14ac:dyDescent="0.3">
      <c r="A273" s="1" t="s">
        <v>556</v>
      </c>
      <c r="B273" s="2">
        <v>43971</v>
      </c>
      <c r="C273" s="3" t="s">
        <v>557</v>
      </c>
      <c r="D273" s="4" t="s">
        <v>54</v>
      </c>
      <c r="E273" s="3">
        <v>4</v>
      </c>
      <c r="F273" s="5">
        <f>INDEX([1]products!$A$1:$G$49,MATCH([1]orders!$D273,[1]products!$A$1:$A$49,0),MATCH([1]orders!K$1,[1]products!$A$1:$G$1,0))</f>
        <v>0.2</v>
      </c>
      <c r="G273" s="6">
        <f>INDEX([1]products!$A$1:$G$49,MATCH([1]orders!$D273,[1]products!$A$1:$A$49,0),MATCH([1]orders!L$1,[1]products!$A$1:$G$1,0))</f>
        <v>2.9849999999999999</v>
      </c>
      <c r="H273" s="6">
        <f t="shared" si="4"/>
        <v>11.94</v>
      </c>
    </row>
    <row r="274" spans="1:8" x14ac:dyDescent="0.3">
      <c r="A274" s="1" t="s">
        <v>558</v>
      </c>
      <c r="B274" s="2">
        <v>44435</v>
      </c>
      <c r="C274" s="3" t="s">
        <v>559</v>
      </c>
      <c r="D274" s="4" t="s">
        <v>189</v>
      </c>
      <c r="E274" s="3">
        <v>6</v>
      </c>
      <c r="F274" s="5">
        <f>INDEX([1]products!$A$1:$G$49,MATCH([1]orders!$D274,[1]products!$A$1:$A$49,0),MATCH([1]orders!K$1,[1]products!$A$1:$G$1,0))</f>
        <v>1</v>
      </c>
      <c r="G274" s="6">
        <f>INDEX([1]products!$A$1:$G$49,MATCH([1]orders!$D274,[1]products!$A$1:$A$49,0),MATCH([1]orders!L$1,[1]products!$A$1:$G$1,0))</f>
        <v>11.95</v>
      </c>
      <c r="H274" s="6">
        <f t="shared" si="4"/>
        <v>71.699999999999989</v>
      </c>
    </row>
    <row r="275" spans="1:8" x14ac:dyDescent="0.3">
      <c r="A275" s="1" t="s">
        <v>560</v>
      </c>
      <c r="B275" s="2">
        <v>44681</v>
      </c>
      <c r="C275" s="3" t="s">
        <v>561</v>
      </c>
      <c r="D275" s="4" t="s">
        <v>115</v>
      </c>
      <c r="E275" s="3">
        <v>2</v>
      </c>
      <c r="F275" s="5">
        <f>INDEX([1]products!$A$1:$G$49,MATCH([1]orders!$D275,[1]products!$A$1:$A$49,0),MATCH([1]orders!K$1,[1]products!$A$1:$G$1,0))</f>
        <v>0.2</v>
      </c>
      <c r="G275" s="6">
        <f>INDEX([1]products!$A$1:$G$49,MATCH([1]orders!$D275,[1]products!$A$1:$A$49,0),MATCH([1]orders!L$1,[1]products!$A$1:$G$1,0))</f>
        <v>3.8849999999999998</v>
      </c>
      <c r="H275" s="6">
        <f t="shared" si="4"/>
        <v>7.77</v>
      </c>
    </row>
    <row r="276" spans="1:8" x14ac:dyDescent="0.3">
      <c r="A276" s="1" t="s">
        <v>562</v>
      </c>
      <c r="B276" s="2">
        <v>43985</v>
      </c>
      <c r="C276" s="3" t="s">
        <v>563</v>
      </c>
      <c r="D276" s="4" t="s">
        <v>171</v>
      </c>
      <c r="E276" s="3">
        <v>1</v>
      </c>
      <c r="F276" s="5">
        <f>INDEX([1]products!$A$1:$G$49,MATCH([1]orders!$D276,[1]products!$A$1:$A$49,0),MATCH([1]orders!K$1,[1]products!$A$1:$G$1,0))</f>
        <v>2.5</v>
      </c>
      <c r="G276" s="6">
        <f>INDEX([1]products!$A$1:$G$49,MATCH([1]orders!$D276,[1]products!$A$1:$A$49,0),MATCH([1]orders!L$1,[1]products!$A$1:$G$1,0))</f>
        <v>25.874999999999996</v>
      </c>
      <c r="H276" s="6">
        <f t="shared" si="4"/>
        <v>25.874999999999996</v>
      </c>
    </row>
    <row r="277" spans="1:8" x14ac:dyDescent="0.3">
      <c r="A277" s="1" t="s">
        <v>564</v>
      </c>
      <c r="B277" s="2">
        <v>44725</v>
      </c>
      <c r="C277" s="3" t="s">
        <v>565</v>
      </c>
      <c r="D277" s="4" t="s">
        <v>30</v>
      </c>
      <c r="E277" s="3">
        <v>6</v>
      </c>
      <c r="F277" s="5">
        <f>INDEX([1]products!$A$1:$G$49,MATCH([1]orders!$D277,[1]products!$A$1:$A$49,0),MATCH([1]orders!K$1,[1]products!$A$1:$G$1,0))</f>
        <v>2.5</v>
      </c>
      <c r="G277" s="6">
        <f>INDEX([1]products!$A$1:$G$49,MATCH([1]orders!$D277,[1]products!$A$1:$A$49,0),MATCH([1]orders!L$1,[1]products!$A$1:$G$1,0))</f>
        <v>34.154999999999994</v>
      </c>
      <c r="H277" s="6">
        <f t="shared" si="4"/>
        <v>204.92999999999995</v>
      </c>
    </row>
    <row r="278" spans="1:8" x14ac:dyDescent="0.3">
      <c r="A278" s="1" t="s">
        <v>566</v>
      </c>
      <c r="B278" s="2">
        <v>43992</v>
      </c>
      <c r="C278" s="3" t="s">
        <v>567</v>
      </c>
      <c r="D278" s="4" t="s">
        <v>10</v>
      </c>
      <c r="E278" s="3">
        <v>4</v>
      </c>
      <c r="F278" s="5">
        <f>INDEX([1]products!$A$1:$G$49,MATCH([1]orders!$D278,[1]products!$A$1:$A$49,0),MATCH([1]orders!K$1,[1]products!$A$1:$G$1,0))</f>
        <v>2.5</v>
      </c>
      <c r="G278" s="6">
        <f>INDEX([1]products!$A$1:$G$49,MATCH([1]orders!$D278,[1]products!$A$1:$A$49,0),MATCH([1]orders!L$1,[1]products!$A$1:$G$1,0))</f>
        <v>27.484999999999996</v>
      </c>
      <c r="H278" s="6">
        <f t="shared" si="4"/>
        <v>109.93999999999998</v>
      </c>
    </row>
    <row r="279" spans="1:8" x14ac:dyDescent="0.3">
      <c r="A279" s="1" t="s">
        <v>568</v>
      </c>
      <c r="B279" s="2">
        <v>44183</v>
      </c>
      <c r="C279" s="3" t="s">
        <v>569</v>
      </c>
      <c r="D279" s="4" t="s">
        <v>137</v>
      </c>
      <c r="E279" s="3">
        <v>6</v>
      </c>
      <c r="F279" s="5">
        <f>INDEX([1]products!$A$1:$G$49,MATCH([1]orders!$D279,[1]products!$A$1:$A$49,0),MATCH([1]orders!K$1,[1]products!$A$1:$G$1,0))</f>
        <v>1</v>
      </c>
      <c r="G279" s="6">
        <f>INDEX([1]products!$A$1:$G$49,MATCH([1]orders!$D279,[1]products!$A$1:$A$49,0),MATCH([1]orders!L$1,[1]products!$A$1:$G$1,0))</f>
        <v>14.85</v>
      </c>
      <c r="H279" s="6">
        <f t="shared" si="4"/>
        <v>89.1</v>
      </c>
    </row>
    <row r="280" spans="1:8" x14ac:dyDescent="0.3">
      <c r="A280" s="1" t="s">
        <v>570</v>
      </c>
      <c r="B280" s="2">
        <v>43708</v>
      </c>
      <c r="C280" s="3" t="s">
        <v>571</v>
      </c>
      <c r="D280" s="4" t="s">
        <v>115</v>
      </c>
      <c r="E280" s="3">
        <v>2</v>
      </c>
      <c r="F280" s="5">
        <f>INDEX([1]products!$A$1:$G$49,MATCH([1]orders!$D280,[1]products!$A$1:$A$49,0),MATCH([1]orders!K$1,[1]products!$A$1:$G$1,0))</f>
        <v>0.2</v>
      </c>
      <c r="G280" s="6">
        <f>INDEX([1]products!$A$1:$G$49,MATCH([1]orders!$D280,[1]products!$A$1:$A$49,0),MATCH([1]orders!L$1,[1]products!$A$1:$G$1,0))</f>
        <v>3.8849999999999998</v>
      </c>
      <c r="H280" s="6">
        <f t="shared" si="4"/>
        <v>7.77</v>
      </c>
    </row>
    <row r="281" spans="1:8" x14ac:dyDescent="0.3">
      <c r="A281" s="1" t="s">
        <v>572</v>
      </c>
      <c r="B281" s="2">
        <v>43521</v>
      </c>
      <c r="C281" s="3" t="s">
        <v>573</v>
      </c>
      <c r="D281" s="4" t="s">
        <v>197</v>
      </c>
      <c r="E281" s="3">
        <v>1</v>
      </c>
      <c r="F281" s="5">
        <f>INDEX([1]products!$A$1:$G$49,MATCH([1]orders!$D281,[1]products!$A$1:$A$49,0),MATCH([1]orders!K$1,[1]products!$A$1:$G$1,0))</f>
        <v>2.5</v>
      </c>
      <c r="G281" s="6">
        <f>INDEX([1]products!$A$1:$G$49,MATCH([1]orders!$D281,[1]products!$A$1:$A$49,0),MATCH([1]orders!L$1,[1]products!$A$1:$G$1,0))</f>
        <v>33.464999999999996</v>
      </c>
      <c r="H281" s="6">
        <f t="shared" si="4"/>
        <v>33.464999999999996</v>
      </c>
    </row>
    <row r="282" spans="1:8" x14ac:dyDescent="0.3">
      <c r="A282" s="1" t="s">
        <v>574</v>
      </c>
      <c r="B282" s="2">
        <v>44234</v>
      </c>
      <c r="C282" s="3" t="s">
        <v>575</v>
      </c>
      <c r="D282" s="4" t="s">
        <v>3</v>
      </c>
      <c r="E282" s="3">
        <v>5</v>
      </c>
      <c r="F282" s="5">
        <f>INDEX([1]products!$A$1:$G$49,MATCH([1]orders!$D282,[1]products!$A$1:$A$49,0),MATCH([1]orders!K$1,[1]products!$A$1:$G$1,0))</f>
        <v>0.5</v>
      </c>
      <c r="G282" s="6">
        <f>INDEX([1]products!$A$1:$G$49,MATCH([1]orders!$D282,[1]products!$A$1:$A$49,0),MATCH([1]orders!L$1,[1]products!$A$1:$G$1,0))</f>
        <v>8.25</v>
      </c>
      <c r="H282" s="6">
        <f t="shared" si="4"/>
        <v>41.25</v>
      </c>
    </row>
    <row r="283" spans="1:8" x14ac:dyDescent="0.3">
      <c r="A283" s="1" t="s">
        <v>576</v>
      </c>
      <c r="B283" s="2">
        <v>44210</v>
      </c>
      <c r="C283" s="3" t="s">
        <v>577</v>
      </c>
      <c r="D283" s="4" t="s">
        <v>137</v>
      </c>
      <c r="E283" s="3">
        <v>4</v>
      </c>
      <c r="F283" s="5">
        <f>INDEX([1]products!$A$1:$G$49,MATCH([1]orders!$D283,[1]products!$A$1:$A$49,0),MATCH([1]orders!K$1,[1]products!$A$1:$G$1,0))</f>
        <v>1</v>
      </c>
      <c r="G283" s="6">
        <f>INDEX([1]products!$A$1:$G$49,MATCH([1]orders!$D283,[1]products!$A$1:$A$49,0),MATCH([1]orders!L$1,[1]products!$A$1:$G$1,0))</f>
        <v>14.85</v>
      </c>
      <c r="H283" s="6">
        <f t="shared" si="4"/>
        <v>59.4</v>
      </c>
    </row>
    <row r="284" spans="1:8" x14ac:dyDescent="0.3">
      <c r="A284" s="1" t="s">
        <v>578</v>
      </c>
      <c r="B284" s="2">
        <v>43520</v>
      </c>
      <c r="C284" s="3" t="s">
        <v>579</v>
      </c>
      <c r="D284" s="4" t="s">
        <v>192</v>
      </c>
      <c r="E284" s="3">
        <v>1</v>
      </c>
      <c r="F284" s="5">
        <f>INDEX([1]products!$A$1:$G$49,MATCH([1]orders!$D284,[1]products!$A$1:$A$49,0),MATCH([1]orders!K$1,[1]products!$A$1:$G$1,0))</f>
        <v>0.5</v>
      </c>
      <c r="G284" s="6">
        <f>INDEX([1]products!$A$1:$G$49,MATCH([1]orders!$D284,[1]products!$A$1:$A$49,0),MATCH([1]orders!L$1,[1]products!$A$1:$G$1,0))</f>
        <v>7.77</v>
      </c>
      <c r="H284" s="6">
        <f t="shared" si="4"/>
        <v>7.77</v>
      </c>
    </row>
    <row r="285" spans="1:8" x14ac:dyDescent="0.3">
      <c r="A285" s="1" t="s">
        <v>580</v>
      </c>
      <c r="B285" s="2">
        <v>43639</v>
      </c>
      <c r="C285" s="3" t="s">
        <v>581</v>
      </c>
      <c r="D285" s="4" t="s">
        <v>146</v>
      </c>
      <c r="E285" s="3">
        <v>1</v>
      </c>
      <c r="F285" s="5">
        <f>INDEX([1]products!$A$1:$G$49,MATCH([1]orders!$D285,[1]products!$A$1:$A$49,0),MATCH([1]orders!K$1,[1]products!$A$1:$G$1,0))</f>
        <v>0.5</v>
      </c>
      <c r="G285" s="6">
        <f>INDEX([1]products!$A$1:$G$49,MATCH([1]orders!$D285,[1]products!$A$1:$A$49,0),MATCH([1]orders!L$1,[1]products!$A$1:$G$1,0))</f>
        <v>5.3699999999999992</v>
      </c>
      <c r="H285" s="6">
        <f t="shared" si="4"/>
        <v>5.3699999999999992</v>
      </c>
    </row>
    <row r="286" spans="1:8" x14ac:dyDescent="0.3">
      <c r="A286" s="1" t="s">
        <v>582</v>
      </c>
      <c r="B286" s="2">
        <v>43960</v>
      </c>
      <c r="C286" s="3" t="s">
        <v>583</v>
      </c>
      <c r="D286" s="4" t="s">
        <v>112</v>
      </c>
      <c r="E286" s="3">
        <v>3</v>
      </c>
      <c r="F286" s="5">
        <f>INDEX([1]products!$A$1:$G$49,MATCH([1]orders!$D286,[1]products!$A$1:$A$49,0),MATCH([1]orders!K$1,[1]products!$A$1:$G$1,0))</f>
        <v>2.5</v>
      </c>
      <c r="G286" s="6">
        <f>INDEX([1]products!$A$1:$G$49,MATCH([1]orders!$D286,[1]products!$A$1:$A$49,0),MATCH([1]orders!L$1,[1]products!$A$1:$G$1,0))</f>
        <v>31.624999999999996</v>
      </c>
      <c r="H286" s="6">
        <f t="shared" si="4"/>
        <v>94.874999999999986</v>
      </c>
    </row>
    <row r="287" spans="1:8" x14ac:dyDescent="0.3">
      <c r="A287" s="1" t="s">
        <v>584</v>
      </c>
      <c r="B287" s="2">
        <v>44030</v>
      </c>
      <c r="C287" s="3" t="s">
        <v>585</v>
      </c>
      <c r="D287" s="4" t="s">
        <v>104</v>
      </c>
      <c r="E287" s="3">
        <v>1</v>
      </c>
      <c r="F287" s="5">
        <f>INDEX([1]products!$A$1:$G$49,MATCH([1]orders!$D287,[1]products!$A$1:$A$49,0),MATCH([1]orders!K$1,[1]products!$A$1:$G$1,0))</f>
        <v>2.5</v>
      </c>
      <c r="G287" s="6">
        <f>INDEX([1]products!$A$1:$G$49,MATCH([1]orders!$D287,[1]products!$A$1:$A$49,0),MATCH([1]orders!L$1,[1]products!$A$1:$G$1,0))</f>
        <v>36.454999999999998</v>
      </c>
      <c r="H287" s="6">
        <f t="shared" si="4"/>
        <v>36.454999999999998</v>
      </c>
    </row>
    <row r="288" spans="1:8" x14ac:dyDescent="0.3">
      <c r="A288" s="1" t="s">
        <v>586</v>
      </c>
      <c r="B288" s="2">
        <v>43755</v>
      </c>
      <c r="C288" s="3" t="s">
        <v>587</v>
      </c>
      <c r="D288" s="4" t="s">
        <v>44</v>
      </c>
      <c r="E288" s="3">
        <v>4</v>
      </c>
      <c r="F288" s="5">
        <f>INDEX([1]products!$A$1:$G$49,MATCH([1]orders!$D288,[1]products!$A$1:$A$49,0),MATCH([1]orders!K$1,[1]products!$A$1:$G$1,0))</f>
        <v>0.2</v>
      </c>
      <c r="G288" s="6">
        <f>INDEX([1]products!$A$1:$G$49,MATCH([1]orders!$D288,[1]products!$A$1:$A$49,0),MATCH([1]orders!L$1,[1]products!$A$1:$G$1,0))</f>
        <v>3.375</v>
      </c>
      <c r="H288" s="6">
        <f t="shared" si="4"/>
        <v>13.5</v>
      </c>
    </row>
    <row r="289" spans="1:8" x14ac:dyDescent="0.3">
      <c r="A289" s="1" t="s">
        <v>588</v>
      </c>
      <c r="B289" s="2">
        <v>44697</v>
      </c>
      <c r="C289" s="3" t="s">
        <v>589</v>
      </c>
      <c r="D289" s="4" t="s">
        <v>182</v>
      </c>
      <c r="E289" s="3">
        <v>4</v>
      </c>
      <c r="F289" s="5">
        <f>INDEX([1]products!$A$1:$G$49,MATCH([1]orders!$D289,[1]products!$A$1:$A$49,0),MATCH([1]orders!K$1,[1]products!$A$1:$G$1,0))</f>
        <v>0.2</v>
      </c>
      <c r="G289" s="6">
        <f>INDEX([1]products!$A$1:$G$49,MATCH([1]orders!$D289,[1]products!$A$1:$A$49,0),MATCH([1]orders!L$1,[1]products!$A$1:$G$1,0))</f>
        <v>3.5849999999999995</v>
      </c>
      <c r="H289" s="6">
        <f t="shared" si="4"/>
        <v>14.339999999999998</v>
      </c>
    </row>
    <row r="290" spans="1:8" x14ac:dyDescent="0.3">
      <c r="A290" s="1" t="s">
        <v>590</v>
      </c>
      <c r="B290" s="2">
        <v>44279</v>
      </c>
      <c r="C290" s="3" t="s">
        <v>591</v>
      </c>
      <c r="D290" s="4" t="s">
        <v>3</v>
      </c>
      <c r="E290" s="3">
        <v>1</v>
      </c>
      <c r="F290" s="5">
        <f>INDEX([1]products!$A$1:$G$49,MATCH([1]orders!$D290,[1]products!$A$1:$A$49,0),MATCH([1]orders!K$1,[1]products!$A$1:$G$1,0))</f>
        <v>0.5</v>
      </c>
      <c r="G290" s="6">
        <f>INDEX([1]products!$A$1:$G$49,MATCH([1]orders!$D290,[1]products!$A$1:$A$49,0),MATCH([1]orders!L$1,[1]products!$A$1:$G$1,0))</f>
        <v>8.25</v>
      </c>
      <c r="H290" s="6">
        <f t="shared" si="4"/>
        <v>8.25</v>
      </c>
    </row>
    <row r="291" spans="1:8" x14ac:dyDescent="0.3">
      <c r="A291" s="1" t="s">
        <v>592</v>
      </c>
      <c r="B291" s="2">
        <v>43772</v>
      </c>
      <c r="C291" s="3" t="s">
        <v>593</v>
      </c>
      <c r="D291" s="4" t="s">
        <v>101</v>
      </c>
      <c r="E291" s="3">
        <v>5</v>
      </c>
      <c r="F291" s="5">
        <f>INDEX([1]products!$A$1:$G$49,MATCH([1]orders!$D291,[1]products!$A$1:$A$49,0),MATCH([1]orders!K$1,[1]products!$A$1:$G$1,0))</f>
        <v>0.2</v>
      </c>
      <c r="G291" s="6">
        <f>INDEX([1]products!$A$1:$G$49,MATCH([1]orders!$D291,[1]products!$A$1:$A$49,0),MATCH([1]orders!L$1,[1]products!$A$1:$G$1,0))</f>
        <v>2.6849999999999996</v>
      </c>
      <c r="H291" s="6">
        <f t="shared" si="4"/>
        <v>13.424999999999997</v>
      </c>
    </row>
    <row r="292" spans="1:8" x14ac:dyDescent="0.3">
      <c r="A292" s="1" t="s">
        <v>594</v>
      </c>
      <c r="B292" s="2">
        <v>44497</v>
      </c>
      <c r="C292" s="3" t="s">
        <v>595</v>
      </c>
      <c r="D292" s="4" t="s">
        <v>27</v>
      </c>
      <c r="E292" s="3">
        <v>5</v>
      </c>
      <c r="F292" s="5">
        <f>INDEX([1]products!$A$1:$G$49,MATCH([1]orders!$D292,[1]products!$A$1:$A$49,0),MATCH([1]orders!K$1,[1]products!$A$1:$G$1,0))</f>
        <v>1</v>
      </c>
      <c r="G292" s="6">
        <f>INDEX([1]products!$A$1:$G$49,MATCH([1]orders!$D292,[1]products!$A$1:$A$49,0),MATCH([1]orders!L$1,[1]products!$A$1:$G$1,0))</f>
        <v>9.9499999999999993</v>
      </c>
      <c r="H292" s="6">
        <f t="shared" si="4"/>
        <v>49.75</v>
      </c>
    </row>
    <row r="293" spans="1:8" x14ac:dyDescent="0.3">
      <c r="A293" s="1" t="s">
        <v>596</v>
      </c>
      <c r="B293" s="2">
        <v>44181</v>
      </c>
      <c r="C293" s="3" t="s">
        <v>597</v>
      </c>
      <c r="D293" s="4" t="s">
        <v>3</v>
      </c>
      <c r="E293" s="3">
        <v>2</v>
      </c>
      <c r="F293" s="5">
        <f>INDEX([1]products!$A$1:$G$49,MATCH([1]orders!$D293,[1]products!$A$1:$A$49,0),MATCH([1]orders!K$1,[1]products!$A$1:$G$1,0))</f>
        <v>0.5</v>
      </c>
      <c r="G293" s="6">
        <f>INDEX([1]products!$A$1:$G$49,MATCH([1]orders!$D293,[1]products!$A$1:$A$49,0),MATCH([1]orders!L$1,[1]products!$A$1:$G$1,0))</f>
        <v>8.25</v>
      </c>
      <c r="H293" s="6">
        <f t="shared" si="4"/>
        <v>16.5</v>
      </c>
    </row>
    <row r="294" spans="1:8" x14ac:dyDescent="0.3">
      <c r="A294" s="1" t="s">
        <v>598</v>
      </c>
      <c r="B294" s="2">
        <v>44529</v>
      </c>
      <c r="C294" s="3" t="s">
        <v>599</v>
      </c>
      <c r="D294" s="4" t="s">
        <v>72</v>
      </c>
      <c r="E294" s="3">
        <v>3</v>
      </c>
      <c r="F294" s="5">
        <f>INDEX([1]products!$A$1:$G$49,MATCH([1]orders!$D294,[1]products!$A$1:$A$49,0),MATCH([1]orders!K$1,[1]products!$A$1:$G$1,0))</f>
        <v>0.5</v>
      </c>
      <c r="G294" s="6">
        <f>INDEX([1]products!$A$1:$G$49,MATCH([1]orders!$D294,[1]products!$A$1:$A$49,0),MATCH([1]orders!L$1,[1]products!$A$1:$G$1,0))</f>
        <v>5.97</v>
      </c>
      <c r="H294" s="6">
        <f t="shared" si="4"/>
        <v>17.91</v>
      </c>
    </row>
    <row r="295" spans="1:8" x14ac:dyDescent="0.3">
      <c r="A295" s="1" t="s">
        <v>600</v>
      </c>
      <c r="B295" s="2">
        <v>44275</v>
      </c>
      <c r="C295" s="3" t="s">
        <v>601</v>
      </c>
      <c r="D295" s="4" t="s">
        <v>72</v>
      </c>
      <c r="E295" s="3">
        <v>5</v>
      </c>
      <c r="F295" s="5">
        <f>INDEX([1]products!$A$1:$G$49,MATCH([1]orders!$D295,[1]products!$A$1:$A$49,0),MATCH([1]orders!K$1,[1]products!$A$1:$G$1,0))</f>
        <v>0.5</v>
      </c>
      <c r="G295" s="6">
        <f>INDEX([1]products!$A$1:$G$49,MATCH([1]orders!$D295,[1]products!$A$1:$A$49,0),MATCH([1]orders!L$1,[1]products!$A$1:$G$1,0))</f>
        <v>5.97</v>
      </c>
      <c r="H295" s="6">
        <f t="shared" si="4"/>
        <v>29.849999999999998</v>
      </c>
    </row>
    <row r="296" spans="1:8" x14ac:dyDescent="0.3">
      <c r="A296" s="1" t="s">
        <v>602</v>
      </c>
      <c r="B296" s="2">
        <v>44659</v>
      </c>
      <c r="C296" s="3" t="s">
        <v>603</v>
      </c>
      <c r="D296" s="4" t="s">
        <v>137</v>
      </c>
      <c r="E296" s="3">
        <v>3</v>
      </c>
      <c r="F296" s="5">
        <f>INDEX([1]products!$A$1:$G$49,MATCH([1]orders!$D296,[1]products!$A$1:$A$49,0),MATCH([1]orders!K$1,[1]products!$A$1:$G$1,0))</f>
        <v>1</v>
      </c>
      <c r="G296" s="6">
        <f>INDEX([1]products!$A$1:$G$49,MATCH([1]orders!$D296,[1]products!$A$1:$A$49,0),MATCH([1]orders!L$1,[1]products!$A$1:$G$1,0))</f>
        <v>14.85</v>
      </c>
      <c r="H296" s="6">
        <f t="shared" si="4"/>
        <v>44.55</v>
      </c>
    </row>
    <row r="297" spans="1:8" x14ac:dyDescent="0.3">
      <c r="A297" s="1" t="s">
        <v>604</v>
      </c>
      <c r="B297" s="2">
        <v>44057</v>
      </c>
      <c r="C297" s="3" t="s">
        <v>605</v>
      </c>
      <c r="D297" s="4" t="s">
        <v>9</v>
      </c>
      <c r="E297" s="3">
        <v>2</v>
      </c>
      <c r="F297" s="5">
        <f>INDEX([1]products!$A$1:$G$49,MATCH([1]orders!$D297,[1]products!$A$1:$A$49,0),MATCH([1]orders!K$1,[1]products!$A$1:$G$1,0))</f>
        <v>1</v>
      </c>
      <c r="G297" s="6">
        <f>INDEX([1]products!$A$1:$G$49,MATCH([1]orders!$D297,[1]products!$A$1:$A$49,0),MATCH([1]orders!L$1,[1]products!$A$1:$G$1,0))</f>
        <v>13.75</v>
      </c>
      <c r="H297" s="6">
        <f t="shared" si="4"/>
        <v>27.5</v>
      </c>
    </row>
    <row r="298" spans="1:8" x14ac:dyDescent="0.3">
      <c r="A298" s="1" t="s">
        <v>606</v>
      </c>
      <c r="B298" s="2">
        <v>43597</v>
      </c>
      <c r="C298" s="3" t="s">
        <v>607</v>
      </c>
      <c r="D298" s="4" t="s">
        <v>22</v>
      </c>
      <c r="E298" s="3">
        <v>6</v>
      </c>
      <c r="F298" s="5">
        <f>INDEX([1]products!$A$1:$G$49,MATCH([1]orders!$D298,[1]products!$A$1:$A$49,0),MATCH([1]orders!K$1,[1]products!$A$1:$G$1,0))</f>
        <v>0.5</v>
      </c>
      <c r="G298" s="6">
        <f>INDEX([1]products!$A$1:$G$49,MATCH([1]orders!$D298,[1]products!$A$1:$A$49,0),MATCH([1]orders!L$1,[1]products!$A$1:$G$1,0))</f>
        <v>5.97</v>
      </c>
      <c r="H298" s="6">
        <f t="shared" si="4"/>
        <v>35.82</v>
      </c>
    </row>
    <row r="299" spans="1:8" x14ac:dyDescent="0.3">
      <c r="A299" s="1" t="s">
        <v>608</v>
      </c>
      <c r="B299" s="2">
        <v>44258</v>
      </c>
      <c r="C299" s="3" t="s">
        <v>609</v>
      </c>
      <c r="D299" s="4" t="s">
        <v>146</v>
      </c>
      <c r="E299" s="3">
        <v>3</v>
      </c>
      <c r="F299" s="5">
        <f>INDEX([1]products!$A$1:$G$49,MATCH([1]orders!$D299,[1]products!$A$1:$A$49,0),MATCH([1]orders!K$1,[1]products!$A$1:$G$1,0))</f>
        <v>0.5</v>
      </c>
      <c r="G299" s="6">
        <f>INDEX([1]products!$A$1:$G$49,MATCH([1]orders!$D299,[1]products!$A$1:$A$49,0),MATCH([1]orders!L$1,[1]products!$A$1:$G$1,0))</f>
        <v>5.3699999999999992</v>
      </c>
      <c r="H299" s="6">
        <f t="shared" si="4"/>
        <v>16.11</v>
      </c>
    </row>
    <row r="300" spans="1:8" x14ac:dyDescent="0.3">
      <c r="A300" s="1" t="s">
        <v>610</v>
      </c>
      <c r="B300" s="2">
        <v>43872</v>
      </c>
      <c r="C300" s="3" t="s">
        <v>611</v>
      </c>
      <c r="D300" s="4" t="s">
        <v>254</v>
      </c>
      <c r="E300" s="3">
        <v>6</v>
      </c>
      <c r="F300" s="5">
        <f>INDEX([1]products!$A$1:$G$49,MATCH([1]orders!$D300,[1]products!$A$1:$A$49,0),MATCH([1]orders!K$1,[1]products!$A$1:$G$1,0))</f>
        <v>0.2</v>
      </c>
      <c r="G300" s="6">
        <f>INDEX([1]products!$A$1:$G$49,MATCH([1]orders!$D300,[1]products!$A$1:$A$49,0),MATCH([1]orders!L$1,[1]products!$A$1:$G$1,0))</f>
        <v>4.4550000000000001</v>
      </c>
      <c r="H300" s="6">
        <f t="shared" si="4"/>
        <v>26.73</v>
      </c>
    </row>
    <row r="301" spans="1:8" x14ac:dyDescent="0.3">
      <c r="A301" s="1" t="s">
        <v>612</v>
      </c>
      <c r="B301" s="2">
        <v>43582</v>
      </c>
      <c r="C301" s="3" t="s">
        <v>613</v>
      </c>
      <c r="D301" s="4" t="s">
        <v>30</v>
      </c>
      <c r="E301" s="3">
        <v>6</v>
      </c>
      <c r="F301" s="5">
        <f>INDEX([1]products!$A$1:$G$49,MATCH([1]orders!$D301,[1]products!$A$1:$A$49,0),MATCH([1]orders!K$1,[1]products!$A$1:$G$1,0))</f>
        <v>2.5</v>
      </c>
      <c r="G301" s="6">
        <f>INDEX([1]products!$A$1:$G$49,MATCH([1]orders!$D301,[1]products!$A$1:$A$49,0),MATCH([1]orders!L$1,[1]products!$A$1:$G$1,0))</f>
        <v>34.154999999999994</v>
      </c>
      <c r="H301" s="6">
        <f t="shared" si="4"/>
        <v>204.92999999999995</v>
      </c>
    </row>
    <row r="302" spans="1:8" x14ac:dyDescent="0.3">
      <c r="A302" s="1" t="s">
        <v>614</v>
      </c>
      <c r="B302" s="2">
        <v>44646</v>
      </c>
      <c r="C302" s="3" t="s">
        <v>615</v>
      </c>
      <c r="D302" s="4" t="s">
        <v>6</v>
      </c>
      <c r="E302" s="3">
        <v>3</v>
      </c>
      <c r="F302" s="5">
        <f>INDEX([1]products!$A$1:$G$49,MATCH([1]orders!$D302,[1]products!$A$1:$A$49,0),MATCH([1]orders!K$1,[1]products!$A$1:$G$1,0))</f>
        <v>1</v>
      </c>
      <c r="G302" s="6">
        <f>INDEX([1]products!$A$1:$G$49,MATCH([1]orders!$D302,[1]products!$A$1:$A$49,0),MATCH([1]orders!L$1,[1]products!$A$1:$G$1,0))</f>
        <v>12.95</v>
      </c>
      <c r="H302" s="6">
        <f t="shared" si="4"/>
        <v>38.849999999999994</v>
      </c>
    </row>
    <row r="303" spans="1:8" x14ac:dyDescent="0.3">
      <c r="A303" s="1" t="s">
        <v>616</v>
      </c>
      <c r="B303" s="2">
        <v>44102</v>
      </c>
      <c r="C303" s="3" t="s">
        <v>617</v>
      </c>
      <c r="D303" s="4" t="s">
        <v>38</v>
      </c>
      <c r="E303" s="3">
        <v>4</v>
      </c>
      <c r="F303" s="5">
        <f>INDEX([1]products!$A$1:$G$49,MATCH([1]orders!$D303,[1]products!$A$1:$A$49,0),MATCH([1]orders!K$1,[1]products!$A$1:$G$1,0))</f>
        <v>0.2</v>
      </c>
      <c r="G303" s="6">
        <f>INDEX([1]products!$A$1:$G$49,MATCH([1]orders!$D303,[1]products!$A$1:$A$49,0),MATCH([1]orders!L$1,[1]products!$A$1:$G$1,0))</f>
        <v>3.8849999999999998</v>
      </c>
      <c r="H303" s="6">
        <f t="shared" si="4"/>
        <v>15.54</v>
      </c>
    </row>
    <row r="304" spans="1:8" x14ac:dyDescent="0.3">
      <c r="A304" s="1" t="s">
        <v>618</v>
      </c>
      <c r="B304" s="2">
        <v>43762</v>
      </c>
      <c r="C304" s="3" t="s">
        <v>619</v>
      </c>
      <c r="D304" s="4" t="s">
        <v>67</v>
      </c>
      <c r="E304" s="3">
        <v>1</v>
      </c>
      <c r="F304" s="5">
        <f>INDEX([1]products!$A$1:$G$49,MATCH([1]orders!$D304,[1]products!$A$1:$A$49,0),MATCH([1]orders!K$1,[1]products!$A$1:$G$1,0))</f>
        <v>0.5</v>
      </c>
      <c r="G304" s="6">
        <f>INDEX([1]products!$A$1:$G$49,MATCH([1]orders!$D304,[1]products!$A$1:$A$49,0),MATCH([1]orders!L$1,[1]products!$A$1:$G$1,0))</f>
        <v>6.75</v>
      </c>
      <c r="H304" s="6">
        <f t="shared" si="4"/>
        <v>6.75</v>
      </c>
    </row>
    <row r="305" spans="1:8" x14ac:dyDescent="0.3">
      <c r="A305" s="1" t="s">
        <v>620</v>
      </c>
      <c r="B305" s="2">
        <v>44412</v>
      </c>
      <c r="C305" s="3" t="s">
        <v>621</v>
      </c>
      <c r="D305" s="4" t="s">
        <v>530</v>
      </c>
      <c r="E305" s="3">
        <v>4</v>
      </c>
      <c r="F305" s="5">
        <f>INDEX([1]products!$A$1:$G$49,MATCH([1]orders!$D305,[1]products!$A$1:$A$49,0),MATCH([1]orders!K$1,[1]products!$A$1:$G$1,0))</f>
        <v>2.5</v>
      </c>
      <c r="G305" s="6">
        <f>INDEX([1]products!$A$1:$G$49,MATCH([1]orders!$D305,[1]products!$A$1:$A$49,0),MATCH([1]orders!L$1,[1]products!$A$1:$G$1,0))</f>
        <v>27.945</v>
      </c>
      <c r="H305" s="6">
        <f t="shared" si="4"/>
        <v>111.78</v>
      </c>
    </row>
    <row r="306" spans="1:8" x14ac:dyDescent="0.3">
      <c r="A306" s="1" t="s">
        <v>622</v>
      </c>
      <c r="B306" s="2">
        <v>43828</v>
      </c>
      <c r="C306" s="3" t="s">
        <v>623</v>
      </c>
      <c r="D306" s="4" t="s">
        <v>115</v>
      </c>
      <c r="E306" s="3">
        <v>1</v>
      </c>
      <c r="F306" s="5">
        <f>INDEX([1]products!$A$1:$G$49,MATCH([1]orders!$D306,[1]products!$A$1:$A$49,0),MATCH([1]orders!K$1,[1]products!$A$1:$G$1,0))</f>
        <v>0.2</v>
      </c>
      <c r="G306" s="6">
        <f>INDEX([1]products!$A$1:$G$49,MATCH([1]orders!$D306,[1]products!$A$1:$A$49,0),MATCH([1]orders!L$1,[1]products!$A$1:$G$1,0))</f>
        <v>3.8849999999999998</v>
      </c>
      <c r="H306" s="6">
        <f t="shared" si="4"/>
        <v>3.8849999999999998</v>
      </c>
    </row>
    <row r="307" spans="1:8" x14ac:dyDescent="0.3">
      <c r="A307" s="1" t="s">
        <v>624</v>
      </c>
      <c r="B307" s="2">
        <v>43796</v>
      </c>
      <c r="C307" s="3" t="s">
        <v>625</v>
      </c>
      <c r="D307" s="4" t="s">
        <v>77</v>
      </c>
      <c r="E307" s="3">
        <v>5</v>
      </c>
      <c r="F307" s="5">
        <f>INDEX([1]products!$A$1:$G$49,MATCH([1]orders!$D307,[1]products!$A$1:$A$49,0),MATCH([1]orders!K$1,[1]products!$A$1:$G$1,0))</f>
        <v>0.2</v>
      </c>
      <c r="G307" s="6">
        <f>INDEX([1]products!$A$1:$G$49,MATCH([1]orders!$D307,[1]products!$A$1:$A$49,0),MATCH([1]orders!L$1,[1]products!$A$1:$G$1,0))</f>
        <v>4.3650000000000002</v>
      </c>
      <c r="H307" s="6">
        <f t="shared" si="4"/>
        <v>21.825000000000003</v>
      </c>
    </row>
    <row r="308" spans="1:8" x14ac:dyDescent="0.3">
      <c r="A308" s="1" t="s">
        <v>626</v>
      </c>
      <c r="B308" s="2">
        <v>43890</v>
      </c>
      <c r="C308" s="3" t="s">
        <v>627</v>
      </c>
      <c r="D308" s="4" t="s">
        <v>162</v>
      </c>
      <c r="E308" s="3">
        <v>5</v>
      </c>
      <c r="F308" s="5">
        <f>INDEX([1]products!$A$1:$G$49,MATCH([1]orders!$D308,[1]products!$A$1:$A$49,0),MATCH([1]orders!K$1,[1]products!$A$1:$G$1,0))</f>
        <v>0.2</v>
      </c>
      <c r="G308" s="6">
        <f>INDEX([1]products!$A$1:$G$49,MATCH([1]orders!$D308,[1]products!$A$1:$A$49,0),MATCH([1]orders!L$1,[1]products!$A$1:$G$1,0))</f>
        <v>2.9849999999999999</v>
      </c>
      <c r="H308" s="6">
        <f t="shared" si="4"/>
        <v>14.924999999999999</v>
      </c>
    </row>
    <row r="309" spans="1:8" x14ac:dyDescent="0.3">
      <c r="A309" s="1" t="s">
        <v>628</v>
      </c>
      <c r="B309" s="2">
        <v>44227</v>
      </c>
      <c r="C309" s="3" t="s">
        <v>629</v>
      </c>
      <c r="D309" s="4" t="s">
        <v>61</v>
      </c>
      <c r="E309" s="3">
        <v>3</v>
      </c>
      <c r="F309" s="5">
        <f>INDEX([1]products!$A$1:$G$49,MATCH([1]orders!$D309,[1]products!$A$1:$A$49,0),MATCH([1]orders!K$1,[1]products!$A$1:$G$1,0))</f>
        <v>1</v>
      </c>
      <c r="G309" s="6">
        <f>INDEX([1]products!$A$1:$G$49,MATCH([1]orders!$D309,[1]products!$A$1:$A$49,0),MATCH([1]orders!L$1,[1]products!$A$1:$G$1,0))</f>
        <v>11.25</v>
      </c>
      <c r="H309" s="6">
        <f t="shared" si="4"/>
        <v>33.75</v>
      </c>
    </row>
    <row r="310" spans="1:8" x14ac:dyDescent="0.3">
      <c r="A310" s="1" t="s">
        <v>630</v>
      </c>
      <c r="B310" s="2">
        <v>44729</v>
      </c>
      <c r="C310" s="3" t="s">
        <v>631</v>
      </c>
      <c r="D310" s="4" t="s">
        <v>61</v>
      </c>
      <c r="E310" s="3">
        <v>3</v>
      </c>
      <c r="F310" s="5">
        <f>INDEX([1]products!$A$1:$G$49,MATCH([1]orders!$D310,[1]products!$A$1:$A$49,0),MATCH([1]orders!K$1,[1]products!$A$1:$G$1,0))</f>
        <v>1</v>
      </c>
      <c r="G310" s="6">
        <f>INDEX([1]products!$A$1:$G$49,MATCH([1]orders!$D310,[1]products!$A$1:$A$49,0),MATCH([1]orders!L$1,[1]products!$A$1:$G$1,0))</f>
        <v>11.25</v>
      </c>
      <c r="H310" s="6">
        <f t="shared" si="4"/>
        <v>33.75</v>
      </c>
    </row>
    <row r="311" spans="1:8" x14ac:dyDescent="0.3">
      <c r="A311" s="1" t="s">
        <v>632</v>
      </c>
      <c r="B311" s="2">
        <v>43864</v>
      </c>
      <c r="C311" s="3" t="s">
        <v>633</v>
      </c>
      <c r="D311" s="4" t="s">
        <v>77</v>
      </c>
      <c r="E311" s="3">
        <v>6</v>
      </c>
      <c r="F311" s="5">
        <f>INDEX([1]products!$A$1:$G$49,MATCH([1]orders!$D311,[1]products!$A$1:$A$49,0),MATCH([1]orders!K$1,[1]products!$A$1:$G$1,0))</f>
        <v>0.2</v>
      </c>
      <c r="G311" s="6">
        <f>INDEX([1]products!$A$1:$G$49,MATCH([1]orders!$D311,[1]products!$A$1:$A$49,0),MATCH([1]orders!L$1,[1]products!$A$1:$G$1,0))</f>
        <v>4.3650000000000002</v>
      </c>
      <c r="H311" s="6">
        <f t="shared" si="4"/>
        <v>26.19</v>
      </c>
    </row>
    <row r="312" spans="1:8" x14ac:dyDescent="0.3">
      <c r="A312" s="1" t="s">
        <v>634</v>
      </c>
      <c r="B312" s="2">
        <v>44586</v>
      </c>
      <c r="C312" s="3" t="s">
        <v>635</v>
      </c>
      <c r="D312" s="4" t="s">
        <v>137</v>
      </c>
      <c r="E312" s="3">
        <v>1</v>
      </c>
      <c r="F312" s="5">
        <f>INDEX([1]products!$A$1:$G$49,MATCH([1]orders!$D312,[1]products!$A$1:$A$49,0),MATCH([1]orders!K$1,[1]products!$A$1:$G$1,0))</f>
        <v>1</v>
      </c>
      <c r="G312" s="6">
        <f>INDEX([1]products!$A$1:$G$49,MATCH([1]orders!$D312,[1]products!$A$1:$A$49,0),MATCH([1]orders!L$1,[1]products!$A$1:$G$1,0))</f>
        <v>14.85</v>
      </c>
      <c r="H312" s="6">
        <f t="shared" si="4"/>
        <v>14.85</v>
      </c>
    </row>
    <row r="313" spans="1:8" x14ac:dyDescent="0.3">
      <c r="A313" s="1" t="s">
        <v>636</v>
      </c>
      <c r="B313" s="2">
        <v>43951</v>
      </c>
      <c r="C313" s="3" t="s">
        <v>623</v>
      </c>
      <c r="D313" s="4" t="s">
        <v>112</v>
      </c>
      <c r="E313" s="3">
        <v>6</v>
      </c>
      <c r="F313" s="5">
        <f>INDEX([1]products!$A$1:$G$49,MATCH([1]orders!$D313,[1]products!$A$1:$A$49,0),MATCH([1]orders!K$1,[1]products!$A$1:$G$1,0))</f>
        <v>2.5</v>
      </c>
      <c r="G313" s="6">
        <f>INDEX([1]products!$A$1:$G$49,MATCH([1]orders!$D313,[1]products!$A$1:$A$49,0),MATCH([1]orders!L$1,[1]products!$A$1:$G$1,0))</f>
        <v>31.624999999999996</v>
      </c>
      <c r="H313" s="6">
        <f t="shared" si="4"/>
        <v>189.74999999999997</v>
      </c>
    </row>
    <row r="314" spans="1:8" x14ac:dyDescent="0.3">
      <c r="A314" s="1" t="s">
        <v>637</v>
      </c>
      <c r="B314" s="2">
        <v>44317</v>
      </c>
      <c r="C314" s="3" t="s">
        <v>638</v>
      </c>
      <c r="D314" s="4" t="s">
        <v>22</v>
      </c>
      <c r="E314" s="3">
        <v>1</v>
      </c>
      <c r="F314" s="5">
        <f>INDEX([1]products!$A$1:$G$49,MATCH([1]orders!$D314,[1]products!$A$1:$A$49,0),MATCH([1]orders!K$1,[1]products!$A$1:$G$1,0))</f>
        <v>0.5</v>
      </c>
      <c r="G314" s="6">
        <f>INDEX([1]products!$A$1:$G$49,MATCH([1]orders!$D314,[1]products!$A$1:$A$49,0),MATCH([1]orders!L$1,[1]products!$A$1:$G$1,0))</f>
        <v>5.97</v>
      </c>
      <c r="H314" s="6">
        <f t="shared" si="4"/>
        <v>5.97</v>
      </c>
    </row>
    <row r="315" spans="1:8" x14ac:dyDescent="0.3">
      <c r="A315" s="1" t="s">
        <v>639</v>
      </c>
      <c r="B315" s="2">
        <v>44497</v>
      </c>
      <c r="C315" s="3" t="s">
        <v>640</v>
      </c>
      <c r="D315" s="4" t="s">
        <v>2</v>
      </c>
      <c r="E315" s="3">
        <v>3</v>
      </c>
      <c r="F315" s="5">
        <f>INDEX([1]products!$A$1:$G$49,MATCH([1]orders!$D315,[1]products!$A$1:$A$49,0),MATCH([1]orders!K$1,[1]products!$A$1:$G$1,0))</f>
        <v>1</v>
      </c>
      <c r="G315" s="6">
        <f>INDEX([1]products!$A$1:$G$49,MATCH([1]orders!$D315,[1]products!$A$1:$A$49,0),MATCH([1]orders!L$1,[1]products!$A$1:$G$1,0))</f>
        <v>9.9499999999999993</v>
      </c>
      <c r="H315" s="6">
        <f t="shared" si="4"/>
        <v>29.849999999999998</v>
      </c>
    </row>
    <row r="316" spans="1:8" x14ac:dyDescent="0.3">
      <c r="A316" s="1" t="s">
        <v>641</v>
      </c>
      <c r="B316" s="2">
        <v>44437</v>
      </c>
      <c r="C316" s="3" t="s">
        <v>642</v>
      </c>
      <c r="D316" s="4" t="s">
        <v>179</v>
      </c>
      <c r="E316" s="3">
        <v>5</v>
      </c>
      <c r="F316" s="5">
        <f>INDEX([1]products!$A$1:$G$49,MATCH([1]orders!$D316,[1]products!$A$1:$A$49,0),MATCH([1]orders!K$1,[1]products!$A$1:$G$1,0))</f>
        <v>1</v>
      </c>
      <c r="G316" s="6">
        <f>INDEX([1]products!$A$1:$G$49,MATCH([1]orders!$D316,[1]products!$A$1:$A$49,0),MATCH([1]orders!L$1,[1]products!$A$1:$G$1,0))</f>
        <v>8.9499999999999993</v>
      </c>
      <c r="H316" s="6">
        <f t="shared" si="4"/>
        <v>44.75</v>
      </c>
    </row>
    <row r="317" spans="1:8" x14ac:dyDescent="0.3">
      <c r="A317" s="1" t="s">
        <v>643</v>
      </c>
      <c r="B317" s="2">
        <v>43826</v>
      </c>
      <c r="C317" s="3" t="s">
        <v>644</v>
      </c>
      <c r="D317" s="4" t="s">
        <v>30</v>
      </c>
      <c r="E317" s="3">
        <v>1</v>
      </c>
      <c r="F317" s="5">
        <f>INDEX([1]products!$A$1:$G$49,MATCH([1]orders!$D317,[1]products!$A$1:$A$49,0),MATCH([1]orders!K$1,[1]products!$A$1:$G$1,0))</f>
        <v>2.5</v>
      </c>
      <c r="G317" s="6">
        <f>INDEX([1]products!$A$1:$G$49,MATCH([1]orders!$D317,[1]products!$A$1:$A$49,0),MATCH([1]orders!L$1,[1]products!$A$1:$G$1,0))</f>
        <v>34.154999999999994</v>
      </c>
      <c r="H317" s="6">
        <f t="shared" si="4"/>
        <v>34.154999999999994</v>
      </c>
    </row>
    <row r="318" spans="1:8" x14ac:dyDescent="0.3">
      <c r="A318" s="1" t="s">
        <v>645</v>
      </c>
      <c r="B318" s="2">
        <v>43641</v>
      </c>
      <c r="C318" s="3" t="s">
        <v>646</v>
      </c>
      <c r="D318" s="4" t="s">
        <v>30</v>
      </c>
      <c r="E318" s="3">
        <v>6</v>
      </c>
      <c r="F318" s="5">
        <f>INDEX([1]products!$A$1:$G$49,MATCH([1]orders!$D318,[1]products!$A$1:$A$49,0),MATCH([1]orders!K$1,[1]products!$A$1:$G$1,0))</f>
        <v>2.5</v>
      </c>
      <c r="G318" s="6">
        <f>INDEX([1]products!$A$1:$G$49,MATCH([1]orders!$D318,[1]products!$A$1:$A$49,0),MATCH([1]orders!L$1,[1]products!$A$1:$G$1,0))</f>
        <v>34.154999999999994</v>
      </c>
      <c r="H318" s="6">
        <f t="shared" si="4"/>
        <v>204.92999999999995</v>
      </c>
    </row>
    <row r="319" spans="1:8" x14ac:dyDescent="0.3">
      <c r="A319" s="1" t="s">
        <v>647</v>
      </c>
      <c r="B319" s="2">
        <v>43526</v>
      </c>
      <c r="C319" s="3" t="s">
        <v>648</v>
      </c>
      <c r="D319" s="4" t="s">
        <v>16</v>
      </c>
      <c r="E319" s="3">
        <v>3</v>
      </c>
      <c r="F319" s="5">
        <f>INDEX([1]products!$A$1:$G$49,MATCH([1]orders!$D319,[1]products!$A$1:$A$49,0),MATCH([1]orders!K$1,[1]products!$A$1:$G$1,0))</f>
        <v>0.5</v>
      </c>
      <c r="G319" s="6">
        <f>INDEX([1]products!$A$1:$G$49,MATCH([1]orders!$D319,[1]products!$A$1:$A$49,0),MATCH([1]orders!L$1,[1]products!$A$1:$G$1,0))</f>
        <v>7.29</v>
      </c>
      <c r="H319" s="6">
        <f t="shared" si="4"/>
        <v>21.87</v>
      </c>
    </row>
    <row r="320" spans="1:8" x14ac:dyDescent="0.3">
      <c r="A320" s="1" t="s">
        <v>649</v>
      </c>
      <c r="B320" s="2">
        <v>44563</v>
      </c>
      <c r="C320" s="3" t="s">
        <v>650</v>
      </c>
      <c r="D320" s="4" t="s">
        <v>171</v>
      </c>
      <c r="E320" s="3">
        <v>2</v>
      </c>
      <c r="F320" s="5">
        <f>INDEX([1]products!$A$1:$G$49,MATCH([1]orders!$D320,[1]products!$A$1:$A$49,0),MATCH([1]orders!K$1,[1]products!$A$1:$G$1,0))</f>
        <v>2.5</v>
      </c>
      <c r="G320" s="6">
        <f>INDEX([1]products!$A$1:$G$49,MATCH([1]orders!$D320,[1]products!$A$1:$A$49,0),MATCH([1]orders!L$1,[1]products!$A$1:$G$1,0))</f>
        <v>25.874999999999996</v>
      </c>
      <c r="H320" s="6">
        <f t="shared" si="4"/>
        <v>51.749999999999993</v>
      </c>
    </row>
    <row r="321" spans="1:8" x14ac:dyDescent="0.3">
      <c r="A321" s="1" t="s">
        <v>651</v>
      </c>
      <c r="B321" s="2">
        <v>43676</v>
      </c>
      <c r="C321" s="3" t="s">
        <v>652</v>
      </c>
      <c r="D321" s="4" t="s">
        <v>64</v>
      </c>
      <c r="E321" s="3">
        <v>2</v>
      </c>
      <c r="F321" s="5">
        <f>INDEX([1]products!$A$1:$G$49,MATCH([1]orders!$D321,[1]products!$A$1:$A$49,0),MATCH([1]orders!K$1,[1]products!$A$1:$G$1,0))</f>
        <v>0.2</v>
      </c>
      <c r="G321" s="6">
        <f>INDEX([1]products!$A$1:$G$49,MATCH([1]orders!$D321,[1]products!$A$1:$A$49,0),MATCH([1]orders!L$1,[1]products!$A$1:$G$1,0))</f>
        <v>4.125</v>
      </c>
      <c r="H321" s="6">
        <f t="shared" si="4"/>
        <v>8.25</v>
      </c>
    </row>
    <row r="322" spans="1:8" x14ac:dyDescent="0.3">
      <c r="A322" s="1" t="s">
        <v>651</v>
      </c>
      <c r="B322" s="2">
        <v>43676</v>
      </c>
      <c r="C322" s="3" t="s">
        <v>652</v>
      </c>
      <c r="D322" s="4" t="s">
        <v>115</v>
      </c>
      <c r="E322" s="3">
        <v>5</v>
      </c>
      <c r="F322" s="5">
        <f>INDEX([1]products!$A$1:$G$49,MATCH([1]orders!$D322,[1]products!$A$1:$A$49,0),MATCH([1]orders!K$1,[1]products!$A$1:$G$1,0))</f>
        <v>0.2</v>
      </c>
      <c r="G322" s="6">
        <f>INDEX([1]products!$A$1:$G$49,MATCH([1]orders!$D322,[1]products!$A$1:$A$49,0),MATCH([1]orders!L$1,[1]products!$A$1:$G$1,0))</f>
        <v>3.8849999999999998</v>
      </c>
      <c r="H322" s="6">
        <f t="shared" ref="H322:H385" si="5">E322*G322</f>
        <v>19.424999999999997</v>
      </c>
    </row>
    <row r="323" spans="1:8" x14ac:dyDescent="0.3">
      <c r="A323" s="1" t="s">
        <v>653</v>
      </c>
      <c r="B323" s="2">
        <v>44170</v>
      </c>
      <c r="C323" s="3" t="s">
        <v>654</v>
      </c>
      <c r="D323" s="4" t="s">
        <v>44</v>
      </c>
      <c r="E323" s="3">
        <v>6</v>
      </c>
      <c r="F323" s="5">
        <f>INDEX([1]products!$A$1:$G$49,MATCH([1]orders!$D323,[1]products!$A$1:$A$49,0),MATCH([1]orders!K$1,[1]products!$A$1:$G$1,0))</f>
        <v>0.2</v>
      </c>
      <c r="G323" s="6">
        <f>INDEX([1]products!$A$1:$G$49,MATCH([1]orders!$D323,[1]products!$A$1:$A$49,0),MATCH([1]orders!L$1,[1]products!$A$1:$G$1,0))</f>
        <v>3.375</v>
      </c>
      <c r="H323" s="6">
        <f t="shared" si="5"/>
        <v>20.25</v>
      </c>
    </row>
    <row r="324" spans="1:8" x14ac:dyDescent="0.3">
      <c r="A324" s="1" t="s">
        <v>655</v>
      </c>
      <c r="B324" s="2">
        <v>44182</v>
      </c>
      <c r="C324" s="3" t="s">
        <v>656</v>
      </c>
      <c r="D324" s="4" t="s">
        <v>123</v>
      </c>
      <c r="E324" s="3">
        <v>3</v>
      </c>
      <c r="F324" s="5">
        <f>INDEX([1]products!$A$1:$G$49,MATCH([1]orders!$D324,[1]products!$A$1:$A$49,0),MATCH([1]orders!K$1,[1]products!$A$1:$G$1,0))</f>
        <v>0.5</v>
      </c>
      <c r="G324" s="6">
        <f>INDEX([1]products!$A$1:$G$49,MATCH([1]orders!$D324,[1]products!$A$1:$A$49,0),MATCH([1]orders!L$1,[1]products!$A$1:$G$1,0))</f>
        <v>7.77</v>
      </c>
      <c r="H324" s="6">
        <f t="shared" si="5"/>
        <v>23.31</v>
      </c>
    </row>
    <row r="325" spans="1:8" x14ac:dyDescent="0.3">
      <c r="A325" s="1" t="s">
        <v>657</v>
      </c>
      <c r="B325" s="2">
        <v>44373</v>
      </c>
      <c r="C325" s="3" t="s">
        <v>658</v>
      </c>
      <c r="D325" s="4" t="s">
        <v>51</v>
      </c>
      <c r="E325" s="3">
        <v>5</v>
      </c>
      <c r="F325" s="5">
        <f>INDEX([1]products!$A$1:$G$49,MATCH([1]orders!$D325,[1]products!$A$1:$A$49,0),MATCH([1]orders!K$1,[1]products!$A$1:$G$1,0))</f>
        <v>0.2</v>
      </c>
      <c r="G325" s="6">
        <f>INDEX([1]products!$A$1:$G$49,MATCH([1]orders!$D325,[1]products!$A$1:$A$49,0),MATCH([1]orders!L$1,[1]products!$A$1:$G$1,0))</f>
        <v>3.645</v>
      </c>
      <c r="H325" s="6">
        <f t="shared" si="5"/>
        <v>18.225000000000001</v>
      </c>
    </row>
    <row r="326" spans="1:8" x14ac:dyDescent="0.3">
      <c r="A326" s="1" t="s">
        <v>659</v>
      </c>
      <c r="B326" s="2">
        <v>43666</v>
      </c>
      <c r="C326" s="3" t="s">
        <v>660</v>
      </c>
      <c r="D326" s="4" t="s">
        <v>9</v>
      </c>
      <c r="E326" s="3">
        <v>1</v>
      </c>
      <c r="F326" s="5">
        <f>INDEX([1]products!$A$1:$G$49,MATCH([1]orders!$D326,[1]products!$A$1:$A$49,0),MATCH([1]orders!K$1,[1]products!$A$1:$G$1,0))</f>
        <v>1</v>
      </c>
      <c r="G326" s="6">
        <f>INDEX([1]products!$A$1:$G$49,MATCH([1]orders!$D326,[1]products!$A$1:$A$49,0),MATCH([1]orders!L$1,[1]products!$A$1:$G$1,0))</f>
        <v>13.75</v>
      </c>
      <c r="H326" s="6">
        <f t="shared" si="5"/>
        <v>13.75</v>
      </c>
    </row>
    <row r="327" spans="1:8" x14ac:dyDescent="0.3">
      <c r="A327" s="1" t="s">
        <v>661</v>
      </c>
      <c r="B327" s="2">
        <v>44756</v>
      </c>
      <c r="C327" s="3" t="s">
        <v>662</v>
      </c>
      <c r="D327" s="4" t="s">
        <v>204</v>
      </c>
      <c r="E327" s="3">
        <v>1</v>
      </c>
      <c r="F327" s="5">
        <f>INDEX([1]products!$A$1:$G$49,MATCH([1]orders!$D327,[1]products!$A$1:$A$49,0),MATCH([1]orders!K$1,[1]products!$A$1:$G$1,0))</f>
        <v>2.5</v>
      </c>
      <c r="G327" s="6">
        <f>INDEX([1]products!$A$1:$G$49,MATCH([1]orders!$D327,[1]products!$A$1:$A$49,0),MATCH([1]orders!L$1,[1]products!$A$1:$G$1,0))</f>
        <v>29.784999999999997</v>
      </c>
      <c r="H327" s="6">
        <f t="shared" si="5"/>
        <v>29.784999999999997</v>
      </c>
    </row>
    <row r="328" spans="1:8" x14ac:dyDescent="0.3">
      <c r="A328" s="1" t="s">
        <v>663</v>
      </c>
      <c r="B328" s="2">
        <v>44057</v>
      </c>
      <c r="C328" s="3" t="s">
        <v>664</v>
      </c>
      <c r="D328" s="4" t="s">
        <v>179</v>
      </c>
      <c r="E328" s="3">
        <v>5</v>
      </c>
      <c r="F328" s="5">
        <f>INDEX([1]products!$A$1:$G$49,MATCH([1]orders!$D328,[1]products!$A$1:$A$49,0),MATCH([1]orders!K$1,[1]products!$A$1:$G$1,0))</f>
        <v>1</v>
      </c>
      <c r="G328" s="6">
        <f>INDEX([1]products!$A$1:$G$49,MATCH([1]orders!$D328,[1]products!$A$1:$A$49,0),MATCH([1]orders!L$1,[1]products!$A$1:$G$1,0))</f>
        <v>8.9499999999999993</v>
      </c>
      <c r="H328" s="6">
        <f t="shared" si="5"/>
        <v>44.75</v>
      </c>
    </row>
    <row r="329" spans="1:8" x14ac:dyDescent="0.3">
      <c r="A329" s="1" t="s">
        <v>665</v>
      </c>
      <c r="B329" s="2">
        <v>43579</v>
      </c>
      <c r="C329" s="3" t="s">
        <v>666</v>
      </c>
      <c r="D329" s="4" t="s">
        <v>179</v>
      </c>
      <c r="E329" s="3">
        <v>5</v>
      </c>
      <c r="F329" s="5">
        <f>INDEX([1]products!$A$1:$G$49,MATCH([1]orders!$D329,[1]products!$A$1:$A$49,0),MATCH([1]orders!K$1,[1]products!$A$1:$G$1,0))</f>
        <v>1</v>
      </c>
      <c r="G329" s="6">
        <f>INDEX([1]products!$A$1:$G$49,MATCH([1]orders!$D329,[1]products!$A$1:$A$49,0),MATCH([1]orders!L$1,[1]products!$A$1:$G$1,0))</f>
        <v>8.9499999999999993</v>
      </c>
      <c r="H329" s="6">
        <f t="shared" si="5"/>
        <v>44.75</v>
      </c>
    </row>
    <row r="330" spans="1:8" x14ac:dyDescent="0.3">
      <c r="A330" s="1" t="s">
        <v>667</v>
      </c>
      <c r="B330" s="2">
        <v>43620</v>
      </c>
      <c r="C330" s="3" t="s">
        <v>668</v>
      </c>
      <c r="D330" s="4" t="s">
        <v>83</v>
      </c>
      <c r="E330" s="3">
        <v>4</v>
      </c>
      <c r="F330" s="5">
        <f>INDEX([1]products!$A$1:$G$49,MATCH([1]orders!$D330,[1]products!$A$1:$A$49,0),MATCH([1]orders!K$1,[1]products!$A$1:$G$1,0))</f>
        <v>0.5</v>
      </c>
      <c r="G330" s="6">
        <f>INDEX([1]products!$A$1:$G$49,MATCH([1]orders!$D330,[1]products!$A$1:$A$49,0),MATCH([1]orders!L$1,[1]products!$A$1:$G$1,0))</f>
        <v>9.51</v>
      </c>
      <c r="H330" s="6">
        <f t="shared" si="5"/>
        <v>38.04</v>
      </c>
    </row>
    <row r="331" spans="1:8" x14ac:dyDescent="0.3">
      <c r="A331" s="1" t="s">
        <v>669</v>
      </c>
      <c r="B331" s="2">
        <v>44781</v>
      </c>
      <c r="C331" s="3" t="s">
        <v>670</v>
      </c>
      <c r="D331" s="4" t="s">
        <v>146</v>
      </c>
      <c r="E331" s="3">
        <v>4</v>
      </c>
      <c r="F331" s="5">
        <f>INDEX([1]products!$A$1:$G$49,MATCH([1]orders!$D331,[1]products!$A$1:$A$49,0),MATCH([1]orders!K$1,[1]products!$A$1:$G$1,0))</f>
        <v>0.5</v>
      </c>
      <c r="G331" s="6">
        <f>INDEX([1]products!$A$1:$G$49,MATCH([1]orders!$D331,[1]products!$A$1:$A$49,0),MATCH([1]orders!L$1,[1]products!$A$1:$G$1,0))</f>
        <v>5.3699999999999992</v>
      </c>
      <c r="H331" s="6">
        <f t="shared" si="5"/>
        <v>21.479999999999997</v>
      </c>
    </row>
    <row r="332" spans="1:8" x14ac:dyDescent="0.3">
      <c r="A332" s="1" t="s">
        <v>671</v>
      </c>
      <c r="B332" s="2">
        <v>43782</v>
      </c>
      <c r="C332" s="3" t="s">
        <v>648</v>
      </c>
      <c r="D332" s="4" t="s">
        <v>146</v>
      </c>
      <c r="E332" s="3">
        <v>3</v>
      </c>
      <c r="F332" s="5">
        <f>INDEX([1]products!$A$1:$G$49,MATCH([1]orders!$D332,[1]products!$A$1:$A$49,0),MATCH([1]orders!K$1,[1]products!$A$1:$G$1,0))</f>
        <v>0.5</v>
      </c>
      <c r="G332" s="6">
        <f>INDEX([1]products!$A$1:$G$49,MATCH([1]orders!$D332,[1]products!$A$1:$A$49,0),MATCH([1]orders!L$1,[1]products!$A$1:$G$1,0))</f>
        <v>5.3699999999999992</v>
      </c>
      <c r="H332" s="6">
        <f t="shared" si="5"/>
        <v>16.11</v>
      </c>
    </row>
    <row r="333" spans="1:8" x14ac:dyDescent="0.3">
      <c r="A333" s="1" t="s">
        <v>672</v>
      </c>
      <c r="B333" s="2">
        <v>43989</v>
      </c>
      <c r="C333" s="3" t="s">
        <v>673</v>
      </c>
      <c r="D333" s="4" t="s">
        <v>41</v>
      </c>
      <c r="E333" s="3">
        <v>1</v>
      </c>
      <c r="F333" s="5">
        <f>INDEX([1]products!$A$1:$G$49,MATCH([1]orders!$D333,[1]products!$A$1:$A$49,0),MATCH([1]orders!K$1,[1]products!$A$1:$G$1,0))</f>
        <v>2.5</v>
      </c>
      <c r="G333" s="6">
        <f>INDEX([1]products!$A$1:$G$49,MATCH([1]orders!$D333,[1]products!$A$1:$A$49,0),MATCH([1]orders!L$1,[1]products!$A$1:$G$1,0))</f>
        <v>22.884999999999998</v>
      </c>
      <c r="H333" s="6">
        <f t="shared" si="5"/>
        <v>22.884999999999998</v>
      </c>
    </row>
    <row r="334" spans="1:8" x14ac:dyDescent="0.3">
      <c r="A334" s="1" t="s">
        <v>674</v>
      </c>
      <c r="B334" s="2">
        <v>43689</v>
      </c>
      <c r="C334" s="3" t="s">
        <v>675</v>
      </c>
      <c r="D334" s="4" t="s">
        <v>72</v>
      </c>
      <c r="E334" s="3">
        <v>3</v>
      </c>
      <c r="F334" s="5">
        <f>INDEX([1]products!$A$1:$G$49,MATCH([1]orders!$D334,[1]products!$A$1:$A$49,0),MATCH([1]orders!K$1,[1]products!$A$1:$G$1,0))</f>
        <v>0.5</v>
      </c>
      <c r="G334" s="6">
        <f>INDEX([1]products!$A$1:$G$49,MATCH([1]orders!$D334,[1]products!$A$1:$A$49,0),MATCH([1]orders!L$1,[1]products!$A$1:$G$1,0))</f>
        <v>5.97</v>
      </c>
      <c r="H334" s="6">
        <f t="shared" si="5"/>
        <v>17.91</v>
      </c>
    </row>
    <row r="335" spans="1:8" x14ac:dyDescent="0.3">
      <c r="A335" s="1" t="s">
        <v>676</v>
      </c>
      <c r="B335" s="2">
        <v>43712</v>
      </c>
      <c r="C335" s="3" t="s">
        <v>677</v>
      </c>
      <c r="D335" s="4" t="s">
        <v>22</v>
      </c>
      <c r="E335" s="3">
        <v>4</v>
      </c>
      <c r="F335" s="5">
        <f>INDEX([1]products!$A$1:$G$49,MATCH([1]orders!$D335,[1]products!$A$1:$A$49,0),MATCH([1]orders!K$1,[1]products!$A$1:$G$1,0))</f>
        <v>0.5</v>
      </c>
      <c r="G335" s="6">
        <f>INDEX([1]products!$A$1:$G$49,MATCH([1]orders!$D335,[1]products!$A$1:$A$49,0),MATCH([1]orders!L$1,[1]products!$A$1:$G$1,0))</f>
        <v>5.97</v>
      </c>
      <c r="H335" s="6">
        <f t="shared" si="5"/>
        <v>23.88</v>
      </c>
    </row>
    <row r="336" spans="1:8" x14ac:dyDescent="0.3">
      <c r="A336" s="1" t="s">
        <v>678</v>
      </c>
      <c r="B336" s="2">
        <v>43742</v>
      </c>
      <c r="C336" s="3" t="s">
        <v>679</v>
      </c>
      <c r="D336" s="4" t="s">
        <v>189</v>
      </c>
      <c r="E336" s="3">
        <v>5</v>
      </c>
      <c r="F336" s="5">
        <f>INDEX([1]products!$A$1:$G$49,MATCH([1]orders!$D336,[1]products!$A$1:$A$49,0),MATCH([1]orders!K$1,[1]products!$A$1:$G$1,0))</f>
        <v>1</v>
      </c>
      <c r="G336" s="6">
        <f>INDEX([1]products!$A$1:$G$49,MATCH([1]orders!$D336,[1]products!$A$1:$A$49,0),MATCH([1]orders!L$1,[1]products!$A$1:$G$1,0))</f>
        <v>11.95</v>
      </c>
      <c r="H336" s="6">
        <f t="shared" si="5"/>
        <v>59.75</v>
      </c>
    </row>
    <row r="337" spans="1:8" x14ac:dyDescent="0.3">
      <c r="A337" s="1" t="s">
        <v>680</v>
      </c>
      <c r="B337" s="2">
        <v>43885</v>
      </c>
      <c r="C337" s="3" t="s">
        <v>681</v>
      </c>
      <c r="D337" s="4" t="s">
        <v>19</v>
      </c>
      <c r="E337" s="3">
        <v>6</v>
      </c>
      <c r="F337" s="5">
        <f>INDEX([1]products!$A$1:$G$49,MATCH([1]orders!$D337,[1]products!$A$1:$A$49,0),MATCH([1]orders!K$1,[1]products!$A$1:$G$1,0))</f>
        <v>0.2</v>
      </c>
      <c r="G337" s="6">
        <f>INDEX([1]products!$A$1:$G$49,MATCH([1]orders!$D337,[1]products!$A$1:$A$49,0),MATCH([1]orders!L$1,[1]products!$A$1:$G$1,0))</f>
        <v>4.7549999999999999</v>
      </c>
      <c r="H337" s="6">
        <f t="shared" si="5"/>
        <v>28.53</v>
      </c>
    </row>
    <row r="338" spans="1:8" x14ac:dyDescent="0.3">
      <c r="A338" s="1" t="s">
        <v>682</v>
      </c>
      <c r="B338" s="2">
        <v>44434</v>
      </c>
      <c r="C338" s="3" t="s">
        <v>683</v>
      </c>
      <c r="D338" s="4" t="s">
        <v>61</v>
      </c>
      <c r="E338" s="3">
        <v>4</v>
      </c>
      <c r="F338" s="5">
        <f>INDEX([1]products!$A$1:$G$49,MATCH([1]orders!$D338,[1]products!$A$1:$A$49,0),MATCH([1]orders!K$1,[1]products!$A$1:$G$1,0))</f>
        <v>1</v>
      </c>
      <c r="G338" s="6">
        <f>INDEX([1]products!$A$1:$G$49,MATCH([1]orders!$D338,[1]products!$A$1:$A$49,0),MATCH([1]orders!L$1,[1]products!$A$1:$G$1,0))</f>
        <v>11.25</v>
      </c>
      <c r="H338" s="6">
        <f t="shared" si="5"/>
        <v>45</v>
      </c>
    </row>
    <row r="339" spans="1:8" x14ac:dyDescent="0.3">
      <c r="A339" s="1" t="s">
        <v>684</v>
      </c>
      <c r="B339" s="2">
        <v>44472</v>
      </c>
      <c r="C339" s="3" t="s">
        <v>664</v>
      </c>
      <c r="D339" s="4" t="s">
        <v>530</v>
      </c>
      <c r="E339" s="3">
        <v>2</v>
      </c>
      <c r="F339" s="5">
        <f>INDEX([1]products!$A$1:$G$49,MATCH([1]orders!$D339,[1]products!$A$1:$A$49,0),MATCH([1]orders!K$1,[1]products!$A$1:$G$1,0))</f>
        <v>2.5</v>
      </c>
      <c r="G339" s="6">
        <f>INDEX([1]products!$A$1:$G$49,MATCH([1]orders!$D339,[1]products!$A$1:$A$49,0),MATCH([1]orders!L$1,[1]products!$A$1:$G$1,0))</f>
        <v>27.945</v>
      </c>
      <c r="H339" s="6">
        <f t="shared" si="5"/>
        <v>55.89</v>
      </c>
    </row>
    <row r="340" spans="1:8" x14ac:dyDescent="0.3">
      <c r="A340" s="1" t="s">
        <v>685</v>
      </c>
      <c r="B340" s="2">
        <v>43995</v>
      </c>
      <c r="C340" s="3" t="s">
        <v>686</v>
      </c>
      <c r="D340" s="4" t="s">
        <v>137</v>
      </c>
      <c r="E340" s="3">
        <v>4</v>
      </c>
      <c r="F340" s="5">
        <f>INDEX([1]products!$A$1:$G$49,MATCH([1]orders!$D340,[1]products!$A$1:$A$49,0),MATCH([1]orders!K$1,[1]products!$A$1:$G$1,0))</f>
        <v>1</v>
      </c>
      <c r="G340" s="6">
        <f>INDEX([1]products!$A$1:$G$49,MATCH([1]orders!$D340,[1]products!$A$1:$A$49,0),MATCH([1]orders!L$1,[1]products!$A$1:$G$1,0))</f>
        <v>14.85</v>
      </c>
      <c r="H340" s="6">
        <f t="shared" si="5"/>
        <v>59.4</v>
      </c>
    </row>
    <row r="341" spans="1:8" x14ac:dyDescent="0.3">
      <c r="A341" s="1" t="s">
        <v>687</v>
      </c>
      <c r="B341" s="2">
        <v>44256</v>
      </c>
      <c r="C341" s="3" t="s">
        <v>688</v>
      </c>
      <c r="D341" s="4" t="s">
        <v>51</v>
      </c>
      <c r="E341" s="3">
        <v>2</v>
      </c>
      <c r="F341" s="5">
        <f>INDEX([1]products!$A$1:$G$49,MATCH([1]orders!$D341,[1]products!$A$1:$A$49,0),MATCH([1]orders!K$1,[1]products!$A$1:$G$1,0))</f>
        <v>0.2</v>
      </c>
      <c r="G341" s="6">
        <f>INDEX([1]products!$A$1:$G$49,MATCH([1]orders!$D341,[1]products!$A$1:$A$49,0),MATCH([1]orders!L$1,[1]products!$A$1:$G$1,0))</f>
        <v>3.645</v>
      </c>
      <c r="H341" s="6">
        <f t="shared" si="5"/>
        <v>7.29</v>
      </c>
    </row>
    <row r="342" spans="1:8" x14ac:dyDescent="0.3">
      <c r="A342" s="1" t="s">
        <v>689</v>
      </c>
      <c r="B342" s="2">
        <v>43528</v>
      </c>
      <c r="C342" s="3" t="s">
        <v>690</v>
      </c>
      <c r="D342" s="4" t="s">
        <v>16</v>
      </c>
      <c r="E342" s="3">
        <v>1</v>
      </c>
      <c r="F342" s="5">
        <f>INDEX([1]products!$A$1:$G$49,MATCH([1]orders!$D342,[1]products!$A$1:$A$49,0),MATCH([1]orders!K$1,[1]products!$A$1:$G$1,0))</f>
        <v>0.5</v>
      </c>
      <c r="G342" s="6">
        <f>INDEX([1]products!$A$1:$G$49,MATCH([1]orders!$D342,[1]products!$A$1:$A$49,0),MATCH([1]orders!L$1,[1]products!$A$1:$G$1,0))</f>
        <v>7.29</v>
      </c>
      <c r="H342" s="6">
        <f t="shared" si="5"/>
        <v>7.29</v>
      </c>
    </row>
    <row r="343" spans="1:8" x14ac:dyDescent="0.3">
      <c r="A343" s="1" t="s">
        <v>691</v>
      </c>
      <c r="B343" s="2">
        <v>43751</v>
      </c>
      <c r="C343" s="3" t="s">
        <v>692</v>
      </c>
      <c r="D343" s="4" t="s">
        <v>176</v>
      </c>
      <c r="E343" s="3">
        <v>2</v>
      </c>
      <c r="F343" s="5">
        <f>INDEX([1]products!$A$1:$G$49,MATCH([1]orders!$D343,[1]products!$A$1:$A$49,0),MATCH([1]orders!K$1,[1]products!$A$1:$G$1,0))</f>
        <v>0.5</v>
      </c>
      <c r="G343" s="6">
        <f>INDEX([1]products!$A$1:$G$49,MATCH([1]orders!$D343,[1]products!$A$1:$A$49,0),MATCH([1]orders!L$1,[1]products!$A$1:$G$1,0))</f>
        <v>8.91</v>
      </c>
      <c r="H343" s="6">
        <f t="shared" si="5"/>
        <v>17.82</v>
      </c>
    </row>
    <row r="344" spans="1:8" x14ac:dyDescent="0.3">
      <c r="A344" s="1" t="s">
        <v>691</v>
      </c>
      <c r="B344" s="2">
        <v>43751</v>
      </c>
      <c r="C344" s="3" t="s">
        <v>692</v>
      </c>
      <c r="D344" s="4" t="s">
        <v>123</v>
      </c>
      <c r="E344" s="3">
        <v>5</v>
      </c>
      <c r="F344" s="5">
        <f>INDEX([1]products!$A$1:$G$49,MATCH([1]orders!$D344,[1]products!$A$1:$A$49,0),MATCH([1]orders!K$1,[1]products!$A$1:$G$1,0))</f>
        <v>0.5</v>
      </c>
      <c r="G344" s="6">
        <f>INDEX([1]products!$A$1:$G$49,MATCH([1]orders!$D344,[1]products!$A$1:$A$49,0),MATCH([1]orders!L$1,[1]products!$A$1:$G$1,0))</f>
        <v>7.77</v>
      </c>
      <c r="H344" s="6">
        <f t="shared" si="5"/>
        <v>38.849999999999994</v>
      </c>
    </row>
    <row r="345" spans="1:8" x14ac:dyDescent="0.3">
      <c r="A345" s="1" t="s">
        <v>693</v>
      </c>
      <c r="B345" s="2">
        <v>43692</v>
      </c>
      <c r="C345" s="3" t="s">
        <v>694</v>
      </c>
      <c r="D345" s="4" t="s">
        <v>146</v>
      </c>
      <c r="E345" s="3">
        <v>6</v>
      </c>
      <c r="F345" s="5">
        <f>INDEX([1]products!$A$1:$G$49,MATCH([1]orders!$D345,[1]products!$A$1:$A$49,0),MATCH([1]orders!K$1,[1]products!$A$1:$G$1,0))</f>
        <v>0.5</v>
      </c>
      <c r="G345" s="6">
        <f>INDEX([1]products!$A$1:$G$49,MATCH([1]orders!$D345,[1]products!$A$1:$A$49,0),MATCH([1]orders!L$1,[1]products!$A$1:$G$1,0))</f>
        <v>5.3699999999999992</v>
      </c>
      <c r="H345" s="6">
        <f t="shared" si="5"/>
        <v>32.22</v>
      </c>
    </row>
    <row r="346" spans="1:8" x14ac:dyDescent="0.3">
      <c r="A346" s="1" t="s">
        <v>695</v>
      </c>
      <c r="B346" s="2">
        <v>44529</v>
      </c>
      <c r="C346" s="3" t="s">
        <v>696</v>
      </c>
      <c r="D346" s="4" t="s">
        <v>2</v>
      </c>
      <c r="E346" s="3">
        <v>2</v>
      </c>
      <c r="F346" s="5">
        <f>INDEX([1]products!$A$1:$G$49,MATCH([1]orders!$D346,[1]products!$A$1:$A$49,0),MATCH([1]orders!K$1,[1]products!$A$1:$G$1,0))</f>
        <v>1</v>
      </c>
      <c r="G346" s="6">
        <f>INDEX([1]products!$A$1:$G$49,MATCH([1]orders!$D346,[1]products!$A$1:$A$49,0),MATCH([1]orders!L$1,[1]products!$A$1:$G$1,0))</f>
        <v>9.9499999999999993</v>
      </c>
      <c r="H346" s="6">
        <f t="shared" si="5"/>
        <v>19.899999999999999</v>
      </c>
    </row>
    <row r="347" spans="1:8" x14ac:dyDescent="0.3">
      <c r="A347" s="1" t="s">
        <v>697</v>
      </c>
      <c r="B347" s="2">
        <v>43849</v>
      </c>
      <c r="C347" s="3" t="s">
        <v>698</v>
      </c>
      <c r="D347" s="4" t="s">
        <v>189</v>
      </c>
      <c r="E347" s="3">
        <v>5</v>
      </c>
      <c r="F347" s="5">
        <f>INDEX([1]products!$A$1:$G$49,MATCH([1]orders!$D347,[1]products!$A$1:$A$49,0),MATCH([1]orders!K$1,[1]products!$A$1:$G$1,0))</f>
        <v>1</v>
      </c>
      <c r="G347" s="6">
        <f>INDEX([1]products!$A$1:$G$49,MATCH([1]orders!$D347,[1]products!$A$1:$A$49,0),MATCH([1]orders!L$1,[1]products!$A$1:$G$1,0))</f>
        <v>11.95</v>
      </c>
      <c r="H347" s="6">
        <f t="shared" si="5"/>
        <v>59.75</v>
      </c>
    </row>
    <row r="348" spans="1:8" x14ac:dyDescent="0.3">
      <c r="A348" s="1" t="s">
        <v>699</v>
      </c>
      <c r="B348" s="2">
        <v>44344</v>
      </c>
      <c r="C348" s="3" t="s">
        <v>700</v>
      </c>
      <c r="D348" s="4" t="s">
        <v>192</v>
      </c>
      <c r="E348" s="3">
        <v>3</v>
      </c>
      <c r="F348" s="5">
        <f>INDEX([1]products!$A$1:$G$49,MATCH([1]orders!$D348,[1]products!$A$1:$A$49,0),MATCH([1]orders!K$1,[1]products!$A$1:$G$1,0))</f>
        <v>0.5</v>
      </c>
      <c r="G348" s="6">
        <f>INDEX([1]products!$A$1:$G$49,MATCH([1]orders!$D348,[1]products!$A$1:$A$49,0),MATCH([1]orders!L$1,[1]products!$A$1:$G$1,0))</f>
        <v>7.77</v>
      </c>
      <c r="H348" s="6">
        <f t="shared" si="5"/>
        <v>23.31</v>
      </c>
    </row>
    <row r="349" spans="1:8" x14ac:dyDescent="0.3">
      <c r="A349" s="1" t="s">
        <v>701</v>
      </c>
      <c r="B349" s="2">
        <v>44576</v>
      </c>
      <c r="C349" s="3" t="s">
        <v>702</v>
      </c>
      <c r="D349" s="4" t="s">
        <v>96</v>
      </c>
      <c r="E349" s="3">
        <v>3</v>
      </c>
      <c r="F349" s="5">
        <f>INDEX([1]products!$A$1:$G$49,MATCH([1]orders!$D349,[1]products!$A$1:$A$49,0),MATCH([1]orders!K$1,[1]products!$A$1:$G$1,0))</f>
        <v>1</v>
      </c>
      <c r="G349" s="6">
        <f>INDEX([1]products!$A$1:$G$49,MATCH([1]orders!$D349,[1]products!$A$1:$A$49,0),MATCH([1]orders!L$1,[1]products!$A$1:$G$1,0))</f>
        <v>14.55</v>
      </c>
      <c r="H349" s="6">
        <f t="shared" si="5"/>
        <v>43.650000000000006</v>
      </c>
    </row>
    <row r="350" spans="1:8" x14ac:dyDescent="0.3">
      <c r="A350" s="1" t="s">
        <v>703</v>
      </c>
      <c r="B350" s="2">
        <v>43803</v>
      </c>
      <c r="C350" s="3" t="s">
        <v>704</v>
      </c>
      <c r="D350" s="4" t="s">
        <v>30</v>
      </c>
      <c r="E350" s="3">
        <v>6</v>
      </c>
      <c r="F350" s="5">
        <f>INDEX([1]products!$A$1:$G$49,MATCH([1]orders!$D350,[1]products!$A$1:$A$49,0),MATCH([1]orders!K$1,[1]products!$A$1:$G$1,0))</f>
        <v>2.5</v>
      </c>
      <c r="G350" s="6">
        <f>INDEX([1]products!$A$1:$G$49,MATCH([1]orders!$D350,[1]products!$A$1:$A$49,0),MATCH([1]orders!L$1,[1]products!$A$1:$G$1,0))</f>
        <v>34.154999999999994</v>
      </c>
      <c r="H350" s="6">
        <f t="shared" si="5"/>
        <v>204.92999999999995</v>
      </c>
    </row>
    <row r="351" spans="1:8" x14ac:dyDescent="0.3">
      <c r="A351" s="1" t="s">
        <v>705</v>
      </c>
      <c r="B351" s="2">
        <v>44743</v>
      </c>
      <c r="C351" s="3" t="s">
        <v>706</v>
      </c>
      <c r="D351" s="4" t="s">
        <v>182</v>
      </c>
      <c r="E351" s="3">
        <v>4</v>
      </c>
      <c r="F351" s="5">
        <f>INDEX([1]products!$A$1:$G$49,MATCH([1]orders!$D351,[1]products!$A$1:$A$49,0),MATCH([1]orders!K$1,[1]products!$A$1:$G$1,0))</f>
        <v>0.2</v>
      </c>
      <c r="G351" s="6">
        <f>INDEX([1]products!$A$1:$G$49,MATCH([1]orders!$D351,[1]products!$A$1:$A$49,0),MATCH([1]orders!L$1,[1]products!$A$1:$G$1,0))</f>
        <v>3.5849999999999995</v>
      </c>
      <c r="H351" s="6">
        <f t="shared" si="5"/>
        <v>14.339999999999998</v>
      </c>
    </row>
    <row r="352" spans="1:8" x14ac:dyDescent="0.3">
      <c r="A352" s="1" t="s">
        <v>707</v>
      </c>
      <c r="B352" s="2">
        <v>43592</v>
      </c>
      <c r="C352" s="3" t="s">
        <v>708</v>
      </c>
      <c r="D352" s="4" t="s">
        <v>72</v>
      </c>
      <c r="E352" s="3">
        <v>4</v>
      </c>
      <c r="F352" s="5">
        <f>INDEX([1]products!$A$1:$G$49,MATCH([1]orders!$D352,[1]products!$A$1:$A$49,0),MATCH([1]orders!K$1,[1]products!$A$1:$G$1,0))</f>
        <v>0.5</v>
      </c>
      <c r="G352" s="6">
        <f>INDEX([1]products!$A$1:$G$49,MATCH([1]orders!$D352,[1]products!$A$1:$A$49,0),MATCH([1]orders!L$1,[1]products!$A$1:$G$1,0))</f>
        <v>5.97</v>
      </c>
      <c r="H352" s="6">
        <f t="shared" si="5"/>
        <v>23.88</v>
      </c>
    </row>
    <row r="353" spans="1:8" x14ac:dyDescent="0.3">
      <c r="A353" s="1" t="s">
        <v>709</v>
      </c>
      <c r="B353" s="2">
        <v>44066</v>
      </c>
      <c r="C353" s="3" t="s">
        <v>710</v>
      </c>
      <c r="D353" s="4" t="s">
        <v>61</v>
      </c>
      <c r="E353" s="3">
        <v>2</v>
      </c>
      <c r="F353" s="5">
        <f>INDEX([1]products!$A$1:$G$49,MATCH([1]orders!$D353,[1]products!$A$1:$A$49,0),MATCH([1]orders!K$1,[1]products!$A$1:$G$1,0))</f>
        <v>1</v>
      </c>
      <c r="G353" s="6">
        <f>INDEX([1]products!$A$1:$G$49,MATCH([1]orders!$D353,[1]products!$A$1:$A$49,0),MATCH([1]orders!L$1,[1]products!$A$1:$G$1,0))</f>
        <v>11.25</v>
      </c>
      <c r="H353" s="6">
        <f t="shared" si="5"/>
        <v>22.5</v>
      </c>
    </row>
    <row r="354" spans="1:8" x14ac:dyDescent="0.3">
      <c r="A354" s="1" t="s">
        <v>711</v>
      </c>
      <c r="B354" s="2">
        <v>43984</v>
      </c>
      <c r="C354" s="3" t="s">
        <v>664</v>
      </c>
      <c r="D354" s="4" t="s">
        <v>16</v>
      </c>
      <c r="E354" s="3">
        <v>5</v>
      </c>
      <c r="F354" s="5">
        <f>INDEX([1]products!$A$1:$G$49,MATCH([1]orders!$D354,[1]products!$A$1:$A$49,0),MATCH([1]orders!K$1,[1]products!$A$1:$G$1,0))</f>
        <v>0.5</v>
      </c>
      <c r="G354" s="6">
        <f>INDEX([1]products!$A$1:$G$49,MATCH([1]orders!$D354,[1]products!$A$1:$A$49,0),MATCH([1]orders!L$1,[1]products!$A$1:$G$1,0))</f>
        <v>7.29</v>
      </c>
      <c r="H354" s="6">
        <f t="shared" si="5"/>
        <v>36.450000000000003</v>
      </c>
    </row>
    <row r="355" spans="1:8" x14ac:dyDescent="0.3">
      <c r="A355" s="1" t="s">
        <v>712</v>
      </c>
      <c r="B355" s="2">
        <v>43860</v>
      </c>
      <c r="C355" s="3" t="s">
        <v>713</v>
      </c>
      <c r="D355" s="4" t="s">
        <v>67</v>
      </c>
      <c r="E355" s="3">
        <v>4</v>
      </c>
      <c r="F355" s="5">
        <f>INDEX([1]products!$A$1:$G$49,MATCH([1]orders!$D355,[1]products!$A$1:$A$49,0),MATCH([1]orders!K$1,[1]products!$A$1:$G$1,0))</f>
        <v>0.5</v>
      </c>
      <c r="G355" s="6">
        <f>INDEX([1]products!$A$1:$G$49,MATCH([1]orders!$D355,[1]products!$A$1:$A$49,0),MATCH([1]orders!L$1,[1]products!$A$1:$G$1,0))</f>
        <v>6.75</v>
      </c>
      <c r="H355" s="6">
        <f t="shared" si="5"/>
        <v>27</v>
      </c>
    </row>
    <row r="356" spans="1:8" x14ac:dyDescent="0.3">
      <c r="A356" s="1" t="s">
        <v>714</v>
      </c>
      <c r="B356" s="2">
        <v>43876</v>
      </c>
      <c r="C356" s="3" t="s">
        <v>715</v>
      </c>
      <c r="D356" s="4" t="s">
        <v>171</v>
      </c>
      <c r="E356" s="3">
        <v>6</v>
      </c>
      <c r="F356" s="5">
        <f>INDEX([1]products!$A$1:$G$49,MATCH([1]orders!$D356,[1]products!$A$1:$A$49,0),MATCH([1]orders!K$1,[1]products!$A$1:$G$1,0))</f>
        <v>2.5</v>
      </c>
      <c r="G356" s="6">
        <f>INDEX([1]products!$A$1:$G$49,MATCH([1]orders!$D356,[1]products!$A$1:$A$49,0),MATCH([1]orders!L$1,[1]products!$A$1:$G$1,0))</f>
        <v>25.874999999999996</v>
      </c>
      <c r="H356" s="6">
        <f t="shared" si="5"/>
        <v>155.24999999999997</v>
      </c>
    </row>
    <row r="357" spans="1:8" x14ac:dyDescent="0.3">
      <c r="A357" s="1" t="s">
        <v>716</v>
      </c>
      <c r="B357" s="2">
        <v>44358</v>
      </c>
      <c r="C357" s="3" t="s">
        <v>717</v>
      </c>
      <c r="D357" s="4" t="s">
        <v>118</v>
      </c>
      <c r="E357" s="3">
        <v>5</v>
      </c>
      <c r="F357" s="5">
        <f>INDEX([1]products!$A$1:$G$49,MATCH([1]orders!$D357,[1]products!$A$1:$A$49,0),MATCH([1]orders!K$1,[1]products!$A$1:$G$1,0))</f>
        <v>2.5</v>
      </c>
      <c r="G357" s="6">
        <f>INDEX([1]products!$A$1:$G$49,MATCH([1]orders!$D357,[1]products!$A$1:$A$49,0),MATCH([1]orders!L$1,[1]products!$A$1:$G$1,0))</f>
        <v>22.884999999999998</v>
      </c>
      <c r="H357" s="6">
        <f t="shared" si="5"/>
        <v>114.42499999999998</v>
      </c>
    </row>
    <row r="358" spans="1:8" x14ac:dyDescent="0.3">
      <c r="A358" s="1" t="s">
        <v>718</v>
      </c>
      <c r="B358" s="2">
        <v>44631</v>
      </c>
      <c r="C358" s="3" t="s">
        <v>719</v>
      </c>
      <c r="D358" s="4" t="s">
        <v>13</v>
      </c>
      <c r="E358" s="3">
        <v>4</v>
      </c>
      <c r="F358" s="5">
        <f>INDEX([1]products!$A$1:$G$49,MATCH([1]orders!$D358,[1]products!$A$1:$A$49,0),MATCH([1]orders!K$1,[1]products!$A$1:$G$1,0))</f>
        <v>1</v>
      </c>
      <c r="G358" s="6">
        <f>INDEX([1]products!$A$1:$G$49,MATCH([1]orders!$D358,[1]products!$A$1:$A$49,0),MATCH([1]orders!L$1,[1]products!$A$1:$G$1,0))</f>
        <v>12.95</v>
      </c>
      <c r="H358" s="6">
        <f t="shared" si="5"/>
        <v>51.8</v>
      </c>
    </row>
    <row r="359" spans="1:8" x14ac:dyDescent="0.3">
      <c r="A359" s="1" t="s">
        <v>720</v>
      </c>
      <c r="B359" s="2">
        <v>44448</v>
      </c>
      <c r="C359" s="3" t="s">
        <v>721</v>
      </c>
      <c r="D359" s="4" t="s">
        <v>171</v>
      </c>
      <c r="E359" s="3">
        <v>6</v>
      </c>
      <c r="F359" s="5">
        <f>INDEX([1]products!$A$1:$G$49,MATCH([1]orders!$D359,[1]products!$A$1:$A$49,0),MATCH([1]orders!K$1,[1]products!$A$1:$G$1,0))</f>
        <v>2.5</v>
      </c>
      <c r="G359" s="6">
        <f>INDEX([1]products!$A$1:$G$49,MATCH([1]orders!$D359,[1]products!$A$1:$A$49,0),MATCH([1]orders!L$1,[1]products!$A$1:$G$1,0))</f>
        <v>25.874999999999996</v>
      </c>
      <c r="H359" s="6">
        <f t="shared" si="5"/>
        <v>155.24999999999997</v>
      </c>
    </row>
    <row r="360" spans="1:8" x14ac:dyDescent="0.3">
      <c r="A360" s="1" t="s">
        <v>722</v>
      </c>
      <c r="B360" s="2">
        <v>43599</v>
      </c>
      <c r="C360" s="3" t="s">
        <v>723</v>
      </c>
      <c r="D360" s="4" t="s">
        <v>204</v>
      </c>
      <c r="E360" s="3">
        <v>1</v>
      </c>
      <c r="F360" s="5">
        <f>INDEX([1]products!$A$1:$G$49,MATCH([1]orders!$D360,[1]products!$A$1:$A$49,0),MATCH([1]orders!K$1,[1]products!$A$1:$G$1,0))</f>
        <v>2.5</v>
      </c>
      <c r="G360" s="6">
        <f>INDEX([1]products!$A$1:$G$49,MATCH([1]orders!$D360,[1]products!$A$1:$A$49,0),MATCH([1]orders!L$1,[1]products!$A$1:$G$1,0))</f>
        <v>29.784999999999997</v>
      </c>
      <c r="H360" s="6">
        <f t="shared" si="5"/>
        <v>29.784999999999997</v>
      </c>
    </row>
    <row r="361" spans="1:8" x14ac:dyDescent="0.3">
      <c r="A361" s="1" t="s">
        <v>724</v>
      </c>
      <c r="B361" s="2">
        <v>43563</v>
      </c>
      <c r="C361" s="3" t="s">
        <v>725</v>
      </c>
      <c r="D361" s="4" t="s">
        <v>182</v>
      </c>
      <c r="E361" s="3">
        <v>6</v>
      </c>
      <c r="F361" s="5">
        <f>INDEX([1]products!$A$1:$G$49,MATCH([1]orders!$D361,[1]products!$A$1:$A$49,0),MATCH([1]orders!K$1,[1]products!$A$1:$G$1,0))</f>
        <v>0.2</v>
      </c>
      <c r="G361" s="6">
        <f>INDEX([1]products!$A$1:$G$49,MATCH([1]orders!$D361,[1]products!$A$1:$A$49,0),MATCH([1]orders!L$1,[1]products!$A$1:$G$1,0))</f>
        <v>3.5849999999999995</v>
      </c>
      <c r="H361" s="6">
        <f t="shared" si="5"/>
        <v>21.509999999999998</v>
      </c>
    </row>
    <row r="362" spans="1:8" x14ac:dyDescent="0.3">
      <c r="A362" s="1" t="s">
        <v>726</v>
      </c>
      <c r="B362" s="2">
        <v>44058</v>
      </c>
      <c r="C362" s="3" t="s">
        <v>727</v>
      </c>
      <c r="D362" s="4" t="s">
        <v>35</v>
      </c>
      <c r="E362" s="3">
        <v>2</v>
      </c>
      <c r="F362" s="5">
        <f>INDEX([1]products!$A$1:$G$49,MATCH([1]orders!$D362,[1]products!$A$1:$A$49,0),MATCH([1]orders!K$1,[1]products!$A$1:$G$1,0))</f>
        <v>2.5</v>
      </c>
      <c r="G362" s="6">
        <f>INDEX([1]products!$A$1:$G$49,MATCH([1]orders!$D362,[1]products!$A$1:$A$49,0),MATCH([1]orders!L$1,[1]products!$A$1:$G$1,0))</f>
        <v>20.584999999999997</v>
      </c>
      <c r="H362" s="6">
        <f t="shared" si="5"/>
        <v>41.169999999999995</v>
      </c>
    </row>
    <row r="363" spans="1:8" x14ac:dyDescent="0.3">
      <c r="A363" s="1" t="s">
        <v>726</v>
      </c>
      <c r="B363" s="2">
        <v>44058</v>
      </c>
      <c r="C363" s="3" t="s">
        <v>727</v>
      </c>
      <c r="D363" s="4" t="s">
        <v>22</v>
      </c>
      <c r="E363" s="3">
        <v>1</v>
      </c>
      <c r="F363" s="5">
        <f>INDEX([1]products!$A$1:$G$49,MATCH([1]orders!$D363,[1]products!$A$1:$A$49,0),MATCH([1]orders!K$1,[1]products!$A$1:$G$1,0))</f>
        <v>0.5</v>
      </c>
      <c r="G363" s="6">
        <f>INDEX([1]products!$A$1:$G$49,MATCH([1]orders!$D363,[1]products!$A$1:$A$49,0),MATCH([1]orders!L$1,[1]products!$A$1:$G$1,0))</f>
        <v>5.97</v>
      </c>
      <c r="H363" s="6">
        <f t="shared" si="5"/>
        <v>5.97</v>
      </c>
    </row>
    <row r="364" spans="1:8" x14ac:dyDescent="0.3">
      <c r="A364" s="1" t="s">
        <v>728</v>
      </c>
      <c r="B364" s="2">
        <v>44686</v>
      </c>
      <c r="C364" s="3" t="s">
        <v>729</v>
      </c>
      <c r="D364" s="4" t="s">
        <v>137</v>
      </c>
      <c r="E364" s="3">
        <v>5</v>
      </c>
      <c r="F364" s="5">
        <f>INDEX([1]products!$A$1:$G$49,MATCH([1]orders!$D364,[1]products!$A$1:$A$49,0),MATCH([1]orders!K$1,[1]products!$A$1:$G$1,0))</f>
        <v>1</v>
      </c>
      <c r="G364" s="6">
        <f>INDEX([1]products!$A$1:$G$49,MATCH([1]orders!$D364,[1]products!$A$1:$A$49,0),MATCH([1]orders!L$1,[1]products!$A$1:$G$1,0))</f>
        <v>14.85</v>
      </c>
      <c r="H364" s="6">
        <f t="shared" si="5"/>
        <v>74.25</v>
      </c>
    </row>
    <row r="365" spans="1:8" x14ac:dyDescent="0.3">
      <c r="A365" s="1" t="s">
        <v>730</v>
      </c>
      <c r="B365" s="2">
        <v>44282</v>
      </c>
      <c r="C365" s="3" t="s">
        <v>731</v>
      </c>
      <c r="D365" s="4" t="s">
        <v>96</v>
      </c>
      <c r="E365" s="3">
        <v>6</v>
      </c>
      <c r="F365" s="5">
        <f>INDEX([1]products!$A$1:$G$49,MATCH([1]orders!$D365,[1]products!$A$1:$A$49,0),MATCH([1]orders!K$1,[1]products!$A$1:$G$1,0))</f>
        <v>1</v>
      </c>
      <c r="G365" s="6">
        <f>INDEX([1]products!$A$1:$G$49,MATCH([1]orders!$D365,[1]products!$A$1:$A$49,0),MATCH([1]orders!L$1,[1]products!$A$1:$G$1,0))</f>
        <v>14.55</v>
      </c>
      <c r="H365" s="6">
        <f t="shared" si="5"/>
        <v>87.300000000000011</v>
      </c>
    </row>
    <row r="366" spans="1:8" x14ac:dyDescent="0.3">
      <c r="A366" s="1" t="s">
        <v>732</v>
      </c>
      <c r="B366" s="2">
        <v>43582</v>
      </c>
      <c r="C366" s="3" t="s">
        <v>733</v>
      </c>
      <c r="D366" s="4" t="s">
        <v>245</v>
      </c>
      <c r="E366" s="3">
        <v>6</v>
      </c>
      <c r="F366" s="5">
        <f>INDEX([1]products!$A$1:$G$49,MATCH([1]orders!$D366,[1]products!$A$1:$A$49,0),MATCH([1]orders!K$1,[1]products!$A$1:$G$1,0))</f>
        <v>1</v>
      </c>
      <c r="G366" s="6">
        <f>INDEX([1]products!$A$1:$G$49,MATCH([1]orders!$D366,[1]products!$A$1:$A$49,0),MATCH([1]orders!L$1,[1]products!$A$1:$G$1,0))</f>
        <v>12.15</v>
      </c>
      <c r="H366" s="6">
        <f t="shared" si="5"/>
        <v>72.900000000000006</v>
      </c>
    </row>
    <row r="367" spans="1:8" x14ac:dyDescent="0.3">
      <c r="A367" s="1" t="s">
        <v>734</v>
      </c>
      <c r="B367" s="2">
        <v>44464</v>
      </c>
      <c r="C367" s="3" t="s">
        <v>735</v>
      </c>
      <c r="D367" s="4" t="s">
        <v>123</v>
      </c>
      <c r="E367" s="3">
        <v>1</v>
      </c>
      <c r="F367" s="5">
        <f>INDEX([1]products!$A$1:$G$49,MATCH([1]orders!$D367,[1]products!$A$1:$A$49,0),MATCH([1]orders!K$1,[1]products!$A$1:$G$1,0))</f>
        <v>0.5</v>
      </c>
      <c r="G367" s="6">
        <f>INDEX([1]products!$A$1:$G$49,MATCH([1]orders!$D367,[1]products!$A$1:$A$49,0),MATCH([1]orders!L$1,[1]products!$A$1:$G$1,0))</f>
        <v>7.77</v>
      </c>
      <c r="H367" s="6">
        <f t="shared" si="5"/>
        <v>7.77</v>
      </c>
    </row>
    <row r="368" spans="1:8" x14ac:dyDescent="0.3">
      <c r="A368" s="1" t="s">
        <v>736</v>
      </c>
      <c r="B368" s="2">
        <v>43874</v>
      </c>
      <c r="C368" s="3" t="s">
        <v>737</v>
      </c>
      <c r="D368" s="4" t="s">
        <v>16</v>
      </c>
      <c r="E368" s="3">
        <v>6</v>
      </c>
      <c r="F368" s="5">
        <f>INDEX([1]products!$A$1:$G$49,MATCH([1]orders!$D368,[1]products!$A$1:$A$49,0),MATCH([1]orders!K$1,[1]products!$A$1:$G$1,0))</f>
        <v>0.5</v>
      </c>
      <c r="G368" s="6">
        <f>INDEX([1]products!$A$1:$G$49,MATCH([1]orders!$D368,[1]products!$A$1:$A$49,0),MATCH([1]orders!L$1,[1]products!$A$1:$G$1,0))</f>
        <v>7.29</v>
      </c>
      <c r="H368" s="6">
        <f t="shared" si="5"/>
        <v>43.74</v>
      </c>
    </row>
    <row r="369" spans="1:8" x14ac:dyDescent="0.3">
      <c r="A369" s="1" t="s">
        <v>738</v>
      </c>
      <c r="B369" s="2">
        <v>44393</v>
      </c>
      <c r="C369" s="3" t="s">
        <v>739</v>
      </c>
      <c r="D369" s="4" t="s">
        <v>77</v>
      </c>
      <c r="E369" s="3">
        <v>2</v>
      </c>
      <c r="F369" s="5">
        <f>INDEX([1]products!$A$1:$G$49,MATCH([1]orders!$D369,[1]products!$A$1:$A$49,0),MATCH([1]orders!K$1,[1]products!$A$1:$G$1,0))</f>
        <v>0.2</v>
      </c>
      <c r="G369" s="6">
        <f>INDEX([1]products!$A$1:$G$49,MATCH([1]orders!$D369,[1]products!$A$1:$A$49,0),MATCH([1]orders!L$1,[1]products!$A$1:$G$1,0))</f>
        <v>4.3650000000000002</v>
      </c>
      <c r="H369" s="6">
        <f t="shared" si="5"/>
        <v>8.73</v>
      </c>
    </row>
    <row r="370" spans="1:8" x14ac:dyDescent="0.3">
      <c r="A370" s="1" t="s">
        <v>740</v>
      </c>
      <c r="B370" s="2">
        <v>44692</v>
      </c>
      <c r="C370" s="3" t="s">
        <v>741</v>
      </c>
      <c r="D370" s="4" t="s">
        <v>112</v>
      </c>
      <c r="E370" s="3">
        <v>2</v>
      </c>
      <c r="F370" s="5">
        <f>INDEX([1]products!$A$1:$G$49,MATCH([1]orders!$D370,[1]products!$A$1:$A$49,0),MATCH([1]orders!K$1,[1]products!$A$1:$G$1,0))</f>
        <v>2.5</v>
      </c>
      <c r="G370" s="6">
        <f>INDEX([1]products!$A$1:$G$49,MATCH([1]orders!$D370,[1]products!$A$1:$A$49,0),MATCH([1]orders!L$1,[1]products!$A$1:$G$1,0))</f>
        <v>31.624999999999996</v>
      </c>
      <c r="H370" s="6">
        <f t="shared" si="5"/>
        <v>63.249999999999993</v>
      </c>
    </row>
    <row r="371" spans="1:8" x14ac:dyDescent="0.3">
      <c r="A371" s="1" t="s">
        <v>742</v>
      </c>
      <c r="B371" s="2">
        <v>43500</v>
      </c>
      <c r="C371" s="3" t="s">
        <v>743</v>
      </c>
      <c r="D371" s="4" t="s">
        <v>176</v>
      </c>
      <c r="E371" s="3">
        <v>1</v>
      </c>
      <c r="F371" s="5">
        <f>INDEX([1]products!$A$1:$G$49,MATCH([1]orders!$D371,[1]products!$A$1:$A$49,0),MATCH([1]orders!K$1,[1]products!$A$1:$G$1,0))</f>
        <v>0.5</v>
      </c>
      <c r="G371" s="6">
        <f>INDEX([1]products!$A$1:$G$49,MATCH([1]orders!$D371,[1]products!$A$1:$A$49,0),MATCH([1]orders!L$1,[1]products!$A$1:$G$1,0))</f>
        <v>8.91</v>
      </c>
      <c r="H371" s="6">
        <f t="shared" si="5"/>
        <v>8.91</v>
      </c>
    </row>
    <row r="372" spans="1:8" x14ac:dyDescent="0.3">
      <c r="A372" s="1" t="s">
        <v>744</v>
      </c>
      <c r="B372" s="2">
        <v>43501</v>
      </c>
      <c r="C372" s="3" t="s">
        <v>745</v>
      </c>
      <c r="D372" s="4" t="s">
        <v>245</v>
      </c>
      <c r="E372" s="3">
        <v>2</v>
      </c>
      <c r="F372" s="5">
        <f>INDEX([1]products!$A$1:$G$49,MATCH([1]orders!$D372,[1]products!$A$1:$A$49,0),MATCH([1]orders!K$1,[1]products!$A$1:$G$1,0))</f>
        <v>1</v>
      </c>
      <c r="G372" s="6">
        <f>INDEX([1]products!$A$1:$G$49,MATCH([1]orders!$D372,[1]products!$A$1:$A$49,0),MATCH([1]orders!L$1,[1]products!$A$1:$G$1,0))</f>
        <v>12.15</v>
      </c>
      <c r="H372" s="6">
        <f t="shared" si="5"/>
        <v>24.3</v>
      </c>
    </row>
    <row r="373" spans="1:8" x14ac:dyDescent="0.3">
      <c r="A373" s="1" t="s">
        <v>746</v>
      </c>
      <c r="B373" s="2">
        <v>44705</v>
      </c>
      <c r="C373" s="3" t="s">
        <v>747</v>
      </c>
      <c r="D373" s="4" t="s">
        <v>192</v>
      </c>
      <c r="E373" s="3">
        <v>6</v>
      </c>
      <c r="F373" s="5">
        <f>INDEX([1]products!$A$1:$G$49,MATCH([1]orders!$D373,[1]products!$A$1:$A$49,0),MATCH([1]orders!K$1,[1]products!$A$1:$G$1,0))</f>
        <v>0.5</v>
      </c>
      <c r="G373" s="6">
        <f>INDEX([1]products!$A$1:$G$49,MATCH([1]orders!$D373,[1]products!$A$1:$A$49,0),MATCH([1]orders!L$1,[1]products!$A$1:$G$1,0))</f>
        <v>7.77</v>
      </c>
      <c r="H373" s="6">
        <f t="shared" si="5"/>
        <v>46.62</v>
      </c>
    </row>
    <row r="374" spans="1:8" x14ac:dyDescent="0.3">
      <c r="A374" s="1" t="s">
        <v>748</v>
      </c>
      <c r="B374" s="2">
        <v>44108</v>
      </c>
      <c r="C374" s="3" t="s">
        <v>749</v>
      </c>
      <c r="D374" s="4" t="s">
        <v>157</v>
      </c>
      <c r="E374" s="3">
        <v>6</v>
      </c>
      <c r="F374" s="5">
        <f>INDEX([1]products!$A$1:$G$49,MATCH([1]orders!$D374,[1]products!$A$1:$A$49,0),MATCH([1]orders!K$1,[1]products!$A$1:$G$1,0))</f>
        <v>0.5</v>
      </c>
      <c r="G374" s="6">
        <f>INDEX([1]products!$A$1:$G$49,MATCH([1]orders!$D374,[1]products!$A$1:$A$49,0),MATCH([1]orders!L$1,[1]products!$A$1:$G$1,0))</f>
        <v>7.169999999999999</v>
      </c>
      <c r="H374" s="6">
        <f t="shared" si="5"/>
        <v>43.019999999999996</v>
      </c>
    </row>
    <row r="375" spans="1:8" x14ac:dyDescent="0.3">
      <c r="A375" s="1" t="s">
        <v>750</v>
      </c>
      <c r="B375" s="2">
        <v>44742</v>
      </c>
      <c r="C375" s="3" t="s">
        <v>751</v>
      </c>
      <c r="D375" s="4" t="s">
        <v>72</v>
      </c>
      <c r="E375" s="3">
        <v>3</v>
      </c>
      <c r="F375" s="5">
        <f>INDEX([1]products!$A$1:$G$49,MATCH([1]orders!$D375,[1]products!$A$1:$A$49,0),MATCH([1]orders!K$1,[1]products!$A$1:$G$1,0))</f>
        <v>0.5</v>
      </c>
      <c r="G375" s="6">
        <f>INDEX([1]products!$A$1:$G$49,MATCH([1]orders!$D375,[1]products!$A$1:$A$49,0),MATCH([1]orders!L$1,[1]products!$A$1:$G$1,0))</f>
        <v>5.97</v>
      </c>
      <c r="H375" s="6">
        <f t="shared" si="5"/>
        <v>17.91</v>
      </c>
    </row>
    <row r="376" spans="1:8" x14ac:dyDescent="0.3">
      <c r="A376" s="1" t="s">
        <v>752</v>
      </c>
      <c r="B376" s="2">
        <v>44125</v>
      </c>
      <c r="C376" s="3" t="s">
        <v>753</v>
      </c>
      <c r="D376" s="4" t="s">
        <v>83</v>
      </c>
      <c r="E376" s="3">
        <v>4</v>
      </c>
      <c r="F376" s="5">
        <f>INDEX([1]products!$A$1:$G$49,MATCH([1]orders!$D376,[1]products!$A$1:$A$49,0),MATCH([1]orders!K$1,[1]products!$A$1:$G$1,0))</f>
        <v>0.5</v>
      </c>
      <c r="G376" s="6">
        <f>INDEX([1]products!$A$1:$G$49,MATCH([1]orders!$D376,[1]products!$A$1:$A$49,0),MATCH([1]orders!L$1,[1]products!$A$1:$G$1,0))</f>
        <v>9.51</v>
      </c>
      <c r="H376" s="6">
        <f t="shared" si="5"/>
        <v>38.04</v>
      </c>
    </row>
    <row r="377" spans="1:8" x14ac:dyDescent="0.3">
      <c r="A377" s="1" t="s">
        <v>754</v>
      </c>
      <c r="B377" s="2">
        <v>44120</v>
      </c>
      <c r="C377" s="3" t="s">
        <v>755</v>
      </c>
      <c r="D377" s="4" t="s">
        <v>44</v>
      </c>
      <c r="E377" s="3">
        <v>2</v>
      </c>
      <c r="F377" s="5">
        <f>INDEX([1]products!$A$1:$G$49,MATCH([1]orders!$D377,[1]products!$A$1:$A$49,0),MATCH([1]orders!K$1,[1]products!$A$1:$G$1,0))</f>
        <v>0.2</v>
      </c>
      <c r="G377" s="6">
        <f>INDEX([1]products!$A$1:$G$49,MATCH([1]orders!$D377,[1]products!$A$1:$A$49,0),MATCH([1]orders!L$1,[1]products!$A$1:$G$1,0))</f>
        <v>3.375</v>
      </c>
      <c r="H377" s="6">
        <f t="shared" si="5"/>
        <v>6.75</v>
      </c>
    </row>
    <row r="378" spans="1:8" x14ac:dyDescent="0.3">
      <c r="A378" s="1" t="s">
        <v>756</v>
      </c>
      <c r="B378" s="2">
        <v>44097</v>
      </c>
      <c r="C378" s="3" t="s">
        <v>757</v>
      </c>
      <c r="D378" s="4" t="s">
        <v>22</v>
      </c>
      <c r="E378" s="3">
        <v>1</v>
      </c>
      <c r="F378" s="5">
        <f>INDEX([1]products!$A$1:$G$49,MATCH([1]orders!$D378,[1]products!$A$1:$A$49,0),MATCH([1]orders!K$1,[1]products!$A$1:$G$1,0))</f>
        <v>0.5</v>
      </c>
      <c r="G378" s="6">
        <f>INDEX([1]products!$A$1:$G$49,MATCH([1]orders!$D378,[1]products!$A$1:$A$49,0),MATCH([1]orders!L$1,[1]products!$A$1:$G$1,0))</f>
        <v>5.97</v>
      </c>
      <c r="H378" s="6">
        <f t="shared" si="5"/>
        <v>5.97</v>
      </c>
    </row>
    <row r="379" spans="1:8" x14ac:dyDescent="0.3">
      <c r="A379" s="1" t="s">
        <v>758</v>
      </c>
      <c r="B379" s="2">
        <v>43532</v>
      </c>
      <c r="C379" s="3" t="s">
        <v>759</v>
      </c>
      <c r="D379" s="4" t="s">
        <v>101</v>
      </c>
      <c r="E379" s="3">
        <v>3</v>
      </c>
      <c r="F379" s="5">
        <f>INDEX([1]products!$A$1:$G$49,MATCH([1]orders!$D379,[1]products!$A$1:$A$49,0),MATCH([1]orders!K$1,[1]products!$A$1:$G$1,0))</f>
        <v>0.2</v>
      </c>
      <c r="G379" s="6">
        <f>INDEX([1]products!$A$1:$G$49,MATCH([1]orders!$D379,[1]products!$A$1:$A$49,0),MATCH([1]orders!L$1,[1]products!$A$1:$G$1,0))</f>
        <v>2.6849999999999996</v>
      </c>
      <c r="H379" s="6">
        <f t="shared" si="5"/>
        <v>8.0549999999999997</v>
      </c>
    </row>
    <row r="380" spans="1:8" x14ac:dyDescent="0.3">
      <c r="A380" s="1" t="s">
        <v>760</v>
      </c>
      <c r="B380" s="2">
        <v>44377</v>
      </c>
      <c r="C380" s="3" t="s">
        <v>761</v>
      </c>
      <c r="D380" s="4" t="s">
        <v>192</v>
      </c>
      <c r="E380" s="3">
        <v>3</v>
      </c>
      <c r="F380" s="5">
        <f>INDEX([1]products!$A$1:$G$49,MATCH([1]orders!$D380,[1]products!$A$1:$A$49,0),MATCH([1]orders!K$1,[1]products!$A$1:$G$1,0))</f>
        <v>0.5</v>
      </c>
      <c r="G380" s="6">
        <f>INDEX([1]products!$A$1:$G$49,MATCH([1]orders!$D380,[1]products!$A$1:$A$49,0),MATCH([1]orders!L$1,[1]products!$A$1:$G$1,0))</f>
        <v>7.77</v>
      </c>
      <c r="H380" s="6">
        <f t="shared" si="5"/>
        <v>23.31</v>
      </c>
    </row>
    <row r="381" spans="1:8" x14ac:dyDescent="0.3">
      <c r="A381" s="1" t="s">
        <v>762</v>
      </c>
      <c r="B381" s="2">
        <v>43690</v>
      </c>
      <c r="C381" s="3" t="s">
        <v>763</v>
      </c>
      <c r="D381" s="4" t="s">
        <v>157</v>
      </c>
      <c r="E381" s="3">
        <v>6</v>
      </c>
      <c r="F381" s="5">
        <f>INDEX([1]products!$A$1:$G$49,MATCH([1]orders!$D381,[1]products!$A$1:$A$49,0),MATCH([1]orders!K$1,[1]products!$A$1:$G$1,0))</f>
        <v>0.5</v>
      </c>
      <c r="G381" s="6">
        <f>INDEX([1]products!$A$1:$G$49,MATCH([1]orders!$D381,[1]products!$A$1:$A$49,0),MATCH([1]orders!L$1,[1]products!$A$1:$G$1,0))</f>
        <v>7.169999999999999</v>
      </c>
      <c r="H381" s="6">
        <f t="shared" si="5"/>
        <v>43.019999999999996</v>
      </c>
    </row>
    <row r="382" spans="1:8" x14ac:dyDescent="0.3">
      <c r="A382" s="1" t="s">
        <v>764</v>
      </c>
      <c r="B382" s="2">
        <v>44249</v>
      </c>
      <c r="C382" s="3" t="s">
        <v>664</v>
      </c>
      <c r="D382" s="4" t="s">
        <v>123</v>
      </c>
      <c r="E382" s="3">
        <v>3</v>
      </c>
      <c r="F382" s="5">
        <f>INDEX([1]products!$A$1:$G$49,MATCH([1]orders!$D382,[1]products!$A$1:$A$49,0),MATCH([1]orders!K$1,[1]products!$A$1:$G$1,0))</f>
        <v>0.5</v>
      </c>
      <c r="G382" s="6">
        <f>INDEX([1]products!$A$1:$G$49,MATCH([1]orders!$D382,[1]products!$A$1:$A$49,0),MATCH([1]orders!L$1,[1]products!$A$1:$G$1,0))</f>
        <v>7.77</v>
      </c>
      <c r="H382" s="6">
        <f t="shared" si="5"/>
        <v>23.31</v>
      </c>
    </row>
    <row r="383" spans="1:8" x14ac:dyDescent="0.3">
      <c r="A383" s="1" t="s">
        <v>765</v>
      </c>
      <c r="B383" s="2">
        <v>44646</v>
      </c>
      <c r="C383" s="3" t="s">
        <v>766</v>
      </c>
      <c r="D383" s="4" t="s">
        <v>54</v>
      </c>
      <c r="E383" s="3">
        <v>5</v>
      </c>
      <c r="F383" s="5">
        <f>INDEX([1]products!$A$1:$G$49,MATCH([1]orders!$D383,[1]products!$A$1:$A$49,0),MATCH([1]orders!K$1,[1]products!$A$1:$G$1,0))</f>
        <v>0.2</v>
      </c>
      <c r="G383" s="6">
        <f>INDEX([1]products!$A$1:$G$49,MATCH([1]orders!$D383,[1]products!$A$1:$A$49,0),MATCH([1]orders!L$1,[1]products!$A$1:$G$1,0))</f>
        <v>2.9849999999999999</v>
      </c>
      <c r="H383" s="6">
        <f t="shared" si="5"/>
        <v>14.924999999999999</v>
      </c>
    </row>
    <row r="384" spans="1:8" x14ac:dyDescent="0.3">
      <c r="A384" s="1" t="s">
        <v>767</v>
      </c>
      <c r="B384" s="2">
        <v>43840</v>
      </c>
      <c r="C384" s="3" t="s">
        <v>768</v>
      </c>
      <c r="D384" s="4" t="s">
        <v>16</v>
      </c>
      <c r="E384" s="3">
        <v>3</v>
      </c>
      <c r="F384" s="5">
        <f>INDEX([1]products!$A$1:$G$49,MATCH([1]orders!$D384,[1]products!$A$1:$A$49,0),MATCH([1]orders!K$1,[1]products!$A$1:$G$1,0))</f>
        <v>0.5</v>
      </c>
      <c r="G384" s="6">
        <f>INDEX([1]products!$A$1:$G$49,MATCH([1]orders!$D384,[1]products!$A$1:$A$49,0),MATCH([1]orders!L$1,[1]products!$A$1:$G$1,0))</f>
        <v>7.29</v>
      </c>
      <c r="H384" s="6">
        <f t="shared" si="5"/>
        <v>21.87</v>
      </c>
    </row>
    <row r="385" spans="1:8" x14ac:dyDescent="0.3">
      <c r="A385" s="1" t="s">
        <v>769</v>
      </c>
      <c r="B385" s="2">
        <v>43586</v>
      </c>
      <c r="C385" s="3" t="s">
        <v>770</v>
      </c>
      <c r="D385" s="4" t="s">
        <v>176</v>
      </c>
      <c r="E385" s="3">
        <v>6</v>
      </c>
      <c r="F385" s="5">
        <f>INDEX([1]products!$A$1:$G$49,MATCH([1]orders!$D385,[1]products!$A$1:$A$49,0),MATCH([1]orders!K$1,[1]products!$A$1:$G$1,0))</f>
        <v>0.5</v>
      </c>
      <c r="G385" s="6">
        <f>INDEX([1]products!$A$1:$G$49,MATCH([1]orders!$D385,[1]products!$A$1:$A$49,0),MATCH([1]orders!L$1,[1]products!$A$1:$G$1,0))</f>
        <v>8.91</v>
      </c>
      <c r="H385" s="6">
        <f t="shared" si="5"/>
        <v>53.46</v>
      </c>
    </row>
    <row r="386" spans="1:8" x14ac:dyDescent="0.3">
      <c r="A386" s="1" t="s">
        <v>771</v>
      </c>
      <c r="B386" s="2">
        <v>43870</v>
      </c>
      <c r="C386" s="3" t="s">
        <v>772</v>
      </c>
      <c r="D386" s="4" t="s">
        <v>204</v>
      </c>
      <c r="E386" s="3">
        <v>4</v>
      </c>
      <c r="F386" s="5">
        <f>INDEX([1]products!$A$1:$G$49,MATCH([1]orders!$D386,[1]products!$A$1:$A$49,0),MATCH([1]orders!K$1,[1]products!$A$1:$G$1,0))</f>
        <v>2.5</v>
      </c>
      <c r="G386" s="6">
        <f>INDEX([1]products!$A$1:$G$49,MATCH([1]orders!$D386,[1]products!$A$1:$A$49,0),MATCH([1]orders!L$1,[1]products!$A$1:$G$1,0))</f>
        <v>29.784999999999997</v>
      </c>
      <c r="H386" s="6">
        <f t="shared" ref="H386:H449" si="6">E386*G386</f>
        <v>119.13999999999999</v>
      </c>
    </row>
    <row r="387" spans="1:8" x14ac:dyDescent="0.3">
      <c r="A387" s="1" t="s">
        <v>773</v>
      </c>
      <c r="B387" s="2">
        <v>44559</v>
      </c>
      <c r="C387" s="3" t="s">
        <v>774</v>
      </c>
      <c r="D387" s="4" t="s">
        <v>78</v>
      </c>
      <c r="E387" s="3">
        <v>5</v>
      </c>
      <c r="F387" s="5">
        <f>INDEX([1]products!$A$1:$G$49,MATCH([1]orders!$D387,[1]products!$A$1:$A$49,0),MATCH([1]orders!K$1,[1]products!$A$1:$G$1,0))</f>
        <v>0.5</v>
      </c>
      <c r="G387" s="6">
        <f>INDEX([1]products!$A$1:$G$49,MATCH([1]orders!$D387,[1]products!$A$1:$A$49,0),MATCH([1]orders!L$1,[1]products!$A$1:$G$1,0))</f>
        <v>8.73</v>
      </c>
      <c r="H387" s="6">
        <f t="shared" si="6"/>
        <v>43.650000000000006</v>
      </c>
    </row>
    <row r="388" spans="1:8" x14ac:dyDescent="0.3">
      <c r="A388" s="1" t="s">
        <v>775</v>
      </c>
      <c r="B388" s="2">
        <v>44083</v>
      </c>
      <c r="C388" s="3" t="s">
        <v>776</v>
      </c>
      <c r="D388" s="4" t="s">
        <v>54</v>
      </c>
      <c r="E388" s="3">
        <v>6</v>
      </c>
      <c r="F388" s="5">
        <f>INDEX([1]products!$A$1:$G$49,MATCH([1]orders!$D388,[1]products!$A$1:$A$49,0),MATCH([1]orders!K$1,[1]products!$A$1:$G$1,0))</f>
        <v>0.2</v>
      </c>
      <c r="G388" s="6">
        <f>INDEX([1]products!$A$1:$G$49,MATCH([1]orders!$D388,[1]products!$A$1:$A$49,0),MATCH([1]orders!L$1,[1]products!$A$1:$G$1,0))</f>
        <v>2.9849999999999999</v>
      </c>
      <c r="H388" s="6">
        <f t="shared" si="6"/>
        <v>17.91</v>
      </c>
    </row>
    <row r="389" spans="1:8" x14ac:dyDescent="0.3">
      <c r="A389" s="1" t="s">
        <v>777</v>
      </c>
      <c r="B389" s="2">
        <v>44455</v>
      </c>
      <c r="C389" s="3" t="s">
        <v>778</v>
      </c>
      <c r="D389" s="4" t="s">
        <v>137</v>
      </c>
      <c r="E389" s="3">
        <v>5</v>
      </c>
      <c r="F389" s="5">
        <f>INDEX([1]products!$A$1:$G$49,MATCH([1]orders!$D389,[1]products!$A$1:$A$49,0),MATCH([1]orders!K$1,[1]products!$A$1:$G$1,0))</f>
        <v>1</v>
      </c>
      <c r="G389" s="6">
        <f>INDEX([1]products!$A$1:$G$49,MATCH([1]orders!$D389,[1]products!$A$1:$A$49,0),MATCH([1]orders!L$1,[1]products!$A$1:$G$1,0))</f>
        <v>14.85</v>
      </c>
      <c r="H389" s="6">
        <f t="shared" si="6"/>
        <v>74.25</v>
      </c>
    </row>
    <row r="390" spans="1:8" x14ac:dyDescent="0.3">
      <c r="A390" s="1" t="s">
        <v>779</v>
      </c>
      <c r="B390" s="2">
        <v>44130</v>
      </c>
      <c r="C390" s="3" t="s">
        <v>780</v>
      </c>
      <c r="D390" s="4" t="s">
        <v>38</v>
      </c>
      <c r="E390" s="3">
        <v>3</v>
      </c>
      <c r="F390" s="5">
        <f>INDEX([1]products!$A$1:$G$49,MATCH([1]orders!$D390,[1]products!$A$1:$A$49,0),MATCH([1]orders!K$1,[1]products!$A$1:$G$1,0))</f>
        <v>0.2</v>
      </c>
      <c r="G390" s="6">
        <f>INDEX([1]products!$A$1:$G$49,MATCH([1]orders!$D390,[1]products!$A$1:$A$49,0),MATCH([1]orders!L$1,[1]products!$A$1:$G$1,0))</f>
        <v>3.8849999999999998</v>
      </c>
      <c r="H390" s="6">
        <f t="shared" si="6"/>
        <v>11.654999999999999</v>
      </c>
    </row>
    <row r="391" spans="1:8" x14ac:dyDescent="0.3">
      <c r="A391" s="1" t="s">
        <v>781</v>
      </c>
      <c r="B391" s="2">
        <v>43536</v>
      </c>
      <c r="C391" s="3" t="s">
        <v>782</v>
      </c>
      <c r="D391" s="4" t="s">
        <v>123</v>
      </c>
      <c r="E391" s="3">
        <v>3</v>
      </c>
      <c r="F391" s="5">
        <f>INDEX([1]products!$A$1:$G$49,MATCH([1]orders!$D391,[1]products!$A$1:$A$49,0),MATCH([1]orders!K$1,[1]products!$A$1:$G$1,0))</f>
        <v>0.5</v>
      </c>
      <c r="G391" s="6">
        <f>INDEX([1]products!$A$1:$G$49,MATCH([1]orders!$D391,[1]products!$A$1:$A$49,0),MATCH([1]orders!L$1,[1]products!$A$1:$G$1,0))</f>
        <v>7.77</v>
      </c>
      <c r="H391" s="6">
        <f t="shared" si="6"/>
        <v>23.31</v>
      </c>
    </row>
    <row r="392" spans="1:8" x14ac:dyDescent="0.3">
      <c r="A392" s="1" t="s">
        <v>783</v>
      </c>
      <c r="B392" s="2">
        <v>44245</v>
      </c>
      <c r="C392" s="3" t="s">
        <v>784</v>
      </c>
      <c r="D392" s="4" t="s">
        <v>16</v>
      </c>
      <c r="E392" s="3">
        <v>2</v>
      </c>
      <c r="F392" s="5">
        <f>INDEX([1]products!$A$1:$G$49,MATCH([1]orders!$D392,[1]products!$A$1:$A$49,0),MATCH([1]orders!K$1,[1]products!$A$1:$G$1,0))</f>
        <v>0.5</v>
      </c>
      <c r="G392" s="6">
        <f>INDEX([1]products!$A$1:$G$49,MATCH([1]orders!$D392,[1]products!$A$1:$A$49,0),MATCH([1]orders!L$1,[1]products!$A$1:$G$1,0))</f>
        <v>7.29</v>
      </c>
      <c r="H392" s="6">
        <f t="shared" si="6"/>
        <v>14.58</v>
      </c>
    </row>
    <row r="393" spans="1:8" x14ac:dyDescent="0.3">
      <c r="A393" s="1" t="s">
        <v>785</v>
      </c>
      <c r="B393" s="2">
        <v>44133</v>
      </c>
      <c r="C393" s="3" t="s">
        <v>786</v>
      </c>
      <c r="D393" s="4" t="s">
        <v>67</v>
      </c>
      <c r="E393" s="3">
        <v>2</v>
      </c>
      <c r="F393" s="5">
        <f>INDEX([1]products!$A$1:$G$49,MATCH([1]orders!$D393,[1]products!$A$1:$A$49,0),MATCH([1]orders!K$1,[1]products!$A$1:$G$1,0))</f>
        <v>0.5</v>
      </c>
      <c r="G393" s="6">
        <f>INDEX([1]products!$A$1:$G$49,MATCH([1]orders!$D393,[1]products!$A$1:$A$49,0),MATCH([1]orders!L$1,[1]products!$A$1:$G$1,0))</f>
        <v>6.75</v>
      </c>
      <c r="H393" s="6">
        <f t="shared" si="6"/>
        <v>13.5</v>
      </c>
    </row>
    <row r="394" spans="1:8" x14ac:dyDescent="0.3">
      <c r="A394" s="1" t="s">
        <v>787</v>
      </c>
      <c r="B394" s="2">
        <v>44445</v>
      </c>
      <c r="C394" s="3" t="s">
        <v>788</v>
      </c>
      <c r="D394" s="4" t="s">
        <v>137</v>
      </c>
      <c r="E394" s="3">
        <v>6</v>
      </c>
      <c r="F394" s="5">
        <f>INDEX([1]products!$A$1:$G$49,MATCH([1]orders!$D394,[1]products!$A$1:$A$49,0),MATCH([1]orders!K$1,[1]products!$A$1:$G$1,0))</f>
        <v>1</v>
      </c>
      <c r="G394" s="6">
        <f>INDEX([1]products!$A$1:$G$49,MATCH([1]orders!$D394,[1]products!$A$1:$A$49,0),MATCH([1]orders!L$1,[1]products!$A$1:$G$1,0))</f>
        <v>14.85</v>
      </c>
      <c r="H394" s="6">
        <f t="shared" si="6"/>
        <v>89.1</v>
      </c>
    </row>
    <row r="395" spans="1:8" x14ac:dyDescent="0.3">
      <c r="A395" s="1" t="s">
        <v>787</v>
      </c>
      <c r="B395" s="2">
        <v>44445</v>
      </c>
      <c r="C395" s="3" t="s">
        <v>788</v>
      </c>
      <c r="D395" s="4" t="s">
        <v>115</v>
      </c>
      <c r="E395" s="3">
        <v>1</v>
      </c>
      <c r="F395" s="5">
        <f>INDEX([1]products!$A$1:$G$49,MATCH([1]orders!$D395,[1]products!$A$1:$A$49,0),MATCH([1]orders!K$1,[1]products!$A$1:$G$1,0))</f>
        <v>0.2</v>
      </c>
      <c r="G395" s="6">
        <f>INDEX([1]products!$A$1:$G$49,MATCH([1]orders!$D395,[1]products!$A$1:$A$49,0),MATCH([1]orders!L$1,[1]products!$A$1:$G$1,0))</f>
        <v>3.8849999999999998</v>
      </c>
      <c r="H395" s="6">
        <f t="shared" si="6"/>
        <v>3.8849999999999998</v>
      </c>
    </row>
    <row r="396" spans="1:8" x14ac:dyDescent="0.3">
      <c r="A396" s="1" t="s">
        <v>789</v>
      </c>
      <c r="B396" s="2">
        <v>44083</v>
      </c>
      <c r="C396" s="3" t="s">
        <v>790</v>
      </c>
      <c r="D396" s="4" t="s">
        <v>10</v>
      </c>
      <c r="E396" s="3">
        <v>4</v>
      </c>
      <c r="F396" s="5">
        <f>INDEX([1]products!$A$1:$G$49,MATCH([1]orders!$D396,[1]products!$A$1:$A$49,0),MATCH([1]orders!K$1,[1]products!$A$1:$G$1,0))</f>
        <v>2.5</v>
      </c>
      <c r="G396" s="6">
        <f>INDEX([1]products!$A$1:$G$49,MATCH([1]orders!$D396,[1]products!$A$1:$A$49,0),MATCH([1]orders!L$1,[1]products!$A$1:$G$1,0))</f>
        <v>27.484999999999996</v>
      </c>
      <c r="H396" s="6">
        <f t="shared" si="6"/>
        <v>109.93999999999998</v>
      </c>
    </row>
    <row r="397" spans="1:8" x14ac:dyDescent="0.3">
      <c r="A397" s="1" t="s">
        <v>791</v>
      </c>
      <c r="B397" s="2">
        <v>44465</v>
      </c>
      <c r="C397" s="3" t="s">
        <v>792</v>
      </c>
      <c r="D397" s="4" t="s">
        <v>123</v>
      </c>
      <c r="E397" s="3">
        <v>6</v>
      </c>
      <c r="F397" s="5">
        <f>INDEX([1]products!$A$1:$G$49,MATCH([1]orders!$D397,[1]products!$A$1:$A$49,0),MATCH([1]orders!K$1,[1]products!$A$1:$G$1,0))</f>
        <v>0.5</v>
      </c>
      <c r="G397" s="6">
        <f>INDEX([1]products!$A$1:$G$49,MATCH([1]orders!$D397,[1]products!$A$1:$A$49,0),MATCH([1]orders!L$1,[1]products!$A$1:$G$1,0))</f>
        <v>7.77</v>
      </c>
      <c r="H397" s="6">
        <f t="shared" si="6"/>
        <v>46.62</v>
      </c>
    </row>
    <row r="398" spans="1:8" x14ac:dyDescent="0.3">
      <c r="A398" s="1" t="s">
        <v>793</v>
      </c>
      <c r="B398" s="2">
        <v>44140</v>
      </c>
      <c r="C398" s="3" t="s">
        <v>794</v>
      </c>
      <c r="D398" s="4" t="s">
        <v>192</v>
      </c>
      <c r="E398" s="3">
        <v>5</v>
      </c>
      <c r="F398" s="5">
        <f>INDEX([1]products!$A$1:$G$49,MATCH([1]orders!$D398,[1]products!$A$1:$A$49,0),MATCH([1]orders!K$1,[1]products!$A$1:$G$1,0))</f>
        <v>0.5</v>
      </c>
      <c r="G398" s="6">
        <f>INDEX([1]products!$A$1:$G$49,MATCH([1]orders!$D398,[1]products!$A$1:$A$49,0),MATCH([1]orders!L$1,[1]products!$A$1:$G$1,0))</f>
        <v>7.77</v>
      </c>
      <c r="H398" s="6">
        <f t="shared" si="6"/>
        <v>38.849999999999994</v>
      </c>
    </row>
    <row r="399" spans="1:8" x14ac:dyDescent="0.3">
      <c r="A399" s="1" t="s">
        <v>795</v>
      </c>
      <c r="B399" s="2">
        <v>43720</v>
      </c>
      <c r="C399" s="3" t="s">
        <v>796</v>
      </c>
      <c r="D399" s="4" t="s">
        <v>123</v>
      </c>
      <c r="E399" s="3">
        <v>4</v>
      </c>
      <c r="F399" s="5">
        <f>INDEX([1]products!$A$1:$G$49,MATCH([1]orders!$D399,[1]products!$A$1:$A$49,0),MATCH([1]orders!K$1,[1]products!$A$1:$G$1,0))</f>
        <v>0.5</v>
      </c>
      <c r="G399" s="6">
        <f>INDEX([1]products!$A$1:$G$49,MATCH([1]orders!$D399,[1]products!$A$1:$A$49,0),MATCH([1]orders!L$1,[1]products!$A$1:$G$1,0))</f>
        <v>7.77</v>
      </c>
      <c r="H399" s="6">
        <f t="shared" si="6"/>
        <v>31.08</v>
      </c>
    </row>
    <row r="400" spans="1:8" x14ac:dyDescent="0.3">
      <c r="A400" s="1" t="s">
        <v>797</v>
      </c>
      <c r="B400" s="2">
        <v>43677</v>
      </c>
      <c r="C400" s="3" t="s">
        <v>798</v>
      </c>
      <c r="D400" s="4" t="s">
        <v>54</v>
      </c>
      <c r="E400" s="3">
        <v>6</v>
      </c>
      <c r="F400" s="5">
        <f>INDEX([1]products!$A$1:$G$49,MATCH([1]orders!$D400,[1]products!$A$1:$A$49,0),MATCH([1]orders!K$1,[1]products!$A$1:$G$1,0))</f>
        <v>0.2</v>
      </c>
      <c r="G400" s="6">
        <f>INDEX([1]products!$A$1:$G$49,MATCH([1]orders!$D400,[1]products!$A$1:$A$49,0),MATCH([1]orders!L$1,[1]products!$A$1:$G$1,0))</f>
        <v>2.9849999999999999</v>
      </c>
      <c r="H400" s="6">
        <f t="shared" si="6"/>
        <v>17.91</v>
      </c>
    </row>
    <row r="401" spans="1:8" x14ac:dyDescent="0.3">
      <c r="A401" s="1" t="s">
        <v>799</v>
      </c>
      <c r="B401" s="2">
        <v>43539</v>
      </c>
      <c r="C401" s="3" t="s">
        <v>800</v>
      </c>
      <c r="D401" s="4" t="s">
        <v>530</v>
      </c>
      <c r="E401" s="3">
        <v>6</v>
      </c>
      <c r="F401" s="5">
        <f>INDEX([1]products!$A$1:$G$49,MATCH([1]orders!$D401,[1]products!$A$1:$A$49,0),MATCH([1]orders!K$1,[1]products!$A$1:$G$1,0))</f>
        <v>2.5</v>
      </c>
      <c r="G401" s="6">
        <f>INDEX([1]products!$A$1:$G$49,MATCH([1]orders!$D401,[1]products!$A$1:$A$49,0),MATCH([1]orders!L$1,[1]products!$A$1:$G$1,0))</f>
        <v>27.945</v>
      </c>
      <c r="H401" s="6">
        <f t="shared" si="6"/>
        <v>167.67000000000002</v>
      </c>
    </row>
    <row r="402" spans="1:8" x14ac:dyDescent="0.3">
      <c r="A402" s="1" t="s">
        <v>801</v>
      </c>
      <c r="B402" s="2">
        <v>44332</v>
      </c>
      <c r="C402" s="3" t="s">
        <v>802</v>
      </c>
      <c r="D402" s="4" t="s">
        <v>132</v>
      </c>
      <c r="E402" s="3">
        <v>4</v>
      </c>
      <c r="F402" s="5">
        <f>INDEX([1]products!$A$1:$G$49,MATCH([1]orders!$D402,[1]products!$A$1:$A$49,0),MATCH([1]orders!K$1,[1]products!$A$1:$G$1,0))</f>
        <v>1</v>
      </c>
      <c r="G402" s="6">
        <f>INDEX([1]products!$A$1:$G$49,MATCH([1]orders!$D402,[1]products!$A$1:$A$49,0),MATCH([1]orders!L$1,[1]products!$A$1:$G$1,0))</f>
        <v>15.85</v>
      </c>
      <c r="H402" s="6">
        <f t="shared" si="6"/>
        <v>63.4</v>
      </c>
    </row>
    <row r="403" spans="1:8" x14ac:dyDescent="0.3">
      <c r="A403" s="1" t="s">
        <v>803</v>
      </c>
      <c r="B403" s="2">
        <v>43591</v>
      </c>
      <c r="C403" s="3" t="s">
        <v>804</v>
      </c>
      <c r="D403" s="4" t="s">
        <v>77</v>
      </c>
      <c r="E403" s="3">
        <v>2</v>
      </c>
      <c r="F403" s="5">
        <f>INDEX([1]products!$A$1:$G$49,MATCH([1]orders!$D403,[1]products!$A$1:$A$49,0),MATCH([1]orders!K$1,[1]products!$A$1:$G$1,0))</f>
        <v>0.2</v>
      </c>
      <c r="G403" s="6">
        <f>INDEX([1]products!$A$1:$G$49,MATCH([1]orders!$D403,[1]products!$A$1:$A$49,0),MATCH([1]orders!L$1,[1]products!$A$1:$G$1,0))</f>
        <v>4.3650000000000002</v>
      </c>
      <c r="H403" s="6">
        <f t="shared" si="6"/>
        <v>8.73</v>
      </c>
    </row>
    <row r="404" spans="1:8" x14ac:dyDescent="0.3">
      <c r="A404" s="1" t="s">
        <v>805</v>
      </c>
      <c r="B404" s="2">
        <v>43502</v>
      </c>
      <c r="C404" s="3" t="s">
        <v>806</v>
      </c>
      <c r="D404" s="4" t="s">
        <v>179</v>
      </c>
      <c r="E404" s="3">
        <v>3</v>
      </c>
      <c r="F404" s="5">
        <f>INDEX([1]products!$A$1:$G$49,MATCH([1]orders!$D404,[1]products!$A$1:$A$49,0),MATCH([1]orders!K$1,[1]products!$A$1:$G$1,0))</f>
        <v>1</v>
      </c>
      <c r="G404" s="6">
        <f>INDEX([1]products!$A$1:$G$49,MATCH([1]orders!$D404,[1]products!$A$1:$A$49,0),MATCH([1]orders!L$1,[1]products!$A$1:$G$1,0))</f>
        <v>8.9499999999999993</v>
      </c>
      <c r="H404" s="6">
        <f t="shared" si="6"/>
        <v>26.849999999999998</v>
      </c>
    </row>
    <row r="405" spans="1:8" x14ac:dyDescent="0.3">
      <c r="A405" s="1" t="s">
        <v>807</v>
      </c>
      <c r="B405" s="2">
        <v>44295</v>
      </c>
      <c r="C405" s="3" t="s">
        <v>808</v>
      </c>
      <c r="D405" s="4" t="s">
        <v>19</v>
      </c>
      <c r="E405" s="3">
        <v>2</v>
      </c>
      <c r="F405" s="5">
        <f>INDEX([1]products!$A$1:$G$49,MATCH([1]orders!$D405,[1]products!$A$1:$A$49,0),MATCH([1]orders!K$1,[1]products!$A$1:$G$1,0))</f>
        <v>0.2</v>
      </c>
      <c r="G405" s="6">
        <f>INDEX([1]products!$A$1:$G$49,MATCH([1]orders!$D405,[1]products!$A$1:$A$49,0),MATCH([1]orders!L$1,[1]products!$A$1:$G$1,0))</f>
        <v>4.7549999999999999</v>
      </c>
      <c r="H405" s="6">
        <f t="shared" si="6"/>
        <v>9.51</v>
      </c>
    </row>
    <row r="406" spans="1:8" x14ac:dyDescent="0.3">
      <c r="A406" s="1" t="s">
        <v>809</v>
      </c>
      <c r="B406" s="2">
        <v>43971</v>
      </c>
      <c r="C406" s="3" t="s">
        <v>810</v>
      </c>
      <c r="D406" s="4" t="s">
        <v>27</v>
      </c>
      <c r="E406" s="3">
        <v>4</v>
      </c>
      <c r="F406" s="5">
        <f>INDEX([1]products!$A$1:$G$49,MATCH([1]orders!$D406,[1]products!$A$1:$A$49,0),MATCH([1]orders!K$1,[1]products!$A$1:$G$1,0))</f>
        <v>1</v>
      </c>
      <c r="G406" s="6">
        <f>INDEX([1]products!$A$1:$G$49,MATCH([1]orders!$D406,[1]products!$A$1:$A$49,0),MATCH([1]orders!L$1,[1]products!$A$1:$G$1,0))</f>
        <v>9.9499999999999993</v>
      </c>
      <c r="H406" s="6">
        <f t="shared" si="6"/>
        <v>39.799999999999997</v>
      </c>
    </row>
    <row r="407" spans="1:8" x14ac:dyDescent="0.3">
      <c r="A407" s="1" t="s">
        <v>811</v>
      </c>
      <c r="B407" s="2">
        <v>44167</v>
      </c>
      <c r="C407" s="3" t="s">
        <v>812</v>
      </c>
      <c r="D407" s="4" t="s">
        <v>3</v>
      </c>
      <c r="E407" s="3">
        <v>3</v>
      </c>
      <c r="F407" s="5">
        <f>INDEX([1]products!$A$1:$G$49,MATCH([1]orders!$D407,[1]products!$A$1:$A$49,0),MATCH([1]orders!K$1,[1]products!$A$1:$G$1,0))</f>
        <v>0.5</v>
      </c>
      <c r="G407" s="6">
        <f>INDEX([1]products!$A$1:$G$49,MATCH([1]orders!$D407,[1]products!$A$1:$A$49,0),MATCH([1]orders!L$1,[1]products!$A$1:$G$1,0))</f>
        <v>8.25</v>
      </c>
      <c r="H407" s="6">
        <f t="shared" si="6"/>
        <v>24.75</v>
      </c>
    </row>
    <row r="408" spans="1:8" x14ac:dyDescent="0.3">
      <c r="A408" s="1" t="s">
        <v>813</v>
      </c>
      <c r="B408" s="2">
        <v>44416</v>
      </c>
      <c r="C408" s="3" t="s">
        <v>814</v>
      </c>
      <c r="D408" s="4" t="s">
        <v>9</v>
      </c>
      <c r="E408" s="3">
        <v>5</v>
      </c>
      <c r="F408" s="5">
        <f>INDEX([1]products!$A$1:$G$49,MATCH([1]orders!$D408,[1]products!$A$1:$A$49,0),MATCH([1]orders!K$1,[1]products!$A$1:$G$1,0))</f>
        <v>1</v>
      </c>
      <c r="G408" s="6">
        <f>INDEX([1]products!$A$1:$G$49,MATCH([1]orders!$D408,[1]products!$A$1:$A$49,0),MATCH([1]orders!L$1,[1]products!$A$1:$G$1,0))</f>
        <v>13.75</v>
      </c>
      <c r="H408" s="6">
        <f t="shared" si="6"/>
        <v>68.75</v>
      </c>
    </row>
    <row r="409" spans="1:8" x14ac:dyDescent="0.3">
      <c r="A409" s="1" t="s">
        <v>815</v>
      </c>
      <c r="B409" s="2">
        <v>44595</v>
      </c>
      <c r="C409" s="3" t="s">
        <v>816</v>
      </c>
      <c r="D409" s="4" t="s">
        <v>3</v>
      </c>
      <c r="E409" s="3">
        <v>6</v>
      </c>
      <c r="F409" s="5">
        <f>INDEX([1]products!$A$1:$G$49,MATCH([1]orders!$D409,[1]products!$A$1:$A$49,0),MATCH([1]orders!K$1,[1]products!$A$1:$G$1,0))</f>
        <v>0.5</v>
      </c>
      <c r="G409" s="6">
        <f>INDEX([1]products!$A$1:$G$49,MATCH([1]orders!$D409,[1]products!$A$1:$A$49,0),MATCH([1]orders!L$1,[1]products!$A$1:$G$1,0))</f>
        <v>8.25</v>
      </c>
      <c r="H409" s="6">
        <f t="shared" si="6"/>
        <v>49.5</v>
      </c>
    </row>
    <row r="410" spans="1:8" x14ac:dyDescent="0.3">
      <c r="A410" s="1" t="s">
        <v>817</v>
      </c>
      <c r="B410" s="2">
        <v>44659</v>
      </c>
      <c r="C410" s="3" t="s">
        <v>818</v>
      </c>
      <c r="D410" s="4" t="s">
        <v>171</v>
      </c>
      <c r="E410" s="3">
        <v>2</v>
      </c>
      <c r="F410" s="5">
        <f>INDEX([1]products!$A$1:$G$49,MATCH([1]orders!$D410,[1]products!$A$1:$A$49,0),MATCH([1]orders!K$1,[1]products!$A$1:$G$1,0))</f>
        <v>2.5</v>
      </c>
      <c r="G410" s="6">
        <f>INDEX([1]products!$A$1:$G$49,MATCH([1]orders!$D410,[1]products!$A$1:$A$49,0),MATCH([1]orders!L$1,[1]products!$A$1:$G$1,0))</f>
        <v>25.874999999999996</v>
      </c>
      <c r="H410" s="6">
        <f t="shared" si="6"/>
        <v>51.749999999999993</v>
      </c>
    </row>
    <row r="411" spans="1:8" x14ac:dyDescent="0.3">
      <c r="A411" s="1" t="s">
        <v>819</v>
      </c>
      <c r="B411" s="2">
        <v>44203</v>
      </c>
      <c r="C411" s="3" t="s">
        <v>820</v>
      </c>
      <c r="D411" s="4" t="s">
        <v>132</v>
      </c>
      <c r="E411" s="3">
        <v>3</v>
      </c>
      <c r="F411" s="5">
        <f>INDEX([1]products!$A$1:$G$49,MATCH([1]orders!$D411,[1]products!$A$1:$A$49,0),MATCH([1]orders!K$1,[1]products!$A$1:$G$1,0))</f>
        <v>1</v>
      </c>
      <c r="G411" s="6">
        <f>INDEX([1]products!$A$1:$G$49,MATCH([1]orders!$D411,[1]products!$A$1:$A$49,0),MATCH([1]orders!L$1,[1]products!$A$1:$G$1,0))</f>
        <v>15.85</v>
      </c>
      <c r="H411" s="6">
        <f t="shared" si="6"/>
        <v>47.55</v>
      </c>
    </row>
    <row r="412" spans="1:8" x14ac:dyDescent="0.3">
      <c r="A412" s="1" t="s">
        <v>821</v>
      </c>
      <c r="B412" s="2">
        <v>44441</v>
      </c>
      <c r="C412" s="3" t="s">
        <v>822</v>
      </c>
      <c r="D412" s="4" t="s">
        <v>115</v>
      </c>
      <c r="E412" s="3">
        <v>4</v>
      </c>
      <c r="F412" s="5">
        <f>INDEX([1]products!$A$1:$G$49,MATCH([1]orders!$D412,[1]products!$A$1:$A$49,0),MATCH([1]orders!K$1,[1]products!$A$1:$G$1,0))</f>
        <v>0.2</v>
      </c>
      <c r="G412" s="6">
        <f>INDEX([1]products!$A$1:$G$49,MATCH([1]orders!$D412,[1]products!$A$1:$A$49,0),MATCH([1]orders!L$1,[1]products!$A$1:$G$1,0))</f>
        <v>3.8849999999999998</v>
      </c>
      <c r="H412" s="6">
        <f t="shared" si="6"/>
        <v>15.54</v>
      </c>
    </row>
    <row r="413" spans="1:8" x14ac:dyDescent="0.3">
      <c r="A413" s="1" t="s">
        <v>823</v>
      </c>
      <c r="B413" s="2">
        <v>44504</v>
      </c>
      <c r="C413" s="3" t="s">
        <v>824</v>
      </c>
      <c r="D413" s="4" t="s">
        <v>96</v>
      </c>
      <c r="E413" s="3">
        <v>6</v>
      </c>
      <c r="F413" s="5">
        <f>INDEX([1]products!$A$1:$G$49,MATCH([1]orders!$D413,[1]products!$A$1:$A$49,0),MATCH([1]orders!K$1,[1]products!$A$1:$G$1,0))</f>
        <v>1</v>
      </c>
      <c r="G413" s="6">
        <f>INDEX([1]products!$A$1:$G$49,MATCH([1]orders!$D413,[1]products!$A$1:$A$49,0),MATCH([1]orders!L$1,[1]products!$A$1:$G$1,0))</f>
        <v>14.55</v>
      </c>
      <c r="H413" s="6">
        <f t="shared" si="6"/>
        <v>87.300000000000011</v>
      </c>
    </row>
    <row r="414" spans="1:8" x14ac:dyDescent="0.3">
      <c r="A414" s="1" t="s">
        <v>825</v>
      </c>
      <c r="B414" s="2">
        <v>44410</v>
      </c>
      <c r="C414" s="3" t="s">
        <v>826</v>
      </c>
      <c r="D414" s="4" t="s">
        <v>61</v>
      </c>
      <c r="E414" s="3">
        <v>5</v>
      </c>
      <c r="F414" s="5">
        <f>INDEX([1]products!$A$1:$G$49,MATCH([1]orders!$D414,[1]products!$A$1:$A$49,0),MATCH([1]orders!K$1,[1]products!$A$1:$G$1,0))</f>
        <v>1</v>
      </c>
      <c r="G414" s="6">
        <f>INDEX([1]products!$A$1:$G$49,MATCH([1]orders!$D414,[1]products!$A$1:$A$49,0),MATCH([1]orders!L$1,[1]products!$A$1:$G$1,0))</f>
        <v>11.25</v>
      </c>
      <c r="H414" s="6">
        <f t="shared" si="6"/>
        <v>56.25</v>
      </c>
    </row>
    <row r="415" spans="1:8" x14ac:dyDescent="0.3">
      <c r="A415" s="1" t="s">
        <v>827</v>
      </c>
      <c r="B415" s="2">
        <v>43857</v>
      </c>
      <c r="C415" s="3" t="s">
        <v>828</v>
      </c>
      <c r="D415" s="4" t="s">
        <v>104</v>
      </c>
      <c r="E415" s="3">
        <v>1</v>
      </c>
      <c r="F415" s="5">
        <f>INDEX([1]products!$A$1:$G$49,MATCH([1]orders!$D415,[1]products!$A$1:$A$49,0),MATCH([1]orders!K$1,[1]products!$A$1:$G$1,0))</f>
        <v>2.5</v>
      </c>
      <c r="G415" s="6">
        <f>INDEX([1]products!$A$1:$G$49,MATCH([1]orders!$D415,[1]products!$A$1:$A$49,0),MATCH([1]orders!L$1,[1]products!$A$1:$G$1,0))</f>
        <v>36.454999999999998</v>
      </c>
      <c r="H415" s="6">
        <f t="shared" si="6"/>
        <v>36.454999999999998</v>
      </c>
    </row>
    <row r="416" spans="1:8" x14ac:dyDescent="0.3">
      <c r="A416" s="1" t="s">
        <v>829</v>
      </c>
      <c r="B416" s="2">
        <v>43802</v>
      </c>
      <c r="C416" s="3" t="s">
        <v>830</v>
      </c>
      <c r="D416" s="4" t="s">
        <v>182</v>
      </c>
      <c r="E416" s="3">
        <v>3</v>
      </c>
      <c r="F416" s="5">
        <f>INDEX([1]products!$A$1:$G$49,MATCH([1]orders!$D416,[1]products!$A$1:$A$49,0),MATCH([1]orders!K$1,[1]products!$A$1:$G$1,0))</f>
        <v>0.2</v>
      </c>
      <c r="G416" s="6">
        <f>INDEX([1]products!$A$1:$G$49,MATCH([1]orders!$D416,[1]products!$A$1:$A$49,0),MATCH([1]orders!L$1,[1]products!$A$1:$G$1,0))</f>
        <v>3.5849999999999995</v>
      </c>
      <c r="H416" s="6">
        <f t="shared" si="6"/>
        <v>10.754999999999999</v>
      </c>
    </row>
    <row r="417" spans="1:8" x14ac:dyDescent="0.3">
      <c r="A417" s="1" t="s">
        <v>831</v>
      </c>
      <c r="B417" s="2">
        <v>43683</v>
      </c>
      <c r="C417" s="3" t="s">
        <v>832</v>
      </c>
      <c r="D417" s="4" t="s">
        <v>162</v>
      </c>
      <c r="E417" s="3">
        <v>3</v>
      </c>
      <c r="F417" s="5">
        <f>INDEX([1]products!$A$1:$G$49,MATCH([1]orders!$D417,[1]products!$A$1:$A$49,0),MATCH([1]orders!K$1,[1]products!$A$1:$G$1,0))</f>
        <v>0.2</v>
      </c>
      <c r="G417" s="6">
        <f>INDEX([1]products!$A$1:$G$49,MATCH([1]orders!$D417,[1]products!$A$1:$A$49,0),MATCH([1]orders!L$1,[1]products!$A$1:$G$1,0))</f>
        <v>2.9849999999999999</v>
      </c>
      <c r="H417" s="6">
        <f t="shared" si="6"/>
        <v>8.9550000000000001</v>
      </c>
    </row>
    <row r="418" spans="1:8" x14ac:dyDescent="0.3">
      <c r="A418" s="1" t="s">
        <v>833</v>
      </c>
      <c r="B418" s="2">
        <v>43901</v>
      </c>
      <c r="C418" s="3" t="s">
        <v>834</v>
      </c>
      <c r="D418" s="4" t="s">
        <v>192</v>
      </c>
      <c r="E418" s="3">
        <v>3</v>
      </c>
      <c r="F418" s="5">
        <f>INDEX([1]products!$A$1:$G$49,MATCH([1]orders!$D418,[1]products!$A$1:$A$49,0),MATCH([1]orders!K$1,[1]products!$A$1:$G$1,0))</f>
        <v>0.5</v>
      </c>
      <c r="G418" s="6">
        <f>INDEX([1]products!$A$1:$G$49,MATCH([1]orders!$D418,[1]products!$A$1:$A$49,0),MATCH([1]orders!L$1,[1]products!$A$1:$G$1,0))</f>
        <v>7.77</v>
      </c>
      <c r="H418" s="6">
        <f t="shared" si="6"/>
        <v>23.31</v>
      </c>
    </row>
    <row r="419" spans="1:8" x14ac:dyDescent="0.3">
      <c r="A419" s="1" t="s">
        <v>835</v>
      </c>
      <c r="B419" s="2">
        <v>44457</v>
      </c>
      <c r="C419" s="3" t="s">
        <v>836</v>
      </c>
      <c r="D419" s="4" t="s">
        <v>204</v>
      </c>
      <c r="E419" s="3">
        <v>1</v>
      </c>
      <c r="F419" s="5">
        <f>INDEX([1]products!$A$1:$G$49,MATCH([1]orders!$D419,[1]products!$A$1:$A$49,0),MATCH([1]orders!K$1,[1]products!$A$1:$G$1,0))</f>
        <v>2.5</v>
      </c>
      <c r="G419" s="6">
        <f>INDEX([1]products!$A$1:$G$49,MATCH([1]orders!$D419,[1]products!$A$1:$A$49,0),MATCH([1]orders!L$1,[1]products!$A$1:$G$1,0))</f>
        <v>29.784999999999997</v>
      </c>
      <c r="H419" s="6">
        <f t="shared" si="6"/>
        <v>29.784999999999997</v>
      </c>
    </row>
    <row r="420" spans="1:8" x14ac:dyDescent="0.3">
      <c r="A420" s="1" t="s">
        <v>837</v>
      </c>
      <c r="B420" s="2">
        <v>44142</v>
      </c>
      <c r="C420" s="3" t="s">
        <v>838</v>
      </c>
      <c r="D420" s="4" t="s">
        <v>204</v>
      </c>
      <c r="E420" s="3">
        <v>5</v>
      </c>
      <c r="F420" s="5">
        <f>INDEX([1]products!$A$1:$G$49,MATCH([1]orders!$D420,[1]products!$A$1:$A$49,0),MATCH([1]orders!K$1,[1]products!$A$1:$G$1,0))</f>
        <v>2.5</v>
      </c>
      <c r="G420" s="6">
        <f>INDEX([1]products!$A$1:$G$49,MATCH([1]orders!$D420,[1]products!$A$1:$A$49,0),MATCH([1]orders!L$1,[1]products!$A$1:$G$1,0))</f>
        <v>29.784999999999997</v>
      </c>
      <c r="H420" s="6">
        <f t="shared" si="6"/>
        <v>148.92499999999998</v>
      </c>
    </row>
    <row r="421" spans="1:8" x14ac:dyDescent="0.3">
      <c r="A421" s="1" t="s">
        <v>839</v>
      </c>
      <c r="B421" s="2">
        <v>44739</v>
      </c>
      <c r="C421" s="3" t="s">
        <v>840</v>
      </c>
      <c r="D421" s="4" t="s">
        <v>78</v>
      </c>
      <c r="E421" s="3">
        <v>1</v>
      </c>
      <c r="F421" s="5">
        <f>INDEX([1]products!$A$1:$G$49,MATCH([1]orders!$D421,[1]products!$A$1:$A$49,0),MATCH([1]orders!K$1,[1]products!$A$1:$G$1,0))</f>
        <v>0.5</v>
      </c>
      <c r="G421" s="6">
        <f>INDEX([1]products!$A$1:$G$49,MATCH([1]orders!$D421,[1]products!$A$1:$A$49,0),MATCH([1]orders!L$1,[1]products!$A$1:$G$1,0))</f>
        <v>8.73</v>
      </c>
      <c r="H421" s="6">
        <f t="shared" si="6"/>
        <v>8.73</v>
      </c>
    </row>
    <row r="422" spans="1:8" x14ac:dyDescent="0.3">
      <c r="A422" s="1" t="s">
        <v>841</v>
      </c>
      <c r="B422" s="2">
        <v>43866</v>
      </c>
      <c r="C422" s="3" t="s">
        <v>749</v>
      </c>
      <c r="D422" s="4" t="s">
        <v>123</v>
      </c>
      <c r="E422" s="3">
        <v>4</v>
      </c>
      <c r="F422" s="5">
        <f>INDEX([1]products!$A$1:$G$49,MATCH([1]orders!$D422,[1]products!$A$1:$A$49,0),MATCH([1]orders!K$1,[1]products!$A$1:$G$1,0))</f>
        <v>0.5</v>
      </c>
      <c r="G422" s="6">
        <f>INDEX([1]products!$A$1:$G$49,MATCH([1]orders!$D422,[1]products!$A$1:$A$49,0),MATCH([1]orders!L$1,[1]products!$A$1:$G$1,0))</f>
        <v>7.77</v>
      </c>
      <c r="H422" s="6">
        <f t="shared" si="6"/>
        <v>31.08</v>
      </c>
    </row>
    <row r="423" spans="1:8" x14ac:dyDescent="0.3">
      <c r="A423" s="1" t="s">
        <v>841</v>
      </c>
      <c r="B423" s="2">
        <v>43866</v>
      </c>
      <c r="C423" s="3" t="s">
        <v>749</v>
      </c>
      <c r="D423" s="4" t="s">
        <v>118</v>
      </c>
      <c r="E423" s="3">
        <v>6</v>
      </c>
      <c r="F423" s="5">
        <f>INDEX([1]products!$A$1:$G$49,MATCH([1]orders!$D423,[1]products!$A$1:$A$49,0),MATCH([1]orders!K$1,[1]products!$A$1:$G$1,0))</f>
        <v>2.5</v>
      </c>
      <c r="G423" s="6">
        <f>INDEX([1]products!$A$1:$G$49,MATCH([1]orders!$D423,[1]products!$A$1:$A$49,0),MATCH([1]orders!L$1,[1]products!$A$1:$G$1,0))</f>
        <v>22.884999999999998</v>
      </c>
      <c r="H423" s="6">
        <f t="shared" si="6"/>
        <v>137.31</v>
      </c>
    </row>
    <row r="424" spans="1:8" x14ac:dyDescent="0.3">
      <c r="A424" s="1" t="s">
        <v>842</v>
      </c>
      <c r="B424" s="2">
        <v>43868</v>
      </c>
      <c r="C424" s="3" t="s">
        <v>843</v>
      </c>
      <c r="D424" s="4" t="s">
        <v>72</v>
      </c>
      <c r="E424" s="3">
        <v>5</v>
      </c>
      <c r="F424" s="5">
        <f>INDEX([1]products!$A$1:$G$49,MATCH([1]orders!$D424,[1]products!$A$1:$A$49,0),MATCH([1]orders!K$1,[1]products!$A$1:$G$1,0))</f>
        <v>0.5</v>
      </c>
      <c r="G424" s="6">
        <f>INDEX([1]products!$A$1:$G$49,MATCH([1]orders!$D424,[1]products!$A$1:$A$49,0),MATCH([1]orders!L$1,[1]products!$A$1:$G$1,0))</f>
        <v>5.97</v>
      </c>
      <c r="H424" s="6">
        <f t="shared" si="6"/>
        <v>29.849999999999998</v>
      </c>
    </row>
    <row r="425" spans="1:8" x14ac:dyDescent="0.3">
      <c r="A425" s="1" t="s">
        <v>844</v>
      </c>
      <c r="B425" s="2">
        <v>44183</v>
      </c>
      <c r="C425" s="3" t="s">
        <v>845</v>
      </c>
      <c r="D425" s="4" t="s">
        <v>22</v>
      </c>
      <c r="E425" s="3">
        <v>3</v>
      </c>
      <c r="F425" s="5">
        <f>INDEX([1]products!$A$1:$G$49,MATCH([1]orders!$D425,[1]products!$A$1:$A$49,0),MATCH([1]orders!K$1,[1]products!$A$1:$G$1,0))</f>
        <v>0.5</v>
      </c>
      <c r="G425" s="6">
        <f>INDEX([1]products!$A$1:$G$49,MATCH([1]orders!$D425,[1]products!$A$1:$A$49,0),MATCH([1]orders!L$1,[1]products!$A$1:$G$1,0))</f>
        <v>5.97</v>
      </c>
      <c r="H425" s="6">
        <f t="shared" si="6"/>
        <v>17.91</v>
      </c>
    </row>
    <row r="426" spans="1:8" x14ac:dyDescent="0.3">
      <c r="A426" s="1" t="s">
        <v>846</v>
      </c>
      <c r="B426" s="2">
        <v>44431</v>
      </c>
      <c r="C426" s="3" t="s">
        <v>847</v>
      </c>
      <c r="D426" s="4" t="s">
        <v>176</v>
      </c>
      <c r="E426" s="3">
        <v>3</v>
      </c>
      <c r="F426" s="5">
        <f>INDEX([1]products!$A$1:$G$49,MATCH([1]orders!$D426,[1]products!$A$1:$A$49,0),MATCH([1]orders!K$1,[1]products!$A$1:$G$1,0))</f>
        <v>0.5</v>
      </c>
      <c r="G426" s="6">
        <f>INDEX([1]products!$A$1:$G$49,MATCH([1]orders!$D426,[1]products!$A$1:$A$49,0),MATCH([1]orders!L$1,[1]products!$A$1:$G$1,0))</f>
        <v>8.91</v>
      </c>
      <c r="H426" s="6">
        <f t="shared" si="6"/>
        <v>26.73</v>
      </c>
    </row>
    <row r="427" spans="1:8" x14ac:dyDescent="0.3">
      <c r="A427" s="1" t="s">
        <v>848</v>
      </c>
      <c r="B427" s="2">
        <v>44428</v>
      </c>
      <c r="C427" s="3" t="s">
        <v>849</v>
      </c>
      <c r="D427" s="4" t="s">
        <v>179</v>
      </c>
      <c r="E427" s="3">
        <v>2</v>
      </c>
      <c r="F427" s="5">
        <f>INDEX([1]products!$A$1:$G$49,MATCH([1]orders!$D427,[1]products!$A$1:$A$49,0),MATCH([1]orders!K$1,[1]products!$A$1:$G$1,0))</f>
        <v>1</v>
      </c>
      <c r="G427" s="6">
        <f>INDEX([1]products!$A$1:$G$49,MATCH([1]orders!$D427,[1]products!$A$1:$A$49,0),MATCH([1]orders!L$1,[1]products!$A$1:$G$1,0))</f>
        <v>8.9499999999999993</v>
      </c>
      <c r="H427" s="6">
        <f t="shared" si="6"/>
        <v>17.899999999999999</v>
      </c>
    </row>
    <row r="428" spans="1:8" x14ac:dyDescent="0.3">
      <c r="A428" s="1" t="s">
        <v>850</v>
      </c>
      <c r="B428" s="2">
        <v>43556</v>
      </c>
      <c r="C428" s="3" t="s">
        <v>851</v>
      </c>
      <c r="D428" s="4" t="s">
        <v>182</v>
      </c>
      <c r="E428" s="3">
        <v>4</v>
      </c>
      <c r="F428" s="5">
        <f>INDEX([1]products!$A$1:$G$49,MATCH([1]orders!$D428,[1]products!$A$1:$A$49,0),MATCH([1]orders!K$1,[1]products!$A$1:$G$1,0))</f>
        <v>0.2</v>
      </c>
      <c r="G428" s="6">
        <f>INDEX([1]products!$A$1:$G$49,MATCH([1]orders!$D428,[1]products!$A$1:$A$49,0),MATCH([1]orders!L$1,[1]products!$A$1:$G$1,0))</f>
        <v>3.5849999999999995</v>
      </c>
      <c r="H428" s="6">
        <f t="shared" si="6"/>
        <v>14.339999999999998</v>
      </c>
    </row>
    <row r="429" spans="1:8" x14ac:dyDescent="0.3">
      <c r="A429" s="1" t="s">
        <v>852</v>
      </c>
      <c r="B429" s="2">
        <v>44224</v>
      </c>
      <c r="C429" s="3" t="s">
        <v>853</v>
      </c>
      <c r="D429" s="4" t="s">
        <v>171</v>
      </c>
      <c r="E429" s="3">
        <v>3</v>
      </c>
      <c r="F429" s="5">
        <f>INDEX([1]products!$A$1:$G$49,MATCH([1]orders!$D429,[1]products!$A$1:$A$49,0),MATCH([1]orders!K$1,[1]products!$A$1:$G$1,0))</f>
        <v>2.5</v>
      </c>
      <c r="G429" s="6">
        <f>INDEX([1]products!$A$1:$G$49,MATCH([1]orders!$D429,[1]products!$A$1:$A$49,0),MATCH([1]orders!L$1,[1]products!$A$1:$G$1,0))</f>
        <v>25.874999999999996</v>
      </c>
      <c r="H429" s="6">
        <f t="shared" si="6"/>
        <v>77.624999999999986</v>
      </c>
    </row>
    <row r="430" spans="1:8" x14ac:dyDescent="0.3">
      <c r="A430" s="1" t="s">
        <v>854</v>
      </c>
      <c r="B430" s="2">
        <v>43759</v>
      </c>
      <c r="C430" s="3" t="s">
        <v>855</v>
      </c>
      <c r="D430" s="4" t="s">
        <v>189</v>
      </c>
      <c r="E430" s="3">
        <v>5</v>
      </c>
      <c r="F430" s="5">
        <f>INDEX([1]products!$A$1:$G$49,MATCH([1]orders!$D430,[1]products!$A$1:$A$49,0),MATCH([1]orders!K$1,[1]products!$A$1:$G$1,0))</f>
        <v>1</v>
      </c>
      <c r="G430" s="6">
        <f>INDEX([1]products!$A$1:$G$49,MATCH([1]orders!$D430,[1]products!$A$1:$A$49,0),MATCH([1]orders!L$1,[1]products!$A$1:$G$1,0))</f>
        <v>11.95</v>
      </c>
      <c r="H430" s="6">
        <f t="shared" si="6"/>
        <v>59.75</v>
      </c>
    </row>
    <row r="431" spans="1:8" x14ac:dyDescent="0.3">
      <c r="A431" s="1" t="s">
        <v>856</v>
      </c>
      <c r="B431" s="2">
        <v>44367</v>
      </c>
      <c r="C431" s="3" t="s">
        <v>749</v>
      </c>
      <c r="D431" s="4" t="s">
        <v>6</v>
      </c>
      <c r="E431" s="3">
        <v>6</v>
      </c>
      <c r="F431" s="5">
        <f>INDEX([1]products!$A$1:$G$49,MATCH([1]orders!$D431,[1]products!$A$1:$A$49,0),MATCH([1]orders!K$1,[1]products!$A$1:$G$1,0))</f>
        <v>1</v>
      </c>
      <c r="G431" s="6">
        <f>INDEX([1]products!$A$1:$G$49,MATCH([1]orders!$D431,[1]products!$A$1:$A$49,0),MATCH([1]orders!L$1,[1]products!$A$1:$G$1,0))</f>
        <v>12.95</v>
      </c>
      <c r="H431" s="6">
        <f t="shared" si="6"/>
        <v>77.699999999999989</v>
      </c>
    </row>
    <row r="432" spans="1:8" x14ac:dyDescent="0.3">
      <c r="A432" s="1" t="s">
        <v>857</v>
      </c>
      <c r="B432" s="2">
        <v>44504</v>
      </c>
      <c r="C432" s="3" t="s">
        <v>858</v>
      </c>
      <c r="D432" s="4" t="s">
        <v>101</v>
      </c>
      <c r="E432" s="3">
        <v>2</v>
      </c>
      <c r="F432" s="5">
        <f>INDEX([1]products!$A$1:$G$49,MATCH([1]orders!$D432,[1]products!$A$1:$A$49,0),MATCH([1]orders!K$1,[1]products!$A$1:$G$1,0))</f>
        <v>0.2</v>
      </c>
      <c r="G432" s="6">
        <f>INDEX([1]products!$A$1:$G$49,MATCH([1]orders!$D432,[1]products!$A$1:$A$49,0),MATCH([1]orders!L$1,[1]products!$A$1:$G$1,0))</f>
        <v>2.6849999999999996</v>
      </c>
      <c r="H432" s="6">
        <f t="shared" si="6"/>
        <v>5.3699999999999992</v>
      </c>
    </row>
    <row r="433" spans="1:8" x14ac:dyDescent="0.3">
      <c r="A433" s="1" t="s">
        <v>859</v>
      </c>
      <c r="B433" s="2">
        <v>44291</v>
      </c>
      <c r="C433" s="3" t="s">
        <v>860</v>
      </c>
      <c r="D433" s="4" t="s">
        <v>530</v>
      </c>
      <c r="E433" s="3">
        <v>3</v>
      </c>
      <c r="F433" s="5">
        <f>INDEX([1]products!$A$1:$G$49,MATCH([1]orders!$D433,[1]products!$A$1:$A$49,0),MATCH([1]orders!K$1,[1]products!$A$1:$G$1,0))</f>
        <v>2.5</v>
      </c>
      <c r="G433" s="6">
        <f>INDEX([1]products!$A$1:$G$49,MATCH([1]orders!$D433,[1]products!$A$1:$A$49,0),MATCH([1]orders!L$1,[1]products!$A$1:$G$1,0))</f>
        <v>27.945</v>
      </c>
      <c r="H433" s="6">
        <f t="shared" si="6"/>
        <v>83.835000000000008</v>
      </c>
    </row>
    <row r="434" spans="1:8" x14ac:dyDescent="0.3">
      <c r="A434" s="1" t="s">
        <v>861</v>
      </c>
      <c r="B434" s="2">
        <v>43808</v>
      </c>
      <c r="C434" s="3" t="s">
        <v>862</v>
      </c>
      <c r="D434" s="4" t="s">
        <v>61</v>
      </c>
      <c r="E434" s="3">
        <v>2</v>
      </c>
      <c r="F434" s="5">
        <f>INDEX([1]products!$A$1:$G$49,MATCH([1]orders!$D434,[1]products!$A$1:$A$49,0),MATCH([1]orders!K$1,[1]products!$A$1:$G$1,0))</f>
        <v>1</v>
      </c>
      <c r="G434" s="6">
        <f>INDEX([1]products!$A$1:$G$49,MATCH([1]orders!$D434,[1]products!$A$1:$A$49,0),MATCH([1]orders!L$1,[1]products!$A$1:$G$1,0))</f>
        <v>11.25</v>
      </c>
      <c r="H434" s="6">
        <f t="shared" si="6"/>
        <v>22.5</v>
      </c>
    </row>
    <row r="435" spans="1:8" x14ac:dyDescent="0.3">
      <c r="A435" s="1" t="s">
        <v>863</v>
      </c>
      <c r="B435" s="2">
        <v>44563</v>
      </c>
      <c r="C435" s="3" t="s">
        <v>864</v>
      </c>
      <c r="D435" s="4" t="s">
        <v>197</v>
      </c>
      <c r="E435" s="3">
        <v>6</v>
      </c>
      <c r="F435" s="5">
        <f>INDEX([1]products!$A$1:$G$49,MATCH([1]orders!$D435,[1]products!$A$1:$A$49,0),MATCH([1]orders!K$1,[1]products!$A$1:$G$1,0))</f>
        <v>2.5</v>
      </c>
      <c r="G435" s="6">
        <f>INDEX([1]products!$A$1:$G$49,MATCH([1]orders!$D435,[1]products!$A$1:$A$49,0),MATCH([1]orders!L$1,[1]products!$A$1:$G$1,0))</f>
        <v>33.464999999999996</v>
      </c>
      <c r="H435" s="6">
        <f t="shared" si="6"/>
        <v>200.78999999999996</v>
      </c>
    </row>
    <row r="436" spans="1:8" x14ac:dyDescent="0.3">
      <c r="A436" s="1" t="s">
        <v>865</v>
      </c>
      <c r="B436" s="2">
        <v>43807</v>
      </c>
      <c r="C436" s="3" t="s">
        <v>866</v>
      </c>
      <c r="D436" s="4" t="s">
        <v>61</v>
      </c>
      <c r="E436" s="3">
        <v>6</v>
      </c>
      <c r="F436" s="5">
        <f>INDEX([1]products!$A$1:$G$49,MATCH([1]orders!$D436,[1]products!$A$1:$A$49,0),MATCH([1]orders!K$1,[1]products!$A$1:$G$1,0))</f>
        <v>1</v>
      </c>
      <c r="G436" s="6">
        <f>INDEX([1]products!$A$1:$G$49,MATCH([1]orders!$D436,[1]products!$A$1:$A$49,0),MATCH([1]orders!L$1,[1]products!$A$1:$G$1,0))</f>
        <v>11.25</v>
      </c>
      <c r="H436" s="6">
        <f t="shared" si="6"/>
        <v>67.5</v>
      </c>
    </row>
    <row r="437" spans="1:8" x14ac:dyDescent="0.3">
      <c r="A437" s="1" t="s">
        <v>867</v>
      </c>
      <c r="B437" s="2">
        <v>44528</v>
      </c>
      <c r="C437" s="3" t="s">
        <v>868</v>
      </c>
      <c r="D437" s="4" t="s">
        <v>3</v>
      </c>
      <c r="E437" s="3">
        <v>1</v>
      </c>
      <c r="F437" s="5">
        <f>INDEX([1]products!$A$1:$G$49,MATCH([1]orders!$D437,[1]products!$A$1:$A$49,0),MATCH([1]orders!K$1,[1]products!$A$1:$G$1,0))</f>
        <v>0.5</v>
      </c>
      <c r="G437" s="6">
        <f>INDEX([1]products!$A$1:$G$49,MATCH([1]orders!$D437,[1]products!$A$1:$A$49,0),MATCH([1]orders!L$1,[1]products!$A$1:$G$1,0))</f>
        <v>8.25</v>
      </c>
      <c r="H437" s="6">
        <f t="shared" si="6"/>
        <v>8.25</v>
      </c>
    </row>
    <row r="438" spans="1:8" x14ac:dyDescent="0.3">
      <c r="A438" s="1" t="s">
        <v>869</v>
      </c>
      <c r="B438" s="2">
        <v>44631</v>
      </c>
      <c r="C438" s="3" t="s">
        <v>870</v>
      </c>
      <c r="D438" s="4" t="s">
        <v>19</v>
      </c>
      <c r="E438" s="3">
        <v>2</v>
      </c>
      <c r="F438" s="5">
        <f>INDEX([1]products!$A$1:$G$49,MATCH([1]orders!$D438,[1]products!$A$1:$A$49,0),MATCH([1]orders!K$1,[1]products!$A$1:$G$1,0))</f>
        <v>0.2</v>
      </c>
      <c r="G438" s="6">
        <f>INDEX([1]products!$A$1:$G$49,MATCH([1]orders!$D438,[1]products!$A$1:$A$49,0),MATCH([1]orders!L$1,[1]products!$A$1:$G$1,0))</f>
        <v>4.7549999999999999</v>
      </c>
      <c r="H438" s="6">
        <f t="shared" si="6"/>
        <v>9.51</v>
      </c>
    </row>
    <row r="439" spans="1:8" x14ac:dyDescent="0.3">
      <c r="A439" s="1" t="s">
        <v>871</v>
      </c>
      <c r="B439" s="2">
        <v>44213</v>
      </c>
      <c r="C439" s="3" t="s">
        <v>872</v>
      </c>
      <c r="D439" s="4" t="s">
        <v>109</v>
      </c>
      <c r="E439" s="3">
        <v>1</v>
      </c>
      <c r="F439" s="5">
        <f>INDEX([1]products!$A$1:$G$49,MATCH([1]orders!$D439,[1]products!$A$1:$A$49,0),MATCH([1]orders!K$1,[1]products!$A$1:$G$1,0))</f>
        <v>2.5</v>
      </c>
      <c r="G439" s="6">
        <f>INDEX([1]products!$A$1:$G$49,MATCH([1]orders!$D439,[1]products!$A$1:$A$49,0),MATCH([1]orders!L$1,[1]products!$A$1:$G$1,0))</f>
        <v>29.784999999999997</v>
      </c>
      <c r="H439" s="6">
        <f t="shared" si="6"/>
        <v>29.784999999999997</v>
      </c>
    </row>
    <row r="440" spans="1:8" x14ac:dyDescent="0.3">
      <c r="A440" s="1" t="s">
        <v>873</v>
      </c>
      <c r="B440" s="2">
        <v>43483</v>
      </c>
      <c r="C440" s="3" t="s">
        <v>874</v>
      </c>
      <c r="D440" s="4" t="s">
        <v>123</v>
      </c>
      <c r="E440" s="3">
        <v>2</v>
      </c>
      <c r="F440" s="5">
        <f>INDEX([1]products!$A$1:$G$49,MATCH([1]orders!$D440,[1]products!$A$1:$A$49,0),MATCH([1]orders!K$1,[1]products!$A$1:$G$1,0))</f>
        <v>0.5</v>
      </c>
      <c r="G440" s="6">
        <f>INDEX([1]products!$A$1:$G$49,MATCH([1]orders!$D440,[1]products!$A$1:$A$49,0),MATCH([1]orders!L$1,[1]products!$A$1:$G$1,0))</f>
        <v>7.77</v>
      </c>
      <c r="H440" s="6">
        <f t="shared" si="6"/>
        <v>15.54</v>
      </c>
    </row>
    <row r="441" spans="1:8" x14ac:dyDescent="0.3">
      <c r="A441" s="1" t="s">
        <v>875</v>
      </c>
      <c r="B441" s="2">
        <v>43562</v>
      </c>
      <c r="C441" s="3" t="s">
        <v>876</v>
      </c>
      <c r="D441" s="4" t="s">
        <v>176</v>
      </c>
      <c r="E441" s="3">
        <v>4</v>
      </c>
      <c r="F441" s="5">
        <f>INDEX([1]products!$A$1:$G$49,MATCH([1]orders!$D441,[1]products!$A$1:$A$49,0),MATCH([1]orders!K$1,[1]products!$A$1:$G$1,0))</f>
        <v>0.5</v>
      </c>
      <c r="G441" s="6">
        <f>INDEX([1]products!$A$1:$G$49,MATCH([1]orders!$D441,[1]products!$A$1:$A$49,0),MATCH([1]orders!L$1,[1]products!$A$1:$G$1,0))</f>
        <v>8.91</v>
      </c>
      <c r="H441" s="6">
        <f t="shared" si="6"/>
        <v>35.64</v>
      </c>
    </row>
    <row r="442" spans="1:8" x14ac:dyDescent="0.3">
      <c r="A442" s="1" t="s">
        <v>877</v>
      </c>
      <c r="B442" s="2">
        <v>44230</v>
      </c>
      <c r="C442" s="3" t="s">
        <v>878</v>
      </c>
      <c r="D442" s="4" t="s">
        <v>171</v>
      </c>
      <c r="E442" s="3">
        <v>4</v>
      </c>
      <c r="F442" s="5">
        <f>INDEX([1]products!$A$1:$G$49,MATCH([1]orders!$D442,[1]products!$A$1:$A$49,0),MATCH([1]orders!K$1,[1]products!$A$1:$G$1,0))</f>
        <v>2.5</v>
      </c>
      <c r="G442" s="6">
        <f>INDEX([1]products!$A$1:$G$49,MATCH([1]orders!$D442,[1]products!$A$1:$A$49,0),MATCH([1]orders!L$1,[1]products!$A$1:$G$1,0))</f>
        <v>25.874999999999996</v>
      </c>
      <c r="H442" s="6">
        <f t="shared" si="6"/>
        <v>103.49999999999999</v>
      </c>
    </row>
    <row r="443" spans="1:8" x14ac:dyDescent="0.3">
      <c r="A443" s="1" t="s">
        <v>879</v>
      </c>
      <c r="B443" s="2">
        <v>43573</v>
      </c>
      <c r="C443" s="3" t="s">
        <v>880</v>
      </c>
      <c r="D443" s="4" t="s">
        <v>245</v>
      </c>
      <c r="E443" s="3">
        <v>3</v>
      </c>
      <c r="F443" s="5">
        <f>INDEX([1]products!$A$1:$G$49,MATCH([1]orders!$D443,[1]products!$A$1:$A$49,0),MATCH([1]orders!K$1,[1]products!$A$1:$G$1,0))</f>
        <v>1</v>
      </c>
      <c r="G443" s="6">
        <f>INDEX([1]products!$A$1:$G$49,MATCH([1]orders!$D443,[1]products!$A$1:$A$49,0),MATCH([1]orders!L$1,[1]products!$A$1:$G$1,0))</f>
        <v>12.15</v>
      </c>
      <c r="H443" s="6">
        <f t="shared" si="6"/>
        <v>36.450000000000003</v>
      </c>
    </row>
    <row r="444" spans="1:8" x14ac:dyDescent="0.3">
      <c r="A444" s="1" t="s">
        <v>881</v>
      </c>
      <c r="B444" s="2">
        <v>44384</v>
      </c>
      <c r="C444" s="3" t="s">
        <v>882</v>
      </c>
      <c r="D444" s="4" t="s">
        <v>157</v>
      </c>
      <c r="E444" s="3">
        <v>5</v>
      </c>
      <c r="F444" s="5">
        <f>INDEX([1]products!$A$1:$G$49,MATCH([1]orders!$D444,[1]products!$A$1:$A$49,0),MATCH([1]orders!K$1,[1]products!$A$1:$G$1,0))</f>
        <v>0.5</v>
      </c>
      <c r="G444" s="6">
        <f>INDEX([1]products!$A$1:$G$49,MATCH([1]orders!$D444,[1]products!$A$1:$A$49,0),MATCH([1]orders!L$1,[1]products!$A$1:$G$1,0))</f>
        <v>7.169999999999999</v>
      </c>
      <c r="H444" s="6">
        <f t="shared" si="6"/>
        <v>35.849999999999994</v>
      </c>
    </row>
    <row r="445" spans="1:8" x14ac:dyDescent="0.3">
      <c r="A445" s="1" t="s">
        <v>883</v>
      </c>
      <c r="B445" s="2">
        <v>44250</v>
      </c>
      <c r="C445" s="3" t="s">
        <v>884</v>
      </c>
      <c r="D445" s="4" t="s">
        <v>254</v>
      </c>
      <c r="E445" s="3">
        <v>5</v>
      </c>
      <c r="F445" s="5">
        <f>INDEX([1]products!$A$1:$G$49,MATCH([1]orders!$D445,[1]products!$A$1:$A$49,0),MATCH([1]orders!K$1,[1]products!$A$1:$G$1,0))</f>
        <v>0.2</v>
      </c>
      <c r="G445" s="6">
        <f>INDEX([1]products!$A$1:$G$49,MATCH([1]orders!$D445,[1]products!$A$1:$A$49,0),MATCH([1]orders!L$1,[1]products!$A$1:$G$1,0))</f>
        <v>4.4550000000000001</v>
      </c>
      <c r="H445" s="6">
        <f t="shared" si="6"/>
        <v>22.274999999999999</v>
      </c>
    </row>
    <row r="446" spans="1:8" x14ac:dyDescent="0.3">
      <c r="A446" s="1" t="s">
        <v>885</v>
      </c>
      <c r="B446" s="2">
        <v>44418</v>
      </c>
      <c r="C446" s="3" t="s">
        <v>886</v>
      </c>
      <c r="D446" s="4" t="s">
        <v>64</v>
      </c>
      <c r="E446" s="3">
        <v>6</v>
      </c>
      <c r="F446" s="5">
        <f>INDEX([1]products!$A$1:$G$49,MATCH([1]orders!$D446,[1]products!$A$1:$A$49,0),MATCH([1]orders!K$1,[1]products!$A$1:$G$1,0))</f>
        <v>0.2</v>
      </c>
      <c r="G446" s="6">
        <f>INDEX([1]products!$A$1:$G$49,MATCH([1]orders!$D446,[1]products!$A$1:$A$49,0),MATCH([1]orders!L$1,[1]products!$A$1:$G$1,0))</f>
        <v>4.125</v>
      </c>
      <c r="H446" s="6">
        <f t="shared" si="6"/>
        <v>24.75</v>
      </c>
    </row>
    <row r="447" spans="1:8" x14ac:dyDescent="0.3">
      <c r="A447" s="1" t="s">
        <v>887</v>
      </c>
      <c r="B447" s="2">
        <v>43784</v>
      </c>
      <c r="C447" s="3" t="s">
        <v>888</v>
      </c>
      <c r="D447" s="4" t="s">
        <v>197</v>
      </c>
      <c r="E447" s="3">
        <v>2</v>
      </c>
      <c r="F447" s="5">
        <f>INDEX([1]products!$A$1:$G$49,MATCH([1]orders!$D447,[1]products!$A$1:$A$49,0),MATCH([1]orders!K$1,[1]products!$A$1:$G$1,0))</f>
        <v>2.5</v>
      </c>
      <c r="G447" s="6">
        <f>INDEX([1]products!$A$1:$G$49,MATCH([1]orders!$D447,[1]products!$A$1:$A$49,0),MATCH([1]orders!L$1,[1]products!$A$1:$G$1,0))</f>
        <v>33.464999999999996</v>
      </c>
      <c r="H447" s="6">
        <f t="shared" si="6"/>
        <v>66.929999999999993</v>
      </c>
    </row>
    <row r="448" spans="1:8" x14ac:dyDescent="0.3">
      <c r="A448" s="1" t="s">
        <v>889</v>
      </c>
      <c r="B448" s="2">
        <v>43816</v>
      </c>
      <c r="C448" s="3" t="s">
        <v>890</v>
      </c>
      <c r="D448" s="4" t="s">
        <v>78</v>
      </c>
      <c r="E448" s="3">
        <v>1</v>
      </c>
      <c r="F448" s="5">
        <f>INDEX([1]products!$A$1:$G$49,MATCH([1]orders!$D448,[1]products!$A$1:$A$49,0),MATCH([1]orders!K$1,[1]products!$A$1:$G$1,0))</f>
        <v>0.5</v>
      </c>
      <c r="G448" s="6">
        <f>INDEX([1]products!$A$1:$G$49,MATCH([1]orders!$D448,[1]products!$A$1:$A$49,0),MATCH([1]orders!L$1,[1]products!$A$1:$G$1,0))</f>
        <v>8.73</v>
      </c>
      <c r="H448" s="6">
        <f t="shared" si="6"/>
        <v>8.73</v>
      </c>
    </row>
    <row r="449" spans="1:8" x14ac:dyDescent="0.3">
      <c r="A449" s="1" t="s">
        <v>891</v>
      </c>
      <c r="B449" s="2">
        <v>43908</v>
      </c>
      <c r="C449" s="3" t="s">
        <v>892</v>
      </c>
      <c r="D449" s="4" t="s">
        <v>22</v>
      </c>
      <c r="E449" s="3">
        <v>3</v>
      </c>
      <c r="F449" s="5">
        <f>INDEX([1]products!$A$1:$G$49,MATCH([1]orders!$D449,[1]products!$A$1:$A$49,0),MATCH([1]orders!K$1,[1]products!$A$1:$G$1,0))</f>
        <v>0.5</v>
      </c>
      <c r="G449" s="6">
        <f>INDEX([1]products!$A$1:$G$49,MATCH([1]orders!$D449,[1]products!$A$1:$A$49,0),MATCH([1]orders!L$1,[1]products!$A$1:$G$1,0))</f>
        <v>5.97</v>
      </c>
      <c r="H449" s="6">
        <f t="shared" si="6"/>
        <v>17.91</v>
      </c>
    </row>
    <row r="450" spans="1:8" x14ac:dyDescent="0.3">
      <c r="A450" s="1" t="s">
        <v>893</v>
      </c>
      <c r="B450" s="2">
        <v>44718</v>
      </c>
      <c r="C450" s="3" t="s">
        <v>894</v>
      </c>
      <c r="D450" s="4" t="s">
        <v>157</v>
      </c>
      <c r="E450" s="3">
        <v>1</v>
      </c>
      <c r="F450" s="5">
        <f>INDEX([1]products!$A$1:$G$49,MATCH([1]orders!$D450,[1]products!$A$1:$A$49,0),MATCH([1]orders!K$1,[1]products!$A$1:$G$1,0))</f>
        <v>0.5</v>
      </c>
      <c r="G450" s="6">
        <f>INDEX([1]products!$A$1:$G$49,MATCH([1]orders!$D450,[1]products!$A$1:$A$49,0),MATCH([1]orders!L$1,[1]products!$A$1:$G$1,0))</f>
        <v>7.169999999999999</v>
      </c>
      <c r="H450" s="6">
        <f t="shared" ref="H450:H513" si="7">E450*G450</f>
        <v>7.169999999999999</v>
      </c>
    </row>
    <row r="451" spans="1:8" x14ac:dyDescent="0.3">
      <c r="A451" s="1" t="s">
        <v>895</v>
      </c>
      <c r="B451" s="2">
        <v>44336</v>
      </c>
      <c r="C451" s="3" t="s">
        <v>896</v>
      </c>
      <c r="D451" s="4" t="s">
        <v>101</v>
      </c>
      <c r="E451" s="3">
        <v>2</v>
      </c>
      <c r="F451" s="5">
        <f>INDEX([1]products!$A$1:$G$49,MATCH([1]orders!$D451,[1]products!$A$1:$A$49,0),MATCH([1]orders!K$1,[1]products!$A$1:$G$1,0))</f>
        <v>0.2</v>
      </c>
      <c r="G451" s="6">
        <f>INDEX([1]products!$A$1:$G$49,MATCH([1]orders!$D451,[1]products!$A$1:$A$49,0),MATCH([1]orders!L$1,[1]products!$A$1:$G$1,0))</f>
        <v>2.6849999999999996</v>
      </c>
      <c r="H451" s="6">
        <f t="shared" si="7"/>
        <v>5.3699999999999992</v>
      </c>
    </row>
    <row r="452" spans="1:8" x14ac:dyDescent="0.3">
      <c r="A452" s="1" t="s">
        <v>897</v>
      </c>
      <c r="B452" s="2">
        <v>44207</v>
      </c>
      <c r="C452" s="3" t="s">
        <v>898</v>
      </c>
      <c r="D452" s="4" t="s">
        <v>19</v>
      </c>
      <c r="E452" s="3">
        <v>5</v>
      </c>
      <c r="F452" s="5">
        <f>INDEX([1]products!$A$1:$G$49,MATCH([1]orders!$D452,[1]products!$A$1:$A$49,0),MATCH([1]orders!K$1,[1]products!$A$1:$G$1,0))</f>
        <v>0.2</v>
      </c>
      <c r="G452" s="6">
        <f>INDEX([1]products!$A$1:$G$49,MATCH([1]orders!$D452,[1]products!$A$1:$A$49,0),MATCH([1]orders!L$1,[1]products!$A$1:$G$1,0))</f>
        <v>4.7549999999999999</v>
      </c>
      <c r="H452" s="6">
        <f t="shared" si="7"/>
        <v>23.774999999999999</v>
      </c>
    </row>
    <row r="453" spans="1:8" x14ac:dyDescent="0.3">
      <c r="A453" s="1" t="s">
        <v>899</v>
      </c>
      <c r="B453" s="2">
        <v>43518</v>
      </c>
      <c r="C453" s="3" t="s">
        <v>900</v>
      </c>
      <c r="D453" s="4" t="s">
        <v>35</v>
      </c>
      <c r="E453" s="3">
        <v>2</v>
      </c>
      <c r="F453" s="5">
        <f>INDEX([1]products!$A$1:$G$49,MATCH([1]orders!$D453,[1]products!$A$1:$A$49,0),MATCH([1]orders!K$1,[1]products!$A$1:$G$1,0))</f>
        <v>2.5</v>
      </c>
      <c r="G453" s="6">
        <f>INDEX([1]products!$A$1:$G$49,MATCH([1]orders!$D453,[1]products!$A$1:$A$49,0),MATCH([1]orders!L$1,[1]products!$A$1:$G$1,0))</f>
        <v>20.584999999999997</v>
      </c>
      <c r="H453" s="6">
        <f t="shared" si="7"/>
        <v>41.169999999999995</v>
      </c>
    </row>
    <row r="454" spans="1:8" x14ac:dyDescent="0.3">
      <c r="A454" s="1" t="s">
        <v>901</v>
      </c>
      <c r="B454" s="2">
        <v>44524</v>
      </c>
      <c r="C454" s="3" t="s">
        <v>874</v>
      </c>
      <c r="D454" s="4" t="s">
        <v>115</v>
      </c>
      <c r="E454" s="3">
        <v>3</v>
      </c>
      <c r="F454" s="5">
        <f>INDEX([1]products!$A$1:$G$49,MATCH([1]orders!$D454,[1]products!$A$1:$A$49,0),MATCH([1]orders!K$1,[1]products!$A$1:$G$1,0))</f>
        <v>0.2</v>
      </c>
      <c r="G454" s="6">
        <f>INDEX([1]products!$A$1:$G$49,MATCH([1]orders!$D454,[1]products!$A$1:$A$49,0),MATCH([1]orders!L$1,[1]products!$A$1:$G$1,0))</f>
        <v>3.8849999999999998</v>
      </c>
      <c r="H454" s="6">
        <f t="shared" si="7"/>
        <v>11.654999999999999</v>
      </c>
    </row>
    <row r="455" spans="1:8" x14ac:dyDescent="0.3">
      <c r="A455" s="1" t="s">
        <v>902</v>
      </c>
      <c r="B455" s="2">
        <v>44579</v>
      </c>
      <c r="C455" s="3" t="s">
        <v>903</v>
      </c>
      <c r="D455" s="4" t="s">
        <v>83</v>
      </c>
      <c r="E455" s="3">
        <v>4</v>
      </c>
      <c r="F455" s="5">
        <f>INDEX([1]products!$A$1:$G$49,MATCH([1]orders!$D455,[1]products!$A$1:$A$49,0),MATCH([1]orders!K$1,[1]products!$A$1:$G$1,0))</f>
        <v>0.5</v>
      </c>
      <c r="G455" s="6">
        <f>INDEX([1]products!$A$1:$G$49,MATCH([1]orders!$D455,[1]products!$A$1:$A$49,0),MATCH([1]orders!L$1,[1]products!$A$1:$G$1,0))</f>
        <v>9.51</v>
      </c>
      <c r="H455" s="6">
        <f t="shared" si="7"/>
        <v>38.04</v>
      </c>
    </row>
    <row r="456" spans="1:8" x14ac:dyDescent="0.3">
      <c r="A456" s="1" t="s">
        <v>904</v>
      </c>
      <c r="B456" s="2">
        <v>44421</v>
      </c>
      <c r="C456" s="3" t="s">
        <v>905</v>
      </c>
      <c r="D456" s="4" t="s">
        <v>35</v>
      </c>
      <c r="E456" s="3">
        <v>4</v>
      </c>
      <c r="F456" s="5">
        <f>INDEX([1]products!$A$1:$G$49,MATCH([1]orders!$D456,[1]products!$A$1:$A$49,0),MATCH([1]orders!K$1,[1]products!$A$1:$G$1,0))</f>
        <v>2.5</v>
      </c>
      <c r="G456" s="6">
        <f>INDEX([1]products!$A$1:$G$49,MATCH([1]orders!$D456,[1]products!$A$1:$A$49,0),MATCH([1]orders!L$1,[1]products!$A$1:$G$1,0))</f>
        <v>20.584999999999997</v>
      </c>
      <c r="H456" s="6">
        <f t="shared" si="7"/>
        <v>82.339999999999989</v>
      </c>
    </row>
    <row r="457" spans="1:8" x14ac:dyDescent="0.3">
      <c r="A457" s="1" t="s">
        <v>906</v>
      </c>
      <c r="B457" s="2">
        <v>43841</v>
      </c>
      <c r="C457" s="3" t="s">
        <v>907</v>
      </c>
      <c r="D457" s="4" t="s">
        <v>19</v>
      </c>
      <c r="E457" s="3">
        <v>2</v>
      </c>
      <c r="F457" s="5">
        <f>INDEX([1]products!$A$1:$G$49,MATCH([1]orders!$D457,[1]products!$A$1:$A$49,0),MATCH([1]orders!K$1,[1]products!$A$1:$G$1,0))</f>
        <v>0.2</v>
      </c>
      <c r="G457" s="6">
        <f>INDEX([1]products!$A$1:$G$49,MATCH([1]orders!$D457,[1]products!$A$1:$A$49,0),MATCH([1]orders!L$1,[1]products!$A$1:$G$1,0))</f>
        <v>4.7549999999999999</v>
      </c>
      <c r="H457" s="6">
        <f t="shared" si="7"/>
        <v>9.51</v>
      </c>
    </row>
    <row r="458" spans="1:8" x14ac:dyDescent="0.3">
      <c r="A458" s="1" t="s">
        <v>908</v>
      </c>
      <c r="B458" s="2">
        <v>44017</v>
      </c>
      <c r="C458" s="3" t="s">
        <v>909</v>
      </c>
      <c r="D458" s="4" t="s">
        <v>35</v>
      </c>
      <c r="E458" s="3">
        <v>2</v>
      </c>
      <c r="F458" s="5">
        <f>INDEX([1]products!$A$1:$G$49,MATCH([1]orders!$D458,[1]products!$A$1:$A$49,0),MATCH([1]orders!K$1,[1]products!$A$1:$G$1,0))</f>
        <v>2.5</v>
      </c>
      <c r="G458" s="6">
        <f>INDEX([1]products!$A$1:$G$49,MATCH([1]orders!$D458,[1]products!$A$1:$A$49,0),MATCH([1]orders!L$1,[1]products!$A$1:$G$1,0))</f>
        <v>20.584999999999997</v>
      </c>
      <c r="H458" s="6">
        <f t="shared" si="7"/>
        <v>41.169999999999995</v>
      </c>
    </row>
    <row r="459" spans="1:8" x14ac:dyDescent="0.3">
      <c r="A459" s="1" t="s">
        <v>910</v>
      </c>
      <c r="B459" s="2">
        <v>43671</v>
      </c>
      <c r="C459" s="3" t="s">
        <v>911</v>
      </c>
      <c r="D459" s="4" t="s">
        <v>83</v>
      </c>
      <c r="E459" s="3">
        <v>5</v>
      </c>
      <c r="F459" s="5">
        <f>INDEX([1]products!$A$1:$G$49,MATCH([1]orders!$D459,[1]products!$A$1:$A$49,0),MATCH([1]orders!K$1,[1]products!$A$1:$G$1,0))</f>
        <v>0.5</v>
      </c>
      <c r="G459" s="6">
        <f>INDEX([1]products!$A$1:$G$49,MATCH([1]orders!$D459,[1]products!$A$1:$A$49,0),MATCH([1]orders!L$1,[1]products!$A$1:$G$1,0))</f>
        <v>9.51</v>
      </c>
      <c r="H459" s="6">
        <f t="shared" si="7"/>
        <v>47.55</v>
      </c>
    </row>
    <row r="460" spans="1:8" x14ac:dyDescent="0.3">
      <c r="A460" s="1" t="s">
        <v>912</v>
      </c>
      <c r="B460" s="2">
        <v>44707</v>
      </c>
      <c r="C460" s="3" t="s">
        <v>913</v>
      </c>
      <c r="D460" s="4" t="s">
        <v>61</v>
      </c>
      <c r="E460" s="3">
        <v>4</v>
      </c>
      <c r="F460" s="5">
        <f>INDEX([1]products!$A$1:$G$49,MATCH([1]orders!$D460,[1]products!$A$1:$A$49,0),MATCH([1]orders!K$1,[1]products!$A$1:$G$1,0))</f>
        <v>1</v>
      </c>
      <c r="G460" s="6">
        <f>INDEX([1]products!$A$1:$G$49,MATCH([1]orders!$D460,[1]products!$A$1:$A$49,0),MATCH([1]orders!L$1,[1]products!$A$1:$G$1,0))</f>
        <v>11.25</v>
      </c>
      <c r="H460" s="6">
        <f t="shared" si="7"/>
        <v>45</v>
      </c>
    </row>
    <row r="461" spans="1:8" x14ac:dyDescent="0.3">
      <c r="A461" s="1" t="s">
        <v>914</v>
      </c>
      <c r="B461" s="2">
        <v>43840</v>
      </c>
      <c r="C461" s="3" t="s">
        <v>915</v>
      </c>
      <c r="D461" s="4" t="s">
        <v>19</v>
      </c>
      <c r="E461" s="3">
        <v>5</v>
      </c>
      <c r="F461" s="5">
        <f>INDEX([1]products!$A$1:$G$49,MATCH([1]orders!$D461,[1]products!$A$1:$A$49,0),MATCH([1]orders!K$1,[1]products!$A$1:$G$1,0))</f>
        <v>0.2</v>
      </c>
      <c r="G461" s="6">
        <f>INDEX([1]products!$A$1:$G$49,MATCH([1]orders!$D461,[1]products!$A$1:$A$49,0),MATCH([1]orders!L$1,[1]products!$A$1:$G$1,0))</f>
        <v>4.7549999999999999</v>
      </c>
      <c r="H461" s="6">
        <f t="shared" si="7"/>
        <v>23.774999999999999</v>
      </c>
    </row>
    <row r="462" spans="1:8" x14ac:dyDescent="0.3">
      <c r="A462" s="1" t="s">
        <v>916</v>
      </c>
      <c r="B462" s="2">
        <v>43602</v>
      </c>
      <c r="C462" s="3" t="s">
        <v>917</v>
      </c>
      <c r="D462" s="4" t="s">
        <v>146</v>
      </c>
      <c r="E462" s="3">
        <v>3</v>
      </c>
      <c r="F462" s="5">
        <f>INDEX([1]products!$A$1:$G$49,MATCH([1]orders!$D462,[1]products!$A$1:$A$49,0),MATCH([1]orders!K$1,[1]products!$A$1:$G$1,0))</f>
        <v>0.5</v>
      </c>
      <c r="G462" s="6">
        <f>INDEX([1]products!$A$1:$G$49,MATCH([1]orders!$D462,[1]products!$A$1:$A$49,0),MATCH([1]orders!L$1,[1]products!$A$1:$G$1,0))</f>
        <v>5.3699999999999992</v>
      </c>
      <c r="H462" s="6">
        <f t="shared" si="7"/>
        <v>16.11</v>
      </c>
    </row>
    <row r="463" spans="1:8" x14ac:dyDescent="0.3">
      <c r="A463" s="1" t="s">
        <v>918</v>
      </c>
      <c r="B463" s="2">
        <v>44036</v>
      </c>
      <c r="C463" s="3" t="s">
        <v>919</v>
      </c>
      <c r="D463" s="4" t="s">
        <v>101</v>
      </c>
      <c r="E463" s="3">
        <v>4</v>
      </c>
      <c r="F463" s="5">
        <f>INDEX([1]products!$A$1:$G$49,MATCH([1]orders!$D463,[1]products!$A$1:$A$49,0),MATCH([1]orders!K$1,[1]products!$A$1:$G$1,0))</f>
        <v>0.2</v>
      </c>
      <c r="G463" s="6">
        <f>INDEX([1]products!$A$1:$G$49,MATCH([1]orders!$D463,[1]products!$A$1:$A$49,0),MATCH([1]orders!L$1,[1]products!$A$1:$G$1,0))</f>
        <v>2.6849999999999996</v>
      </c>
      <c r="H463" s="6">
        <f t="shared" si="7"/>
        <v>10.739999999999998</v>
      </c>
    </row>
    <row r="464" spans="1:8" x14ac:dyDescent="0.3">
      <c r="A464" s="1" t="s">
        <v>920</v>
      </c>
      <c r="B464" s="2">
        <v>44124</v>
      </c>
      <c r="C464" s="3" t="s">
        <v>921</v>
      </c>
      <c r="D464" s="4" t="s">
        <v>27</v>
      </c>
      <c r="E464" s="3">
        <v>5</v>
      </c>
      <c r="F464" s="5">
        <f>INDEX([1]products!$A$1:$G$49,MATCH([1]orders!$D464,[1]products!$A$1:$A$49,0),MATCH([1]orders!K$1,[1]products!$A$1:$G$1,0))</f>
        <v>1</v>
      </c>
      <c r="G464" s="6">
        <f>INDEX([1]products!$A$1:$G$49,MATCH([1]orders!$D464,[1]products!$A$1:$A$49,0),MATCH([1]orders!L$1,[1]products!$A$1:$G$1,0))</f>
        <v>9.9499999999999993</v>
      </c>
      <c r="H464" s="6">
        <f t="shared" si="7"/>
        <v>49.75</v>
      </c>
    </row>
    <row r="465" spans="1:8" x14ac:dyDescent="0.3">
      <c r="A465" s="1" t="s">
        <v>922</v>
      </c>
      <c r="B465" s="2">
        <v>43730</v>
      </c>
      <c r="C465" s="3" t="s">
        <v>923</v>
      </c>
      <c r="D465" s="4" t="s">
        <v>9</v>
      </c>
      <c r="E465" s="3">
        <v>2</v>
      </c>
      <c r="F465" s="5">
        <f>INDEX([1]products!$A$1:$G$49,MATCH([1]orders!$D465,[1]products!$A$1:$A$49,0),MATCH([1]orders!K$1,[1]products!$A$1:$G$1,0))</f>
        <v>1</v>
      </c>
      <c r="G465" s="6">
        <f>INDEX([1]products!$A$1:$G$49,MATCH([1]orders!$D465,[1]products!$A$1:$A$49,0),MATCH([1]orders!L$1,[1]products!$A$1:$G$1,0))</f>
        <v>13.75</v>
      </c>
      <c r="H465" s="6">
        <f t="shared" si="7"/>
        <v>27.5</v>
      </c>
    </row>
    <row r="466" spans="1:8" x14ac:dyDescent="0.3">
      <c r="A466" s="1" t="s">
        <v>924</v>
      </c>
      <c r="B466" s="2">
        <v>43989</v>
      </c>
      <c r="C466" s="3" t="s">
        <v>925</v>
      </c>
      <c r="D466" s="4" t="s">
        <v>109</v>
      </c>
      <c r="E466" s="3">
        <v>4</v>
      </c>
      <c r="F466" s="5">
        <f>INDEX([1]products!$A$1:$G$49,MATCH([1]orders!$D466,[1]products!$A$1:$A$49,0),MATCH([1]orders!K$1,[1]products!$A$1:$G$1,0))</f>
        <v>2.5</v>
      </c>
      <c r="G466" s="6">
        <f>INDEX([1]products!$A$1:$G$49,MATCH([1]orders!$D466,[1]products!$A$1:$A$49,0),MATCH([1]orders!L$1,[1]products!$A$1:$G$1,0))</f>
        <v>29.784999999999997</v>
      </c>
      <c r="H466" s="6">
        <f t="shared" si="7"/>
        <v>119.13999999999999</v>
      </c>
    </row>
    <row r="467" spans="1:8" x14ac:dyDescent="0.3">
      <c r="A467" s="1" t="s">
        <v>926</v>
      </c>
      <c r="B467" s="2">
        <v>43814</v>
      </c>
      <c r="C467" s="3" t="s">
        <v>927</v>
      </c>
      <c r="D467" s="4" t="s">
        <v>35</v>
      </c>
      <c r="E467" s="3">
        <v>1</v>
      </c>
      <c r="F467" s="5">
        <f>INDEX([1]products!$A$1:$G$49,MATCH([1]orders!$D467,[1]products!$A$1:$A$49,0),MATCH([1]orders!K$1,[1]products!$A$1:$G$1,0))</f>
        <v>2.5</v>
      </c>
      <c r="G467" s="6">
        <f>INDEX([1]products!$A$1:$G$49,MATCH([1]orders!$D467,[1]products!$A$1:$A$49,0),MATCH([1]orders!L$1,[1]products!$A$1:$G$1,0))</f>
        <v>20.584999999999997</v>
      </c>
      <c r="H467" s="6">
        <f t="shared" si="7"/>
        <v>20.584999999999997</v>
      </c>
    </row>
    <row r="468" spans="1:8" x14ac:dyDescent="0.3">
      <c r="A468" s="1" t="s">
        <v>928</v>
      </c>
      <c r="B468" s="2">
        <v>44171</v>
      </c>
      <c r="C468" s="3" t="s">
        <v>929</v>
      </c>
      <c r="D468" s="4" t="s">
        <v>54</v>
      </c>
      <c r="E468" s="3">
        <v>3</v>
      </c>
      <c r="F468" s="5">
        <f>INDEX([1]products!$A$1:$G$49,MATCH([1]orders!$D468,[1]products!$A$1:$A$49,0),MATCH([1]orders!K$1,[1]products!$A$1:$G$1,0))</f>
        <v>0.2</v>
      </c>
      <c r="G468" s="6">
        <f>INDEX([1]products!$A$1:$G$49,MATCH([1]orders!$D468,[1]products!$A$1:$A$49,0),MATCH([1]orders!L$1,[1]products!$A$1:$G$1,0))</f>
        <v>2.9849999999999999</v>
      </c>
      <c r="H468" s="6">
        <f t="shared" si="7"/>
        <v>8.9550000000000001</v>
      </c>
    </row>
    <row r="469" spans="1:8" x14ac:dyDescent="0.3">
      <c r="A469" s="1" t="s">
        <v>930</v>
      </c>
      <c r="B469" s="2">
        <v>44536</v>
      </c>
      <c r="C469" s="3" t="s">
        <v>931</v>
      </c>
      <c r="D469" s="4" t="s">
        <v>72</v>
      </c>
      <c r="E469" s="3">
        <v>1</v>
      </c>
      <c r="F469" s="5">
        <f>INDEX([1]products!$A$1:$G$49,MATCH([1]orders!$D469,[1]products!$A$1:$A$49,0),MATCH([1]orders!K$1,[1]products!$A$1:$G$1,0))</f>
        <v>0.5</v>
      </c>
      <c r="G469" s="6">
        <f>INDEX([1]products!$A$1:$G$49,MATCH([1]orders!$D469,[1]products!$A$1:$A$49,0),MATCH([1]orders!L$1,[1]products!$A$1:$G$1,0))</f>
        <v>5.97</v>
      </c>
      <c r="H469" s="6">
        <f t="shared" si="7"/>
        <v>5.97</v>
      </c>
    </row>
    <row r="470" spans="1:8" x14ac:dyDescent="0.3">
      <c r="A470" s="1" t="s">
        <v>932</v>
      </c>
      <c r="B470" s="2">
        <v>44023</v>
      </c>
      <c r="C470" s="3" t="s">
        <v>933</v>
      </c>
      <c r="D470" s="4" t="s">
        <v>9</v>
      </c>
      <c r="E470" s="3">
        <v>3</v>
      </c>
      <c r="F470" s="5">
        <f>INDEX([1]products!$A$1:$G$49,MATCH([1]orders!$D470,[1]products!$A$1:$A$49,0),MATCH([1]orders!K$1,[1]products!$A$1:$G$1,0))</f>
        <v>1</v>
      </c>
      <c r="G470" s="6">
        <f>INDEX([1]products!$A$1:$G$49,MATCH([1]orders!$D470,[1]products!$A$1:$A$49,0),MATCH([1]orders!L$1,[1]products!$A$1:$G$1,0))</f>
        <v>13.75</v>
      </c>
      <c r="H470" s="6">
        <f t="shared" si="7"/>
        <v>41.25</v>
      </c>
    </row>
    <row r="471" spans="1:8" x14ac:dyDescent="0.3">
      <c r="A471" s="1" t="s">
        <v>934</v>
      </c>
      <c r="B471" s="2">
        <v>44375</v>
      </c>
      <c r="C471" s="3" t="s">
        <v>935</v>
      </c>
      <c r="D471" s="4" t="s">
        <v>254</v>
      </c>
      <c r="E471" s="3">
        <v>5</v>
      </c>
      <c r="F471" s="5">
        <f>INDEX([1]products!$A$1:$G$49,MATCH([1]orders!$D471,[1]products!$A$1:$A$49,0),MATCH([1]orders!K$1,[1]products!$A$1:$G$1,0))</f>
        <v>0.2</v>
      </c>
      <c r="G471" s="6">
        <f>INDEX([1]products!$A$1:$G$49,MATCH([1]orders!$D471,[1]products!$A$1:$A$49,0),MATCH([1]orders!L$1,[1]products!$A$1:$G$1,0))</f>
        <v>4.4550000000000001</v>
      </c>
      <c r="H471" s="6">
        <f t="shared" si="7"/>
        <v>22.274999999999999</v>
      </c>
    </row>
    <row r="472" spans="1:8" x14ac:dyDescent="0.3">
      <c r="A472" s="1" t="s">
        <v>936</v>
      </c>
      <c r="B472" s="2">
        <v>44656</v>
      </c>
      <c r="C472" s="3" t="s">
        <v>937</v>
      </c>
      <c r="D472" s="4" t="s">
        <v>67</v>
      </c>
      <c r="E472" s="3">
        <v>1</v>
      </c>
      <c r="F472" s="5">
        <f>INDEX([1]products!$A$1:$G$49,MATCH([1]orders!$D472,[1]products!$A$1:$A$49,0),MATCH([1]orders!K$1,[1]products!$A$1:$G$1,0))</f>
        <v>0.5</v>
      </c>
      <c r="G472" s="6">
        <f>INDEX([1]products!$A$1:$G$49,MATCH([1]orders!$D472,[1]products!$A$1:$A$49,0),MATCH([1]orders!L$1,[1]products!$A$1:$G$1,0))</f>
        <v>6.75</v>
      </c>
      <c r="H472" s="6">
        <f t="shared" si="7"/>
        <v>6.75</v>
      </c>
    </row>
    <row r="473" spans="1:8" x14ac:dyDescent="0.3">
      <c r="A473" s="1" t="s">
        <v>938</v>
      </c>
      <c r="B473" s="2">
        <v>44644</v>
      </c>
      <c r="C473" s="3" t="s">
        <v>939</v>
      </c>
      <c r="D473" s="4" t="s">
        <v>197</v>
      </c>
      <c r="E473" s="3">
        <v>4</v>
      </c>
      <c r="F473" s="5">
        <f>INDEX([1]products!$A$1:$G$49,MATCH([1]orders!$D473,[1]products!$A$1:$A$49,0),MATCH([1]orders!K$1,[1]products!$A$1:$G$1,0))</f>
        <v>2.5</v>
      </c>
      <c r="G473" s="6">
        <f>INDEX([1]products!$A$1:$G$49,MATCH([1]orders!$D473,[1]products!$A$1:$A$49,0),MATCH([1]orders!L$1,[1]products!$A$1:$G$1,0))</f>
        <v>33.464999999999996</v>
      </c>
      <c r="H473" s="6">
        <f t="shared" si="7"/>
        <v>133.85999999999999</v>
      </c>
    </row>
    <row r="474" spans="1:8" x14ac:dyDescent="0.3">
      <c r="A474" s="1" t="s">
        <v>940</v>
      </c>
      <c r="B474" s="2">
        <v>43869</v>
      </c>
      <c r="C474" s="3" t="s">
        <v>941</v>
      </c>
      <c r="D474" s="4" t="s">
        <v>54</v>
      </c>
      <c r="E474" s="3">
        <v>2</v>
      </c>
      <c r="F474" s="5">
        <f>INDEX([1]products!$A$1:$G$49,MATCH([1]orders!$D474,[1]products!$A$1:$A$49,0),MATCH([1]orders!K$1,[1]products!$A$1:$G$1,0))</f>
        <v>0.2</v>
      </c>
      <c r="G474" s="6">
        <f>INDEX([1]products!$A$1:$G$49,MATCH([1]orders!$D474,[1]products!$A$1:$A$49,0),MATCH([1]orders!L$1,[1]products!$A$1:$G$1,0))</f>
        <v>2.9849999999999999</v>
      </c>
      <c r="H474" s="6">
        <f t="shared" si="7"/>
        <v>5.97</v>
      </c>
    </row>
    <row r="475" spans="1:8" x14ac:dyDescent="0.3">
      <c r="A475" s="1" t="s">
        <v>942</v>
      </c>
      <c r="B475" s="2">
        <v>44603</v>
      </c>
      <c r="C475" s="3" t="s">
        <v>943</v>
      </c>
      <c r="D475" s="4" t="s">
        <v>6</v>
      </c>
      <c r="E475" s="3">
        <v>2</v>
      </c>
      <c r="F475" s="5">
        <f>INDEX([1]products!$A$1:$G$49,MATCH([1]orders!$D475,[1]products!$A$1:$A$49,0),MATCH([1]orders!K$1,[1]products!$A$1:$G$1,0))</f>
        <v>1</v>
      </c>
      <c r="G475" s="6">
        <f>INDEX([1]products!$A$1:$G$49,MATCH([1]orders!$D475,[1]products!$A$1:$A$49,0),MATCH([1]orders!L$1,[1]products!$A$1:$G$1,0))</f>
        <v>12.95</v>
      </c>
      <c r="H475" s="6">
        <f t="shared" si="7"/>
        <v>25.9</v>
      </c>
    </row>
    <row r="476" spans="1:8" x14ac:dyDescent="0.3">
      <c r="A476" s="1" t="s">
        <v>944</v>
      </c>
      <c r="B476" s="2">
        <v>44014</v>
      </c>
      <c r="C476" s="3" t="s">
        <v>945</v>
      </c>
      <c r="D476" s="4" t="s">
        <v>112</v>
      </c>
      <c r="E476" s="3">
        <v>1</v>
      </c>
      <c r="F476" s="5">
        <f>INDEX([1]products!$A$1:$G$49,MATCH([1]orders!$D476,[1]products!$A$1:$A$49,0),MATCH([1]orders!K$1,[1]products!$A$1:$G$1,0))</f>
        <v>2.5</v>
      </c>
      <c r="G476" s="6">
        <f>INDEX([1]products!$A$1:$G$49,MATCH([1]orders!$D476,[1]products!$A$1:$A$49,0),MATCH([1]orders!L$1,[1]products!$A$1:$G$1,0))</f>
        <v>31.624999999999996</v>
      </c>
      <c r="H476" s="6">
        <f t="shared" si="7"/>
        <v>31.624999999999996</v>
      </c>
    </row>
    <row r="477" spans="1:8" x14ac:dyDescent="0.3">
      <c r="A477" s="1" t="s">
        <v>946</v>
      </c>
      <c r="B477" s="2">
        <v>44767</v>
      </c>
      <c r="C477" s="3" t="s">
        <v>947</v>
      </c>
      <c r="D477" s="4" t="s">
        <v>77</v>
      </c>
      <c r="E477" s="3">
        <v>2</v>
      </c>
      <c r="F477" s="5">
        <f>INDEX([1]products!$A$1:$G$49,MATCH([1]orders!$D477,[1]products!$A$1:$A$49,0),MATCH([1]orders!K$1,[1]products!$A$1:$G$1,0))</f>
        <v>0.2</v>
      </c>
      <c r="G477" s="6">
        <f>INDEX([1]products!$A$1:$G$49,MATCH([1]orders!$D477,[1]products!$A$1:$A$49,0),MATCH([1]orders!L$1,[1]products!$A$1:$G$1,0))</f>
        <v>4.3650000000000002</v>
      </c>
      <c r="H477" s="6">
        <f t="shared" si="7"/>
        <v>8.73</v>
      </c>
    </row>
    <row r="478" spans="1:8" x14ac:dyDescent="0.3">
      <c r="A478" s="1" t="s">
        <v>948</v>
      </c>
      <c r="B478" s="2">
        <v>44274</v>
      </c>
      <c r="C478" s="3" t="s">
        <v>949</v>
      </c>
      <c r="D478" s="4" t="s">
        <v>254</v>
      </c>
      <c r="E478" s="3">
        <v>6</v>
      </c>
      <c r="F478" s="5">
        <f>INDEX([1]products!$A$1:$G$49,MATCH([1]orders!$D478,[1]products!$A$1:$A$49,0),MATCH([1]orders!K$1,[1]products!$A$1:$G$1,0))</f>
        <v>0.2</v>
      </c>
      <c r="G478" s="6">
        <f>INDEX([1]products!$A$1:$G$49,MATCH([1]orders!$D478,[1]products!$A$1:$A$49,0),MATCH([1]orders!L$1,[1]products!$A$1:$G$1,0))</f>
        <v>4.4550000000000001</v>
      </c>
      <c r="H478" s="6">
        <f t="shared" si="7"/>
        <v>26.73</v>
      </c>
    </row>
    <row r="479" spans="1:8" x14ac:dyDescent="0.3">
      <c r="A479" s="1" t="s">
        <v>950</v>
      </c>
      <c r="B479" s="2">
        <v>43962</v>
      </c>
      <c r="C479" s="3" t="s">
        <v>951</v>
      </c>
      <c r="D479" s="4" t="s">
        <v>77</v>
      </c>
      <c r="E479" s="3">
        <v>6</v>
      </c>
      <c r="F479" s="5">
        <f>INDEX([1]products!$A$1:$G$49,MATCH([1]orders!$D479,[1]products!$A$1:$A$49,0),MATCH([1]orders!K$1,[1]products!$A$1:$G$1,0))</f>
        <v>0.2</v>
      </c>
      <c r="G479" s="6">
        <f>INDEX([1]products!$A$1:$G$49,MATCH([1]orders!$D479,[1]products!$A$1:$A$49,0),MATCH([1]orders!L$1,[1]products!$A$1:$G$1,0))</f>
        <v>4.3650000000000002</v>
      </c>
      <c r="H479" s="6">
        <f t="shared" si="7"/>
        <v>26.19</v>
      </c>
    </row>
    <row r="480" spans="1:8" x14ac:dyDescent="0.3">
      <c r="A480" s="1" t="s">
        <v>952</v>
      </c>
      <c r="B480" s="2">
        <v>43624</v>
      </c>
      <c r="C480" s="3" t="s">
        <v>935</v>
      </c>
      <c r="D480" s="4" t="s">
        <v>179</v>
      </c>
      <c r="E480" s="3">
        <v>6</v>
      </c>
      <c r="F480" s="5">
        <f>INDEX([1]products!$A$1:$G$49,MATCH([1]orders!$D480,[1]products!$A$1:$A$49,0),MATCH([1]orders!K$1,[1]products!$A$1:$G$1,0))</f>
        <v>1</v>
      </c>
      <c r="G480" s="6">
        <f>INDEX([1]products!$A$1:$G$49,MATCH([1]orders!$D480,[1]products!$A$1:$A$49,0),MATCH([1]orders!L$1,[1]products!$A$1:$G$1,0))</f>
        <v>8.9499999999999993</v>
      </c>
      <c r="H480" s="6">
        <f t="shared" si="7"/>
        <v>53.699999999999996</v>
      </c>
    </row>
    <row r="481" spans="1:8" x14ac:dyDescent="0.3">
      <c r="A481" s="1" t="s">
        <v>952</v>
      </c>
      <c r="B481" s="2">
        <v>43624</v>
      </c>
      <c r="C481" s="3" t="s">
        <v>935</v>
      </c>
      <c r="D481" s="4" t="s">
        <v>112</v>
      </c>
      <c r="E481" s="3">
        <v>4</v>
      </c>
      <c r="F481" s="5">
        <f>INDEX([1]products!$A$1:$G$49,MATCH([1]orders!$D481,[1]products!$A$1:$A$49,0),MATCH([1]orders!K$1,[1]products!$A$1:$G$1,0))</f>
        <v>2.5</v>
      </c>
      <c r="G481" s="6">
        <f>INDEX([1]products!$A$1:$G$49,MATCH([1]orders!$D481,[1]products!$A$1:$A$49,0),MATCH([1]orders!L$1,[1]products!$A$1:$G$1,0))</f>
        <v>31.624999999999996</v>
      </c>
      <c r="H481" s="6">
        <f t="shared" si="7"/>
        <v>126.49999999999999</v>
      </c>
    </row>
    <row r="482" spans="1:8" x14ac:dyDescent="0.3">
      <c r="A482" s="1" t="s">
        <v>952</v>
      </c>
      <c r="B482" s="2">
        <v>43624</v>
      </c>
      <c r="C482" s="3" t="s">
        <v>935</v>
      </c>
      <c r="D482" s="4" t="s">
        <v>64</v>
      </c>
      <c r="E482" s="3">
        <v>1</v>
      </c>
      <c r="F482" s="5">
        <f>INDEX([1]products!$A$1:$G$49,MATCH([1]orders!$D482,[1]products!$A$1:$A$49,0),MATCH([1]orders!K$1,[1]products!$A$1:$G$1,0))</f>
        <v>0.2</v>
      </c>
      <c r="G482" s="6">
        <f>INDEX([1]products!$A$1:$G$49,MATCH([1]orders!$D482,[1]products!$A$1:$A$49,0),MATCH([1]orders!L$1,[1]products!$A$1:$G$1,0))</f>
        <v>4.125</v>
      </c>
      <c r="H482" s="6">
        <f t="shared" si="7"/>
        <v>4.125</v>
      </c>
    </row>
    <row r="483" spans="1:8" x14ac:dyDescent="0.3">
      <c r="A483" s="1" t="s">
        <v>953</v>
      </c>
      <c r="B483" s="2">
        <v>43747</v>
      </c>
      <c r="C483" s="3" t="s">
        <v>954</v>
      </c>
      <c r="D483" s="4" t="s">
        <v>189</v>
      </c>
      <c r="E483" s="3">
        <v>2</v>
      </c>
      <c r="F483" s="5">
        <f>INDEX([1]products!$A$1:$G$49,MATCH([1]orders!$D483,[1]products!$A$1:$A$49,0),MATCH([1]orders!K$1,[1]products!$A$1:$G$1,0))</f>
        <v>1</v>
      </c>
      <c r="G483" s="6">
        <f>INDEX([1]products!$A$1:$G$49,MATCH([1]orders!$D483,[1]products!$A$1:$A$49,0),MATCH([1]orders!L$1,[1]products!$A$1:$G$1,0))</f>
        <v>11.95</v>
      </c>
      <c r="H483" s="6">
        <f t="shared" si="7"/>
        <v>23.9</v>
      </c>
    </row>
    <row r="484" spans="1:8" x14ac:dyDescent="0.3">
      <c r="A484" s="1" t="s">
        <v>955</v>
      </c>
      <c r="B484" s="2">
        <v>44247</v>
      </c>
      <c r="C484" s="3" t="s">
        <v>956</v>
      </c>
      <c r="D484" s="4" t="s">
        <v>530</v>
      </c>
      <c r="E484" s="3">
        <v>5</v>
      </c>
      <c r="F484" s="5">
        <f>INDEX([1]products!$A$1:$G$49,MATCH([1]orders!$D484,[1]products!$A$1:$A$49,0),MATCH([1]orders!K$1,[1]products!$A$1:$G$1,0))</f>
        <v>2.5</v>
      </c>
      <c r="G484" s="6">
        <f>INDEX([1]products!$A$1:$G$49,MATCH([1]orders!$D484,[1]products!$A$1:$A$49,0),MATCH([1]orders!L$1,[1]products!$A$1:$G$1,0))</f>
        <v>27.945</v>
      </c>
      <c r="H484" s="6">
        <f t="shared" si="7"/>
        <v>139.72499999999999</v>
      </c>
    </row>
    <row r="485" spans="1:8" x14ac:dyDescent="0.3">
      <c r="A485" s="1" t="s">
        <v>957</v>
      </c>
      <c r="B485" s="2">
        <v>43790</v>
      </c>
      <c r="C485" s="3" t="s">
        <v>958</v>
      </c>
      <c r="D485" s="4" t="s">
        <v>109</v>
      </c>
      <c r="E485" s="3">
        <v>2</v>
      </c>
      <c r="F485" s="5">
        <f>INDEX([1]products!$A$1:$G$49,MATCH([1]orders!$D485,[1]products!$A$1:$A$49,0),MATCH([1]orders!K$1,[1]products!$A$1:$G$1,0))</f>
        <v>2.5</v>
      </c>
      <c r="G485" s="6">
        <f>INDEX([1]products!$A$1:$G$49,MATCH([1]orders!$D485,[1]products!$A$1:$A$49,0),MATCH([1]orders!L$1,[1]products!$A$1:$G$1,0))</f>
        <v>29.784999999999997</v>
      </c>
      <c r="H485" s="6">
        <f t="shared" si="7"/>
        <v>59.569999999999993</v>
      </c>
    </row>
    <row r="486" spans="1:8" x14ac:dyDescent="0.3">
      <c r="A486" s="1" t="s">
        <v>959</v>
      </c>
      <c r="B486" s="2">
        <v>44479</v>
      </c>
      <c r="C486" s="3" t="s">
        <v>960</v>
      </c>
      <c r="D486" s="4" t="s">
        <v>83</v>
      </c>
      <c r="E486" s="3">
        <v>6</v>
      </c>
      <c r="F486" s="5">
        <f>INDEX([1]products!$A$1:$G$49,MATCH([1]orders!$D486,[1]products!$A$1:$A$49,0),MATCH([1]orders!K$1,[1]products!$A$1:$G$1,0))</f>
        <v>0.5</v>
      </c>
      <c r="G486" s="6">
        <f>INDEX([1]products!$A$1:$G$49,MATCH([1]orders!$D486,[1]products!$A$1:$A$49,0),MATCH([1]orders!L$1,[1]products!$A$1:$G$1,0))</f>
        <v>9.51</v>
      </c>
      <c r="H486" s="6">
        <f t="shared" si="7"/>
        <v>57.06</v>
      </c>
    </row>
    <row r="487" spans="1:8" x14ac:dyDescent="0.3">
      <c r="A487" s="1" t="s">
        <v>961</v>
      </c>
      <c r="B487" s="2">
        <v>44413</v>
      </c>
      <c r="C487" s="3" t="s">
        <v>962</v>
      </c>
      <c r="D487" s="4" t="s">
        <v>182</v>
      </c>
      <c r="E487" s="3">
        <v>6</v>
      </c>
      <c r="F487" s="5">
        <f>INDEX([1]products!$A$1:$G$49,MATCH([1]orders!$D487,[1]products!$A$1:$A$49,0),MATCH([1]orders!K$1,[1]products!$A$1:$G$1,0))</f>
        <v>0.2</v>
      </c>
      <c r="G487" s="6">
        <f>INDEX([1]products!$A$1:$G$49,MATCH([1]orders!$D487,[1]products!$A$1:$A$49,0),MATCH([1]orders!L$1,[1]products!$A$1:$G$1,0))</f>
        <v>3.5849999999999995</v>
      </c>
      <c r="H487" s="6">
        <f t="shared" si="7"/>
        <v>21.509999999999998</v>
      </c>
    </row>
    <row r="488" spans="1:8" x14ac:dyDescent="0.3">
      <c r="A488" s="1" t="s">
        <v>963</v>
      </c>
      <c r="B488" s="2">
        <v>44043</v>
      </c>
      <c r="C488" s="3" t="s">
        <v>964</v>
      </c>
      <c r="D488" s="4" t="s">
        <v>78</v>
      </c>
      <c r="E488" s="3">
        <v>6</v>
      </c>
      <c r="F488" s="5">
        <f>INDEX([1]products!$A$1:$G$49,MATCH([1]orders!$D488,[1]products!$A$1:$A$49,0),MATCH([1]orders!K$1,[1]products!$A$1:$G$1,0))</f>
        <v>0.5</v>
      </c>
      <c r="G488" s="6">
        <f>INDEX([1]products!$A$1:$G$49,MATCH([1]orders!$D488,[1]products!$A$1:$A$49,0),MATCH([1]orders!L$1,[1]products!$A$1:$G$1,0))</f>
        <v>8.73</v>
      </c>
      <c r="H488" s="6">
        <f t="shared" si="7"/>
        <v>52.38</v>
      </c>
    </row>
    <row r="489" spans="1:8" x14ac:dyDescent="0.3">
      <c r="A489" s="1" t="s">
        <v>965</v>
      </c>
      <c r="B489" s="2">
        <v>44093</v>
      </c>
      <c r="C489" s="3" t="s">
        <v>966</v>
      </c>
      <c r="D489" s="4" t="s">
        <v>245</v>
      </c>
      <c r="E489" s="3">
        <v>6</v>
      </c>
      <c r="F489" s="5">
        <f>INDEX([1]products!$A$1:$G$49,MATCH([1]orders!$D489,[1]products!$A$1:$A$49,0),MATCH([1]orders!K$1,[1]products!$A$1:$G$1,0))</f>
        <v>1</v>
      </c>
      <c r="G489" s="6">
        <f>INDEX([1]products!$A$1:$G$49,MATCH([1]orders!$D489,[1]products!$A$1:$A$49,0),MATCH([1]orders!L$1,[1]products!$A$1:$G$1,0))</f>
        <v>12.15</v>
      </c>
      <c r="H489" s="6">
        <f t="shared" si="7"/>
        <v>72.900000000000006</v>
      </c>
    </row>
    <row r="490" spans="1:8" x14ac:dyDescent="0.3">
      <c r="A490" s="1" t="s">
        <v>967</v>
      </c>
      <c r="B490" s="2">
        <v>43954</v>
      </c>
      <c r="C490" s="3" t="s">
        <v>968</v>
      </c>
      <c r="D490" s="4" t="s">
        <v>162</v>
      </c>
      <c r="E490" s="3">
        <v>5</v>
      </c>
      <c r="F490" s="5">
        <f>INDEX([1]products!$A$1:$G$49,MATCH([1]orders!$D490,[1]products!$A$1:$A$49,0),MATCH([1]orders!K$1,[1]products!$A$1:$G$1,0))</f>
        <v>0.2</v>
      </c>
      <c r="G490" s="6">
        <f>INDEX([1]products!$A$1:$G$49,MATCH([1]orders!$D490,[1]products!$A$1:$A$49,0),MATCH([1]orders!L$1,[1]products!$A$1:$G$1,0))</f>
        <v>2.9849999999999999</v>
      </c>
      <c r="H490" s="6">
        <f t="shared" si="7"/>
        <v>14.924999999999999</v>
      </c>
    </row>
    <row r="491" spans="1:8" x14ac:dyDescent="0.3">
      <c r="A491" s="1" t="s">
        <v>969</v>
      </c>
      <c r="B491" s="2">
        <v>43654</v>
      </c>
      <c r="C491" s="3" t="s">
        <v>970</v>
      </c>
      <c r="D491" s="4" t="s">
        <v>132</v>
      </c>
      <c r="E491" s="3">
        <v>6</v>
      </c>
      <c r="F491" s="5">
        <f>INDEX([1]products!$A$1:$G$49,MATCH([1]orders!$D491,[1]products!$A$1:$A$49,0),MATCH([1]orders!K$1,[1]products!$A$1:$G$1,0))</f>
        <v>1</v>
      </c>
      <c r="G491" s="6">
        <f>INDEX([1]products!$A$1:$G$49,MATCH([1]orders!$D491,[1]products!$A$1:$A$49,0),MATCH([1]orders!L$1,[1]products!$A$1:$G$1,0))</f>
        <v>15.85</v>
      </c>
      <c r="H491" s="6">
        <f t="shared" si="7"/>
        <v>95.1</v>
      </c>
    </row>
    <row r="492" spans="1:8" x14ac:dyDescent="0.3">
      <c r="A492" s="1" t="s">
        <v>971</v>
      </c>
      <c r="B492" s="2">
        <v>43764</v>
      </c>
      <c r="C492" s="3" t="s">
        <v>972</v>
      </c>
      <c r="D492" s="4" t="s">
        <v>123</v>
      </c>
      <c r="E492" s="3">
        <v>2</v>
      </c>
      <c r="F492" s="5">
        <f>INDEX([1]products!$A$1:$G$49,MATCH([1]orders!$D492,[1]products!$A$1:$A$49,0),MATCH([1]orders!K$1,[1]products!$A$1:$G$1,0))</f>
        <v>0.5</v>
      </c>
      <c r="G492" s="6">
        <f>INDEX([1]products!$A$1:$G$49,MATCH([1]orders!$D492,[1]products!$A$1:$A$49,0),MATCH([1]orders!L$1,[1]products!$A$1:$G$1,0))</f>
        <v>7.77</v>
      </c>
      <c r="H492" s="6">
        <f t="shared" si="7"/>
        <v>15.54</v>
      </c>
    </row>
    <row r="493" spans="1:8" x14ac:dyDescent="0.3">
      <c r="A493" s="1" t="s">
        <v>973</v>
      </c>
      <c r="B493" s="2">
        <v>44101</v>
      </c>
      <c r="C493" s="3" t="s">
        <v>974</v>
      </c>
      <c r="D493" s="4" t="s">
        <v>38</v>
      </c>
      <c r="E493" s="3">
        <v>6</v>
      </c>
      <c r="F493" s="5">
        <f>INDEX([1]products!$A$1:$G$49,MATCH([1]orders!$D493,[1]products!$A$1:$A$49,0),MATCH([1]orders!K$1,[1]products!$A$1:$G$1,0))</f>
        <v>0.2</v>
      </c>
      <c r="G493" s="6">
        <f>INDEX([1]products!$A$1:$G$49,MATCH([1]orders!$D493,[1]products!$A$1:$A$49,0),MATCH([1]orders!L$1,[1]products!$A$1:$G$1,0))</f>
        <v>3.8849999999999998</v>
      </c>
      <c r="H493" s="6">
        <f t="shared" si="7"/>
        <v>23.31</v>
      </c>
    </row>
    <row r="494" spans="1:8" x14ac:dyDescent="0.3">
      <c r="A494" s="1" t="s">
        <v>975</v>
      </c>
      <c r="B494" s="2">
        <v>44620</v>
      </c>
      <c r="C494" s="3" t="s">
        <v>976</v>
      </c>
      <c r="D494" s="4" t="s">
        <v>64</v>
      </c>
      <c r="E494" s="3">
        <v>1</v>
      </c>
      <c r="F494" s="5">
        <f>INDEX([1]products!$A$1:$G$49,MATCH([1]orders!$D494,[1]products!$A$1:$A$49,0),MATCH([1]orders!K$1,[1]products!$A$1:$G$1,0))</f>
        <v>0.2</v>
      </c>
      <c r="G494" s="6">
        <f>INDEX([1]products!$A$1:$G$49,MATCH([1]orders!$D494,[1]products!$A$1:$A$49,0),MATCH([1]orders!L$1,[1]products!$A$1:$G$1,0))</f>
        <v>4.125</v>
      </c>
      <c r="H494" s="6">
        <f t="shared" si="7"/>
        <v>4.125</v>
      </c>
    </row>
    <row r="495" spans="1:8" x14ac:dyDescent="0.3">
      <c r="A495" s="1" t="s">
        <v>977</v>
      </c>
      <c r="B495" s="2">
        <v>44090</v>
      </c>
      <c r="C495" s="3" t="s">
        <v>978</v>
      </c>
      <c r="D495" s="4" t="s">
        <v>22</v>
      </c>
      <c r="E495" s="3">
        <v>6</v>
      </c>
      <c r="F495" s="5">
        <f>INDEX([1]products!$A$1:$G$49,MATCH([1]orders!$D495,[1]products!$A$1:$A$49,0),MATCH([1]orders!K$1,[1]products!$A$1:$G$1,0))</f>
        <v>0.5</v>
      </c>
      <c r="G495" s="6">
        <f>INDEX([1]products!$A$1:$G$49,MATCH([1]orders!$D495,[1]products!$A$1:$A$49,0),MATCH([1]orders!L$1,[1]products!$A$1:$G$1,0))</f>
        <v>5.97</v>
      </c>
      <c r="H495" s="6">
        <f t="shared" si="7"/>
        <v>35.82</v>
      </c>
    </row>
    <row r="496" spans="1:8" x14ac:dyDescent="0.3">
      <c r="A496" s="1" t="s">
        <v>979</v>
      </c>
      <c r="B496" s="2">
        <v>44132</v>
      </c>
      <c r="C496" s="3" t="s">
        <v>980</v>
      </c>
      <c r="D496" s="4" t="s">
        <v>132</v>
      </c>
      <c r="E496" s="3">
        <v>2</v>
      </c>
      <c r="F496" s="5">
        <f>INDEX([1]products!$A$1:$G$49,MATCH([1]orders!$D496,[1]products!$A$1:$A$49,0),MATCH([1]orders!K$1,[1]products!$A$1:$G$1,0))</f>
        <v>1</v>
      </c>
      <c r="G496" s="6">
        <f>INDEX([1]products!$A$1:$G$49,MATCH([1]orders!$D496,[1]products!$A$1:$A$49,0),MATCH([1]orders!L$1,[1]products!$A$1:$G$1,0))</f>
        <v>15.85</v>
      </c>
      <c r="H496" s="6">
        <f t="shared" si="7"/>
        <v>31.7</v>
      </c>
    </row>
    <row r="497" spans="1:8" x14ac:dyDescent="0.3">
      <c r="A497" s="1" t="s">
        <v>981</v>
      </c>
      <c r="B497" s="2">
        <v>43710</v>
      </c>
      <c r="C497" s="3" t="s">
        <v>982</v>
      </c>
      <c r="D497" s="4" t="s">
        <v>132</v>
      </c>
      <c r="E497" s="3">
        <v>5</v>
      </c>
      <c r="F497" s="5">
        <f>INDEX([1]products!$A$1:$G$49,MATCH([1]orders!$D497,[1]products!$A$1:$A$49,0),MATCH([1]orders!K$1,[1]products!$A$1:$G$1,0))</f>
        <v>1</v>
      </c>
      <c r="G497" s="6">
        <f>INDEX([1]products!$A$1:$G$49,MATCH([1]orders!$D497,[1]products!$A$1:$A$49,0),MATCH([1]orders!L$1,[1]products!$A$1:$G$1,0))</f>
        <v>15.85</v>
      </c>
      <c r="H497" s="6">
        <f t="shared" si="7"/>
        <v>79.25</v>
      </c>
    </row>
    <row r="498" spans="1:8" x14ac:dyDescent="0.3">
      <c r="A498" s="1" t="s">
        <v>983</v>
      </c>
      <c r="B498" s="2">
        <v>44438</v>
      </c>
      <c r="C498" s="3" t="s">
        <v>984</v>
      </c>
      <c r="D498" s="4" t="s">
        <v>51</v>
      </c>
      <c r="E498" s="3">
        <v>3</v>
      </c>
      <c r="F498" s="5">
        <f>INDEX([1]products!$A$1:$G$49,MATCH([1]orders!$D498,[1]products!$A$1:$A$49,0),MATCH([1]orders!K$1,[1]products!$A$1:$G$1,0))</f>
        <v>0.2</v>
      </c>
      <c r="G498" s="6">
        <f>INDEX([1]products!$A$1:$G$49,MATCH([1]orders!$D498,[1]products!$A$1:$A$49,0),MATCH([1]orders!L$1,[1]products!$A$1:$G$1,0))</f>
        <v>3.645</v>
      </c>
      <c r="H498" s="6">
        <f t="shared" si="7"/>
        <v>10.935</v>
      </c>
    </row>
    <row r="499" spans="1:8" x14ac:dyDescent="0.3">
      <c r="A499" s="1" t="s">
        <v>985</v>
      </c>
      <c r="B499" s="2">
        <v>44351</v>
      </c>
      <c r="C499" s="3" t="s">
        <v>986</v>
      </c>
      <c r="D499" s="4" t="s">
        <v>27</v>
      </c>
      <c r="E499" s="3">
        <v>4</v>
      </c>
      <c r="F499" s="5">
        <f>INDEX([1]products!$A$1:$G$49,MATCH([1]orders!$D499,[1]products!$A$1:$A$49,0),MATCH([1]orders!K$1,[1]products!$A$1:$G$1,0))</f>
        <v>1</v>
      </c>
      <c r="G499" s="6">
        <f>INDEX([1]products!$A$1:$G$49,MATCH([1]orders!$D499,[1]products!$A$1:$A$49,0),MATCH([1]orders!L$1,[1]products!$A$1:$G$1,0))</f>
        <v>9.9499999999999993</v>
      </c>
      <c r="H499" s="6">
        <f t="shared" si="7"/>
        <v>39.799999999999997</v>
      </c>
    </row>
    <row r="500" spans="1:8" x14ac:dyDescent="0.3">
      <c r="A500" s="1" t="s">
        <v>987</v>
      </c>
      <c r="B500" s="2">
        <v>44159</v>
      </c>
      <c r="C500" s="3" t="s">
        <v>988</v>
      </c>
      <c r="D500" s="4" t="s">
        <v>2</v>
      </c>
      <c r="E500" s="3">
        <v>5</v>
      </c>
      <c r="F500" s="5">
        <f>INDEX([1]products!$A$1:$G$49,MATCH([1]orders!$D500,[1]products!$A$1:$A$49,0),MATCH([1]orders!K$1,[1]products!$A$1:$G$1,0))</f>
        <v>1</v>
      </c>
      <c r="G500" s="6">
        <f>INDEX([1]products!$A$1:$G$49,MATCH([1]orders!$D500,[1]products!$A$1:$A$49,0),MATCH([1]orders!L$1,[1]products!$A$1:$G$1,0))</f>
        <v>9.9499999999999993</v>
      </c>
      <c r="H500" s="6">
        <f t="shared" si="7"/>
        <v>49.75</v>
      </c>
    </row>
    <row r="501" spans="1:8" x14ac:dyDescent="0.3">
      <c r="A501" s="1" t="s">
        <v>989</v>
      </c>
      <c r="B501" s="2">
        <v>44003</v>
      </c>
      <c r="C501" s="3" t="s">
        <v>990</v>
      </c>
      <c r="D501" s="4" t="s">
        <v>101</v>
      </c>
      <c r="E501" s="3">
        <v>3</v>
      </c>
      <c r="F501" s="5">
        <f>INDEX([1]products!$A$1:$G$49,MATCH([1]orders!$D501,[1]products!$A$1:$A$49,0),MATCH([1]orders!K$1,[1]products!$A$1:$G$1,0))</f>
        <v>0.2</v>
      </c>
      <c r="G501" s="6">
        <f>INDEX([1]products!$A$1:$G$49,MATCH([1]orders!$D501,[1]products!$A$1:$A$49,0),MATCH([1]orders!L$1,[1]products!$A$1:$G$1,0))</f>
        <v>2.6849999999999996</v>
      </c>
      <c r="H501" s="6">
        <f t="shared" si="7"/>
        <v>8.0549999999999997</v>
      </c>
    </row>
    <row r="502" spans="1:8" x14ac:dyDescent="0.3">
      <c r="A502" s="1" t="s">
        <v>991</v>
      </c>
      <c r="B502" s="2">
        <v>44025</v>
      </c>
      <c r="C502" s="3" t="s">
        <v>992</v>
      </c>
      <c r="D502" s="4" t="s">
        <v>189</v>
      </c>
      <c r="E502" s="3">
        <v>4</v>
      </c>
      <c r="F502" s="5">
        <f>INDEX([1]products!$A$1:$G$49,MATCH([1]orders!$D502,[1]products!$A$1:$A$49,0),MATCH([1]orders!K$1,[1]products!$A$1:$G$1,0))</f>
        <v>1</v>
      </c>
      <c r="G502" s="6">
        <f>INDEX([1]products!$A$1:$G$49,MATCH([1]orders!$D502,[1]products!$A$1:$A$49,0),MATCH([1]orders!L$1,[1]products!$A$1:$G$1,0))</f>
        <v>11.95</v>
      </c>
      <c r="H502" s="6">
        <f t="shared" si="7"/>
        <v>47.8</v>
      </c>
    </row>
    <row r="503" spans="1:8" x14ac:dyDescent="0.3">
      <c r="A503" s="1" t="s">
        <v>993</v>
      </c>
      <c r="B503" s="2">
        <v>43467</v>
      </c>
      <c r="C503" s="3" t="s">
        <v>994</v>
      </c>
      <c r="D503" s="4" t="s">
        <v>162</v>
      </c>
      <c r="E503" s="3">
        <v>4</v>
      </c>
      <c r="F503" s="5">
        <f>INDEX([1]products!$A$1:$G$49,MATCH([1]orders!$D503,[1]products!$A$1:$A$49,0),MATCH([1]orders!K$1,[1]products!$A$1:$G$1,0))</f>
        <v>0.2</v>
      </c>
      <c r="G503" s="6">
        <f>INDEX([1]products!$A$1:$G$49,MATCH([1]orders!$D503,[1]products!$A$1:$A$49,0),MATCH([1]orders!L$1,[1]products!$A$1:$G$1,0))</f>
        <v>2.9849999999999999</v>
      </c>
      <c r="H503" s="6">
        <f t="shared" si="7"/>
        <v>11.94</v>
      </c>
    </row>
    <row r="504" spans="1:8" x14ac:dyDescent="0.3">
      <c r="A504" s="1" t="s">
        <v>993</v>
      </c>
      <c r="B504" s="2">
        <v>43467</v>
      </c>
      <c r="C504" s="3" t="s">
        <v>994</v>
      </c>
      <c r="D504" s="4" t="s">
        <v>64</v>
      </c>
      <c r="E504" s="3">
        <v>4</v>
      </c>
      <c r="F504" s="5">
        <f>INDEX([1]products!$A$1:$G$49,MATCH([1]orders!$D504,[1]products!$A$1:$A$49,0),MATCH([1]orders!K$1,[1]products!$A$1:$G$1,0))</f>
        <v>0.2</v>
      </c>
      <c r="G504" s="6">
        <f>INDEX([1]products!$A$1:$G$49,MATCH([1]orders!$D504,[1]products!$A$1:$A$49,0),MATCH([1]orders!L$1,[1]products!$A$1:$G$1,0))</f>
        <v>4.125</v>
      </c>
      <c r="H504" s="6">
        <f t="shared" si="7"/>
        <v>16.5</v>
      </c>
    </row>
    <row r="505" spans="1:8" x14ac:dyDescent="0.3">
      <c r="A505" s="1" t="s">
        <v>993</v>
      </c>
      <c r="B505" s="2">
        <v>43467</v>
      </c>
      <c r="C505" s="3" t="s">
        <v>994</v>
      </c>
      <c r="D505" s="4" t="s">
        <v>13</v>
      </c>
      <c r="E505" s="3">
        <v>4</v>
      </c>
      <c r="F505" s="5">
        <f>INDEX([1]products!$A$1:$G$49,MATCH([1]orders!$D505,[1]products!$A$1:$A$49,0),MATCH([1]orders!K$1,[1]products!$A$1:$G$1,0))</f>
        <v>1</v>
      </c>
      <c r="G505" s="6">
        <f>INDEX([1]products!$A$1:$G$49,MATCH([1]orders!$D505,[1]products!$A$1:$A$49,0),MATCH([1]orders!L$1,[1]products!$A$1:$G$1,0))</f>
        <v>12.95</v>
      </c>
      <c r="H505" s="6">
        <f t="shared" si="7"/>
        <v>51.8</v>
      </c>
    </row>
    <row r="506" spans="1:8" x14ac:dyDescent="0.3">
      <c r="A506" s="1" t="s">
        <v>993</v>
      </c>
      <c r="B506" s="2">
        <v>43467</v>
      </c>
      <c r="C506" s="3" t="s">
        <v>994</v>
      </c>
      <c r="D506" s="4" t="s">
        <v>19</v>
      </c>
      <c r="E506" s="3">
        <v>3</v>
      </c>
      <c r="F506" s="5">
        <f>INDEX([1]products!$A$1:$G$49,MATCH([1]orders!$D506,[1]products!$A$1:$A$49,0),MATCH([1]orders!K$1,[1]products!$A$1:$G$1,0))</f>
        <v>0.2</v>
      </c>
      <c r="G506" s="6">
        <f>INDEX([1]products!$A$1:$G$49,MATCH([1]orders!$D506,[1]products!$A$1:$A$49,0),MATCH([1]orders!L$1,[1]products!$A$1:$G$1,0))</f>
        <v>4.7549999999999999</v>
      </c>
      <c r="H506" s="6">
        <f t="shared" si="7"/>
        <v>14.265000000000001</v>
      </c>
    </row>
    <row r="507" spans="1:8" x14ac:dyDescent="0.3">
      <c r="A507" s="1" t="s">
        <v>995</v>
      </c>
      <c r="B507" s="2">
        <v>44609</v>
      </c>
      <c r="C507" s="3" t="s">
        <v>996</v>
      </c>
      <c r="D507" s="4" t="s">
        <v>77</v>
      </c>
      <c r="E507" s="3">
        <v>6</v>
      </c>
      <c r="F507" s="5">
        <f>INDEX([1]products!$A$1:$G$49,MATCH([1]orders!$D507,[1]products!$A$1:$A$49,0),MATCH([1]orders!K$1,[1]products!$A$1:$G$1,0))</f>
        <v>0.2</v>
      </c>
      <c r="G507" s="6">
        <f>INDEX([1]products!$A$1:$G$49,MATCH([1]orders!$D507,[1]products!$A$1:$A$49,0),MATCH([1]orders!L$1,[1]products!$A$1:$G$1,0))</f>
        <v>4.3650000000000002</v>
      </c>
      <c r="H507" s="6">
        <f t="shared" si="7"/>
        <v>26.19</v>
      </c>
    </row>
    <row r="508" spans="1:8" x14ac:dyDescent="0.3">
      <c r="A508" s="1" t="s">
        <v>997</v>
      </c>
      <c r="B508" s="2">
        <v>44184</v>
      </c>
      <c r="C508" s="3" t="s">
        <v>998</v>
      </c>
      <c r="D508" s="4" t="s">
        <v>6</v>
      </c>
      <c r="E508" s="3">
        <v>2</v>
      </c>
      <c r="F508" s="5">
        <f>INDEX([1]products!$A$1:$G$49,MATCH([1]orders!$D508,[1]products!$A$1:$A$49,0),MATCH([1]orders!K$1,[1]products!$A$1:$G$1,0))</f>
        <v>1</v>
      </c>
      <c r="G508" s="6">
        <f>INDEX([1]products!$A$1:$G$49,MATCH([1]orders!$D508,[1]products!$A$1:$A$49,0),MATCH([1]orders!L$1,[1]products!$A$1:$G$1,0))</f>
        <v>12.95</v>
      </c>
      <c r="H508" s="6">
        <f t="shared" si="7"/>
        <v>25.9</v>
      </c>
    </row>
    <row r="509" spans="1:8" x14ac:dyDescent="0.3">
      <c r="A509" s="1" t="s">
        <v>999</v>
      </c>
      <c r="B509" s="2">
        <v>43516</v>
      </c>
      <c r="C509" s="3" t="s">
        <v>1000</v>
      </c>
      <c r="D509" s="4" t="s">
        <v>204</v>
      </c>
      <c r="E509" s="3">
        <v>3</v>
      </c>
      <c r="F509" s="5">
        <f>INDEX([1]products!$A$1:$G$49,MATCH([1]orders!$D509,[1]products!$A$1:$A$49,0),MATCH([1]orders!K$1,[1]products!$A$1:$G$1,0))</f>
        <v>2.5</v>
      </c>
      <c r="G509" s="6">
        <f>INDEX([1]products!$A$1:$G$49,MATCH([1]orders!$D509,[1]products!$A$1:$A$49,0),MATCH([1]orders!L$1,[1]products!$A$1:$G$1,0))</f>
        <v>29.784999999999997</v>
      </c>
      <c r="H509" s="6">
        <f t="shared" si="7"/>
        <v>89.35499999999999</v>
      </c>
    </row>
    <row r="510" spans="1:8" x14ac:dyDescent="0.3">
      <c r="A510" s="1" t="s">
        <v>1001</v>
      </c>
      <c r="B510" s="2">
        <v>44210</v>
      </c>
      <c r="C510" s="3" t="s">
        <v>1002</v>
      </c>
      <c r="D510" s="4" t="s">
        <v>123</v>
      </c>
      <c r="E510" s="3">
        <v>6</v>
      </c>
      <c r="F510" s="5">
        <f>INDEX([1]products!$A$1:$G$49,MATCH([1]orders!$D510,[1]products!$A$1:$A$49,0),MATCH([1]orders!K$1,[1]products!$A$1:$G$1,0))</f>
        <v>0.5</v>
      </c>
      <c r="G510" s="6">
        <f>INDEX([1]products!$A$1:$G$49,MATCH([1]orders!$D510,[1]products!$A$1:$A$49,0),MATCH([1]orders!L$1,[1]products!$A$1:$G$1,0))</f>
        <v>7.77</v>
      </c>
      <c r="H510" s="6">
        <f t="shared" si="7"/>
        <v>46.62</v>
      </c>
    </row>
    <row r="511" spans="1:8" x14ac:dyDescent="0.3">
      <c r="A511" s="1" t="s">
        <v>1003</v>
      </c>
      <c r="B511" s="2">
        <v>43785</v>
      </c>
      <c r="C511" s="3" t="s">
        <v>988</v>
      </c>
      <c r="D511" s="4" t="s">
        <v>27</v>
      </c>
      <c r="E511" s="3">
        <v>3</v>
      </c>
      <c r="F511" s="5">
        <f>INDEX([1]products!$A$1:$G$49,MATCH([1]orders!$D511,[1]products!$A$1:$A$49,0),MATCH([1]orders!K$1,[1]products!$A$1:$G$1,0))</f>
        <v>1</v>
      </c>
      <c r="G511" s="6">
        <f>INDEX([1]products!$A$1:$G$49,MATCH([1]orders!$D511,[1]products!$A$1:$A$49,0),MATCH([1]orders!L$1,[1]products!$A$1:$G$1,0))</f>
        <v>9.9499999999999993</v>
      </c>
      <c r="H511" s="6">
        <f t="shared" si="7"/>
        <v>29.849999999999998</v>
      </c>
    </row>
    <row r="512" spans="1:8" x14ac:dyDescent="0.3">
      <c r="A512" s="1" t="s">
        <v>1004</v>
      </c>
      <c r="B512" s="2">
        <v>43803</v>
      </c>
      <c r="C512" s="3" t="s">
        <v>1005</v>
      </c>
      <c r="D512" s="4" t="s">
        <v>182</v>
      </c>
      <c r="E512" s="3">
        <v>3</v>
      </c>
      <c r="F512" s="5">
        <f>INDEX([1]products!$A$1:$G$49,MATCH([1]orders!$D512,[1]products!$A$1:$A$49,0),MATCH([1]orders!K$1,[1]products!$A$1:$G$1,0))</f>
        <v>0.2</v>
      </c>
      <c r="G512" s="6">
        <f>INDEX([1]products!$A$1:$G$49,MATCH([1]orders!$D512,[1]products!$A$1:$A$49,0),MATCH([1]orders!L$1,[1]products!$A$1:$G$1,0))</f>
        <v>3.5849999999999995</v>
      </c>
      <c r="H512" s="6">
        <f t="shared" si="7"/>
        <v>10.754999999999999</v>
      </c>
    </row>
    <row r="513" spans="1:8" x14ac:dyDescent="0.3">
      <c r="A513" s="1" t="s">
        <v>1006</v>
      </c>
      <c r="B513" s="2">
        <v>44043</v>
      </c>
      <c r="C513" s="3" t="s">
        <v>1007</v>
      </c>
      <c r="D513" s="4" t="s">
        <v>44</v>
      </c>
      <c r="E513" s="3">
        <v>4</v>
      </c>
      <c r="F513" s="5">
        <f>INDEX([1]products!$A$1:$G$49,MATCH([1]orders!$D513,[1]products!$A$1:$A$49,0),MATCH([1]orders!K$1,[1]products!$A$1:$G$1,0))</f>
        <v>0.2</v>
      </c>
      <c r="G513" s="6">
        <f>INDEX([1]products!$A$1:$G$49,MATCH([1]orders!$D513,[1]products!$A$1:$A$49,0),MATCH([1]orders!L$1,[1]products!$A$1:$G$1,0))</f>
        <v>3.375</v>
      </c>
      <c r="H513" s="6">
        <f t="shared" si="7"/>
        <v>13.5</v>
      </c>
    </row>
    <row r="514" spans="1:8" x14ac:dyDescent="0.3">
      <c r="A514" s="1" t="s">
        <v>1008</v>
      </c>
      <c r="B514" s="2">
        <v>43535</v>
      </c>
      <c r="C514" s="3" t="s">
        <v>1009</v>
      </c>
      <c r="D514" s="4" t="s">
        <v>132</v>
      </c>
      <c r="E514" s="3">
        <v>3</v>
      </c>
      <c r="F514" s="5">
        <f>INDEX([1]products!$A$1:$G$49,MATCH([1]orders!$D514,[1]products!$A$1:$A$49,0),MATCH([1]orders!K$1,[1]products!$A$1:$G$1,0))</f>
        <v>1</v>
      </c>
      <c r="G514" s="6">
        <f>INDEX([1]products!$A$1:$G$49,MATCH([1]orders!$D514,[1]products!$A$1:$A$49,0),MATCH([1]orders!L$1,[1]products!$A$1:$G$1,0))</f>
        <v>15.85</v>
      </c>
      <c r="H514" s="6">
        <f t="shared" ref="H514:H577" si="8">E514*G514</f>
        <v>47.55</v>
      </c>
    </row>
    <row r="515" spans="1:8" x14ac:dyDescent="0.3">
      <c r="A515" s="1" t="s">
        <v>1010</v>
      </c>
      <c r="B515" s="2">
        <v>44691</v>
      </c>
      <c r="C515" s="3" t="s">
        <v>1011</v>
      </c>
      <c r="D515" s="4" t="s">
        <v>132</v>
      </c>
      <c r="E515" s="3">
        <v>5</v>
      </c>
      <c r="F515" s="5">
        <f>INDEX([1]products!$A$1:$G$49,MATCH([1]orders!$D515,[1]products!$A$1:$A$49,0),MATCH([1]orders!K$1,[1]products!$A$1:$G$1,0))</f>
        <v>1</v>
      </c>
      <c r="G515" s="6">
        <f>INDEX([1]products!$A$1:$G$49,MATCH([1]orders!$D515,[1]products!$A$1:$A$49,0),MATCH([1]orders!L$1,[1]products!$A$1:$G$1,0))</f>
        <v>15.85</v>
      </c>
      <c r="H515" s="6">
        <f t="shared" si="8"/>
        <v>79.25</v>
      </c>
    </row>
    <row r="516" spans="1:8" x14ac:dyDescent="0.3">
      <c r="A516" s="1" t="s">
        <v>1012</v>
      </c>
      <c r="B516" s="2">
        <v>44555</v>
      </c>
      <c r="C516" s="3" t="s">
        <v>1013</v>
      </c>
      <c r="D516" s="4" t="s">
        <v>77</v>
      </c>
      <c r="E516" s="3">
        <v>6</v>
      </c>
      <c r="F516" s="5">
        <f>INDEX([1]products!$A$1:$G$49,MATCH([1]orders!$D516,[1]products!$A$1:$A$49,0),MATCH([1]orders!K$1,[1]products!$A$1:$G$1,0))</f>
        <v>0.2</v>
      </c>
      <c r="G516" s="6">
        <f>INDEX([1]products!$A$1:$G$49,MATCH([1]orders!$D516,[1]products!$A$1:$A$49,0),MATCH([1]orders!L$1,[1]products!$A$1:$G$1,0))</f>
        <v>4.3650000000000002</v>
      </c>
      <c r="H516" s="6">
        <f t="shared" si="8"/>
        <v>26.19</v>
      </c>
    </row>
    <row r="517" spans="1:8" x14ac:dyDescent="0.3">
      <c r="A517" s="1" t="s">
        <v>1014</v>
      </c>
      <c r="B517" s="2">
        <v>44673</v>
      </c>
      <c r="C517" s="3" t="s">
        <v>1015</v>
      </c>
      <c r="D517" s="4" t="s">
        <v>157</v>
      </c>
      <c r="E517" s="3">
        <v>3</v>
      </c>
      <c r="F517" s="5">
        <f>INDEX([1]products!$A$1:$G$49,MATCH([1]orders!$D517,[1]products!$A$1:$A$49,0),MATCH([1]orders!K$1,[1]products!$A$1:$G$1,0))</f>
        <v>0.5</v>
      </c>
      <c r="G517" s="6">
        <f>INDEX([1]products!$A$1:$G$49,MATCH([1]orders!$D517,[1]products!$A$1:$A$49,0),MATCH([1]orders!L$1,[1]products!$A$1:$G$1,0))</f>
        <v>7.169999999999999</v>
      </c>
      <c r="H517" s="6">
        <f t="shared" si="8"/>
        <v>21.509999999999998</v>
      </c>
    </row>
    <row r="518" spans="1:8" x14ac:dyDescent="0.3">
      <c r="A518" s="1" t="s">
        <v>1016</v>
      </c>
      <c r="B518" s="2">
        <v>44723</v>
      </c>
      <c r="C518" s="3" t="s">
        <v>1017</v>
      </c>
      <c r="D518" s="4" t="s">
        <v>35</v>
      </c>
      <c r="E518" s="3">
        <v>5</v>
      </c>
      <c r="F518" s="5">
        <f>INDEX([1]products!$A$1:$G$49,MATCH([1]orders!$D518,[1]products!$A$1:$A$49,0),MATCH([1]orders!K$1,[1]products!$A$1:$G$1,0))</f>
        <v>2.5</v>
      </c>
      <c r="G518" s="6">
        <f>INDEX([1]products!$A$1:$G$49,MATCH([1]orders!$D518,[1]products!$A$1:$A$49,0),MATCH([1]orders!L$1,[1]products!$A$1:$G$1,0))</f>
        <v>20.584999999999997</v>
      </c>
      <c r="H518" s="6">
        <f t="shared" si="8"/>
        <v>102.92499999999998</v>
      </c>
    </row>
    <row r="519" spans="1:8" x14ac:dyDescent="0.3">
      <c r="A519" s="1" t="s">
        <v>1018</v>
      </c>
      <c r="B519" s="2">
        <v>44678</v>
      </c>
      <c r="C519" s="3" t="s">
        <v>1019</v>
      </c>
      <c r="D519" s="4" t="s">
        <v>38</v>
      </c>
      <c r="E519" s="3">
        <v>2</v>
      </c>
      <c r="F519" s="5">
        <f>INDEX([1]products!$A$1:$G$49,MATCH([1]orders!$D519,[1]products!$A$1:$A$49,0),MATCH([1]orders!K$1,[1]products!$A$1:$G$1,0))</f>
        <v>0.2</v>
      </c>
      <c r="G519" s="6">
        <f>INDEX([1]products!$A$1:$G$49,MATCH([1]orders!$D519,[1]products!$A$1:$A$49,0),MATCH([1]orders!L$1,[1]products!$A$1:$G$1,0))</f>
        <v>3.8849999999999998</v>
      </c>
      <c r="H519" s="6">
        <f t="shared" si="8"/>
        <v>7.77</v>
      </c>
    </row>
    <row r="520" spans="1:8" x14ac:dyDescent="0.3">
      <c r="A520" s="1" t="s">
        <v>1020</v>
      </c>
      <c r="B520" s="2">
        <v>44194</v>
      </c>
      <c r="C520" s="3" t="s">
        <v>1021</v>
      </c>
      <c r="D520" s="4" t="s">
        <v>530</v>
      </c>
      <c r="E520" s="3">
        <v>5</v>
      </c>
      <c r="F520" s="5">
        <f>INDEX([1]products!$A$1:$G$49,MATCH([1]orders!$D520,[1]products!$A$1:$A$49,0),MATCH([1]orders!K$1,[1]products!$A$1:$G$1,0))</f>
        <v>2.5</v>
      </c>
      <c r="G520" s="6">
        <f>INDEX([1]products!$A$1:$G$49,MATCH([1]orders!$D520,[1]products!$A$1:$A$49,0),MATCH([1]orders!L$1,[1]products!$A$1:$G$1,0))</f>
        <v>27.945</v>
      </c>
      <c r="H520" s="6">
        <f t="shared" si="8"/>
        <v>139.72499999999999</v>
      </c>
    </row>
    <row r="521" spans="1:8" x14ac:dyDescent="0.3">
      <c r="A521" s="1" t="s">
        <v>1022</v>
      </c>
      <c r="B521" s="2">
        <v>44026</v>
      </c>
      <c r="C521" s="3" t="s">
        <v>988</v>
      </c>
      <c r="D521" s="4" t="s">
        <v>72</v>
      </c>
      <c r="E521" s="3">
        <v>2</v>
      </c>
      <c r="F521" s="5">
        <f>INDEX([1]products!$A$1:$G$49,MATCH([1]orders!$D521,[1]products!$A$1:$A$49,0),MATCH([1]orders!K$1,[1]products!$A$1:$G$1,0))</f>
        <v>0.5</v>
      </c>
      <c r="G521" s="6">
        <f>INDEX([1]products!$A$1:$G$49,MATCH([1]orders!$D521,[1]products!$A$1:$A$49,0),MATCH([1]orders!L$1,[1]products!$A$1:$G$1,0))</f>
        <v>5.97</v>
      </c>
      <c r="H521" s="6">
        <f t="shared" si="8"/>
        <v>11.94</v>
      </c>
    </row>
    <row r="522" spans="1:8" x14ac:dyDescent="0.3">
      <c r="A522" s="1" t="s">
        <v>1023</v>
      </c>
      <c r="B522" s="2">
        <v>44446</v>
      </c>
      <c r="C522" s="3" t="s">
        <v>1024</v>
      </c>
      <c r="D522" s="4" t="s">
        <v>38</v>
      </c>
      <c r="E522" s="3">
        <v>1</v>
      </c>
      <c r="F522" s="5">
        <f>INDEX([1]products!$A$1:$G$49,MATCH([1]orders!$D522,[1]products!$A$1:$A$49,0),MATCH([1]orders!K$1,[1]products!$A$1:$G$1,0))</f>
        <v>0.2</v>
      </c>
      <c r="G522" s="6">
        <f>INDEX([1]products!$A$1:$G$49,MATCH([1]orders!$D522,[1]products!$A$1:$A$49,0),MATCH([1]orders!L$1,[1]products!$A$1:$G$1,0))</f>
        <v>3.8849999999999998</v>
      </c>
      <c r="H522" s="6">
        <f t="shared" si="8"/>
        <v>3.8849999999999998</v>
      </c>
    </row>
    <row r="523" spans="1:8" x14ac:dyDescent="0.3">
      <c r="A523" s="1" t="s">
        <v>1023</v>
      </c>
      <c r="B523" s="2">
        <v>44446</v>
      </c>
      <c r="C523" s="3" t="s">
        <v>1024</v>
      </c>
      <c r="D523" s="4" t="s">
        <v>2</v>
      </c>
      <c r="E523" s="3">
        <v>4</v>
      </c>
      <c r="F523" s="5">
        <f>INDEX([1]products!$A$1:$G$49,MATCH([1]orders!$D523,[1]products!$A$1:$A$49,0),MATCH([1]orders!K$1,[1]products!$A$1:$G$1,0))</f>
        <v>1</v>
      </c>
      <c r="G523" s="6">
        <f>INDEX([1]products!$A$1:$G$49,MATCH([1]orders!$D523,[1]products!$A$1:$A$49,0),MATCH([1]orders!L$1,[1]products!$A$1:$G$1,0))</f>
        <v>9.9499999999999993</v>
      </c>
      <c r="H523" s="6">
        <f t="shared" si="8"/>
        <v>39.799999999999997</v>
      </c>
    </row>
    <row r="524" spans="1:8" x14ac:dyDescent="0.3">
      <c r="A524" s="1" t="s">
        <v>1025</v>
      </c>
      <c r="B524" s="2">
        <v>43625</v>
      </c>
      <c r="C524" s="3" t="s">
        <v>1026</v>
      </c>
      <c r="D524" s="4" t="s">
        <v>22</v>
      </c>
      <c r="E524" s="3">
        <v>5</v>
      </c>
      <c r="F524" s="5">
        <f>INDEX([1]products!$A$1:$G$49,MATCH([1]orders!$D524,[1]products!$A$1:$A$49,0),MATCH([1]orders!K$1,[1]products!$A$1:$G$1,0))</f>
        <v>0.5</v>
      </c>
      <c r="G524" s="6">
        <f>INDEX([1]products!$A$1:$G$49,MATCH([1]orders!$D524,[1]products!$A$1:$A$49,0),MATCH([1]orders!L$1,[1]products!$A$1:$G$1,0))</f>
        <v>5.97</v>
      </c>
      <c r="H524" s="6">
        <f t="shared" si="8"/>
        <v>29.849999999999998</v>
      </c>
    </row>
    <row r="525" spans="1:8" x14ac:dyDescent="0.3">
      <c r="A525" s="1" t="s">
        <v>1027</v>
      </c>
      <c r="B525" s="2">
        <v>44129</v>
      </c>
      <c r="C525" s="3" t="s">
        <v>1028</v>
      </c>
      <c r="D525" s="4" t="s">
        <v>109</v>
      </c>
      <c r="E525" s="3">
        <v>1</v>
      </c>
      <c r="F525" s="5">
        <f>INDEX([1]products!$A$1:$G$49,MATCH([1]orders!$D525,[1]products!$A$1:$A$49,0),MATCH([1]orders!K$1,[1]products!$A$1:$G$1,0))</f>
        <v>2.5</v>
      </c>
      <c r="G525" s="6">
        <f>INDEX([1]products!$A$1:$G$49,MATCH([1]orders!$D525,[1]products!$A$1:$A$49,0),MATCH([1]orders!L$1,[1]products!$A$1:$G$1,0))</f>
        <v>29.784999999999997</v>
      </c>
      <c r="H525" s="6">
        <f t="shared" si="8"/>
        <v>29.784999999999997</v>
      </c>
    </row>
    <row r="526" spans="1:8" x14ac:dyDescent="0.3">
      <c r="A526" s="1" t="s">
        <v>1029</v>
      </c>
      <c r="B526" s="2">
        <v>44255</v>
      </c>
      <c r="C526" s="3" t="s">
        <v>1030</v>
      </c>
      <c r="D526" s="4" t="s">
        <v>104</v>
      </c>
      <c r="E526" s="3">
        <v>2</v>
      </c>
      <c r="F526" s="5">
        <f>INDEX([1]products!$A$1:$G$49,MATCH([1]orders!$D526,[1]products!$A$1:$A$49,0),MATCH([1]orders!K$1,[1]products!$A$1:$G$1,0))</f>
        <v>2.5</v>
      </c>
      <c r="G526" s="6">
        <f>INDEX([1]products!$A$1:$G$49,MATCH([1]orders!$D526,[1]products!$A$1:$A$49,0),MATCH([1]orders!L$1,[1]products!$A$1:$G$1,0))</f>
        <v>36.454999999999998</v>
      </c>
      <c r="H526" s="6">
        <f t="shared" si="8"/>
        <v>72.91</v>
      </c>
    </row>
    <row r="527" spans="1:8" x14ac:dyDescent="0.3">
      <c r="A527" s="1" t="s">
        <v>1031</v>
      </c>
      <c r="B527" s="2">
        <v>44038</v>
      </c>
      <c r="C527" s="3" t="s">
        <v>1032</v>
      </c>
      <c r="D527" s="4" t="s">
        <v>101</v>
      </c>
      <c r="E527" s="3">
        <v>5</v>
      </c>
      <c r="F527" s="5">
        <f>INDEX([1]products!$A$1:$G$49,MATCH([1]orders!$D527,[1]products!$A$1:$A$49,0),MATCH([1]orders!K$1,[1]products!$A$1:$G$1,0))</f>
        <v>0.2</v>
      </c>
      <c r="G527" s="6">
        <f>INDEX([1]products!$A$1:$G$49,MATCH([1]orders!$D527,[1]products!$A$1:$A$49,0),MATCH([1]orders!L$1,[1]products!$A$1:$G$1,0))</f>
        <v>2.6849999999999996</v>
      </c>
      <c r="H527" s="6">
        <f t="shared" si="8"/>
        <v>13.424999999999997</v>
      </c>
    </row>
    <row r="528" spans="1:8" x14ac:dyDescent="0.3">
      <c r="A528" s="1" t="s">
        <v>1033</v>
      </c>
      <c r="B528" s="2">
        <v>44717</v>
      </c>
      <c r="C528" s="3" t="s">
        <v>1034</v>
      </c>
      <c r="D528" s="4" t="s">
        <v>112</v>
      </c>
      <c r="E528" s="3">
        <v>4</v>
      </c>
      <c r="F528" s="5">
        <f>INDEX([1]products!$A$1:$G$49,MATCH([1]orders!$D528,[1]products!$A$1:$A$49,0),MATCH([1]orders!K$1,[1]products!$A$1:$G$1,0))</f>
        <v>2.5</v>
      </c>
      <c r="G528" s="6">
        <f>INDEX([1]products!$A$1:$G$49,MATCH([1]orders!$D528,[1]products!$A$1:$A$49,0),MATCH([1]orders!L$1,[1]products!$A$1:$G$1,0))</f>
        <v>31.624999999999996</v>
      </c>
      <c r="H528" s="6">
        <f t="shared" si="8"/>
        <v>126.49999999999999</v>
      </c>
    </row>
    <row r="529" spans="1:8" x14ac:dyDescent="0.3">
      <c r="A529" s="1" t="s">
        <v>1035</v>
      </c>
      <c r="B529" s="2">
        <v>43517</v>
      </c>
      <c r="C529" s="3" t="s">
        <v>1036</v>
      </c>
      <c r="D529" s="4" t="s">
        <v>3</v>
      </c>
      <c r="E529" s="3">
        <v>5</v>
      </c>
      <c r="F529" s="5">
        <f>INDEX([1]products!$A$1:$G$49,MATCH([1]orders!$D529,[1]products!$A$1:$A$49,0),MATCH([1]orders!K$1,[1]products!$A$1:$G$1,0))</f>
        <v>0.5</v>
      </c>
      <c r="G529" s="6">
        <f>INDEX([1]products!$A$1:$G$49,MATCH([1]orders!$D529,[1]products!$A$1:$A$49,0),MATCH([1]orders!L$1,[1]products!$A$1:$G$1,0))</f>
        <v>8.25</v>
      </c>
      <c r="H529" s="6">
        <f t="shared" si="8"/>
        <v>41.25</v>
      </c>
    </row>
    <row r="530" spans="1:8" x14ac:dyDescent="0.3">
      <c r="A530" s="1" t="s">
        <v>1037</v>
      </c>
      <c r="B530" s="2">
        <v>43926</v>
      </c>
      <c r="C530" s="3" t="s">
        <v>1038</v>
      </c>
      <c r="D530" s="4" t="s">
        <v>176</v>
      </c>
      <c r="E530" s="3">
        <v>6</v>
      </c>
      <c r="F530" s="5">
        <f>INDEX([1]products!$A$1:$G$49,MATCH([1]orders!$D530,[1]products!$A$1:$A$49,0),MATCH([1]orders!K$1,[1]products!$A$1:$G$1,0))</f>
        <v>0.5</v>
      </c>
      <c r="G530" s="6">
        <f>INDEX([1]products!$A$1:$G$49,MATCH([1]orders!$D530,[1]products!$A$1:$A$49,0),MATCH([1]orders!L$1,[1]products!$A$1:$G$1,0))</f>
        <v>8.91</v>
      </c>
      <c r="H530" s="6">
        <f t="shared" si="8"/>
        <v>53.46</v>
      </c>
    </row>
    <row r="531" spans="1:8" x14ac:dyDescent="0.3">
      <c r="A531" s="1" t="s">
        <v>1039</v>
      </c>
      <c r="B531" s="2">
        <v>43475</v>
      </c>
      <c r="C531" s="3" t="s">
        <v>1040</v>
      </c>
      <c r="D531" s="4" t="s">
        <v>2</v>
      </c>
      <c r="E531" s="3">
        <v>6</v>
      </c>
      <c r="F531" s="5">
        <f>INDEX([1]products!$A$1:$G$49,MATCH([1]orders!$D531,[1]products!$A$1:$A$49,0),MATCH([1]orders!K$1,[1]products!$A$1:$G$1,0))</f>
        <v>1</v>
      </c>
      <c r="G531" s="6">
        <f>INDEX([1]products!$A$1:$G$49,MATCH([1]orders!$D531,[1]products!$A$1:$A$49,0),MATCH([1]orders!L$1,[1]products!$A$1:$G$1,0))</f>
        <v>9.9499999999999993</v>
      </c>
      <c r="H531" s="6">
        <f t="shared" si="8"/>
        <v>59.699999999999996</v>
      </c>
    </row>
    <row r="532" spans="1:8" x14ac:dyDescent="0.3">
      <c r="A532" s="1" t="s">
        <v>1041</v>
      </c>
      <c r="B532" s="2">
        <v>44663</v>
      </c>
      <c r="C532" s="3" t="s">
        <v>1042</v>
      </c>
      <c r="D532" s="4" t="s">
        <v>2</v>
      </c>
      <c r="E532" s="3">
        <v>6</v>
      </c>
      <c r="F532" s="5">
        <f>INDEX([1]products!$A$1:$G$49,MATCH([1]orders!$D532,[1]products!$A$1:$A$49,0),MATCH([1]orders!K$1,[1]products!$A$1:$G$1,0))</f>
        <v>1</v>
      </c>
      <c r="G532" s="6">
        <f>INDEX([1]products!$A$1:$G$49,MATCH([1]orders!$D532,[1]products!$A$1:$A$49,0),MATCH([1]orders!L$1,[1]products!$A$1:$G$1,0))</f>
        <v>9.9499999999999993</v>
      </c>
      <c r="H532" s="6">
        <f t="shared" si="8"/>
        <v>59.699999999999996</v>
      </c>
    </row>
    <row r="533" spans="1:8" x14ac:dyDescent="0.3">
      <c r="A533" s="1" t="s">
        <v>1043</v>
      </c>
      <c r="B533" s="2">
        <v>44591</v>
      </c>
      <c r="C533" s="3" t="s">
        <v>1044</v>
      </c>
      <c r="D533" s="4" t="s">
        <v>179</v>
      </c>
      <c r="E533" s="3">
        <v>5</v>
      </c>
      <c r="F533" s="5">
        <f>INDEX([1]products!$A$1:$G$49,MATCH([1]orders!$D533,[1]products!$A$1:$A$49,0),MATCH([1]orders!K$1,[1]products!$A$1:$G$1,0))</f>
        <v>1</v>
      </c>
      <c r="G533" s="6">
        <f>INDEX([1]products!$A$1:$G$49,MATCH([1]orders!$D533,[1]products!$A$1:$A$49,0),MATCH([1]orders!L$1,[1]products!$A$1:$G$1,0))</f>
        <v>8.9499999999999993</v>
      </c>
      <c r="H533" s="6">
        <f t="shared" si="8"/>
        <v>44.75</v>
      </c>
    </row>
    <row r="534" spans="1:8" x14ac:dyDescent="0.3">
      <c r="A534" s="1" t="s">
        <v>1045</v>
      </c>
      <c r="B534" s="2">
        <v>44330</v>
      </c>
      <c r="C534" s="3" t="s">
        <v>1046</v>
      </c>
      <c r="D534" s="4" t="s">
        <v>3</v>
      </c>
      <c r="E534" s="3">
        <v>2</v>
      </c>
      <c r="F534" s="5">
        <f>INDEX([1]products!$A$1:$G$49,MATCH([1]orders!$D534,[1]products!$A$1:$A$49,0),MATCH([1]orders!K$1,[1]products!$A$1:$G$1,0))</f>
        <v>0.5</v>
      </c>
      <c r="G534" s="6">
        <f>INDEX([1]products!$A$1:$G$49,MATCH([1]orders!$D534,[1]products!$A$1:$A$49,0),MATCH([1]orders!L$1,[1]products!$A$1:$G$1,0))</f>
        <v>8.25</v>
      </c>
      <c r="H534" s="6">
        <f t="shared" si="8"/>
        <v>16.5</v>
      </c>
    </row>
    <row r="535" spans="1:8" x14ac:dyDescent="0.3">
      <c r="A535" s="1" t="s">
        <v>1047</v>
      </c>
      <c r="B535" s="2">
        <v>44724</v>
      </c>
      <c r="C535" s="3" t="s">
        <v>1048</v>
      </c>
      <c r="D535" s="4" t="s">
        <v>146</v>
      </c>
      <c r="E535" s="3">
        <v>4</v>
      </c>
      <c r="F535" s="5">
        <f>INDEX([1]products!$A$1:$G$49,MATCH([1]orders!$D535,[1]products!$A$1:$A$49,0),MATCH([1]orders!K$1,[1]products!$A$1:$G$1,0))</f>
        <v>0.5</v>
      </c>
      <c r="G535" s="6">
        <f>INDEX([1]products!$A$1:$G$49,MATCH([1]orders!$D535,[1]products!$A$1:$A$49,0),MATCH([1]orders!L$1,[1]products!$A$1:$G$1,0))</f>
        <v>5.3699999999999992</v>
      </c>
      <c r="H535" s="6">
        <f t="shared" si="8"/>
        <v>21.479999999999997</v>
      </c>
    </row>
    <row r="536" spans="1:8" x14ac:dyDescent="0.3">
      <c r="A536" s="1" t="s">
        <v>1049</v>
      </c>
      <c r="B536" s="2">
        <v>44563</v>
      </c>
      <c r="C536" s="3" t="s">
        <v>1050</v>
      </c>
      <c r="D536" s="4" t="s">
        <v>41</v>
      </c>
      <c r="E536" s="3">
        <v>2</v>
      </c>
      <c r="F536" s="5">
        <f>INDEX([1]products!$A$1:$G$49,MATCH([1]orders!$D536,[1]products!$A$1:$A$49,0),MATCH([1]orders!K$1,[1]products!$A$1:$G$1,0))</f>
        <v>2.5</v>
      </c>
      <c r="G536" s="6">
        <f>INDEX([1]products!$A$1:$G$49,MATCH([1]orders!$D536,[1]products!$A$1:$A$49,0),MATCH([1]orders!L$1,[1]products!$A$1:$G$1,0))</f>
        <v>22.884999999999998</v>
      </c>
      <c r="H536" s="6">
        <f t="shared" si="8"/>
        <v>45.769999999999996</v>
      </c>
    </row>
    <row r="537" spans="1:8" x14ac:dyDescent="0.3">
      <c r="A537" s="1" t="s">
        <v>1051</v>
      </c>
      <c r="B537" s="2">
        <v>44585</v>
      </c>
      <c r="C537" s="3" t="s">
        <v>1052</v>
      </c>
      <c r="D537" s="4" t="s">
        <v>19</v>
      </c>
      <c r="E537" s="3">
        <v>2</v>
      </c>
      <c r="F537" s="5">
        <f>INDEX([1]products!$A$1:$G$49,MATCH([1]orders!$D537,[1]products!$A$1:$A$49,0),MATCH([1]orders!K$1,[1]products!$A$1:$G$1,0))</f>
        <v>0.2</v>
      </c>
      <c r="G537" s="6">
        <f>INDEX([1]products!$A$1:$G$49,MATCH([1]orders!$D537,[1]products!$A$1:$A$49,0),MATCH([1]orders!L$1,[1]products!$A$1:$G$1,0))</f>
        <v>4.7549999999999999</v>
      </c>
      <c r="H537" s="6">
        <f t="shared" si="8"/>
        <v>9.51</v>
      </c>
    </row>
    <row r="538" spans="1:8" x14ac:dyDescent="0.3">
      <c r="A538" s="1" t="s">
        <v>1053</v>
      </c>
      <c r="B538" s="2">
        <v>43544</v>
      </c>
      <c r="C538" s="3" t="s">
        <v>988</v>
      </c>
      <c r="D538" s="4" t="s">
        <v>101</v>
      </c>
      <c r="E538" s="3">
        <v>3</v>
      </c>
      <c r="F538" s="5">
        <f>INDEX([1]products!$A$1:$G$49,MATCH([1]orders!$D538,[1]products!$A$1:$A$49,0),MATCH([1]orders!K$1,[1]products!$A$1:$G$1,0))</f>
        <v>0.2</v>
      </c>
      <c r="G538" s="6">
        <f>INDEX([1]products!$A$1:$G$49,MATCH([1]orders!$D538,[1]products!$A$1:$A$49,0),MATCH([1]orders!L$1,[1]products!$A$1:$G$1,0))</f>
        <v>2.6849999999999996</v>
      </c>
      <c r="H538" s="6">
        <f t="shared" si="8"/>
        <v>8.0549999999999997</v>
      </c>
    </row>
    <row r="539" spans="1:8" x14ac:dyDescent="0.3">
      <c r="A539" s="1" t="s">
        <v>1054</v>
      </c>
      <c r="B539" s="2">
        <v>44156</v>
      </c>
      <c r="C539" s="3" t="s">
        <v>1055</v>
      </c>
      <c r="D539" s="4" t="s">
        <v>530</v>
      </c>
      <c r="E539" s="3">
        <v>4</v>
      </c>
      <c r="F539" s="5">
        <f>INDEX([1]products!$A$1:$G$49,MATCH([1]orders!$D539,[1]products!$A$1:$A$49,0),MATCH([1]orders!K$1,[1]products!$A$1:$G$1,0))</f>
        <v>2.5</v>
      </c>
      <c r="G539" s="6">
        <f>INDEX([1]products!$A$1:$G$49,MATCH([1]orders!$D539,[1]products!$A$1:$A$49,0),MATCH([1]orders!L$1,[1]products!$A$1:$G$1,0))</f>
        <v>27.945</v>
      </c>
      <c r="H539" s="6">
        <f t="shared" si="8"/>
        <v>111.78</v>
      </c>
    </row>
    <row r="540" spans="1:8" x14ac:dyDescent="0.3">
      <c r="A540" s="1" t="s">
        <v>1056</v>
      </c>
      <c r="B540" s="2">
        <v>44482</v>
      </c>
      <c r="C540" s="3" t="s">
        <v>1057</v>
      </c>
      <c r="D540" s="4" t="s">
        <v>101</v>
      </c>
      <c r="E540" s="3">
        <v>4</v>
      </c>
      <c r="F540" s="5">
        <f>INDEX([1]products!$A$1:$G$49,MATCH([1]orders!$D540,[1]products!$A$1:$A$49,0),MATCH([1]orders!K$1,[1]products!$A$1:$G$1,0))</f>
        <v>0.2</v>
      </c>
      <c r="G540" s="6">
        <f>INDEX([1]products!$A$1:$G$49,MATCH([1]orders!$D540,[1]products!$A$1:$A$49,0),MATCH([1]orders!L$1,[1]products!$A$1:$G$1,0))</f>
        <v>2.6849999999999996</v>
      </c>
      <c r="H540" s="6">
        <f t="shared" si="8"/>
        <v>10.739999999999998</v>
      </c>
    </row>
    <row r="541" spans="1:8" x14ac:dyDescent="0.3">
      <c r="A541" s="1" t="s">
        <v>1058</v>
      </c>
      <c r="B541" s="2">
        <v>44488</v>
      </c>
      <c r="C541" s="3" t="s">
        <v>1059</v>
      </c>
      <c r="D541" s="4" t="s">
        <v>146</v>
      </c>
      <c r="E541" s="3">
        <v>5</v>
      </c>
      <c r="F541" s="5">
        <f>INDEX([1]products!$A$1:$G$49,MATCH([1]orders!$D541,[1]products!$A$1:$A$49,0),MATCH([1]orders!K$1,[1]products!$A$1:$G$1,0))</f>
        <v>0.5</v>
      </c>
      <c r="G541" s="6">
        <f>INDEX([1]products!$A$1:$G$49,MATCH([1]orders!$D541,[1]products!$A$1:$A$49,0),MATCH([1]orders!L$1,[1]products!$A$1:$G$1,0))</f>
        <v>5.3699999999999992</v>
      </c>
      <c r="H541" s="6">
        <f t="shared" si="8"/>
        <v>26.849999999999994</v>
      </c>
    </row>
    <row r="542" spans="1:8" x14ac:dyDescent="0.3">
      <c r="A542" s="1" t="s">
        <v>1060</v>
      </c>
      <c r="B542" s="2">
        <v>43584</v>
      </c>
      <c r="C542" s="3" t="s">
        <v>1061</v>
      </c>
      <c r="D542" s="4" t="s">
        <v>132</v>
      </c>
      <c r="E542" s="3">
        <v>4</v>
      </c>
      <c r="F542" s="5">
        <f>INDEX([1]products!$A$1:$G$49,MATCH([1]orders!$D542,[1]products!$A$1:$A$49,0),MATCH([1]orders!K$1,[1]products!$A$1:$G$1,0))</f>
        <v>1</v>
      </c>
      <c r="G542" s="6">
        <f>INDEX([1]products!$A$1:$G$49,MATCH([1]orders!$D542,[1]products!$A$1:$A$49,0),MATCH([1]orders!L$1,[1]products!$A$1:$G$1,0))</f>
        <v>15.85</v>
      </c>
      <c r="H542" s="6">
        <f t="shared" si="8"/>
        <v>63.4</v>
      </c>
    </row>
    <row r="543" spans="1:8" x14ac:dyDescent="0.3">
      <c r="A543" s="1" t="s">
        <v>1062</v>
      </c>
      <c r="B543" s="2">
        <v>43750</v>
      </c>
      <c r="C543" s="3" t="s">
        <v>1063</v>
      </c>
      <c r="D543" s="4" t="s">
        <v>118</v>
      </c>
      <c r="E543" s="3">
        <v>1</v>
      </c>
      <c r="F543" s="5">
        <f>INDEX([1]products!$A$1:$G$49,MATCH([1]orders!$D543,[1]products!$A$1:$A$49,0),MATCH([1]orders!K$1,[1]products!$A$1:$G$1,0))</f>
        <v>2.5</v>
      </c>
      <c r="G543" s="6">
        <f>INDEX([1]products!$A$1:$G$49,MATCH([1]orders!$D543,[1]products!$A$1:$A$49,0),MATCH([1]orders!L$1,[1]products!$A$1:$G$1,0))</f>
        <v>22.884999999999998</v>
      </c>
      <c r="H543" s="6">
        <f t="shared" si="8"/>
        <v>22.884999999999998</v>
      </c>
    </row>
    <row r="544" spans="1:8" x14ac:dyDescent="0.3">
      <c r="A544" s="1" t="s">
        <v>1064</v>
      </c>
      <c r="B544" s="2">
        <v>44335</v>
      </c>
      <c r="C544" s="3" t="s">
        <v>1065</v>
      </c>
      <c r="D544" s="4" t="s">
        <v>171</v>
      </c>
      <c r="E544" s="3">
        <v>4</v>
      </c>
      <c r="F544" s="5">
        <f>INDEX([1]products!$A$1:$G$49,MATCH([1]orders!$D544,[1]products!$A$1:$A$49,0),MATCH([1]orders!K$1,[1]products!$A$1:$G$1,0))</f>
        <v>2.5</v>
      </c>
      <c r="G544" s="6">
        <f>INDEX([1]products!$A$1:$G$49,MATCH([1]orders!$D544,[1]products!$A$1:$A$49,0),MATCH([1]orders!L$1,[1]products!$A$1:$G$1,0))</f>
        <v>25.874999999999996</v>
      </c>
      <c r="H544" s="6">
        <f t="shared" si="8"/>
        <v>103.49999999999999</v>
      </c>
    </row>
    <row r="545" spans="1:8" x14ac:dyDescent="0.3">
      <c r="A545" s="1" t="s">
        <v>1066</v>
      </c>
      <c r="B545" s="2">
        <v>44380</v>
      </c>
      <c r="C545" s="3" t="s">
        <v>1067</v>
      </c>
      <c r="D545" s="4" t="s">
        <v>10</v>
      </c>
      <c r="E545" s="3">
        <v>2</v>
      </c>
      <c r="F545" s="5">
        <f>INDEX([1]products!$A$1:$G$49,MATCH([1]orders!$D545,[1]products!$A$1:$A$49,0),MATCH([1]orders!K$1,[1]products!$A$1:$G$1,0))</f>
        <v>2.5</v>
      </c>
      <c r="G545" s="6">
        <f>INDEX([1]products!$A$1:$G$49,MATCH([1]orders!$D545,[1]products!$A$1:$A$49,0),MATCH([1]orders!L$1,[1]products!$A$1:$G$1,0))</f>
        <v>27.484999999999996</v>
      </c>
      <c r="H545" s="6">
        <f t="shared" si="8"/>
        <v>54.969999999999992</v>
      </c>
    </row>
    <row r="546" spans="1:8" x14ac:dyDescent="0.3">
      <c r="A546" s="1" t="s">
        <v>1068</v>
      </c>
      <c r="B546" s="2">
        <v>43869</v>
      </c>
      <c r="C546" s="3" t="s">
        <v>1069</v>
      </c>
      <c r="D546" s="4" t="s">
        <v>192</v>
      </c>
      <c r="E546" s="3">
        <v>2</v>
      </c>
      <c r="F546" s="5">
        <f>INDEX([1]products!$A$1:$G$49,MATCH([1]orders!$D546,[1]products!$A$1:$A$49,0),MATCH([1]orders!K$1,[1]products!$A$1:$G$1,0))</f>
        <v>0.5</v>
      </c>
      <c r="G546" s="6">
        <f>INDEX([1]products!$A$1:$G$49,MATCH([1]orders!$D546,[1]products!$A$1:$A$49,0),MATCH([1]orders!L$1,[1]products!$A$1:$G$1,0))</f>
        <v>7.77</v>
      </c>
      <c r="H546" s="6">
        <f t="shared" si="8"/>
        <v>15.54</v>
      </c>
    </row>
    <row r="547" spans="1:8" x14ac:dyDescent="0.3">
      <c r="A547" s="1" t="s">
        <v>1070</v>
      </c>
      <c r="B547" s="2">
        <v>44120</v>
      </c>
      <c r="C547" s="3" t="s">
        <v>1071</v>
      </c>
      <c r="D547" s="4" t="s">
        <v>38</v>
      </c>
      <c r="E547" s="3">
        <v>4</v>
      </c>
      <c r="F547" s="5">
        <f>INDEX([1]products!$A$1:$G$49,MATCH([1]orders!$D547,[1]products!$A$1:$A$49,0),MATCH([1]orders!K$1,[1]products!$A$1:$G$1,0))</f>
        <v>0.2</v>
      </c>
      <c r="G547" s="6">
        <f>INDEX([1]products!$A$1:$G$49,MATCH([1]orders!$D547,[1]products!$A$1:$A$49,0),MATCH([1]orders!L$1,[1]products!$A$1:$G$1,0))</f>
        <v>3.8849999999999998</v>
      </c>
      <c r="H547" s="6">
        <f t="shared" si="8"/>
        <v>15.54</v>
      </c>
    </row>
    <row r="548" spans="1:8" x14ac:dyDescent="0.3">
      <c r="A548" s="1" t="s">
        <v>1072</v>
      </c>
      <c r="B548" s="2">
        <v>44127</v>
      </c>
      <c r="C548" s="3" t="s">
        <v>1073</v>
      </c>
      <c r="D548" s="4" t="s">
        <v>530</v>
      </c>
      <c r="E548" s="3">
        <v>3</v>
      </c>
      <c r="F548" s="5">
        <f>INDEX([1]products!$A$1:$G$49,MATCH([1]orders!$D548,[1]products!$A$1:$A$49,0),MATCH([1]orders!K$1,[1]products!$A$1:$G$1,0))</f>
        <v>2.5</v>
      </c>
      <c r="G548" s="6">
        <f>INDEX([1]products!$A$1:$G$49,MATCH([1]orders!$D548,[1]products!$A$1:$A$49,0),MATCH([1]orders!L$1,[1]products!$A$1:$G$1,0))</f>
        <v>27.945</v>
      </c>
      <c r="H548" s="6">
        <f t="shared" si="8"/>
        <v>83.835000000000008</v>
      </c>
    </row>
    <row r="549" spans="1:8" x14ac:dyDescent="0.3">
      <c r="A549" s="1" t="s">
        <v>1074</v>
      </c>
      <c r="B549" s="2">
        <v>44265</v>
      </c>
      <c r="C549" s="3" t="s">
        <v>1075</v>
      </c>
      <c r="D549" s="4" t="s">
        <v>182</v>
      </c>
      <c r="E549" s="3">
        <v>3</v>
      </c>
      <c r="F549" s="5">
        <f>INDEX([1]products!$A$1:$G$49,MATCH([1]orders!$D549,[1]products!$A$1:$A$49,0),MATCH([1]orders!K$1,[1]products!$A$1:$G$1,0))</f>
        <v>0.2</v>
      </c>
      <c r="G549" s="6">
        <f>INDEX([1]products!$A$1:$G$49,MATCH([1]orders!$D549,[1]products!$A$1:$A$49,0),MATCH([1]orders!L$1,[1]products!$A$1:$G$1,0))</f>
        <v>3.5849999999999995</v>
      </c>
      <c r="H549" s="6">
        <f t="shared" si="8"/>
        <v>10.754999999999999</v>
      </c>
    </row>
    <row r="550" spans="1:8" x14ac:dyDescent="0.3">
      <c r="A550" s="1" t="s">
        <v>1076</v>
      </c>
      <c r="B550" s="2">
        <v>44384</v>
      </c>
      <c r="C550" s="3" t="s">
        <v>1077</v>
      </c>
      <c r="D550" s="4" t="s">
        <v>254</v>
      </c>
      <c r="E550" s="3">
        <v>3</v>
      </c>
      <c r="F550" s="5">
        <f>INDEX([1]products!$A$1:$G$49,MATCH([1]orders!$D550,[1]products!$A$1:$A$49,0),MATCH([1]orders!K$1,[1]products!$A$1:$G$1,0))</f>
        <v>0.2</v>
      </c>
      <c r="G550" s="6">
        <f>INDEX([1]products!$A$1:$G$49,MATCH([1]orders!$D550,[1]products!$A$1:$A$49,0),MATCH([1]orders!L$1,[1]products!$A$1:$G$1,0))</f>
        <v>4.4550000000000001</v>
      </c>
      <c r="H550" s="6">
        <f t="shared" si="8"/>
        <v>13.365</v>
      </c>
    </row>
    <row r="551" spans="1:8" x14ac:dyDescent="0.3">
      <c r="A551" s="1" t="s">
        <v>1078</v>
      </c>
      <c r="B551" s="2">
        <v>44232</v>
      </c>
      <c r="C551" s="3" t="s">
        <v>1075</v>
      </c>
      <c r="D551" s="4" t="s">
        <v>254</v>
      </c>
      <c r="E551" s="3">
        <v>4</v>
      </c>
      <c r="F551" s="5">
        <f>INDEX([1]products!$A$1:$G$49,MATCH([1]orders!$D551,[1]products!$A$1:$A$49,0),MATCH([1]orders!K$1,[1]products!$A$1:$G$1,0))</f>
        <v>0.2</v>
      </c>
      <c r="G551" s="6">
        <f>INDEX([1]products!$A$1:$G$49,MATCH([1]orders!$D551,[1]products!$A$1:$A$49,0),MATCH([1]orders!L$1,[1]products!$A$1:$G$1,0))</f>
        <v>4.4550000000000001</v>
      </c>
      <c r="H551" s="6">
        <f t="shared" si="8"/>
        <v>17.82</v>
      </c>
    </row>
    <row r="552" spans="1:8" x14ac:dyDescent="0.3">
      <c r="A552" s="1" t="s">
        <v>1079</v>
      </c>
      <c r="B552" s="2">
        <v>44176</v>
      </c>
      <c r="C552" s="3" t="s">
        <v>1080</v>
      </c>
      <c r="D552" s="4" t="s">
        <v>38</v>
      </c>
      <c r="E552" s="3">
        <v>6</v>
      </c>
      <c r="F552" s="5">
        <f>INDEX([1]products!$A$1:$G$49,MATCH([1]orders!$D552,[1]products!$A$1:$A$49,0),MATCH([1]orders!K$1,[1]products!$A$1:$G$1,0))</f>
        <v>0.2</v>
      </c>
      <c r="G552" s="6">
        <f>INDEX([1]products!$A$1:$G$49,MATCH([1]orders!$D552,[1]products!$A$1:$A$49,0),MATCH([1]orders!L$1,[1]products!$A$1:$G$1,0))</f>
        <v>3.8849999999999998</v>
      </c>
      <c r="H552" s="6">
        <f t="shared" si="8"/>
        <v>23.31</v>
      </c>
    </row>
    <row r="553" spans="1:8" x14ac:dyDescent="0.3">
      <c r="A553" s="1" t="s">
        <v>1081</v>
      </c>
      <c r="B553" s="2">
        <v>44694</v>
      </c>
      <c r="C553" s="3" t="s">
        <v>1082</v>
      </c>
      <c r="D553" s="4" t="s">
        <v>51</v>
      </c>
      <c r="E553" s="3">
        <v>2</v>
      </c>
      <c r="F553" s="5">
        <f>INDEX([1]products!$A$1:$G$49,MATCH([1]orders!$D553,[1]products!$A$1:$A$49,0),MATCH([1]orders!K$1,[1]products!$A$1:$G$1,0))</f>
        <v>0.2</v>
      </c>
      <c r="G553" s="6">
        <f>INDEX([1]products!$A$1:$G$49,MATCH([1]orders!$D553,[1]products!$A$1:$A$49,0),MATCH([1]orders!L$1,[1]products!$A$1:$G$1,0))</f>
        <v>3.645</v>
      </c>
      <c r="H553" s="6">
        <f t="shared" si="8"/>
        <v>7.29</v>
      </c>
    </row>
    <row r="554" spans="1:8" x14ac:dyDescent="0.3">
      <c r="A554" s="1" t="s">
        <v>1083</v>
      </c>
      <c r="B554" s="2">
        <v>43761</v>
      </c>
      <c r="C554" s="3" t="s">
        <v>1084</v>
      </c>
      <c r="D554" s="4" t="s">
        <v>254</v>
      </c>
      <c r="E554" s="3">
        <v>4</v>
      </c>
      <c r="F554" s="5">
        <f>INDEX([1]products!$A$1:$G$49,MATCH([1]orders!$D554,[1]products!$A$1:$A$49,0),MATCH([1]orders!K$1,[1]products!$A$1:$G$1,0))</f>
        <v>0.2</v>
      </c>
      <c r="G554" s="6">
        <f>INDEX([1]products!$A$1:$G$49,MATCH([1]orders!$D554,[1]products!$A$1:$A$49,0),MATCH([1]orders!L$1,[1]products!$A$1:$G$1,0))</f>
        <v>4.4550000000000001</v>
      </c>
      <c r="H554" s="6">
        <f t="shared" si="8"/>
        <v>17.82</v>
      </c>
    </row>
    <row r="555" spans="1:8" x14ac:dyDescent="0.3">
      <c r="A555" s="1" t="s">
        <v>1085</v>
      </c>
      <c r="B555" s="2">
        <v>44085</v>
      </c>
      <c r="C555" s="3" t="s">
        <v>1086</v>
      </c>
      <c r="D555" s="4" t="s">
        <v>9</v>
      </c>
      <c r="E555" s="3">
        <v>5</v>
      </c>
      <c r="F555" s="5">
        <f>INDEX([1]products!$A$1:$G$49,MATCH([1]orders!$D555,[1]products!$A$1:$A$49,0),MATCH([1]orders!K$1,[1]products!$A$1:$G$1,0))</f>
        <v>1</v>
      </c>
      <c r="G555" s="6">
        <f>INDEX([1]products!$A$1:$G$49,MATCH([1]orders!$D555,[1]products!$A$1:$A$49,0),MATCH([1]orders!L$1,[1]products!$A$1:$G$1,0))</f>
        <v>13.75</v>
      </c>
      <c r="H555" s="6">
        <f t="shared" si="8"/>
        <v>68.75</v>
      </c>
    </row>
    <row r="556" spans="1:8" x14ac:dyDescent="0.3">
      <c r="A556" s="1" t="s">
        <v>1087</v>
      </c>
      <c r="B556" s="2">
        <v>43737</v>
      </c>
      <c r="C556" s="3" t="s">
        <v>1088</v>
      </c>
      <c r="D556" s="4" t="s">
        <v>10</v>
      </c>
      <c r="E556" s="3">
        <v>2</v>
      </c>
      <c r="F556" s="5">
        <f>INDEX([1]products!$A$1:$G$49,MATCH([1]orders!$D556,[1]products!$A$1:$A$49,0),MATCH([1]orders!K$1,[1]products!$A$1:$G$1,0))</f>
        <v>2.5</v>
      </c>
      <c r="G556" s="6">
        <f>INDEX([1]products!$A$1:$G$49,MATCH([1]orders!$D556,[1]products!$A$1:$A$49,0),MATCH([1]orders!L$1,[1]products!$A$1:$G$1,0))</f>
        <v>27.484999999999996</v>
      </c>
      <c r="H556" s="6">
        <f t="shared" si="8"/>
        <v>54.969999999999992</v>
      </c>
    </row>
    <row r="557" spans="1:8" x14ac:dyDescent="0.3">
      <c r="A557" s="1" t="s">
        <v>1089</v>
      </c>
      <c r="B557" s="2">
        <v>44258</v>
      </c>
      <c r="C557" s="3" t="s">
        <v>1090</v>
      </c>
      <c r="D557" s="4" t="s">
        <v>9</v>
      </c>
      <c r="E557" s="3">
        <v>6</v>
      </c>
      <c r="F557" s="5">
        <f>INDEX([1]products!$A$1:$G$49,MATCH([1]orders!$D557,[1]products!$A$1:$A$49,0),MATCH([1]orders!K$1,[1]products!$A$1:$G$1,0))</f>
        <v>1</v>
      </c>
      <c r="G557" s="6">
        <f>INDEX([1]products!$A$1:$G$49,MATCH([1]orders!$D557,[1]products!$A$1:$A$49,0),MATCH([1]orders!L$1,[1]products!$A$1:$G$1,0))</f>
        <v>13.75</v>
      </c>
      <c r="H557" s="6">
        <f t="shared" si="8"/>
        <v>82.5</v>
      </c>
    </row>
    <row r="558" spans="1:8" x14ac:dyDescent="0.3">
      <c r="A558" s="1" t="s">
        <v>1091</v>
      </c>
      <c r="B558" s="2">
        <v>44523</v>
      </c>
      <c r="C558" s="3" t="s">
        <v>1092</v>
      </c>
      <c r="D558" s="4" t="s">
        <v>77</v>
      </c>
      <c r="E558" s="3">
        <v>2</v>
      </c>
      <c r="F558" s="5">
        <f>INDEX([1]products!$A$1:$G$49,MATCH([1]orders!$D558,[1]products!$A$1:$A$49,0),MATCH([1]orders!K$1,[1]products!$A$1:$G$1,0))</f>
        <v>0.2</v>
      </c>
      <c r="G558" s="6">
        <f>INDEX([1]products!$A$1:$G$49,MATCH([1]orders!$D558,[1]products!$A$1:$A$49,0),MATCH([1]orders!L$1,[1]products!$A$1:$G$1,0))</f>
        <v>4.3650000000000002</v>
      </c>
      <c r="H558" s="6">
        <f t="shared" si="8"/>
        <v>8.73</v>
      </c>
    </row>
    <row r="559" spans="1:8" x14ac:dyDescent="0.3">
      <c r="A559" s="1" t="s">
        <v>1093</v>
      </c>
      <c r="B559" s="2">
        <v>44506</v>
      </c>
      <c r="C559" s="3" t="s">
        <v>988</v>
      </c>
      <c r="D559" s="4" t="s">
        <v>137</v>
      </c>
      <c r="E559" s="3">
        <v>4</v>
      </c>
      <c r="F559" s="5">
        <f>INDEX([1]products!$A$1:$G$49,MATCH([1]orders!$D559,[1]products!$A$1:$A$49,0),MATCH([1]orders!K$1,[1]products!$A$1:$G$1,0))</f>
        <v>1</v>
      </c>
      <c r="G559" s="6">
        <f>INDEX([1]products!$A$1:$G$49,MATCH([1]orders!$D559,[1]products!$A$1:$A$49,0),MATCH([1]orders!L$1,[1]products!$A$1:$G$1,0))</f>
        <v>14.85</v>
      </c>
      <c r="H559" s="6">
        <f t="shared" si="8"/>
        <v>59.4</v>
      </c>
    </row>
    <row r="560" spans="1:8" x14ac:dyDescent="0.3">
      <c r="A560" s="1" t="s">
        <v>1094</v>
      </c>
      <c r="B560" s="2">
        <v>44225</v>
      </c>
      <c r="C560" s="3" t="s">
        <v>1095</v>
      </c>
      <c r="D560" s="4" t="s">
        <v>38</v>
      </c>
      <c r="E560" s="3">
        <v>4</v>
      </c>
      <c r="F560" s="5">
        <f>INDEX([1]products!$A$1:$G$49,MATCH([1]orders!$D560,[1]products!$A$1:$A$49,0),MATCH([1]orders!K$1,[1]products!$A$1:$G$1,0))</f>
        <v>0.2</v>
      </c>
      <c r="G560" s="6">
        <f>INDEX([1]products!$A$1:$G$49,MATCH([1]orders!$D560,[1]products!$A$1:$A$49,0),MATCH([1]orders!L$1,[1]products!$A$1:$G$1,0))</f>
        <v>3.8849999999999998</v>
      </c>
      <c r="H560" s="6">
        <f t="shared" si="8"/>
        <v>15.54</v>
      </c>
    </row>
    <row r="561" spans="1:8" x14ac:dyDescent="0.3">
      <c r="A561" s="1" t="s">
        <v>1096</v>
      </c>
      <c r="B561" s="2">
        <v>44667</v>
      </c>
      <c r="C561" s="3" t="s">
        <v>1097</v>
      </c>
      <c r="D561" s="4" t="s">
        <v>6</v>
      </c>
      <c r="E561" s="3">
        <v>3</v>
      </c>
      <c r="F561" s="5">
        <f>INDEX([1]products!$A$1:$G$49,MATCH([1]orders!$D561,[1]products!$A$1:$A$49,0),MATCH([1]orders!K$1,[1]products!$A$1:$G$1,0))</f>
        <v>1</v>
      </c>
      <c r="G561" s="6">
        <f>INDEX([1]products!$A$1:$G$49,MATCH([1]orders!$D561,[1]products!$A$1:$A$49,0),MATCH([1]orders!L$1,[1]products!$A$1:$G$1,0))</f>
        <v>12.95</v>
      </c>
      <c r="H561" s="6">
        <f t="shared" si="8"/>
        <v>38.849999999999994</v>
      </c>
    </row>
    <row r="562" spans="1:8" x14ac:dyDescent="0.3">
      <c r="A562" s="1" t="s">
        <v>1098</v>
      </c>
      <c r="B562" s="2">
        <v>44401</v>
      </c>
      <c r="C562" s="3" t="s">
        <v>1099</v>
      </c>
      <c r="D562" s="4" t="s">
        <v>112</v>
      </c>
      <c r="E562" s="3">
        <v>6</v>
      </c>
      <c r="F562" s="5">
        <f>INDEX([1]products!$A$1:$G$49,MATCH([1]orders!$D562,[1]products!$A$1:$A$49,0),MATCH([1]orders!K$1,[1]products!$A$1:$G$1,0))</f>
        <v>2.5</v>
      </c>
      <c r="G562" s="6">
        <f>INDEX([1]products!$A$1:$G$49,MATCH([1]orders!$D562,[1]products!$A$1:$A$49,0),MATCH([1]orders!L$1,[1]products!$A$1:$G$1,0))</f>
        <v>31.624999999999996</v>
      </c>
      <c r="H562" s="6">
        <f t="shared" si="8"/>
        <v>189.74999999999997</v>
      </c>
    </row>
    <row r="563" spans="1:8" x14ac:dyDescent="0.3">
      <c r="A563" s="1" t="s">
        <v>1100</v>
      </c>
      <c r="B563" s="2">
        <v>43688</v>
      </c>
      <c r="C563" s="3" t="s">
        <v>1101</v>
      </c>
      <c r="D563" s="4" t="s">
        <v>54</v>
      </c>
      <c r="E563" s="3">
        <v>6</v>
      </c>
      <c r="F563" s="5">
        <f>INDEX([1]products!$A$1:$G$49,MATCH([1]orders!$D563,[1]products!$A$1:$A$49,0),MATCH([1]orders!K$1,[1]products!$A$1:$G$1,0))</f>
        <v>0.2</v>
      </c>
      <c r="G563" s="6">
        <f>INDEX([1]products!$A$1:$G$49,MATCH([1]orders!$D563,[1]products!$A$1:$A$49,0),MATCH([1]orders!L$1,[1]products!$A$1:$G$1,0))</f>
        <v>2.9849999999999999</v>
      </c>
      <c r="H563" s="6">
        <f t="shared" si="8"/>
        <v>17.91</v>
      </c>
    </row>
    <row r="564" spans="1:8" x14ac:dyDescent="0.3">
      <c r="A564" s="1" t="s">
        <v>1102</v>
      </c>
      <c r="B564" s="2">
        <v>43669</v>
      </c>
      <c r="C564" s="3" t="s">
        <v>1103</v>
      </c>
      <c r="D564" s="4" t="s">
        <v>19</v>
      </c>
      <c r="E564" s="3">
        <v>6</v>
      </c>
      <c r="F564" s="5">
        <f>INDEX([1]products!$A$1:$G$49,MATCH([1]orders!$D564,[1]products!$A$1:$A$49,0),MATCH([1]orders!K$1,[1]products!$A$1:$G$1,0))</f>
        <v>0.2</v>
      </c>
      <c r="G564" s="6">
        <f>INDEX([1]products!$A$1:$G$49,MATCH([1]orders!$D564,[1]products!$A$1:$A$49,0),MATCH([1]orders!L$1,[1]products!$A$1:$G$1,0))</f>
        <v>4.7549999999999999</v>
      </c>
      <c r="H564" s="6">
        <f t="shared" si="8"/>
        <v>28.53</v>
      </c>
    </row>
    <row r="565" spans="1:8" x14ac:dyDescent="0.3">
      <c r="A565" s="1" t="s">
        <v>1104</v>
      </c>
      <c r="B565" s="2">
        <v>43991</v>
      </c>
      <c r="C565" s="3" t="s">
        <v>1105</v>
      </c>
      <c r="D565" s="4" t="s">
        <v>9</v>
      </c>
      <c r="E565" s="3">
        <v>6</v>
      </c>
      <c r="F565" s="5">
        <f>INDEX([1]products!$A$1:$G$49,MATCH([1]orders!$D565,[1]products!$A$1:$A$49,0),MATCH([1]orders!K$1,[1]products!$A$1:$G$1,0))</f>
        <v>1</v>
      </c>
      <c r="G565" s="6">
        <f>INDEX([1]products!$A$1:$G$49,MATCH([1]orders!$D565,[1]products!$A$1:$A$49,0),MATCH([1]orders!L$1,[1]products!$A$1:$G$1,0))</f>
        <v>13.75</v>
      </c>
      <c r="H565" s="6">
        <f t="shared" si="8"/>
        <v>82.5</v>
      </c>
    </row>
    <row r="566" spans="1:8" x14ac:dyDescent="0.3">
      <c r="A566" s="1" t="s">
        <v>1106</v>
      </c>
      <c r="B566" s="2">
        <v>43883</v>
      </c>
      <c r="C566" s="3" t="s">
        <v>1107</v>
      </c>
      <c r="D566" s="4" t="s">
        <v>157</v>
      </c>
      <c r="E566" s="3">
        <v>2</v>
      </c>
      <c r="F566" s="5">
        <f>INDEX([1]products!$A$1:$G$49,MATCH([1]orders!$D566,[1]products!$A$1:$A$49,0),MATCH([1]orders!K$1,[1]products!$A$1:$G$1,0))</f>
        <v>0.5</v>
      </c>
      <c r="G566" s="6">
        <f>INDEX([1]products!$A$1:$G$49,MATCH([1]orders!$D566,[1]products!$A$1:$A$49,0),MATCH([1]orders!L$1,[1]products!$A$1:$G$1,0))</f>
        <v>7.169999999999999</v>
      </c>
      <c r="H566" s="6">
        <f t="shared" si="8"/>
        <v>14.339999999999998</v>
      </c>
    </row>
    <row r="567" spans="1:8" x14ac:dyDescent="0.3">
      <c r="A567" s="1" t="s">
        <v>1108</v>
      </c>
      <c r="B567" s="2">
        <v>44031</v>
      </c>
      <c r="C567" s="3" t="s">
        <v>1109</v>
      </c>
      <c r="D567" s="4" t="s">
        <v>35</v>
      </c>
      <c r="E567" s="3">
        <v>4</v>
      </c>
      <c r="F567" s="5">
        <f>INDEX([1]products!$A$1:$G$49,MATCH([1]orders!$D567,[1]products!$A$1:$A$49,0),MATCH([1]orders!K$1,[1]products!$A$1:$G$1,0))</f>
        <v>2.5</v>
      </c>
      <c r="G567" s="6">
        <f>INDEX([1]products!$A$1:$G$49,MATCH([1]orders!$D567,[1]products!$A$1:$A$49,0),MATCH([1]orders!L$1,[1]products!$A$1:$G$1,0))</f>
        <v>20.584999999999997</v>
      </c>
      <c r="H567" s="6">
        <f t="shared" si="8"/>
        <v>82.339999999999989</v>
      </c>
    </row>
    <row r="568" spans="1:8" x14ac:dyDescent="0.3">
      <c r="A568" s="1" t="s">
        <v>1110</v>
      </c>
      <c r="B568" s="2">
        <v>44459</v>
      </c>
      <c r="C568" s="3" t="s">
        <v>1111</v>
      </c>
      <c r="D568" s="4" t="s">
        <v>44</v>
      </c>
      <c r="E568" s="3">
        <v>6</v>
      </c>
      <c r="F568" s="5">
        <f>INDEX([1]products!$A$1:$G$49,MATCH([1]orders!$D568,[1]products!$A$1:$A$49,0),MATCH([1]orders!K$1,[1]products!$A$1:$G$1,0))</f>
        <v>0.2</v>
      </c>
      <c r="G568" s="6">
        <f>INDEX([1]products!$A$1:$G$49,MATCH([1]orders!$D568,[1]products!$A$1:$A$49,0),MATCH([1]orders!L$1,[1]products!$A$1:$G$1,0))</f>
        <v>3.375</v>
      </c>
      <c r="H568" s="6">
        <f t="shared" si="8"/>
        <v>20.25</v>
      </c>
    </row>
    <row r="569" spans="1:8" x14ac:dyDescent="0.3">
      <c r="A569" s="1" t="s">
        <v>1112</v>
      </c>
      <c r="B569" s="2">
        <v>44318</v>
      </c>
      <c r="C569" s="3" t="s">
        <v>1113</v>
      </c>
      <c r="D569" s="4" t="s">
        <v>10</v>
      </c>
      <c r="E569" s="3">
        <v>6</v>
      </c>
      <c r="F569" s="5">
        <f>INDEX([1]products!$A$1:$G$49,MATCH([1]orders!$D569,[1]products!$A$1:$A$49,0),MATCH([1]orders!K$1,[1]products!$A$1:$G$1,0))</f>
        <v>2.5</v>
      </c>
      <c r="G569" s="6">
        <f>INDEX([1]products!$A$1:$G$49,MATCH([1]orders!$D569,[1]products!$A$1:$A$49,0),MATCH([1]orders!L$1,[1]products!$A$1:$G$1,0))</f>
        <v>27.484999999999996</v>
      </c>
      <c r="H569" s="6">
        <f t="shared" si="8"/>
        <v>164.90999999999997</v>
      </c>
    </row>
    <row r="570" spans="1:8" x14ac:dyDescent="0.3">
      <c r="A570" s="1" t="s">
        <v>1114</v>
      </c>
      <c r="B570" s="2">
        <v>44526</v>
      </c>
      <c r="C570" s="3" t="s">
        <v>1115</v>
      </c>
      <c r="D570" s="4" t="s">
        <v>19</v>
      </c>
      <c r="E570" s="3">
        <v>4</v>
      </c>
      <c r="F570" s="5">
        <f>INDEX([1]products!$A$1:$G$49,MATCH([1]orders!$D570,[1]products!$A$1:$A$49,0),MATCH([1]orders!K$1,[1]products!$A$1:$G$1,0))</f>
        <v>0.2</v>
      </c>
      <c r="G570" s="6">
        <f>INDEX([1]products!$A$1:$G$49,MATCH([1]orders!$D570,[1]products!$A$1:$A$49,0),MATCH([1]orders!L$1,[1]products!$A$1:$G$1,0))</f>
        <v>4.7549999999999999</v>
      </c>
      <c r="H570" s="6">
        <f t="shared" si="8"/>
        <v>19.02</v>
      </c>
    </row>
    <row r="571" spans="1:8" x14ac:dyDescent="0.3">
      <c r="A571" s="1" t="s">
        <v>1116</v>
      </c>
      <c r="B571" s="2">
        <v>43879</v>
      </c>
      <c r="C571" s="3" t="s">
        <v>1105</v>
      </c>
      <c r="D571" s="4" t="s">
        <v>118</v>
      </c>
      <c r="E571" s="3">
        <v>6</v>
      </c>
      <c r="F571" s="5">
        <f>INDEX([1]products!$A$1:$G$49,MATCH([1]orders!$D571,[1]products!$A$1:$A$49,0),MATCH([1]orders!K$1,[1]products!$A$1:$G$1,0))</f>
        <v>2.5</v>
      </c>
      <c r="G571" s="6">
        <f>INDEX([1]products!$A$1:$G$49,MATCH([1]orders!$D571,[1]products!$A$1:$A$49,0),MATCH([1]orders!L$1,[1]products!$A$1:$G$1,0))</f>
        <v>22.884999999999998</v>
      </c>
      <c r="H571" s="6">
        <f t="shared" si="8"/>
        <v>137.31</v>
      </c>
    </row>
    <row r="572" spans="1:8" x14ac:dyDescent="0.3">
      <c r="A572" s="1" t="s">
        <v>1117</v>
      </c>
      <c r="B572" s="2">
        <v>43928</v>
      </c>
      <c r="C572" s="3" t="s">
        <v>1118</v>
      </c>
      <c r="D572" s="4" t="s">
        <v>67</v>
      </c>
      <c r="E572" s="3">
        <v>4</v>
      </c>
      <c r="F572" s="5">
        <f>INDEX([1]products!$A$1:$G$49,MATCH([1]orders!$D572,[1]products!$A$1:$A$49,0),MATCH([1]orders!K$1,[1]products!$A$1:$G$1,0))</f>
        <v>0.5</v>
      </c>
      <c r="G572" s="6">
        <f>INDEX([1]products!$A$1:$G$49,MATCH([1]orders!$D572,[1]products!$A$1:$A$49,0),MATCH([1]orders!L$1,[1]products!$A$1:$G$1,0))</f>
        <v>6.75</v>
      </c>
      <c r="H572" s="6">
        <f t="shared" si="8"/>
        <v>27</v>
      </c>
    </row>
    <row r="573" spans="1:8" x14ac:dyDescent="0.3">
      <c r="A573" s="1" t="s">
        <v>1119</v>
      </c>
      <c r="B573" s="2">
        <v>44592</v>
      </c>
      <c r="C573" s="3" t="s">
        <v>1120</v>
      </c>
      <c r="D573" s="4" t="s">
        <v>176</v>
      </c>
      <c r="E573" s="3">
        <v>4</v>
      </c>
      <c r="F573" s="5">
        <f>INDEX([1]products!$A$1:$G$49,MATCH([1]orders!$D573,[1]products!$A$1:$A$49,0),MATCH([1]orders!K$1,[1]products!$A$1:$G$1,0))</f>
        <v>0.5</v>
      </c>
      <c r="G573" s="6">
        <f>INDEX([1]products!$A$1:$G$49,MATCH([1]orders!$D573,[1]products!$A$1:$A$49,0),MATCH([1]orders!L$1,[1]products!$A$1:$G$1,0))</f>
        <v>8.91</v>
      </c>
      <c r="H573" s="6">
        <f t="shared" si="8"/>
        <v>35.64</v>
      </c>
    </row>
    <row r="574" spans="1:8" x14ac:dyDescent="0.3">
      <c r="A574" s="1" t="s">
        <v>1121</v>
      </c>
      <c r="B574" s="2">
        <v>43515</v>
      </c>
      <c r="C574" s="3" t="s">
        <v>1122</v>
      </c>
      <c r="D574" s="4" t="s">
        <v>54</v>
      </c>
      <c r="E574" s="3">
        <v>2</v>
      </c>
      <c r="F574" s="5">
        <f>INDEX([1]products!$A$1:$G$49,MATCH([1]orders!$D574,[1]products!$A$1:$A$49,0),MATCH([1]orders!K$1,[1]products!$A$1:$G$1,0))</f>
        <v>0.2</v>
      </c>
      <c r="G574" s="6">
        <f>INDEX([1]products!$A$1:$G$49,MATCH([1]orders!$D574,[1]products!$A$1:$A$49,0),MATCH([1]orders!L$1,[1]products!$A$1:$G$1,0))</f>
        <v>2.9849999999999999</v>
      </c>
      <c r="H574" s="6">
        <f t="shared" si="8"/>
        <v>5.97</v>
      </c>
    </row>
    <row r="575" spans="1:8" x14ac:dyDescent="0.3">
      <c r="A575" s="1" t="s">
        <v>1123</v>
      </c>
      <c r="B575" s="2">
        <v>43781</v>
      </c>
      <c r="C575" s="3" t="s">
        <v>1124</v>
      </c>
      <c r="D575" s="4" t="s">
        <v>61</v>
      </c>
      <c r="E575" s="3">
        <v>6</v>
      </c>
      <c r="F575" s="5">
        <f>INDEX([1]products!$A$1:$G$49,MATCH([1]orders!$D575,[1]products!$A$1:$A$49,0),MATCH([1]orders!K$1,[1]products!$A$1:$G$1,0))</f>
        <v>1</v>
      </c>
      <c r="G575" s="6">
        <f>INDEX([1]products!$A$1:$G$49,MATCH([1]orders!$D575,[1]products!$A$1:$A$49,0),MATCH([1]orders!L$1,[1]products!$A$1:$G$1,0))</f>
        <v>11.25</v>
      </c>
      <c r="H575" s="6">
        <f t="shared" si="8"/>
        <v>67.5</v>
      </c>
    </row>
    <row r="576" spans="1:8" x14ac:dyDescent="0.3">
      <c r="A576" s="1" t="s">
        <v>1125</v>
      </c>
      <c r="B576" s="2">
        <v>44697</v>
      </c>
      <c r="C576" s="3" t="s">
        <v>1126</v>
      </c>
      <c r="D576" s="4" t="s">
        <v>182</v>
      </c>
      <c r="E576" s="3">
        <v>6</v>
      </c>
      <c r="F576" s="5">
        <f>INDEX([1]products!$A$1:$G$49,MATCH([1]orders!$D576,[1]products!$A$1:$A$49,0),MATCH([1]orders!K$1,[1]products!$A$1:$G$1,0))</f>
        <v>0.2</v>
      </c>
      <c r="G576" s="6">
        <f>INDEX([1]products!$A$1:$G$49,MATCH([1]orders!$D576,[1]products!$A$1:$A$49,0),MATCH([1]orders!L$1,[1]products!$A$1:$G$1,0))</f>
        <v>3.5849999999999995</v>
      </c>
      <c r="H576" s="6">
        <f t="shared" si="8"/>
        <v>21.509999999999998</v>
      </c>
    </row>
    <row r="577" spans="1:8" x14ac:dyDescent="0.3">
      <c r="A577" s="1" t="s">
        <v>1127</v>
      </c>
      <c r="B577" s="2">
        <v>44239</v>
      </c>
      <c r="C577" s="3" t="s">
        <v>1128</v>
      </c>
      <c r="D577" s="4" t="s">
        <v>197</v>
      </c>
      <c r="E577" s="3">
        <v>2</v>
      </c>
      <c r="F577" s="5">
        <f>INDEX([1]products!$A$1:$G$49,MATCH([1]orders!$D577,[1]products!$A$1:$A$49,0),MATCH([1]orders!K$1,[1]products!$A$1:$G$1,0))</f>
        <v>2.5</v>
      </c>
      <c r="G577" s="6">
        <f>INDEX([1]products!$A$1:$G$49,MATCH([1]orders!$D577,[1]products!$A$1:$A$49,0),MATCH([1]orders!L$1,[1]products!$A$1:$G$1,0))</f>
        <v>33.464999999999996</v>
      </c>
      <c r="H577" s="6">
        <f t="shared" si="8"/>
        <v>66.929999999999993</v>
      </c>
    </row>
    <row r="578" spans="1:8" x14ac:dyDescent="0.3">
      <c r="A578" s="1" t="s">
        <v>1129</v>
      </c>
      <c r="B578" s="2">
        <v>44290</v>
      </c>
      <c r="C578" s="3" t="s">
        <v>1130</v>
      </c>
      <c r="D578" s="4" t="s">
        <v>54</v>
      </c>
      <c r="E578" s="3">
        <v>6</v>
      </c>
      <c r="F578" s="5">
        <f>INDEX([1]products!$A$1:$G$49,MATCH([1]orders!$D578,[1]products!$A$1:$A$49,0),MATCH([1]orders!K$1,[1]products!$A$1:$G$1,0))</f>
        <v>0.2</v>
      </c>
      <c r="G578" s="6">
        <f>INDEX([1]products!$A$1:$G$49,MATCH([1]orders!$D578,[1]products!$A$1:$A$49,0),MATCH([1]orders!L$1,[1]products!$A$1:$G$1,0))</f>
        <v>2.9849999999999999</v>
      </c>
      <c r="H578" s="6">
        <f t="shared" ref="H578:H641" si="9">E578*G578</f>
        <v>17.91</v>
      </c>
    </row>
    <row r="579" spans="1:8" x14ac:dyDescent="0.3">
      <c r="A579" s="1" t="s">
        <v>1131</v>
      </c>
      <c r="B579" s="2">
        <v>44410</v>
      </c>
      <c r="C579" s="3" t="s">
        <v>1105</v>
      </c>
      <c r="D579" s="4" t="s">
        <v>96</v>
      </c>
      <c r="E579" s="3">
        <v>4</v>
      </c>
      <c r="F579" s="5">
        <f>INDEX([1]products!$A$1:$G$49,MATCH([1]orders!$D579,[1]products!$A$1:$A$49,0),MATCH([1]orders!K$1,[1]products!$A$1:$G$1,0))</f>
        <v>1</v>
      </c>
      <c r="G579" s="6">
        <f>INDEX([1]products!$A$1:$G$49,MATCH([1]orders!$D579,[1]products!$A$1:$A$49,0),MATCH([1]orders!L$1,[1]products!$A$1:$G$1,0))</f>
        <v>14.55</v>
      </c>
      <c r="H579" s="6">
        <f t="shared" si="9"/>
        <v>58.2</v>
      </c>
    </row>
    <row r="580" spans="1:8" x14ac:dyDescent="0.3">
      <c r="A580" s="1" t="s">
        <v>1132</v>
      </c>
      <c r="B580" s="2">
        <v>44720</v>
      </c>
      <c r="C580" s="3" t="s">
        <v>1133</v>
      </c>
      <c r="D580" s="4" t="s">
        <v>254</v>
      </c>
      <c r="E580" s="3">
        <v>3</v>
      </c>
      <c r="F580" s="5">
        <f>INDEX([1]products!$A$1:$G$49,MATCH([1]orders!$D580,[1]products!$A$1:$A$49,0),MATCH([1]orders!K$1,[1]products!$A$1:$G$1,0))</f>
        <v>0.2</v>
      </c>
      <c r="G580" s="6">
        <f>INDEX([1]products!$A$1:$G$49,MATCH([1]orders!$D580,[1]products!$A$1:$A$49,0),MATCH([1]orders!L$1,[1]products!$A$1:$G$1,0))</f>
        <v>4.4550000000000001</v>
      </c>
      <c r="H580" s="6">
        <f t="shared" si="9"/>
        <v>13.365</v>
      </c>
    </row>
    <row r="581" spans="1:8" x14ac:dyDescent="0.3">
      <c r="A581" s="1" t="s">
        <v>1132</v>
      </c>
      <c r="B581" s="2">
        <v>44720</v>
      </c>
      <c r="C581" s="3" t="s">
        <v>1133</v>
      </c>
      <c r="D581" s="4" t="s">
        <v>67</v>
      </c>
      <c r="E581" s="3">
        <v>5</v>
      </c>
      <c r="F581" s="5">
        <f>INDEX([1]products!$A$1:$G$49,MATCH([1]orders!$D581,[1]products!$A$1:$A$49,0),MATCH([1]orders!K$1,[1]products!$A$1:$G$1,0))</f>
        <v>0.5</v>
      </c>
      <c r="G581" s="6">
        <f>INDEX([1]products!$A$1:$G$49,MATCH([1]orders!$D581,[1]products!$A$1:$A$49,0),MATCH([1]orders!L$1,[1]products!$A$1:$G$1,0))</f>
        <v>6.75</v>
      </c>
      <c r="H581" s="6">
        <f t="shared" si="9"/>
        <v>33.75</v>
      </c>
    </row>
    <row r="582" spans="1:8" x14ac:dyDescent="0.3">
      <c r="A582" s="1" t="s">
        <v>1134</v>
      </c>
      <c r="B582" s="2">
        <v>43965</v>
      </c>
      <c r="C582" s="3" t="s">
        <v>1135</v>
      </c>
      <c r="D582" s="4" t="s">
        <v>137</v>
      </c>
      <c r="E582" s="3">
        <v>3</v>
      </c>
      <c r="F582" s="5">
        <f>INDEX([1]products!$A$1:$G$49,MATCH([1]orders!$D582,[1]products!$A$1:$A$49,0),MATCH([1]orders!K$1,[1]products!$A$1:$G$1,0))</f>
        <v>1</v>
      </c>
      <c r="G582" s="6">
        <f>INDEX([1]products!$A$1:$G$49,MATCH([1]orders!$D582,[1]products!$A$1:$A$49,0),MATCH([1]orders!L$1,[1]products!$A$1:$G$1,0))</f>
        <v>14.85</v>
      </c>
      <c r="H582" s="6">
        <f t="shared" si="9"/>
        <v>44.55</v>
      </c>
    </row>
    <row r="583" spans="1:8" x14ac:dyDescent="0.3">
      <c r="A583" s="1" t="s">
        <v>1136</v>
      </c>
      <c r="B583" s="2">
        <v>44190</v>
      </c>
      <c r="C583" s="3" t="s">
        <v>1137</v>
      </c>
      <c r="D583" s="4" t="s">
        <v>176</v>
      </c>
      <c r="E583" s="3">
        <v>5</v>
      </c>
      <c r="F583" s="5">
        <f>INDEX([1]products!$A$1:$G$49,MATCH([1]orders!$D583,[1]products!$A$1:$A$49,0),MATCH([1]orders!K$1,[1]products!$A$1:$G$1,0))</f>
        <v>0.5</v>
      </c>
      <c r="G583" s="6">
        <f>INDEX([1]products!$A$1:$G$49,MATCH([1]orders!$D583,[1]products!$A$1:$A$49,0),MATCH([1]orders!L$1,[1]products!$A$1:$G$1,0))</f>
        <v>8.91</v>
      </c>
      <c r="H583" s="6">
        <f t="shared" si="9"/>
        <v>44.55</v>
      </c>
    </row>
    <row r="584" spans="1:8" x14ac:dyDescent="0.3">
      <c r="A584" s="1" t="s">
        <v>1138</v>
      </c>
      <c r="B584" s="2">
        <v>44382</v>
      </c>
      <c r="C584" s="3" t="s">
        <v>1139</v>
      </c>
      <c r="D584" s="4" t="s">
        <v>245</v>
      </c>
      <c r="E584" s="3">
        <v>5</v>
      </c>
      <c r="F584" s="5">
        <f>INDEX([1]products!$A$1:$G$49,MATCH([1]orders!$D584,[1]products!$A$1:$A$49,0),MATCH([1]orders!K$1,[1]products!$A$1:$G$1,0))</f>
        <v>1</v>
      </c>
      <c r="G584" s="6">
        <f>INDEX([1]products!$A$1:$G$49,MATCH([1]orders!$D584,[1]products!$A$1:$A$49,0),MATCH([1]orders!L$1,[1]products!$A$1:$G$1,0))</f>
        <v>12.15</v>
      </c>
      <c r="H584" s="6">
        <f t="shared" si="9"/>
        <v>60.75</v>
      </c>
    </row>
    <row r="585" spans="1:8" x14ac:dyDescent="0.3">
      <c r="A585" s="1" t="s">
        <v>1140</v>
      </c>
      <c r="B585" s="2">
        <v>43538</v>
      </c>
      <c r="C585" s="3" t="s">
        <v>1141</v>
      </c>
      <c r="D585" s="4" t="s">
        <v>182</v>
      </c>
      <c r="E585" s="3">
        <v>1</v>
      </c>
      <c r="F585" s="5">
        <f>INDEX([1]products!$A$1:$G$49,MATCH([1]orders!$D585,[1]products!$A$1:$A$49,0),MATCH([1]orders!K$1,[1]products!$A$1:$G$1,0))</f>
        <v>0.2</v>
      </c>
      <c r="G585" s="6">
        <f>INDEX([1]products!$A$1:$G$49,MATCH([1]orders!$D585,[1]products!$A$1:$A$49,0),MATCH([1]orders!L$1,[1]products!$A$1:$G$1,0))</f>
        <v>3.5849999999999995</v>
      </c>
      <c r="H585" s="6">
        <f t="shared" si="9"/>
        <v>3.5849999999999995</v>
      </c>
    </row>
    <row r="586" spans="1:8" x14ac:dyDescent="0.3">
      <c r="A586" s="1" t="s">
        <v>1142</v>
      </c>
      <c r="B586" s="2">
        <v>44262</v>
      </c>
      <c r="C586" s="3" t="s">
        <v>1143</v>
      </c>
      <c r="D586" s="4" t="s">
        <v>182</v>
      </c>
      <c r="E586" s="3">
        <v>6</v>
      </c>
      <c r="F586" s="5">
        <f>INDEX([1]products!$A$1:$G$49,MATCH([1]orders!$D586,[1]products!$A$1:$A$49,0),MATCH([1]orders!K$1,[1]products!$A$1:$G$1,0))</f>
        <v>0.2</v>
      </c>
      <c r="G586" s="6">
        <f>INDEX([1]products!$A$1:$G$49,MATCH([1]orders!$D586,[1]products!$A$1:$A$49,0),MATCH([1]orders!L$1,[1]products!$A$1:$G$1,0))</f>
        <v>3.5849999999999995</v>
      </c>
      <c r="H586" s="6">
        <f t="shared" si="9"/>
        <v>21.509999999999998</v>
      </c>
    </row>
    <row r="587" spans="1:8" x14ac:dyDescent="0.3">
      <c r="A587" s="1" t="s">
        <v>1144</v>
      </c>
      <c r="B587" s="2">
        <v>44505</v>
      </c>
      <c r="C587" s="3" t="s">
        <v>1145</v>
      </c>
      <c r="D587" s="4" t="s">
        <v>3</v>
      </c>
      <c r="E587" s="3">
        <v>2</v>
      </c>
      <c r="F587" s="5">
        <f>INDEX([1]products!$A$1:$G$49,MATCH([1]orders!$D587,[1]products!$A$1:$A$49,0),MATCH([1]orders!K$1,[1]products!$A$1:$G$1,0))</f>
        <v>0.5</v>
      </c>
      <c r="G587" s="6">
        <f>INDEX([1]products!$A$1:$G$49,MATCH([1]orders!$D587,[1]products!$A$1:$A$49,0),MATCH([1]orders!L$1,[1]products!$A$1:$G$1,0))</f>
        <v>8.25</v>
      </c>
      <c r="H587" s="6">
        <f t="shared" si="9"/>
        <v>16.5</v>
      </c>
    </row>
    <row r="588" spans="1:8" x14ac:dyDescent="0.3">
      <c r="A588" s="1" t="s">
        <v>1146</v>
      </c>
      <c r="B588" s="2">
        <v>43867</v>
      </c>
      <c r="C588" s="3" t="s">
        <v>1147</v>
      </c>
      <c r="D588" s="4" t="s">
        <v>10</v>
      </c>
      <c r="E588" s="3">
        <v>3</v>
      </c>
      <c r="F588" s="5">
        <f>INDEX([1]products!$A$1:$G$49,MATCH([1]orders!$D588,[1]products!$A$1:$A$49,0),MATCH([1]orders!K$1,[1]products!$A$1:$G$1,0))</f>
        <v>2.5</v>
      </c>
      <c r="G588" s="6">
        <f>INDEX([1]products!$A$1:$G$49,MATCH([1]orders!$D588,[1]products!$A$1:$A$49,0),MATCH([1]orders!L$1,[1]products!$A$1:$G$1,0))</f>
        <v>27.484999999999996</v>
      </c>
      <c r="H588" s="6">
        <f t="shared" si="9"/>
        <v>82.454999999999984</v>
      </c>
    </row>
    <row r="589" spans="1:8" x14ac:dyDescent="0.3">
      <c r="A589" s="1" t="s">
        <v>1148</v>
      </c>
      <c r="B589" s="2">
        <v>44267</v>
      </c>
      <c r="C589" s="3" t="s">
        <v>1149</v>
      </c>
      <c r="D589" s="4" t="s">
        <v>123</v>
      </c>
      <c r="E589" s="3">
        <v>1</v>
      </c>
      <c r="F589" s="5">
        <f>INDEX([1]products!$A$1:$G$49,MATCH([1]orders!$D589,[1]products!$A$1:$A$49,0),MATCH([1]orders!K$1,[1]products!$A$1:$G$1,0))</f>
        <v>0.5</v>
      </c>
      <c r="G589" s="6">
        <f>INDEX([1]products!$A$1:$G$49,MATCH([1]orders!$D589,[1]products!$A$1:$A$49,0),MATCH([1]orders!L$1,[1]products!$A$1:$G$1,0))</f>
        <v>7.77</v>
      </c>
      <c r="H589" s="6">
        <f t="shared" si="9"/>
        <v>7.77</v>
      </c>
    </row>
    <row r="590" spans="1:8" x14ac:dyDescent="0.3">
      <c r="A590" s="1" t="s">
        <v>1150</v>
      </c>
      <c r="B590" s="2">
        <v>44046</v>
      </c>
      <c r="C590" s="3" t="s">
        <v>1151</v>
      </c>
      <c r="D590" s="4" t="s">
        <v>22</v>
      </c>
      <c r="E590" s="3">
        <v>2</v>
      </c>
      <c r="F590" s="5">
        <f>INDEX([1]products!$A$1:$G$49,MATCH([1]orders!$D590,[1]products!$A$1:$A$49,0),MATCH([1]orders!K$1,[1]products!$A$1:$G$1,0))</f>
        <v>0.5</v>
      </c>
      <c r="G590" s="6">
        <f>INDEX([1]products!$A$1:$G$49,MATCH([1]orders!$D590,[1]products!$A$1:$A$49,0),MATCH([1]orders!L$1,[1]products!$A$1:$G$1,0))</f>
        <v>5.97</v>
      </c>
      <c r="H590" s="6">
        <f t="shared" si="9"/>
        <v>11.94</v>
      </c>
    </row>
    <row r="591" spans="1:8" x14ac:dyDescent="0.3">
      <c r="A591" s="1" t="s">
        <v>1152</v>
      </c>
      <c r="B591" s="2">
        <v>43671</v>
      </c>
      <c r="C591" s="3" t="s">
        <v>1153</v>
      </c>
      <c r="D591" s="4" t="s">
        <v>30</v>
      </c>
      <c r="E591" s="3">
        <v>6</v>
      </c>
      <c r="F591" s="5">
        <f>INDEX([1]products!$A$1:$G$49,MATCH([1]orders!$D591,[1]products!$A$1:$A$49,0),MATCH([1]orders!K$1,[1]products!$A$1:$G$1,0))</f>
        <v>2.5</v>
      </c>
      <c r="G591" s="6">
        <f>INDEX([1]products!$A$1:$G$49,MATCH([1]orders!$D591,[1]products!$A$1:$A$49,0),MATCH([1]orders!L$1,[1]products!$A$1:$G$1,0))</f>
        <v>34.154999999999994</v>
      </c>
      <c r="H591" s="6">
        <f t="shared" si="9"/>
        <v>204.92999999999995</v>
      </c>
    </row>
    <row r="592" spans="1:8" x14ac:dyDescent="0.3">
      <c r="A592" s="1" t="s">
        <v>1154</v>
      </c>
      <c r="B592" s="2">
        <v>43950</v>
      </c>
      <c r="C592" s="3" t="s">
        <v>1155</v>
      </c>
      <c r="D592" s="4" t="s">
        <v>112</v>
      </c>
      <c r="E592" s="3">
        <v>2</v>
      </c>
      <c r="F592" s="5">
        <f>INDEX([1]products!$A$1:$G$49,MATCH([1]orders!$D592,[1]products!$A$1:$A$49,0),MATCH([1]orders!K$1,[1]products!$A$1:$G$1,0))</f>
        <v>2.5</v>
      </c>
      <c r="G592" s="6">
        <f>INDEX([1]products!$A$1:$G$49,MATCH([1]orders!$D592,[1]products!$A$1:$A$49,0),MATCH([1]orders!L$1,[1]products!$A$1:$G$1,0))</f>
        <v>31.624999999999996</v>
      </c>
      <c r="H592" s="6">
        <f t="shared" si="9"/>
        <v>63.249999999999993</v>
      </c>
    </row>
    <row r="593" spans="1:8" x14ac:dyDescent="0.3">
      <c r="A593" s="1" t="s">
        <v>1156</v>
      </c>
      <c r="B593" s="2">
        <v>43587</v>
      </c>
      <c r="C593" s="3" t="s">
        <v>1157</v>
      </c>
      <c r="D593" s="4" t="s">
        <v>101</v>
      </c>
      <c r="E593" s="3">
        <v>3</v>
      </c>
      <c r="F593" s="5">
        <f>INDEX([1]products!$A$1:$G$49,MATCH([1]orders!$D593,[1]products!$A$1:$A$49,0),MATCH([1]orders!K$1,[1]products!$A$1:$G$1,0))</f>
        <v>0.2</v>
      </c>
      <c r="G593" s="6">
        <f>INDEX([1]products!$A$1:$G$49,MATCH([1]orders!$D593,[1]products!$A$1:$A$49,0),MATCH([1]orders!L$1,[1]products!$A$1:$G$1,0))</f>
        <v>2.6849999999999996</v>
      </c>
      <c r="H593" s="6">
        <f t="shared" si="9"/>
        <v>8.0549999999999997</v>
      </c>
    </row>
    <row r="594" spans="1:8" x14ac:dyDescent="0.3">
      <c r="A594" s="1" t="s">
        <v>1158</v>
      </c>
      <c r="B594" s="2">
        <v>44437</v>
      </c>
      <c r="C594" s="3" t="s">
        <v>1159</v>
      </c>
      <c r="D594" s="4" t="s">
        <v>171</v>
      </c>
      <c r="E594" s="3">
        <v>2</v>
      </c>
      <c r="F594" s="5">
        <f>INDEX([1]products!$A$1:$G$49,MATCH([1]orders!$D594,[1]products!$A$1:$A$49,0),MATCH([1]orders!K$1,[1]products!$A$1:$G$1,0))</f>
        <v>2.5</v>
      </c>
      <c r="G594" s="6">
        <f>INDEX([1]products!$A$1:$G$49,MATCH([1]orders!$D594,[1]products!$A$1:$A$49,0),MATCH([1]orders!L$1,[1]products!$A$1:$G$1,0))</f>
        <v>25.874999999999996</v>
      </c>
      <c r="H594" s="6">
        <f t="shared" si="9"/>
        <v>51.749999999999993</v>
      </c>
    </row>
    <row r="595" spans="1:8" x14ac:dyDescent="0.3">
      <c r="A595" s="1" t="s">
        <v>1160</v>
      </c>
      <c r="B595" s="2">
        <v>43903</v>
      </c>
      <c r="C595" s="3" t="s">
        <v>1145</v>
      </c>
      <c r="D595" s="4" t="s">
        <v>530</v>
      </c>
      <c r="E595" s="3">
        <v>1</v>
      </c>
      <c r="F595" s="5">
        <f>INDEX([1]products!$A$1:$G$49,MATCH([1]orders!$D595,[1]products!$A$1:$A$49,0),MATCH([1]orders!K$1,[1]products!$A$1:$G$1,0))</f>
        <v>2.5</v>
      </c>
      <c r="G595" s="6">
        <f>INDEX([1]products!$A$1:$G$49,MATCH([1]orders!$D595,[1]products!$A$1:$A$49,0),MATCH([1]orders!L$1,[1]products!$A$1:$G$1,0))</f>
        <v>27.945</v>
      </c>
      <c r="H595" s="6">
        <f t="shared" si="9"/>
        <v>27.945</v>
      </c>
    </row>
    <row r="596" spans="1:8" x14ac:dyDescent="0.3">
      <c r="A596" s="1" t="s">
        <v>1161</v>
      </c>
      <c r="B596" s="2">
        <v>43512</v>
      </c>
      <c r="C596" s="3" t="s">
        <v>1162</v>
      </c>
      <c r="D596" s="4" t="s">
        <v>204</v>
      </c>
      <c r="E596" s="3">
        <v>2</v>
      </c>
      <c r="F596" s="5">
        <f>INDEX([1]products!$A$1:$G$49,MATCH([1]orders!$D596,[1]products!$A$1:$A$49,0),MATCH([1]orders!K$1,[1]products!$A$1:$G$1,0))</f>
        <v>2.5</v>
      </c>
      <c r="G596" s="6">
        <f>INDEX([1]products!$A$1:$G$49,MATCH([1]orders!$D596,[1]products!$A$1:$A$49,0),MATCH([1]orders!L$1,[1]products!$A$1:$G$1,0))</f>
        <v>29.784999999999997</v>
      </c>
      <c r="H596" s="6">
        <f t="shared" si="9"/>
        <v>59.569999999999993</v>
      </c>
    </row>
    <row r="597" spans="1:8" x14ac:dyDescent="0.3">
      <c r="A597" s="1" t="s">
        <v>1163</v>
      </c>
      <c r="B597" s="2">
        <v>44527</v>
      </c>
      <c r="C597" s="3" t="s">
        <v>1164</v>
      </c>
      <c r="D597" s="4" t="s">
        <v>137</v>
      </c>
      <c r="E597" s="3">
        <v>1</v>
      </c>
      <c r="F597" s="5">
        <f>INDEX([1]products!$A$1:$G$49,MATCH([1]orders!$D597,[1]products!$A$1:$A$49,0),MATCH([1]orders!K$1,[1]products!$A$1:$G$1,0))</f>
        <v>1</v>
      </c>
      <c r="G597" s="6">
        <f>INDEX([1]products!$A$1:$G$49,MATCH([1]orders!$D597,[1]products!$A$1:$A$49,0),MATCH([1]orders!L$1,[1]products!$A$1:$G$1,0))</f>
        <v>14.85</v>
      </c>
      <c r="H597" s="6">
        <f t="shared" si="9"/>
        <v>14.85</v>
      </c>
    </row>
    <row r="598" spans="1:8" x14ac:dyDescent="0.3">
      <c r="A598" s="1" t="s">
        <v>1165</v>
      </c>
      <c r="B598" s="2">
        <v>44523</v>
      </c>
      <c r="C598" s="3" t="s">
        <v>1166</v>
      </c>
      <c r="D598" s="4" t="s">
        <v>67</v>
      </c>
      <c r="E598" s="3">
        <v>5</v>
      </c>
      <c r="F598" s="5">
        <f>INDEX([1]products!$A$1:$G$49,MATCH([1]orders!$D598,[1]products!$A$1:$A$49,0),MATCH([1]orders!K$1,[1]products!$A$1:$G$1,0))</f>
        <v>0.5</v>
      </c>
      <c r="G598" s="6">
        <f>INDEX([1]products!$A$1:$G$49,MATCH([1]orders!$D598,[1]products!$A$1:$A$49,0),MATCH([1]orders!L$1,[1]products!$A$1:$G$1,0))</f>
        <v>6.75</v>
      </c>
      <c r="H598" s="6">
        <f t="shared" si="9"/>
        <v>33.75</v>
      </c>
    </row>
    <row r="599" spans="1:8" x14ac:dyDescent="0.3">
      <c r="A599" s="1" t="s">
        <v>1167</v>
      </c>
      <c r="B599" s="2">
        <v>44532</v>
      </c>
      <c r="C599" s="3" t="s">
        <v>1168</v>
      </c>
      <c r="D599" s="4" t="s">
        <v>104</v>
      </c>
      <c r="E599" s="3">
        <v>4</v>
      </c>
      <c r="F599" s="5">
        <f>INDEX([1]products!$A$1:$G$49,MATCH([1]orders!$D599,[1]products!$A$1:$A$49,0),MATCH([1]orders!K$1,[1]products!$A$1:$G$1,0))</f>
        <v>2.5</v>
      </c>
      <c r="G599" s="6">
        <f>INDEX([1]products!$A$1:$G$49,MATCH([1]orders!$D599,[1]products!$A$1:$A$49,0),MATCH([1]orders!L$1,[1]products!$A$1:$G$1,0))</f>
        <v>36.454999999999998</v>
      </c>
      <c r="H599" s="6">
        <f t="shared" si="9"/>
        <v>145.82</v>
      </c>
    </row>
    <row r="600" spans="1:8" x14ac:dyDescent="0.3">
      <c r="A600" s="1" t="s">
        <v>1169</v>
      </c>
      <c r="B600" s="2">
        <v>43471</v>
      </c>
      <c r="C600" s="3" t="s">
        <v>1170</v>
      </c>
      <c r="D600" s="4" t="s">
        <v>162</v>
      </c>
      <c r="E600" s="3">
        <v>4</v>
      </c>
      <c r="F600" s="5">
        <f>INDEX([1]products!$A$1:$G$49,MATCH([1]orders!$D600,[1]products!$A$1:$A$49,0),MATCH([1]orders!K$1,[1]products!$A$1:$G$1,0))</f>
        <v>0.2</v>
      </c>
      <c r="G600" s="6">
        <f>INDEX([1]products!$A$1:$G$49,MATCH([1]orders!$D600,[1]products!$A$1:$A$49,0),MATCH([1]orders!L$1,[1]products!$A$1:$G$1,0))</f>
        <v>2.9849999999999999</v>
      </c>
      <c r="H600" s="6">
        <f t="shared" si="9"/>
        <v>11.94</v>
      </c>
    </row>
    <row r="601" spans="1:8" x14ac:dyDescent="0.3">
      <c r="A601" s="1" t="s">
        <v>1171</v>
      </c>
      <c r="B601" s="2">
        <v>44321</v>
      </c>
      <c r="C601" s="3" t="s">
        <v>1172</v>
      </c>
      <c r="D601" s="4" t="s">
        <v>54</v>
      </c>
      <c r="E601" s="3">
        <v>4</v>
      </c>
      <c r="F601" s="5">
        <f>INDEX([1]products!$A$1:$G$49,MATCH([1]orders!$D601,[1]products!$A$1:$A$49,0),MATCH([1]orders!K$1,[1]products!$A$1:$G$1,0))</f>
        <v>0.2</v>
      </c>
      <c r="G601" s="6">
        <f>INDEX([1]products!$A$1:$G$49,MATCH([1]orders!$D601,[1]products!$A$1:$A$49,0),MATCH([1]orders!L$1,[1]products!$A$1:$G$1,0))</f>
        <v>2.9849999999999999</v>
      </c>
      <c r="H601" s="6">
        <f t="shared" si="9"/>
        <v>11.94</v>
      </c>
    </row>
    <row r="602" spans="1:8" x14ac:dyDescent="0.3">
      <c r="A602" s="1" t="s">
        <v>1173</v>
      </c>
      <c r="B602" s="2">
        <v>44492</v>
      </c>
      <c r="C602" s="3" t="s">
        <v>1174</v>
      </c>
      <c r="D602" s="4" t="s">
        <v>123</v>
      </c>
      <c r="E602" s="3">
        <v>1</v>
      </c>
      <c r="F602" s="5">
        <f>INDEX([1]products!$A$1:$G$49,MATCH([1]orders!$D602,[1]products!$A$1:$A$49,0),MATCH([1]orders!K$1,[1]products!$A$1:$G$1,0))</f>
        <v>0.5</v>
      </c>
      <c r="G602" s="6">
        <f>INDEX([1]products!$A$1:$G$49,MATCH([1]orders!$D602,[1]products!$A$1:$A$49,0),MATCH([1]orders!L$1,[1]products!$A$1:$G$1,0))</f>
        <v>7.77</v>
      </c>
      <c r="H602" s="6">
        <f t="shared" si="9"/>
        <v>7.77</v>
      </c>
    </row>
    <row r="603" spans="1:8" x14ac:dyDescent="0.3">
      <c r="A603" s="1" t="s">
        <v>1175</v>
      </c>
      <c r="B603" s="2">
        <v>43815</v>
      </c>
      <c r="C603" s="3" t="s">
        <v>1176</v>
      </c>
      <c r="D603" s="4" t="s">
        <v>10</v>
      </c>
      <c r="E603" s="3">
        <v>4</v>
      </c>
      <c r="F603" s="5">
        <f>INDEX([1]products!$A$1:$G$49,MATCH([1]orders!$D603,[1]products!$A$1:$A$49,0),MATCH([1]orders!K$1,[1]products!$A$1:$G$1,0))</f>
        <v>2.5</v>
      </c>
      <c r="G603" s="6">
        <f>INDEX([1]products!$A$1:$G$49,MATCH([1]orders!$D603,[1]products!$A$1:$A$49,0),MATCH([1]orders!L$1,[1]products!$A$1:$G$1,0))</f>
        <v>27.484999999999996</v>
      </c>
      <c r="H603" s="6">
        <f t="shared" si="9"/>
        <v>109.93999999999998</v>
      </c>
    </row>
    <row r="604" spans="1:8" x14ac:dyDescent="0.3">
      <c r="A604" s="1" t="s">
        <v>1177</v>
      </c>
      <c r="B604" s="2">
        <v>43603</v>
      </c>
      <c r="C604" s="3" t="s">
        <v>1178</v>
      </c>
      <c r="D604" s="4" t="s">
        <v>254</v>
      </c>
      <c r="E604" s="3">
        <v>5</v>
      </c>
      <c r="F604" s="5">
        <f>INDEX([1]products!$A$1:$G$49,MATCH([1]orders!$D604,[1]products!$A$1:$A$49,0),MATCH([1]orders!K$1,[1]products!$A$1:$G$1,0))</f>
        <v>0.2</v>
      </c>
      <c r="G604" s="6">
        <f>INDEX([1]products!$A$1:$G$49,MATCH([1]orders!$D604,[1]products!$A$1:$A$49,0),MATCH([1]orders!L$1,[1]products!$A$1:$G$1,0))</f>
        <v>4.4550000000000001</v>
      </c>
      <c r="H604" s="6">
        <f t="shared" si="9"/>
        <v>22.274999999999999</v>
      </c>
    </row>
    <row r="605" spans="1:8" x14ac:dyDescent="0.3">
      <c r="A605" s="1" t="s">
        <v>1179</v>
      </c>
      <c r="B605" s="2">
        <v>43660</v>
      </c>
      <c r="C605" s="3" t="s">
        <v>1180</v>
      </c>
      <c r="D605" s="4" t="s">
        <v>162</v>
      </c>
      <c r="E605" s="3">
        <v>3</v>
      </c>
      <c r="F605" s="5">
        <f>INDEX([1]products!$A$1:$G$49,MATCH([1]orders!$D605,[1]products!$A$1:$A$49,0),MATCH([1]orders!K$1,[1]products!$A$1:$G$1,0))</f>
        <v>0.2</v>
      </c>
      <c r="G605" s="6">
        <f>INDEX([1]products!$A$1:$G$49,MATCH([1]orders!$D605,[1]products!$A$1:$A$49,0),MATCH([1]orders!L$1,[1]products!$A$1:$G$1,0))</f>
        <v>2.9849999999999999</v>
      </c>
      <c r="H605" s="6">
        <f t="shared" si="9"/>
        <v>8.9550000000000001</v>
      </c>
    </row>
    <row r="606" spans="1:8" x14ac:dyDescent="0.3">
      <c r="A606" s="1" t="s">
        <v>1181</v>
      </c>
      <c r="B606" s="2">
        <v>44148</v>
      </c>
      <c r="C606" s="3" t="s">
        <v>1182</v>
      </c>
      <c r="D606" s="4" t="s">
        <v>109</v>
      </c>
      <c r="E606" s="3">
        <v>4</v>
      </c>
      <c r="F606" s="5">
        <f>INDEX([1]products!$A$1:$G$49,MATCH([1]orders!$D606,[1]products!$A$1:$A$49,0),MATCH([1]orders!K$1,[1]products!$A$1:$G$1,0))</f>
        <v>2.5</v>
      </c>
      <c r="G606" s="6">
        <f>INDEX([1]products!$A$1:$G$49,MATCH([1]orders!$D606,[1]products!$A$1:$A$49,0),MATCH([1]orders!L$1,[1]products!$A$1:$G$1,0))</f>
        <v>29.784999999999997</v>
      </c>
      <c r="H606" s="6">
        <f t="shared" si="9"/>
        <v>119.13999999999999</v>
      </c>
    </row>
    <row r="607" spans="1:8" x14ac:dyDescent="0.3">
      <c r="A607" s="1" t="s">
        <v>1183</v>
      </c>
      <c r="B607" s="2">
        <v>44028</v>
      </c>
      <c r="C607" s="3" t="s">
        <v>1184</v>
      </c>
      <c r="D607" s="4" t="s">
        <v>204</v>
      </c>
      <c r="E607" s="3">
        <v>5</v>
      </c>
      <c r="F607" s="5">
        <f>INDEX([1]products!$A$1:$G$49,MATCH([1]orders!$D607,[1]products!$A$1:$A$49,0),MATCH([1]orders!K$1,[1]products!$A$1:$G$1,0))</f>
        <v>2.5</v>
      </c>
      <c r="G607" s="6">
        <f>INDEX([1]products!$A$1:$G$49,MATCH([1]orders!$D607,[1]products!$A$1:$A$49,0),MATCH([1]orders!L$1,[1]products!$A$1:$G$1,0))</f>
        <v>29.784999999999997</v>
      </c>
      <c r="H607" s="6">
        <f t="shared" si="9"/>
        <v>148.92499999999998</v>
      </c>
    </row>
    <row r="608" spans="1:8" x14ac:dyDescent="0.3">
      <c r="A608" s="1" t="s">
        <v>1185</v>
      </c>
      <c r="B608" s="2">
        <v>44138</v>
      </c>
      <c r="C608" s="3" t="s">
        <v>1145</v>
      </c>
      <c r="D608" s="4" t="s">
        <v>104</v>
      </c>
      <c r="E608" s="3">
        <v>3</v>
      </c>
      <c r="F608" s="5">
        <f>INDEX([1]products!$A$1:$G$49,MATCH([1]orders!$D608,[1]products!$A$1:$A$49,0),MATCH([1]orders!K$1,[1]products!$A$1:$G$1,0))</f>
        <v>2.5</v>
      </c>
      <c r="G608" s="6">
        <f>INDEX([1]products!$A$1:$G$49,MATCH([1]orders!$D608,[1]products!$A$1:$A$49,0),MATCH([1]orders!L$1,[1]products!$A$1:$G$1,0))</f>
        <v>36.454999999999998</v>
      </c>
      <c r="H608" s="6">
        <f t="shared" si="9"/>
        <v>109.36499999999999</v>
      </c>
    </row>
    <row r="609" spans="1:8" x14ac:dyDescent="0.3">
      <c r="A609" s="1" t="s">
        <v>1186</v>
      </c>
      <c r="B609" s="2">
        <v>44640</v>
      </c>
      <c r="C609" s="3" t="s">
        <v>1187</v>
      </c>
      <c r="D609" s="4" t="s">
        <v>51</v>
      </c>
      <c r="E609" s="3">
        <v>1</v>
      </c>
      <c r="F609" s="5">
        <f>INDEX([1]products!$A$1:$G$49,MATCH([1]orders!$D609,[1]products!$A$1:$A$49,0),MATCH([1]orders!K$1,[1]products!$A$1:$G$1,0))</f>
        <v>0.2</v>
      </c>
      <c r="G609" s="6">
        <f>INDEX([1]products!$A$1:$G$49,MATCH([1]orders!$D609,[1]products!$A$1:$A$49,0),MATCH([1]orders!L$1,[1]products!$A$1:$G$1,0))</f>
        <v>3.645</v>
      </c>
      <c r="H609" s="6">
        <f t="shared" si="9"/>
        <v>3.645</v>
      </c>
    </row>
    <row r="610" spans="1:8" x14ac:dyDescent="0.3">
      <c r="A610" s="1" t="s">
        <v>1188</v>
      </c>
      <c r="B610" s="2">
        <v>44608</v>
      </c>
      <c r="C610" s="3" t="s">
        <v>1189</v>
      </c>
      <c r="D610" s="4" t="s">
        <v>530</v>
      </c>
      <c r="E610" s="3">
        <v>2</v>
      </c>
      <c r="F610" s="5">
        <f>INDEX([1]products!$A$1:$G$49,MATCH([1]orders!$D610,[1]products!$A$1:$A$49,0),MATCH([1]orders!K$1,[1]products!$A$1:$G$1,0))</f>
        <v>2.5</v>
      </c>
      <c r="G610" s="6">
        <f>INDEX([1]products!$A$1:$G$49,MATCH([1]orders!$D610,[1]products!$A$1:$A$49,0),MATCH([1]orders!L$1,[1]products!$A$1:$G$1,0))</f>
        <v>27.945</v>
      </c>
      <c r="H610" s="6">
        <f t="shared" si="9"/>
        <v>55.89</v>
      </c>
    </row>
    <row r="611" spans="1:8" x14ac:dyDescent="0.3">
      <c r="A611" s="1" t="s">
        <v>1190</v>
      </c>
      <c r="B611" s="2">
        <v>44147</v>
      </c>
      <c r="C611" s="3" t="s">
        <v>1191</v>
      </c>
      <c r="D611" s="4" t="s">
        <v>77</v>
      </c>
      <c r="E611" s="3">
        <v>6</v>
      </c>
      <c r="F611" s="5">
        <f>INDEX([1]products!$A$1:$G$49,MATCH([1]orders!$D611,[1]products!$A$1:$A$49,0),MATCH([1]orders!K$1,[1]products!$A$1:$G$1,0))</f>
        <v>0.2</v>
      </c>
      <c r="G611" s="6">
        <f>INDEX([1]products!$A$1:$G$49,MATCH([1]orders!$D611,[1]products!$A$1:$A$49,0),MATCH([1]orders!L$1,[1]products!$A$1:$G$1,0))</f>
        <v>4.3650000000000002</v>
      </c>
      <c r="H611" s="6">
        <f t="shared" si="9"/>
        <v>26.19</v>
      </c>
    </row>
    <row r="612" spans="1:8" x14ac:dyDescent="0.3">
      <c r="A612" s="1" t="s">
        <v>1192</v>
      </c>
      <c r="B612" s="2">
        <v>43743</v>
      </c>
      <c r="C612" s="3" t="s">
        <v>1193</v>
      </c>
      <c r="D612" s="4" t="s">
        <v>2</v>
      </c>
      <c r="E612" s="3">
        <v>4</v>
      </c>
      <c r="F612" s="5">
        <f>INDEX([1]products!$A$1:$G$49,MATCH([1]orders!$D612,[1]products!$A$1:$A$49,0),MATCH([1]orders!K$1,[1]products!$A$1:$G$1,0))</f>
        <v>1</v>
      </c>
      <c r="G612" s="6">
        <f>INDEX([1]products!$A$1:$G$49,MATCH([1]orders!$D612,[1]products!$A$1:$A$49,0),MATCH([1]orders!L$1,[1]products!$A$1:$G$1,0))</f>
        <v>9.9499999999999993</v>
      </c>
      <c r="H612" s="6">
        <f t="shared" si="9"/>
        <v>39.799999999999997</v>
      </c>
    </row>
    <row r="613" spans="1:8" x14ac:dyDescent="0.3">
      <c r="A613" s="1" t="s">
        <v>1194</v>
      </c>
      <c r="B613" s="2">
        <v>43739</v>
      </c>
      <c r="C613" s="3" t="s">
        <v>1195</v>
      </c>
      <c r="D613" s="4" t="s">
        <v>30</v>
      </c>
      <c r="E613" s="3">
        <v>2</v>
      </c>
      <c r="F613" s="5">
        <f>INDEX([1]products!$A$1:$G$49,MATCH([1]orders!$D613,[1]products!$A$1:$A$49,0),MATCH([1]orders!K$1,[1]products!$A$1:$G$1,0))</f>
        <v>2.5</v>
      </c>
      <c r="G613" s="6">
        <f>INDEX([1]products!$A$1:$G$49,MATCH([1]orders!$D613,[1]products!$A$1:$A$49,0),MATCH([1]orders!L$1,[1]products!$A$1:$G$1,0))</f>
        <v>34.154999999999994</v>
      </c>
      <c r="H613" s="6">
        <f t="shared" si="9"/>
        <v>68.309999999999988</v>
      </c>
    </row>
    <row r="614" spans="1:8" x14ac:dyDescent="0.3">
      <c r="A614" s="1" t="s">
        <v>1196</v>
      </c>
      <c r="B614" s="2">
        <v>43896</v>
      </c>
      <c r="C614" s="3" t="s">
        <v>1197</v>
      </c>
      <c r="D614" s="4" t="s">
        <v>44</v>
      </c>
      <c r="E614" s="3">
        <v>4</v>
      </c>
      <c r="F614" s="5">
        <f>INDEX([1]products!$A$1:$G$49,MATCH([1]orders!$D614,[1]products!$A$1:$A$49,0),MATCH([1]orders!K$1,[1]products!$A$1:$G$1,0))</f>
        <v>0.2</v>
      </c>
      <c r="G614" s="6">
        <f>INDEX([1]products!$A$1:$G$49,MATCH([1]orders!$D614,[1]products!$A$1:$A$49,0),MATCH([1]orders!L$1,[1]products!$A$1:$G$1,0))</f>
        <v>3.375</v>
      </c>
      <c r="H614" s="6">
        <f t="shared" si="9"/>
        <v>13.5</v>
      </c>
    </row>
    <row r="615" spans="1:8" x14ac:dyDescent="0.3">
      <c r="A615" s="1" t="s">
        <v>1198</v>
      </c>
      <c r="B615" s="2">
        <v>43761</v>
      </c>
      <c r="C615" s="3" t="s">
        <v>1199</v>
      </c>
      <c r="D615" s="4" t="s">
        <v>22</v>
      </c>
      <c r="E615" s="3">
        <v>1</v>
      </c>
      <c r="F615" s="5">
        <f>INDEX([1]products!$A$1:$G$49,MATCH([1]orders!$D615,[1]products!$A$1:$A$49,0),MATCH([1]orders!K$1,[1]products!$A$1:$G$1,0))</f>
        <v>0.5</v>
      </c>
      <c r="G615" s="6">
        <f>INDEX([1]products!$A$1:$G$49,MATCH([1]orders!$D615,[1]products!$A$1:$A$49,0),MATCH([1]orders!L$1,[1]products!$A$1:$G$1,0))</f>
        <v>5.97</v>
      </c>
      <c r="H615" s="6">
        <f t="shared" si="9"/>
        <v>5.97</v>
      </c>
    </row>
    <row r="616" spans="1:8" x14ac:dyDescent="0.3">
      <c r="A616" s="1" t="s">
        <v>1200</v>
      </c>
      <c r="B616" s="2">
        <v>43944</v>
      </c>
      <c r="C616" s="3" t="s">
        <v>1145</v>
      </c>
      <c r="D616" s="4" t="s">
        <v>22</v>
      </c>
      <c r="E616" s="3">
        <v>5</v>
      </c>
      <c r="F616" s="5">
        <f>INDEX([1]products!$A$1:$G$49,MATCH([1]orders!$D616,[1]products!$A$1:$A$49,0),MATCH([1]orders!K$1,[1]products!$A$1:$G$1,0))</f>
        <v>0.5</v>
      </c>
      <c r="G616" s="6">
        <f>INDEX([1]products!$A$1:$G$49,MATCH([1]orders!$D616,[1]products!$A$1:$A$49,0),MATCH([1]orders!L$1,[1]products!$A$1:$G$1,0))</f>
        <v>5.97</v>
      </c>
      <c r="H616" s="6">
        <f t="shared" si="9"/>
        <v>29.849999999999998</v>
      </c>
    </row>
    <row r="617" spans="1:8" x14ac:dyDescent="0.3">
      <c r="A617" s="1" t="s">
        <v>1201</v>
      </c>
      <c r="B617" s="2">
        <v>44006</v>
      </c>
      <c r="C617" s="3" t="s">
        <v>1202</v>
      </c>
      <c r="D617" s="4" t="s">
        <v>104</v>
      </c>
      <c r="E617" s="3">
        <v>2</v>
      </c>
      <c r="F617" s="5">
        <f>INDEX([1]products!$A$1:$G$49,MATCH([1]orders!$D617,[1]products!$A$1:$A$49,0),MATCH([1]orders!K$1,[1]products!$A$1:$G$1,0))</f>
        <v>2.5</v>
      </c>
      <c r="G617" s="6">
        <f>INDEX([1]products!$A$1:$G$49,MATCH([1]orders!$D617,[1]products!$A$1:$A$49,0),MATCH([1]orders!L$1,[1]products!$A$1:$G$1,0))</f>
        <v>36.454999999999998</v>
      </c>
      <c r="H617" s="6">
        <f t="shared" si="9"/>
        <v>72.91</v>
      </c>
    </row>
    <row r="618" spans="1:8" x14ac:dyDescent="0.3">
      <c r="A618" s="1" t="s">
        <v>1203</v>
      </c>
      <c r="B618" s="2">
        <v>44271</v>
      </c>
      <c r="C618" s="3" t="s">
        <v>1204</v>
      </c>
      <c r="D618" s="4" t="s">
        <v>112</v>
      </c>
      <c r="E618" s="3">
        <v>4</v>
      </c>
      <c r="F618" s="5">
        <f>INDEX([1]products!$A$1:$G$49,MATCH([1]orders!$D618,[1]products!$A$1:$A$49,0),MATCH([1]orders!K$1,[1]products!$A$1:$G$1,0))</f>
        <v>2.5</v>
      </c>
      <c r="G618" s="6">
        <f>INDEX([1]products!$A$1:$G$49,MATCH([1]orders!$D618,[1]products!$A$1:$A$49,0),MATCH([1]orders!L$1,[1]products!$A$1:$G$1,0))</f>
        <v>31.624999999999996</v>
      </c>
      <c r="H618" s="6">
        <f t="shared" si="9"/>
        <v>126.49999999999999</v>
      </c>
    </row>
    <row r="619" spans="1:8" x14ac:dyDescent="0.3">
      <c r="A619" s="1" t="s">
        <v>1205</v>
      </c>
      <c r="B619" s="2">
        <v>43928</v>
      </c>
      <c r="C619" s="3" t="s">
        <v>1206</v>
      </c>
      <c r="D619" s="4" t="s">
        <v>197</v>
      </c>
      <c r="E619" s="3">
        <v>1</v>
      </c>
      <c r="F619" s="5">
        <f>INDEX([1]products!$A$1:$G$49,MATCH([1]orders!$D619,[1]products!$A$1:$A$49,0),MATCH([1]orders!K$1,[1]products!$A$1:$G$1,0))</f>
        <v>2.5</v>
      </c>
      <c r="G619" s="6">
        <f>INDEX([1]products!$A$1:$G$49,MATCH([1]orders!$D619,[1]products!$A$1:$A$49,0),MATCH([1]orders!L$1,[1]products!$A$1:$G$1,0))</f>
        <v>33.464999999999996</v>
      </c>
      <c r="H619" s="6">
        <f t="shared" si="9"/>
        <v>33.464999999999996</v>
      </c>
    </row>
    <row r="620" spans="1:8" x14ac:dyDescent="0.3">
      <c r="A620" s="1" t="s">
        <v>1207</v>
      </c>
      <c r="B620" s="2">
        <v>44469</v>
      </c>
      <c r="C620" s="3" t="s">
        <v>1208</v>
      </c>
      <c r="D620" s="4" t="s">
        <v>245</v>
      </c>
      <c r="E620" s="3">
        <v>6</v>
      </c>
      <c r="F620" s="5">
        <f>INDEX([1]products!$A$1:$G$49,MATCH([1]orders!$D620,[1]products!$A$1:$A$49,0),MATCH([1]orders!K$1,[1]products!$A$1:$G$1,0))</f>
        <v>1</v>
      </c>
      <c r="G620" s="6">
        <f>INDEX([1]products!$A$1:$G$49,MATCH([1]orders!$D620,[1]products!$A$1:$A$49,0),MATCH([1]orders!L$1,[1]products!$A$1:$G$1,0))</f>
        <v>12.15</v>
      </c>
      <c r="H620" s="6">
        <f t="shared" si="9"/>
        <v>72.900000000000006</v>
      </c>
    </row>
    <row r="621" spans="1:8" x14ac:dyDescent="0.3">
      <c r="A621" s="1" t="s">
        <v>1209</v>
      </c>
      <c r="B621" s="2">
        <v>44682</v>
      </c>
      <c r="C621" s="3" t="s">
        <v>1210</v>
      </c>
      <c r="D621" s="4" t="s">
        <v>123</v>
      </c>
      <c r="E621" s="3">
        <v>2</v>
      </c>
      <c r="F621" s="5">
        <f>INDEX([1]products!$A$1:$G$49,MATCH([1]orders!$D621,[1]products!$A$1:$A$49,0),MATCH([1]orders!K$1,[1]products!$A$1:$G$1,0))</f>
        <v>0.5</v>
      </c>
      <c r="G621" s="6">
        <f>INDEX([1]products!$A$1:$G$49,MATCH([1]orders!$D621,[1]products!$A$1:$A$49,0),MATCH([1]orders!L$1,[1]products!$A$1:$G$1,0))</f>
        <v>7.77</v>
      </c>
      <c r="H621" s="6">
        <f t="shared" si="9"/>
        <v>15.54</v>
      </c>
    </row>
    <row r="622" spans="1:8" x14ac:dyDescent="0.3">
      <c r="A622" s="1" t="s">
        <v>1211</v>
      </c>
      <c r="B622" s="2">
        <v>44217</v>
      </c>
      <c r="C622" s="3" t="s">
        <v>1212</v>
      </c>
      <c r="D622" s="4" t="s">
        <v>44</v>
      </c>
      <c r="E622" s="3">
        <v>6</v>
      </c>
      <c r="F622" s="5">
        <f>INDEX([1]products!$A$1:$G$49,MATCH([1]orders!$D622,[1]products!$A$1:$A$49,0),MATCH([1]orders!K$1,[1]products!$A$1:$G$1,0))</f>
        <v>0.2</v>
      </c>
      <c r="G622" s="6">
        <f>INDEX([1]products!$A$1:$G$49,MATCH([1]orders!$D622,[1]products!$A$1:$A$49,0),MATCH([1]orders!L$1,[1]products!$A$1:$G$1,0))</f>
        <v>3.375</v>
      </c>
      <c r="H622" s="6">
        <f t="shared" si="9"/>
        <v>20.25</v>
      </c>
    </row>
    <row r="623" spans="1:8" x14ac:dyDescent="0.3">
      <c r="A623" s="1" t="s">
        <v>1213</v>
      </c>
      <c r="B623" s="2">
        <v>44006</v>
      </c>
      <c r="C623" s="3" t="s">
        <v>1214</v>
      </c>
      <c r="D623" s="4" t="s">
        <v>6</v>
      </c>
      <c r="E623" s="3">
        <v>6</v>
      </c>
      <c r="F623" s="5">
        <f>INDEX([1]products!$A$1:$G$49,MATCH([1]orders!$D623,[1]products!$A$1:$A$49,0),MATCH([1]orders!K$1,[1]products!$A$1:$G$1,0))</f>
        <v>1</v>
      </c>
      <c r="G623" s="6">
        <f>INDEX([1]products!$A$1:$G$49,MATCH([1]orders!$D623,[1]products!$A$1:$A$49,0),MATCH([1]orders!L$1,[1]products!$A$1:$G$1,0))</f>
        <v>12.95</v>
      </c>
      <c r="H623" s="6">
        <f t="shared" si="9"/>
        <v>77.699999999999989</v>
      </c>
    </row>
    <row r="624" spans="1:8" x14ac:dyDescent="0.3">
      <c r="A624" s="1" t="s">
        <v>1215</v>
      </c>
      <c r="B624" s="2">
        <v>43527</v>
      </c>
      <c r="C624" s="3" t="s">
        <v>1216</v>
      </c>
      <c r="D624" s="4" t="s">
        <v>197</v>
      </c>
      <c r="E624" s="3">
        <v>4</v>
      </c>
      <c r="F624" s="5">
        <f>INDEX([1]products!$A$1:$G$49,MATCH([1]orders!$D624,[1]products!$A$1:$A$49,0),MATCH([1]orders!K$1,[1]products!$A$1:$G$1,0))</f>
        <v>2.5</v>
      </c>
      <c r="G624" s="6">
        <f>INDEX([1]products!$A$1:$G$49,MATCH([1]orders!$D624,[1]products!$A$1:$A$49,0),MATCH([1]orders!L$1,[1]products!$A$1:$G$1,0))</f>
        <v>33.464999999999996</v>
      </c>
      <c r="H624" s="6">
        <f t="shared" si="9"/>
        <v>133.85999999999999</v>
      </c>
    </row>
    <row r="625" spans="1:8" x14ac:dyDescent="0.3">
      <c r="A625" s="1" t="s">
        <v>1217</v>
      </c>
      <c r="B625" s="2">
        <v>44224</v>
      </c>
      <c r="C625" s="3" t="s">
        <v>1218</v>
      </c>
      <c r="D625" s="4" t="s">
        <v>245</v>
      </c>
      <c r="E625" s="3">
        <v>1</v>
      </c>
      <c r="F625" s="5">
        <f>INDEX([1]products!$A$1:$G$49,MATCH([1]orders!$D625,[1]products!$A$1:$A$49,0),MATCH([1]orders!K$1,[1]products!$A$1:$G$1,0))</f>
        <v>1</v>
      </c>
      <c r="G625" s="6">
        <f>INDEX([1]products!$A$1:$G$49,MATCH([1]orders!$D625,[1]products!$A$1:$A$49,0),MATCH([1]orders!L$1,[1]products!$A$1:$G$1,0))</f>
        <v>12.15</v>
      </c>
      <c r="H625" s="6">
        <f t="shared" si="9"/>
        <v>12.15</v>
      </c>
    </row>
    <row r="626" spans="1:8" x14ac:dyDescent="0.3">
      <c r="A626" s="1" t="s">
        <v>1219</v>
      </c>
      <c r="B626" s="2">
        <v>44010</v>
      </c>
      <c r="C626" s="3" t="s">
        <v>1220</v>
      </c>
      <c r="D626" s="4" t="s">
        <v>112</v>
      </c>
      <c r="E626" s="3">
        <v>2</v>
      </c>
      <c r="F626" s="5">
        <f>INDEX([1]products!$A$1:$G$49,MATCH([1]orders!$D626,[1]products!$A$1:$A$49,0),MATCH([1]orders!K$1,[1]products!$A$1:$G$1,0))</f>
        <v>2.5</v>
      </c>
      <c r="G626" s="6">
        <f>INDEX([1]products!$A$1:$G$49,MATCH([1]orders!$D626,[1]products!$A$1:$A$49,0),MATCH([1]orders!L$1,[1]products!$A$1:$G$1,0))</f>
        <v>31.624999999999996</v>
      </c>
      <c r="H626" s="6">
        <f t="shared" si="9"/>
        <v>63.249999999999993</v>
      </c>
    </row>
    <row r="627" spans="1:8" x14ac:dyDescent="0.3">
      <c r="A627" s="1" t="s">
        <v>1221</v>
      </c>
      <c r="B627" s="2">
        <v>44017</v>
      </c>
      <c r="C627" s="3" t="s">
        <v>1222</v>
      </c>
      <c r="D627" s="4" t="s">
        <v>157</v>
      </c>
      <c r="E627" s="3">
        <v>5</v>
      </c>
      <c r="F627" s="5">
        <f>INDEX([1]products!$A$1:$G$49,MATCH([1]orders!$D627,[1]products!$A$1:$A$49,0),MATCH([1]orders!K$1,[1]products!$A$1:$G$1,0))</f>
        <v>0.5</v>
      </c>
      <c r="G627" s="6">
        <f>INDEX([1]products!$A$1:$G$49,MATCH([1]orders!$D627,[1]products!$A$1:$A$49,0),MATCH([1]orders!L$1,[1]products!$A$1:$G$1,0))</f>
        <v>7.169999999999999</v>
      </c>
      <c r="H627" s="6">
        <f t="shared" si="9"/>
        <v>35.849999999999994</v>
      </c>
    </row>
    <row r="628" spans="1:8" x14ac:dyDescent="0.3">
      <c r="A628" s="1" t="s">
        <v>1223</v>
      </c>
      <c r="B628" s="2">
        <v>43526</v>
      </c>
      <c r="C628" s="3" t="s">
        <v>1224</v>
      </c>
      <c r="D628" s="4" t="s">
        <v>171</v>
      </c>
      <c r="E628" s="3">
        <v>3</v>
      </c>
      <c r="F628" s="5">
        <f>INDEX([1]products!$A$1:$G$49,MATCH([1]orders!$D628,[1]products!$A$1:$A$49,0),MATCH([1]orders!K$1,[1]products!$A$1:$G$1,0))</f>
        <v>2.5</v>
      </c>
      <c r="G628" s="6">
        <f>INDEX([1]products!$A$1:$G$49,MATCH([1]orders!$D628,[1]products!$A$1:$A$49,0),MATCH([1]orders!L$1,[1]products!$A$1:$G$1,0))</f>
        <v>25.874999999999996</v>
      </c>
      <c r="H628" s="6">
        <f t="shared" si="9"/>
        <v>77.624999999999986</v>
      </c>
    </row>
    <row r="629" spans="1:8" x14ac:dyDescent="0.3">
      <c r="A629" s="1" t="s">
        <v>1225</v>
      </c>
      <c r="B629" s="2">
        <v>44682</v>
      </c>
      <c r="C629" s="3" t="s">
        <v>1226</v>
      </c>
      <c r="D629" s="4" t="s">
        <v>112</v>
      </c>
      <c r="E629" s="3">
        <v>2</v>
      </c>
      <c r="F629" s="5">
        <f>INDEX([1]products!$A$1:$G$49,MATCH([1]orders!$D629,[1]products!$A$1:$A$49,0),MATCH([1]orders!K$1,[1]products!$A$1:$G$1,0))</f>
        <v>2.5</v>
      </c>
      <c r="G629" s="6">
        <f>INDEX([1]products!$A$1:$G$49,MATCH([1]orders!$D629,[1]products!$A$1:$A$49,0),MATCH([1]orders!L$1,[1]products!$A$1:$G$1,0))</f>
        <v>31.624999999999996</v>
      </c>
      <c r="H629" s="6">
        <f t="shared" si="9"/>
        <v>63.249999999999993</v>
      </c>
    </row>
    <row r="630" spans="1:8" x14ac:dyDescent="0.3">
      <c r="A630" s="1" t="s">
        <v>1227</v>
      </c>
      <c r="B630" s="2">
        <v>44680</v>
      </c>
      <c r="C630" s="3" t="s">
        <v>1228</v>
      </c>
      <c r="D630" s="4" t="s">
        <v>254</v>
      </c>
      <c r="E630" s="3">
        <v>6</v>
      </c>
      <c r="F630" s="5">
        <f>INDEX([1]products!$A$1:$G$49,MATCH([1]orders!$D630,[1]products!$A$1:$A$49,0),MATCH([1]orders!K$1,[1]products!$A$1:$G$1,0))</f>
        <v>0.2</v>
      </c>
      <c r="G630" s="6">
        <f>INDEX([1]products!$A$1:$G$49,MATCH([1]orders!$D630,[1]products!$A$1:$A$49,0),MATCH([1]orders!L$1,[1]products!$A$1:$G$1,0))</f>
        <v>4.4550000000000001</v>
      </c>
      <c r="H630" s="6">
        <f t="shared" si="9"/>
        <v>26.73</v>
      </c>
    </row>
    <row r="631" spans="1:8" x14ac:dyDescent="0.3">
      <c r="A631" s="1" t="s">
        <v>1227</v>
      </c>
      <c r="B631" s="2">
        <v>44680</v>
      </c>
      <c r="C631" s="3" t="s">
        <v>1228</v>
      </c>
      <c r="D631" s="4" t="s">
        <v>123</v>
      </c>
      <c r="E631" s="3">
        <v>4</v>
      </c>
      <c r="F631" s="5">
        <f>INDEX([1]products!$A$1:$G$49,MATCH([1]orders!$D631,[1]products!$A$1:$A$49,0),MATCH([1]orders!K$1,[1]products!$A$1:$G$1,0))</f>
        <v>0.5</v>
      </c>
      <c r="G631" s="6">
        <f>INDEX([1]products!$A$1:$G$49,MATCH([1]orders!$D631,[1]products!$A$1:$A$49,0),MATCH([1]orders!L$1,[1]products!$A$1:$G$1,0))</f>
        <v>7.77</v>
      </c>
      <c r="H631" s="6">
        <f t="shared" si="9"/>
        <v>31.08</v>
      </c>
    </row>
    <row r="632" spans="1:8" x14ac:dyDescent="0.3">
      <c r="A632" s="1" t="s">
        <v>1227</v>
      </c>
      <c r="B632" s="2">
        <v>44680</v>
      </c>
      <c r="C632" s="3" t="s">
        <v>1228</v>
      </c>
      <c r="D632" s="4" t="s">
        <v>54</v>
      </c>
      <c r="E632" s="3">
        <v>1</v>
      </c>
      <c r="F632" s="5">
        <f>INDEX([1]products!$A$1:$G$49,MATCH([1]orders!$D632,[1]products!$A$1:$A$49,0),MATCH([1]orders!K$1,[1]products!$A$1:$G$1,0))</f>
        <v>0.2</v>
      </c>
      <c r="G632" s="6">
        <f>INDEX([1]products!$A$1:$G$49,MATCH([1]orders!$D632,[1]products!$A$1:$A$49,0),MATCH([1]orders!L$1,[1]products!$A$1:$G$1,0))</f>
        <v>2.9849999999999999</v>
      </c>
      <c r="H632" s="6">
        <f t="shared" si="9"/>
        <v>2.9849999999999999</v>
      </c>
    </row>
    <row r="633" spans="1:8" x14ac:dyDescent="0.3">
      <c r="A633" s="1" t="s">
        <v>1227</v>
      </c>
      <c r="B633" s="2">
        <v>44680</v>
      </c>
      <c r="C633" s="3" t="s">
        <v>1228</v>
      </c>
      <c r="D633" s="4" t="s">
        <v>35</v>
      </c>
      <c r="E633" s="3">
        <v>5</v>
      </c>
      <c r="F633" s="5">
        <f>INDEX([1]products!$A$1:$G$49,MATCH([1]orders!$D633,[1]products!$A$1:$A$49,0),MATCH([1]orders!K$1,[1]products!$A$1:$G$1,0))</f>
        <v>2.5</v>
      </c>
      <c r="G633" s="6">
        <f>INDEX([1]products!$A$1:$G$49,MATCH([1]orders!$D633,[1]products!$A$1:$A$49,0),MATCH([1]orders!L$1,[1]products!$A$1:$G$1,0))</f>
        <v>20.584999999999997</v>
      </c>
      <c r="H633" s="6">
        <f t="shared" si="9"/>
        <v>102.92499999999998</v>
      </c>
    </row>
    <row r="634" spans="1:8" x14ac:dyDescent="0.3">
      <c r="A634" s="1" t="s">
        <v>1229</v>
      </c>
      <c r="B634" s="2">
        <v>44049</v>
      </c>
      <c r="C634" s="3" t="s">
        <v>1230</v>
      </c>
      <c r="D634" s="4" t="s">
        <v>176</v>
      </c>
      <c r="E634" s="3">
        <v>4</v>
      </c>
      <c r="F634" s="5">
        <f>INDEX([1]products!$A$1:$G$49,MATCH([1]orders!$D634,[1]products!$A$1:$A$49,0),MATCH([1]orders!K$1,[1]products!$A$1:$G$1,0))</f>
        <v>0.5</v>
      </c>
      <c r="G634" s="6">
        <f>INDEX([1]products!$A$1:$G$49,MATCH([1]orders!$D634,[1]products!$A$1:$A$49,0),MATCH([1]orders!L$1,[1]products!$A$1:$G$1,0))</f>
        <v>8.91</v>
      </c>
      <c r="H634" s="6">
        <f t="shared" si="9"/>
        <v>35.64</v>
      </c>
    </row>
    <row r="635" spans="1:8" x14ac:dyDescent="0.3">
      <c r="A635" s="1" t="s">
        <v>1231</v>
      </c>
      <c r="B635" s="2">
        <v>43820</v>
      </c>
      <c r="C635" s="3" t="s">
        <v>1232</v>
      </c>
      <c r="D635" s="4" t="s">
        <v>189</v>
      </c>
      <c r="E635" s="3">
        <v>4</v>
      </c>
      <c r="F635" s="5">
        <f>INDEX([1]products!$A$1:$G$49,MATCH([1]orders!$D635,[1]products!$A$1:$A$49,0),MATCH([1]orders!K$1,[1]products!$A$1:$G$1,0))</f>
        <v>1</v>
      </c>
      <c r="G635" s="6">
        <f>INDEX([1]products!$A$1:$G$49,MATCH([1]orders!$D635,[1]products!$A$1:$A$49,0),MATCH([1]orders!L$1,[1]products!$A$1:$G$1,0))</f>
        <v>11.95</v>
      </c>
      <c r="H635" s="6">
        <f t="shared" si="9"/>
        <v>47.8</v>
      </c>
    </row>
    <row r="636" spans="1:8" x14ac:dyDescent="0.3">
      <c r="A636" s="1" t="s">
        <v>1233</v>
      </c>
      <c r="B636" s="2">
        <v>43940</v>
      </c>
      <c r="C636" s="3" t="s">
        <v>1234</v>
      </c>
      <c r="D636" s="4" t="s">
        <v>96</v>
      </c>
      <c r="E636" s="3">
        <v>3</v>
      </c>
      <c r="F636" s="5">
        <f>INDEX([1]products!$A$1:$G$49,MATCH([1]orders!$D636,[1]products!$A$1:$A$49,0),MATCH([1]orders!K$1,[1]products!$A$1:$G$1,0))</f>
        <v>1</v>
      </c>
      <c r="G636" s="6">
        <f>INDEX([1]products!$A$1:$G$49,MATCH([1]orders!$D636,[1]products!$A$1:$A$49,0),MATCH([1]orders!L$1,[1]products!$A$1:$G$1,0))</f>
        <v>14.55</v>
      </c>
      <c r="H636" s="6">
        <f t="shared" si="9"/>
        <v>43.650000000000006</v>
      </c>
    </row>
    <row r="637" spans="1:8" x14ac:dyDescent="0.3">
      <c r="A637" s="1" t="s">
        <v>1235</v>
      </c>
      <c r="B637" s="2">
        <v>44578</v>
      </c>
      <c r="C637" s="3" t="s">
        <v>1236</v>
      </c>
      <c r="D637" s="4" t="s">
        <v>176</v>
      </c>
      <c r="E637" s="3">
        <v>4</v>
      </c>
      <c r="F637" s="5">
        <f>INDEX([1]products!$A$1:$G$49,MATCH([1]orders!$D637,[1]products!$A$1:$A$49,0),MATCH([1]orders!K$1,[1]products!$A$1:$G$1,0))</f>
        <v>0.5</v>
      </c>
      <c r="G637" s="6">
        <f>INDEX([1]products!$A$1:$G$49,MATCH([1]orders!$D637,[1]products!$A$1:$A$49,0),MATCH([1]orders!L$1,[1]products!$A$1:$G$1,0))</f>
        <v>8.91</v>
      </c>
      <c r="H637" s="6">
        <f t="shared" si="9"/>
        <v>35.64</v>
      </c>
    </row>
    <row r="638" spans="1:8" x14ac:dyDescent="0.3">
      <c r="A638" s="1" t="s">
        <v>1237</v>
      </c>
      <c r="B638" s="2">
        <v>43487</v>
      </c>
      <c r="C638" s="3" t="s">
        <v>1238</v>
      </c>
      <c r="D638" s="4" t="s">
        <v>132</v>
      </c>
      <c r="E638" s="3">
        <v>6</v>
      </c>
      <c r="F638" s="5">
        <f>INDEX([1]products!$A$1:$G$49,MATCH([1]orders!$D638,[1]products!$A$1:$A$49,0),MATCH([1]orders!K$1,[1]products!$A$1:$G$1,0))</f>
        <v>1</v>
      </c>
      <c r="G638" s="6">
        <f>INDEX([1]products!$A$1:$G$49,MATCH([1]orders!$D638,[1]products!$A$1:$A$49,0),MATCH([1]orders!L$1,[1]products!$A$1:$G$1,0))</f>
        <v>15.85</v>
      </c>
      <c r="H638" s="6">
        <f t="shared" si="9"/>
        <v>95.1</v>
      </c>
    </row>
    <row r="639" spans="1:8" x14ac:dyDescent="0.3">
      <c r="A639" s="1" t="s">
        <v>1239</v>
      </c>
      <c r="B639" s="2">
        <v>43889</v>
      </c>
      <c r="C639" s="3" t="s">
        <v>1240</v>
      </c>
      <c r="D639" s="4" t="s">
        <v>112</v>
      </c>
      <c r="E639" s="3">
        <v>1</v>
      </c>
      <c r="F639" s="5">
        <f>INDEX([1]products!$A$1:$G$49,MATCH([1]orders!$D639,[1]products!$A$1:$A$49,0),MATCH([1]orders!K$1,[1]products!$A$1:$G$1,0))</f>
        <v>2.5</v>
      </c>
      <c r="G639" s="6">
        <f>INDEX([1]products!$A$1:$G$49,MATCH([1]orders!$D639,[1]products!$A$1:$A$49,0),MATCH([1]orders!L$1,[1]products!$A$1:$G$1,0))</f>
        <v>31.624999999999996</v>
      </c>
      <c r="H639" s="6">
        <f t="shared" si="9"/>
        <v>31.624999999999996</v>
      </c>
    </row>
    <row r="640" spans="1:8" x14ac:dyDescent="0.3">
      <c r="A640" s="1" t="s">
        <v>1241</v>
      </c>
      <c r="B640" s="2">
        <v>43684</v>
      </c>
      <c r="C640" s="3" t="s">
        <v>1242</v>
      </c>
      <c r="D640" s="4" t="s">
        <v>171</v>
      </c>
      <c r="E640" s="3">
        <v>3</v>
      </c>
      <c r="F640" s="5">
        <f>INDEX([1]products!$A$1:$G$49,MATCH([1]orders!$D640,[1]products!$A$1:$A$49,0),MATCH([1]orders!K$1,[1]products!$A$1:$G$1,0))</f>
        <v>2.5</v>
      </c>
      <c r="G640" s="6">
        <f>INDEX([1]products!$A$1:$G$49,MATCH([1]orders!$D640,[1]products!$A$1:$A$49,0),MATCH([1]orders!L$1,[1]products!$A$1:$G$1,0))</f>
        <v>25.874999999999996</v>
      </c>
      <c r="H640" s="6">
        <f t="shared" si="9"/>
        <v>77.624999999999986</v>
      </c>
    </row>
    <row r="641" spans="1:8" x14ac:dyDescent="0.3">
      <c r="A641" s="1" t="s">
        <v>1243</v>
      </c>
      <c r="B641" s="2">
        <v>44331</v>
      </c>
      <c r="C641" s="3" t="s">
        <v>1244</v>
      </c>
      <c r="D641" s="4" t="s">
        <v>38</v>
      </c>
      <c r="E641" s="3">
        <v>1</v>
      </c>
      <c r="F641" s="5">
        <f>INDEX([1]products!$A$1:$G$49,MATCH([1]orders!$D641,[1]products!$A$1:$A$49,0),MATCH([1]orders!K$1,[1]products!$A$1:$G$1,0))</f>
        <v>0.2</v>
      </c>
      <c r="G641" s="6">
        <f>INDEX([1]products!$A$1:$G$49,MATCH([1]orders!$D641,[1]products!$A$1:$A$49,0),MATCH([1]orders!L$1,[1]products!$A$1:$G$1,0))</f>
        <v>3.8849999999999998</v>
      </c>
      <c r="H641" s="6">
        <f t="shared" si="9"/>
        <v>3.8849999999999998</v>
      </c>
    </row>
    <row r="642" spans="1:8" x14ac:dyDescent="0.3">
      <c r="A642" s="1" t="s">
        <v>1245</v>
      </c>
      <c r="B642" s="2">
        <v>44547</v>
      </c>
      <c r="C642" s="3" t="s">
        <v>1246</v>
      </c>
      <c r="D642" s="4" t="s">
        <v>10</v>
      </c>
      <c r="E642" s="3">
        <v>5</v>
      </c>
      <c r="F642" s="5">
        <f>INDEX([1]products!$A$1:$G$49,MATCH([1]orders!$D642,[1]products!$A$1:$A$49,0),MATCH([1]orders!K$1,[1]products!$A$1:$G$1,0))</f>
        <v>2.5</v>
      </c>
      <c r="G642" s="6">
        <f>INDEX([1]products!$A$1:$G$49,MATCH([1]orders!$D642,[1]products!$A$1:$A$49,0),MATCH([1]orders!L$1,[1]products!$A$1:$G$1,0))</f>
        <v>27.484999999999996</v>
      </c>
      <c r="H642" s="6">
        <f t="shared" ref="H642:H705" si="10">E642*G642</f>
        <v>137.42499999999998</v>
      </c>
    </row>
    <row r="643" spans="1:8" x14ac:dyDescent="0.3">
      <c r="A643" s="1" t="s">
        <v>1247</v>
      </c>
      <c r="B643" s="2">
        <v>44448</v>
      </c>
      <c r="C643" s="3" t="s">
        <v>1248</v>
      </c>
      <c r="D643" s="4" t="s">
        <v>189</v>
      </c>
      <c r="E643" s="3">
        <v>3</v>
      </c>
      <c r="F643" s="5">
        <f>INDEX([1]products!$A$1:$G$49,MATCH([1]orders!$D643,[1]products!$A$1:$A$49,0),MATCH([1]orders!K$1,[1]products!$A$1:$G$1,0))</f>
        <v>1</v>
      </c>
      <c r="G643" s="6">
        <f>INDEX([1]products!$A$1:$G$49,MATCH([1]orders!$D643,[1]products!$A$1:$A$49,0),MATCH([1]orders!L$1,[1]products!$A$1:$G$1,0))</f>
        <v>11.95</v>
      </c>
      <c r="H643" s="6">
        <f t="shared" si="10"/>
        <v>35.849999999999994</v>
      </c>
    </row>
    <row r="644" spans="1:8" x14ac:dyDescent="0.3">
      <c r="A644" s="1" t="s">
        <v>1249</v>
      </c>
      <c r="B644" s="2">
        <v>43880</v>
      </c>
      <c r="C644" s="3" t="s">
        <v>1250</v>
      </c>
      <c r="D644" s="4" t="s">
        <v>64</v>
      </c>
      <c r="E644" s="3">
        <v>2</v>
      </c>
      <c r="F644" s="5">
        <f>INDEX([1]products!$A$1:$G$49,MATCH([1]orders!$D644,[1]products!$A$1:$A$49,0),MATCH([1]orders!K$1,[1]products!$A$1:$G$1,0))</f>
        <v>0.2</v>
      </c>
      <c r="G644" s="6">
        <f>INDEX([1]products!$A$1:$G$49,MATCH([1]orders!$D644,[1]products!$A$1:$A$49,0),MATCH([1]orders!L$1,[1]products!$A$1:$G$1,0))</f>
        <v>4.125</v>
      </c>
      <c r="H644" s="6">
        <f t="shared" si="10"/>
        <v>8.25</v>
      </c>
    </row>
    <row r="645" spans="1:8" x14ac:dyDescent="0.3">
      <c r="A645" s="1" t="s">
        <v>1251</v>
      </c>
      <c r="B645" s="2">
        <v>44011</v>
      </c>
      <c r="C645" s="3" t="s">
        <v>1252</v>
      </c>
      <c r="D645" s="4" t="s">
        <v>30</v>
      </c>
      <c r="E645" s="3">
        <v>3</v>
      </c>
      <c r="F645" s="5">
        <f>INDEX([1]products!$A$1:$G$49,MATCH([1]orders!$D645,[1]products!$A$1:$A$49,0),MATCH([1]orders!K$1,[1]products!$A$1:$G$1,0))</f>
        <v>2.5</v>
      </c>
      <c r="G645" s="6">
        <f>INDEX([1]products!$A$1:$G$49,MATCH([1]orders!$D645,[1]products!$A$1:$A$49,0),MATCH([1]orders!L$1,[1]products!$A$1:$G$1,0))</f>
        <v>34.154999999999994</v>
      </c>
      <c r="H645" s="6">
        <f t="shared" si="10"/>
        <v>102.46499999999997</v>
      </c>
    </row>
    <row r="646" spans="1:8" x14ac:dyDescent="0.3">
      <c r="A646" s="1" t="s">
        <v>1253</v>
      </c>
      <c r="B646" s="2">
        <v>44694</v>
      </c>
      <c r="C646" s="3" t="s">
        <v>1254</v>
      </c>
      <c r="D646" s="4" t="s">
        <v>35</v>
      </c>
      <c r="E646" s="3">
        <v>2</v>
      </c>
      <c r="F646" s="5">
        <f>INDEX([1]products!$A$1:$G$49,MATCH([1]orders!$D646,[1]products!$A$1:$A$49,0),MATCH([1]orders!K$1,[1]products!$A$1:$G$1,0))</f>
        <v>2.5</v>
      </c>
      <c r="G646" s="6">
        <f>INDEX([1]products!$A$1:$G$49,MATCH([1]orders!$D646,[1]products!$A$1:$A$49,0),MATCH([1]orders!L$1,[1]products!$A$1:$G$1,0))</f>
        <v>20.584999999999997</v>
      </c>
      <c r="H646" s="6">
        <f t="shared" si="10"/>
        <v>41.169999999999995</v>
      </c>
    </row>
    <row r="647" spans="1:8" x14ac:dyDescent="0.3">
      <c r="A647" s="1" t="s">
        <v>1255</v>
      </c>
      <c r="B647" s="2">
        <v>44106</v>
      </c>
      <c r="C647" s="3" t="s">
        <v>1256</v>
      </c>
      <c r="D647" s="4" t="s">
        <v>118</v>
      </c>
      <c r="E647" s="3">
        <v>3</v>
      </c>
      <c r="F647" s="5">
        <f>INDEX([1]products!$A$1:$G$49,MATCH([1]orders!$D647,[1]products!$A$1:$A$49,0),MATCH([1]orders!K$1,[1]products!$A$1:$G$1,0))</f>
        <v>2.5</v>
      </c>
      <c r="G647" s="6">
        <f>INDEX([1]products!$A$1:$G$49,MATCH([1]orders!$D647,[1]products!$A$1:$A$49,0),MATCH([1]orders!L$1,[1]products!$A$1:$G$1,0))</f>
        <v>22.884999999999998</v>
      </c>
      <c r="H647" s="6">
        <f t="shared" si="10"/>
        <v>68.655000000000001</v>
      </c>
    </row>
    <row r="648" spans="1:8" x14ac:dyDescent="0.3">
      <c r="A648" s="1" t="s">
        <v>1257</v>
      </c>
      <c r="B648" s="2">
        <v>44532</v>
      </c>
      <c r="C648" s="3" t="s">
        <v>1258</v>
      </c>
      <c r="D648" s="4" t="s">
        <v>27</v>
      </c>
      <c r="E648" s="3">
        <v>1</v>
      </c>
      <c r="F648" s="5">
        <f>INDEX([1]products!$A$1:$G$49,MATCH([1]orders!$D648,[1]products!$A$1:$A$49,0),MATCH([1]orders!K$1,[1]products!$A$1:$G$1,0))</f>
        <v>1</v>
      </c>
      <c r="G648" s="6">
        <f>INDEX([1]products!$A$1:$G$49,MATCH([1]orders!$D648,[1]products!$A$1:$A$49,0),MATCH([1]orders!L$1,[1]products!$A$1:$G$1,0))</f>
        <v>9.9499999999999993</v>
      </c>
      <c r="H648" s="6">
        <f t="shared" si="10"/>
        <v>9.9499999999999993</v>
      </c>
    </row>
    <row r="649" spans="1:8" x14ac:dyDescent="0.3">
      <c r="A649" s="1" t="s">
        <v>1259</v>
      </c>
      <c r="B649" s="2">
        <v>44502</v>
      </c>
      <c r="C649" s="3" t="s">
        <v>1260</v>
      </c>
      <c r="D649" s="4" t="s">
        <v>83</v>
      </c>
      <c r="E649" s="3">
        <v>3</v>
      </c>
      <c r="F649" s="5">
        <f>INDEX([1]products!$A$1:$G$49,MATCH([1]orders!$D649,[1]products!$A$1:$A$49,0),MATCH([1]orders!K$1,[1]products!$A$1:$G$1,0))</f>
        <v>0.5</v>
      </c>
      <c r="G649" s="6">
        <f>INDEX([1]products!$A$1:$G$49,MATCH([1]orders!$D649,[1]products!$A$1:$A$49,0),MATCH([1]orders!L$1,[1]products!$A$1:$G$1,0))</f>
        <v>9.51</v>
      </c>
      <c r="H649" s="6">
        <f t="shared" si="10"/>
        <v>28.53</v>
      </c>
    </row>
    <row r="650" spans="1:8" x14ac:dyDescent="0.3">
      <c r="A650" s="1" t="s">
        <v>1261</v>
      </c>
      <c r="B650" s="2">
        <v>43884</v>
      </c>
      <c r="C650" s="3" t="s">
        <v>1246</v>
      </c>
      <c r="D650" s="4" t="s">
        <v>101</v>
      </c>
      <c r="E650" s="3">
        <v>6</v>
      </c>
      <c r="F650" s="5">
        <f>INDEX([1]products!$A$1:$G$49,MATCH([1]orders!$D650,[1]products!$A$1:$A$49,0),MATCH([1]orders!K$1,[1]products!$A$1:$G$1,0))</f>
        <v>0.2</v>
      </c>
      <c r="G650" s="6">
        <f>INDEX([1]products!$A$1:$G$49,MATCH([1]orders!$D650,[1]products!$A$1:$A$49,0),MATCH([1]orders!L$1,[1]products!$A$1:$G$1,0))</f>
        <v>2.6849999999999996</v>
      </c>
      <c r="H650" s="6">
        <f t="shared" si="10"/>
        <v>16.11</v>
      </c>
    </row>
    <row r="651" spans="1:8" x14ac:dyDescent="0.3">
      <c r="A651" s="1" t="s">
        <v>1262</v>
      </c>
      <c r="B651" s="2">
        <v>44015</v>
      </c>
      <c r="C651" s="3" t="s">
        <v>1263</v>
      </c>
      <c r="D651" s="4" t="s">
        <v>132</v>
      </c>
      <c r="E651" s="3">
        <v>6</v>
      </c>
      <c r="F651" s="5">
        <f>INDEX([1]products!$A$1:$G$49,MATCH([1]orders!$D651,[1]products!$A$1:$A$49,0),MATCH([1]orders!K$1,[1]products!$A$1:$G$1,0))</f>
        <v>1</v>
      </c>
      <c r="G651" s="6">
        <f>INDEX([1]products!$A$1:$G$49,MATCH([1]orders!$D651,[1]products!$A$1:$A$49,0),MATCH([1]orders!L$1,[1]products!$A$1:$G$1,0))</f>
        <v>15.85</v>
      </c>
      <c r="H651" s="6">
        <f t="shared" si="10"/>
        <v>95.1</v>
      </c>
    </row>
    <row r="652" spans="1:8" x14ac:dyDescent="0.3">
      <c r="A652" s="1" t="s">
        <v>1264</v>
      </c>
      <c r="B652" s="2">
        <v>43507</v>
      </c>
      <c r="C652" s="3" t="s">
        <v>1265</v>
      </c>
      <c r="D652" s="4" t="s">
        <v>146</v>
      </c>
      <c r="E652" s="3">
        <v>1</v>
      </c>
      <c r="F652" s="5">
        <f>INDEX([1]products!$A$1:$G$49,MATCH([1]orders!$D652,[1]products!$A$1:$A$49,0),MATCH([1]orders!K$1,[1]products!$A$1:$G$1,0))</f>
        <v>0.5</v>
      </c>
      <c r="G652" s="6">
        <f>INDEX([1]products!$A$1:$G$49,MATCH([1]orders!$D652,[1]products!$A$1:$A$49,0),MATCH([1]orders!L$1,[1]products!$A$1:$G$1,0))</f>
        <v>5.3699999999999992</v>
      </c>
      <c r="H652" s="6">
        <f t="shared" si="10"/>
        <v>5.3699999999999992</v>
      </c>
    </row>
    <row r="653" spans="1:8" x14ac:dyDescent="0.3">
      <c r="A653" s="1" t="s">
        <v>1266</v>
      </c>
      <c r="B653" s="2">
        <v>44084</v>
      </c>
      <c r="C653" s="3" t="s">
        <v>1267</v>
      </c>
      <c r="D653" s="4" t="s">
        <v>189</v>
      </c>
      <c r="E653" s="3">
        <v>4</v>
      </c>
      <c r="F653" s="5">
        <f>INDEX([1]products!$A$1:$G$49,MATCH([1]orders!$D653,[1]products!$A$1:$A$49,0),MATCH([1]orders!K$1,[1]products!$A$1:$G$1,0))</f>
        <v>1</v>
      </c>
      <c r="G653" s="6">
        <f>INDEX([1]products!$A$1:$G$49,MATCH([1]orders!$D653,[1]products!$A$1:$A$49,0),MATCH([1]orders!L$1,[1]products!$A$1:$G$1,0))</f>
        <v>11.95</v>
      </c>
      <c r="H653" s="6">
        <f t="shared" si="10"/>
        <v>47.8</v>
      </c>
    </row>
    <row r="654" spans="1:8" x14ac:dyDescent="0.3">
      <c r="A654" s="1" t="s">
        <v>1268</v>
      </c>
      <c r="B654" s="2">
        <v>43892</v>
      </c>
      <c r="C654" s="3" t="s">
        <v>1269</v>
      </c>
      <c r="D654" s="4" t="s">
        <v>132</v>
      </c>
      <c r="E654" s="3">
        <v>4</v>
      </c>
      <c r="F654" s="5">
        <f>INDEX([1]products!$A$1:$G$49,MATCH([1]orders!$D654,[1]products!$A$1:$A$49,0),MATCH([1]orders!K$1,[1]products!$A$1:$G$1,0))</f>
        <v>1</v>
      </c>
      <c r="G654" s="6">
        <f>INDEX([1]products!$A$1:$G$49,MATCH([1]orders!$D654,[1]products!$A$1:$A$49,0),MATCH([1]orders!L$1,[1]products!$A$1:$G$1,0))</f>
        <v>15.85</v>
      </c>
      <c r="H654" s="6">
        <f t="shared" si="10"/>
        <v>63.4</v>
      </c>
    </row>
    <row r="655" spans="1:8" x14ac:dyDescent="0.3">
      <c r="A655" s="1" t="s">
        <v>1270</v>
      </c>
      <c r="B655" s="2">
        <v>44375</v>
      </c>
      <c r="C655" s="3" t="s">
        <v>1271</v>
      </c>
      <c r="D655" s="4" t="s">
        <v>171</v>
      </c>
      <c r="E655" s="3">
        <v>4</v>
      </c>
      <c r="F655" s="5">
        <f>INDEX([1]products!$A$1:$G$49,MATCH([1]orders!$D655,[1]products!$A$1:$A$49,0),MATCH([1]orders!K$1,[1]products!$A$1:$G$1,0))</f>
        <v>2.5</v>
      </c>
      <c r="G655" s="6">
        <f>INDEX([1]products!$A$1:$G$49,MATCH([1]orders!$D655,[1]products!$A$1:$A$49,0),MATCH([1]orders!L$1,[1]products!$A$1:$G$1,0))</f>
        <v>25.874999999999996</v>
      </c>
      <c r="H655" s="6">
        <f t="shared" si="10"/>
        <v>103.49999999999999</v>
      </c>
    </row>
    <row r="656" spans="1:8" x14ac:dyDescent="0.3">
      <c r="A656" s="1" t="s">
        <v>1272</v>
      </c>
      <c r="B656" s="2">
        <v>43476</v>
      </c>
      <c r="C656" s="3" t="s">
        <v>1273</v>
      </c>
      <c r="D656" s="4" t="s">
        <v>118</v>
      </c>
      <c r="E656" s="3">
        <v>3</v>
      </c>
      <c r="F656" s="5">
        <f>INDEX([1]products!$A$1:$G$49,MATCH([1]orders!$D656,[1]products!$A$1:$A$49,0),MATCH([1]orders!K$1,[1]products!$A$1:$G$1,0))</f>
        <v>2.5</v>
      </c>
      <c r="G656" s="6">
        <f>INDEX([1]products!$A$1:$G$49,MATCH([1]orders!$D656,[1]products!$A$1:$A$49,0),MATCH([1]orders!L$1,[1]products!$A$1:$G$1,0))</f>
        <v>22.884999999999998</v>
      </c>
      <c r="H656" s="6">
        <f t="shared" si="10"/>
        <v>68.655000000000001</v>
      </c>
    </row>
    <row r="657" spans="1:8" x14ac:dyDescent="0.3">
      <c r="A657" s="1" t="s">
        <v>1274</v>
      </c>
      <c r="B657" s="2">
        <v>43728</v>
      </c>
      <c r="C657" s="3" t="s">
        <v>1275</v>
      </c>
      <c r="D657" s="4" t="s">
        <v>41</v>
      </c>
      <c r="E657" s="3">
        <v>2</v>
      </c>
      <c r="F657" s="5">
        <f>INDEX([1]products!$A$1:$G$49,MATCH([1]orders!$D657,[1]products!$A$1:$A$49,0),MATCH([1]orders!K$1,[1]products!$A$1:$G$1,0))</f>
        <v>2.5</v>
      </c>
      <c r="G657" s="6">
        <f>INDEX([1]products!$A$1:$G$49,MATCH([1]orders!$D657,[1]products!$A$1:$A$49,0),MATCH([1]orders!L$1,[1]products!$A$1:$G$1,0))</f>
        <v>22.884999999999998</v>
      </c>
      <c r="H657" s="6">
        <f t="shared" si="10"/>
        <v>45.769999999999996</v>
      </c>
    </row>
    <row r="658" spans="1:8" x14ac:dyDescent="0.3">
      <c r="A658" s="1" t="s">
        <v>1276</v>
      </c>
      <c r="B658" s="2">
        <v>44485</v>
      </c>
      <c r="C658" s="3" t="s">
        <v>1277</v>
      </c>
      <c r="D658" s="4" t="s">
        <v>13</v>
      </c>
      <c r="E658" s="3">
        <v>4</v>
      </c>
      <c r="F658" s="5">
        <f>INDEX([1]products!$A$1:$G$49,MATCH([1]orders!$D658,[1]products!$A$1:$A$49,0),MATCH([1]orders!K$1,[1]products!$A$1:$G$1,0))</f>
        <v>1</v>
      </c>
      <c r="G658" s="6">
        <f>INDEX([1]products!$A$1:$G$49,MATCH([1]orders!$D658,[1]products!$A$1:$A$49,0),MATCH([1]orders!L$1,[1]products!$A$1:$G$1,0))</f>
        <v>12.95</v>
      </c>
      <c r="H658" s="6">
        <f t="shared" si="10"/>
        <v>51.8</v>
      </c>
    </row>
    <row r="659" spans="1:8" x14ac:dyDescent="0.3">
      <c r="A659" s="1" t="s">
        <v>1278</v>
      </c>
      <c r="B659" s="2">
        <v>43831</v>
      </c>
      <c r="C659" s="3" t="s">
        <v>1279</v>
      </c>
      <c r="D659" s="4" t="s">
        <v>67</v>
      </c>
      <c r="E659" s="3">
        <v>2</v>
      </c>
      <c r="F659" s="5">
        <f>INDEX([1]products!$A$1:$G$49,MATCH([1]orders!$D659,[1]products!$A$1:$A$49,0),MATCH([1]orders!K$1,[1]products!$A$1:$G$1,0))</f>
        <v>0.5</v>
      </c>
      <c r="G659" s="6">
        <f>INDEX([1]products!$A$1:$G$49,MATCH([1]orders!$D659,[1]products!$A$1:$A$49,0),MATCH([1]orders!L$1,[1]products!$A$1:$G$1,0))</f>
        <v>6.75</v>
      </c>
      <c r="H659" s="6">
        <f t="shared" si="10"/>
        <v>13.5</v>
      </c>
    </row>
    <row r="660" spans="1:8" x14ac:dyDescent="0.3">
      <c r="A660" s="1" t="s">
        <v>1280</v>
      </c>
      <c r="B660" s="2">
        <v>44630</v>
      </c>
      <c r="C660" s="3" t="s">
        <v>1281</v>
      </c>
      <c r="D660" s="4" t="s">
        <v>3</v>
      </c>
      <c r="E660" s="3">
        <v>3</v>
      </c>
      <c r="F660" s="5">
        <f>INDEX([1]products!$A$1:$G$49,MATCH([1]orders!$D660,[1]products!$A$1:$A$49,0),MATCH([1]orders!K$1,[1]products!$A$1:$G$1,0))</f>
        <v>0.5</v>
      </c>
      <c r="G660" s="6">
        <f>INDEX([1]products!$A$1:$G$49,MATCH([1]orders!$D660,[1]products!$A$1:$A$49,0),MATCH([1]orders!L$1,[1]products!$A$1:$G$1,0))</f>
        <v>8.25</v>
      </c>
      <c r="H660" s="6">
        <f t="shared" si="10"/>
        <v>24.75</v>
      </c>
    </row>
    <row r="661" spans="1:8" x14ac:dyDescent="0.3">
      <c r="A661" s="1" t="s">
        <v>1282</v>
      </c>
      <c r="B661" s="2">
        <v>44693</v>
      </c>
      <c r="C661" s="3" t="s">
        <v>1283</v>
      </c>
      <c r="D661" s="4" t="s">
        <v>118</v>
      </c>
      <c r="E661" s="3">
        <v>2</v>
      </c>
      <c r="F661" s="5">
        <f>INDEX([1]products!$A$1:$G$49,MATCH([1]orders!$D661,[1]products!$A$1:$A$49,0),MATCH([1]orders!K$1,[1]products!$A$1:$G$1,0))</f>
        <v>2.5</v>
      </c>
      <c r="G661" s="6">
        <f>INDEX([1]products!$A$1:$G$49,MATCH([1]orders!$D661,[1]products!$A$1:$A$49,0),MATCH([1]orders!L$1,[1]products!$A$1:$G$1,0))</f>
        <v>22.884999999999998</v>
      </c>
      <c r="H661" s="6">
        <f t="shared" si="10"/>
        <v>45.769999999999996</v>
      </c>
    </row>
    <row r="662" spans="1:8" x14ac:dyDescent="0.3">
      <c r="A662" s="1" t="s">
        <v>1284</v>
      </c>
      <c r="B662" s="2">
        <v>44084</v>
      </c>
      <c r="C662" s="3" t="s">
        <v>1285</v>
      </c>
      <c r="D662" s="4" t="s">
        <v>176</v>
      </c>
      <c r="E662" s="3">
        <v>6</v>
      </c>
      <c r="F662" s="5">
        <f>INDEX([1]products!$A$1:$G$49,MATCH([1]orders!$D662,[1]products!$A$1:$A$49,0),MATCH([1]orders!K$1,[1]products!$A$1:$G$1,0))</f>
        <v>0.5</v>
      </c>
      <c r="G662" s="6">
        <f>INDEX([1]products!$A$1:$G$49,MATCH([1]orders!$D662,[1]products!$A$1:$A$49,0),MATCH([1]orders!L$1,[1]products!$A$1:$G$1,0))</f>
        <v>8.91</v>
      </c>
      <c r="H662" s="6">
        <f t="shared" si="10"/>
        <v>53.46</v>
      </c>
    </row>
    <row r="663" spans="1:8" x14ac:dyDescent="0.3">
      <c r="A663" s="1" t="s">
        <v>1286</v>
      </c>
      <c r="B663" s="2">
        <v>44485</v>
      </c>
      <c r="C663" s="3" t="s">
        <v>1287</v>
      </c>
      <c r="D663" s="4" t="s">
        <v>44</v>
      </c>
      <c r="E663" s="3">
        <v>6</v>
      </c>
      <c r="F663" s="5">
        <f>INDEX([1]products!$A$1:$G$49,MATCH([1]orders!$D663,[1]products!$A$1:$A$49,0),MATCH([1]orders!K$1,[1]products!$A$1:$G$1,0))</f>
        <v>0.2</v>
      </c>
      <c r="G663" s="6">
        <f>INDEX([1]products!$A$1:$G$49,MATCH([1]orders!$D663,[1]products!$A$1:$A$49,0),MATCH([1]orders!L$1,[1]products!$A$1:$G$1,0))</f>
        <v>3.375</v>
      </c>
      <c r="H663" s="6">
        <f t="shared" si="10"/>
        <v>20.25</v>
      </c>
    </row>
    <row r="664" spans="1:8" x14ac:dyDescent="0.3">
      <c r="A664" s="1" t="s">
        <v>1288</v>
      </c>
      <c r="B664" s="2">
        <v>44364</v>
      </c>
      <c r="C664" s="3" t="s">
        <v>1289</v>
      </c>
      <c r="D664" s="4" t="s">
        <v>109</v>
      </c>
      <c r="E664" s="3">
        <v>5</v>
      </c>
      <c r="F664" s="5">
        <f>INDEX([1]products!$A$1:$G$49,MATCH([1]orders!$D664,[1]products!$A$1:$A$49,0),MATCH([1]orders!K$1,[1]products!$A$1:$G$1,0))</f>
        <v>2.5</v>
      </c>
      <c r="G664" s="6">
        <f>INDEX([1]products!$A$1:$G$49,MATCH([1]orders!$D664,[1]products!$A$1:$A$49,0),MATCH([1]orders!L$1,[1]products!$A$1:$G$1,0))</f>
        <v>29.784999999999997</v>
      </c>
      <c r="H664" s="6">
        <f t="shared" si="10"/>
        <v>148.92499999999998</v>
      </c>
    </row>
    <row r="665" spans="1:8" x14ac:dyDescent="0.3">
      <c r="A665" s="1" t="s">
        <v>1290</v>
      </c>
      <c r="B665" s="2">
        <v>43554</v>
      </c>
      <c r="C665" s="3" t="s">
        <v>1291</v>
      </c>
      <c r="D665" s="4" t="s">
        <v>61</v>
      </c>
      <c r="E665" s="3">
        <v>6</v>
      </c>
      <c r="F665" s="5">
        <f>INDEX([1]products!$A$1:$G$49,MATCH([1]orders!$D665,[1]products!$A$1:$A$49,0),MATCH([1]orders!K$1,[1]products!$A$1:$G$1,0))</f>
        <v>1</v>
      </c>
      <c r="G665" s="6">
        <f>INDEX([1]products!$A$1:$G$49,MATCH([1]orders!$D665,[1]products!$A$1:$A$49,0),MATCH([1]orders!L$1,[1]products!$A$1:$G$1,0))</f>
        <v>11.25</v>
      </c>
      <c r="H665" s="6">
        <f t="shared" si="10"/>
        <v>67.5</v>
      </c>
    </row>
    <row r="666" spans="1:8" x14ac:dyDescent="0.3">
      <c r="A666" s="1" t="s">
        <v>1292</v>
      </c>
      <c r="B666" s="2">
        <v>44549</v>
      </c>
      <c r="C666" s="3" t="s">
        <v>1293</v>
      </c>
      <c r="D666" s="4" t="s">
        <v>245</v>
      </c>
      <c r="E666" s="3">
        <v>6</v>
      </c>
      <c r="F666" s="5">
        <f>INDEX([1]products!$A$1:$G$49,MATCH([1]orders!$D666,[1]products!$A$1:$A$49,0),MATCH([1]orders!K$1,[1]products!$A$1:$G$1,0))</f>
        <v>1</v>
      </c>
      <c r="G666" s="6">
        <f>INDEX([1]products!$A$1:$G$49,MATCH([1]orders!$D666,[1]products!$A$1:$A$49,0),MATCH([1]orders!L$1,[1]products!$A$1:$G$1,0))</f>
        <v>12.15</v>
      </c>
      <c r="H666" s="6">
        <f t="shared" si="10"/>
        <v>72.900000000000006</v>
      </c>
    </row>
    <row r="667" spans="1:8" x14ac:dyDescent="0.3">
      <c r="A667" s="1" t="s">
        <v>1292</v>
      </c>
      <c r="B667" s="2">
        <v>44549</v>
      </c>
      <c r="C667" s="3" t="s">
        <v>1293</v>
      </c>
      <c r="D667" s="4" t="s">
        <v>38</v>
      </c>
      <c r="E667" s="3">
        <v>2</v>
      </c>
      <c r="F667" s="5">
        <f>INDEX([1]products!$A$1:$G$49,MATCH([1]orders!$D667,[1]products!$A$1:$A$49,0),MATCH([1]orders!K$1,[1]products!$A$1:$G$1,0))</f>
        <v>0.2</v>
      </c>
      <c r="G667" s="6">
        <f>INDEX([1]products!$A$1:$G$49,MATCH([1]orders!$D667,[1]products!$A$1:$A$49,0),MATCH([1]orders!L$1,[1]products!$A$1:$G$1,0))</f>
        <v>3.8849999999999998</v>
      </c>
      <c r="H667" s="6">
        <f t="shared" si="10"/>
        <v>7.77</v>
      </c>
    </row>
    <row r="668" spans="1:8" x14ac:dyDescent="0.3">
      <c r="A668" s="1" t="s">
        <v>1294</v>
      </c>
      <c r="B668" s="2">
        <v>43987</v>
      </c>
      <c r="C668" s="3" t="s">
        <v>1295</v>
      </c>
      <c r="D668" s="4" t="s">
        <v>118</v>
      </c>
      <c r="E668" s="3">
        <v>4</v>
      </c>
      <c r="F668" s="5">
        <f>INDEX([1]products!$A$1:$G$49,MATCH([1]orders!$D668,[1]products!$A$1:$A$49,0),MATCH([1]orders!K$1,[1]products!$A$1:$G$1,0))</f>
        <v>2.5</v>
      </c>
      <c r="G668" s="6">
        <f>INDEX([1]products!$A$1:$G$49,MATCH([1]orders!$D668,[1]products!$A$1:$A$49,0),MATCH([1]orders!L$1,[1]products!$A$1:$G$1,0))</f>
        <v>22.884999999999998</v>
      </c>
      <c r="H668" s="6">
        <f t="shared" si="10"/>
        <v>91.539999999999992</v>
      </c>
    </row>
    <row r="669" spans="1:8" x14ac:dyDescent="0.3">
      <c r="A669" s="1" t="s">
        <v>1296</v>
      </c>
      <c r="B669" s="2">
        <v>44451</v>
      </c>
      <c r="C669" s="3" t="s">
        <v>1297</v>
      </c>
      <c r="D669" s="4" t="s">
        <v>27</v>
      </c>
      <c r="E669" s="3">
        <v>6</v>
      </c>
      <c r="F669" s="5">
        <f>INDEX([1]products!$A$1:$G$49,MATCH([1]orders!$D669,[1]products!$A$1:$A$49,0),MATCH([1]orders!K$1,[1]products!$A$1:$G$1,0))</f>
        <v>1</v>
      </c>
      <c r="G669" s="6">
        <f>INDEX([1]products!$A$1:$G$49,MATCH([1]orders!$D669,[1]products!$A$1:$A$49,0),MATCH([1]orders!L$1,[1]products!$A$1:$G$1,0))</f>
        <v>9.9499999999999993</v>
      </c>
      <c r="H669" s="6">
        <f t="shared" si="10"/>
        <v>59.699999999999996</v>
      </c>
    </row>
    <row r="670" spans="1:8" x14ac:dyDescent="0.3">
      <c r="A670" s="1" t="s">
        <v>1298</v>
      </c>
      <c r="B670" s="2">
        <v>44636</v>
      </c>
      <c r="C670" s="3" t="s">
        <v>1281</v>
      </c>
      <c r="D670" s="4" t="s">
        <v>10</v>
      </c>
      <c r="E670" s="3">
        <v>5</v>
      </c>
      <c r="F670" s="5">
        <f>INDEX([1]products!$A$1:$G$49,MATCH([1]orders!$D670,[1]products!$A$1:$A$49,0),MATCH([1]orders!K$1,[1]products!$A$1:$G$1,0))</f>
        <v>2.5</v>
      </c>
      <c r="G670" s="6">
        <f>INDEX([1]products!$A$1:$G$49,MATCH([1]orders!$D670,[1]products!$A$1:$A$49,0),MATCH([1]orders!L$1,[1]products!$A$1:$G$1,0))</f>
        <v>27.484999999999996</v>
      </c>
      <c r="H670" s="6">
        <f t="shared" si="10"/>
        <v>137.42499999999998</v>
      </c>
    </row>
    <row r="671" spans="1:8" x14ac:dyDescent="0.3">
      <c r="A671" s="1" t="s">
        <v>1299</v>
      </c>
      <c r="B671" s="2">
        <v>44551</v>
      </c>
      <c r="C671" s="3" t="s">
        <v>1300</v>
      </c>
      <c r="D671" s="4" t="s">
        <v>197</v>
      </c>
      <c r="E671" s="3">
        <v>2</v>
      </c>
      <c r="F671" s="5">
        <f>INDEX([1]products!$A$1:$G$49,MATCH([1]orders!$D671,[1]products!$A$1:$A$49,0),MATCH([1]orders!K$1,[1]products!$A$1:$G$1,0))</f>
        <v>2.5</v>
      </c>
      <c r="G671" s="6">
        <f>INDEX([1]products!$A$1:$G$49,MATCH([1]orders!$D671,[1]products!$A$1:$A$49,0),MATCH([1]orders!L$1,[1]products!$A$1:$G$1,0))</f>
        <v>33.464999999999996</v>
      </c>
      <c r="H671" s="6">
        <f t="shared" si="10"/>
        <v>66.929999999999993</v>
      </c>
    </row>
    <row r="672" spans="1:8" x14ac:dyDescent="0.3">
      <c r="A672" s="1" t="s">
        <v>1301</v>
      </c>
      <c r="B672" s="2">
        <v>43606</v>
      </c>
      <c r="C672" s="3" t="s">
        <v>1302</v>
      </c>
      <c r="D672" s="4" t="s">
        <v>77</v>
      </c>
      <c r="E672" s="3">
        <v>3</v>
      </c>
      <c r="F672" s="5">
        <f>INDEX([1]products!$A$1:$G$49,MATCH([1]orders!$D672,[1]products!$A$1:$A$49,0),MATCH([1]orders!K$1,[1]products!$A$1:$G$1,0))</f>
        <v>0.2</v>
      </c>
      <c r="G672" s="6">
        <f>INDEX([1]products!$A$1:$G$49,MATCH([1]orders!$D672,[1]products!$A$1:$A$49,0),MATCH([1]orders!L$1,[1]products!$A$1:$G$1,0))</f>
        <v>4.3650000000000002</v>
      </c>
      <c r="H672" s="6">
        <f t="shared" si="10"/>
        <v>13.095000000000001</v>
      </c>
    </row>
    <row r="673" spans="1:8" x14ac:dyDescent="0.3">
      <c r="A673" s="1" t="s">
        <v>1303</v>
      </c>
      <c r="B673" s="2">
        <v>44495</v>
      </c>
      <c r="C673" s="3" t="s">
        <v>1304</v>
      </c>
      <c r="D673" s="4" t="s">
        <v>189</v>
      </c>
      <c r="E673" s="3">
        <v>5</v>
      </c>
      <c r="F673" s="5">
        <f>INDEX([1]products!$A$1:$G$49,MATCH([1]orders!$D673,[1]products!$A$1:$A$49,0),MATCH([1]orders!K$1,[1]products!$A$1:$G$1,0))</f>
        <v>1</v>
      </c>
      <c r="G673" s="6">
        <f>INDEX([1]products!$A$1:$G$49,MATCH([1]orders!$D673,[1]products!$A$1:$A$49,0),MATCH([1]orders!L$1,[1]products!$A$1:$G$1,0))</f>
        <v>11.95</v>
      </c>
      <c r="H673" s="6">
        <f t="shared" si="10"/>
        <v>59.75</v>
      </c>
    </row>
    <row r="674" spans="1:8" x14ac:dyDescent="0.3">
      <c r="A674" s="1" t="s">
        <v>1305</v>
      </c>
      <c r="B674" s="2">
        <v>43916</v>
      </c>
      <c r="C674" s="3" t="s">
        <v>1306</v>
      </c>
      <c r="D674" s="4" t="s">
        <v>78</v>
      </c>
      <c r="E674" s="3">
        <v>5</v>
      </c>
      <c r="F674" s="5">
        <f>INDEX([1]products!$A$1:$G$49,MATCH([1]orders!$D674,[1]products!$A$1:$A$49,0),MATCH([1]orders!K$1,[1]products!$A$1:$G$1,0))</f>
        <v>0.5</v>
      </c>
      <c r="G674" s="6">
        <f>INDEX([1]products!$A$1:$G$49,MATCH([1]orders!$D674,[1]products!$A$1:$A$49,0),MATCH([1]orders!L$1,[1]products!$A$1:$G$1,0))</f>
        <v>8.73</v>
      </c>
      <c r="H674" s="6">
        <f t="shared" si="10"/>
        <v>43.650000000000006</v>
      </c>
    </row>
    <row r="675" spans="1:8" x14ac:dyDescent="0.3">
      <c r="A675" s="1" t="s">
        <v>1307</v>
      </c>
      <c r="B675" s="2">
        <v>44118</v>
      </c>
      <c r="C675" s="3" t="s">
        <v>1308</v>
      </c>
      <c r="D675" s="4" t="s">
        <v>9</v>
      </c>
      <c r="E675" s="3">
        <v>6</v>
      </c>
      <c r="F675" s="5">
        <f>INDEX([1]products!$A$1:$G$49,MATCH([1]orders!$D675,[1]products!$A$1:$A$49,0),MATCH([1]orders!K$1,[1]products!$A$1:$G$1,0))</f>
        <v>1</v>
      </c>
      <c r="G675" s="6">
        <f>INDEX([1]products!$A$1:$G$49,MATCH([1]orders!$D675,[1]products!$A$1:$A$49,0),MATCH([1]orders!L$1,[1]products!$A$1:$G$1,0))</f>
        <v>13.75</v>
      </c>
      <c r="H675" s="6">
        <f t="shared" si="10"/>
        <v>82.5</v>
      </c>
    </row>
    <row r="676" spans="1:8" x14ac:dyDescent="0.3">
      <c r="A676" s="1" t="s">
        <v>1309</v>
      </c>
      <c r="B676" s="2">
        <v>44543</v>
      </c>
      <c r="C676" s="3" t="s">
        <v>1310</v>
      </c>
      <c r="D676" s="4" t="s">
        <v>204</v>
      </c>
      <c r="E676" s="3">
        <v>6</v>
      </c>
      <c r="F676" s="5">
        <f>INDEX([1]products!$A$1:$G$49,MATCH([1]orders!$D676,[1]products!$A$1:$A$49,0),MATCH([1]orders!K$1,[1]products!$A$1:$G$1,0))</f>
        <v>2.5</v>
      </c>
      <c r="G676" s="6">
        <f>INDEX([1]products!$A$1:$G$49,MATCH([1]orders!$D676,[1]products!$A$1:$A$49,0),MATCH([1]orders!L$1,[1]products!$A$1:$G$1,0))</f>
        <v>29.784999999999997</v>
      </c>
      <c r="H676" s="6">
        <f t="shared" si="10"/>
        <v>178.70999999999998</v>
      </c>
    </row>
    <row r="677" spans="1:8" x14ac:dyDescent="0.3">
      <c r="A677" s="1" t="s">
        <v>1311</v>
      </c>
      <c r="B677" s="2">
        <v>44263</v>
      </c>
      <c r="C677" s="3" t="s">
        <v>1312</v>
      </c>
      <c r="D677" s="4" t="s">
        <v>109</v>
      </c>
      <c r="E677" s="3">
        <v>4</v>
      </c>
      <c r="F677" s="5">
        <f>INDEX([1]products!$A$1:$G$49,MATCH([1]orders!$D677,[1]products!$A$1:$A$49,0),MATCH([1]orders!K$1,[1]products!$A$1:$G$1,0))</f>
        <v>2.5</v>
      </c>
      <c r="G677" s="6">
        <f>INDEX([1]products!$A$1:$G$49,MATCH([1]orders!$D677,[1]products!$A$1:$A$49,0),MATCH([1]orders!L$1,[1]products!$A$1:$G$1,0))</f>
        <v>29.784999999999997</v>
      </c>
      <c r="H677" s="6">
        <f t="shared" si="10"/>
        <v>119.13999999999999</v>
      </c>
    </row>
    <row r="678" spans="1:8" x14ac:dyDescent="0.3">
      <c r="A678" s="1" t="s">
        <v>1313</v>
      </c>
      <c r="B678" s="2">
        <v>44217</v>
      </c>
      <c r="C678" s="3" t="s">
        <v>1314</v>
      </c>
      <c r="D678" s="4" t="s">
        <v>83</v>
      </c>
      <c r="E678" s="3">
        <v>5</v>
      </c>
      <c r="F678" s="5">
        <f>INDEX([1]products!$A$1:$G$49,MATCH([1]orders!$D678,[1]products!$A$1:$A$49,0),MATCH([1]orders!K$1,[1]products!$A$1:$G$1,0))</f>
        <v>0.5</v>
      </c>
      <c r="G678" s="6">
        <f>INDEX([1]products!$A$1:$G$49,MATCH([1]orders!$D678,[1]products!$A$1:$A$49,0),MATCH([1]orders!L$1,[1]products!$A$1:$G$1,0))</f>
        <v>9.51</v>
      </c>
      <c r="H678" s="6">
        <f t="shared" si="10"/>
        <v>47.55</v>
      </c>
    </row>
    <row r="679" spans="1:8" x14ac:dyDescent="0.3">
      <c r="A679" s="1" t="s">
        <v>1315</v>
      </c>
      <c r="B679" s="2">
        <v>44206</v>
      </c>
      <c r="C679" s="3" t="s">
        <v>1316</v>
      </c>
      <c r="D679" s="4" t="s">
        <v>78</v>
      </c>
      <c r="E679" s="3">
        <v>5</v>
      </c>
      <c r="F679" s="5">
        <f>INDEX([1]products!$A$1:$G$49,MATCH([1]orders!$D679,[1]products!$A$1:$A$49,0),MATCH([1]orders!K$1,[1]products!$A$1:$G$1,0))</f>
        <v>0.5</v>
      </c>
      <c r="G679" s="6">
        <f>INDEX([1]products!$A$1:$G$49,MATCH([1]orders!$D679,[1]products!$A$1:$A$49,0),MATCH([1]orders!L$1,[1]products!$A$1:$G$1,0))</f>
        <v>8.73</v>
      </c>
      <c r="H679" s="6">
        <f t="shared" si="10"/>
        <v>43.650000000000006</v>
      </c>
    </row>
    <row r="680" spans="1:8" x14ac:dyDescent="0.3">
      <c r="A680" s="1" t="s">
        <v>1317</v>
      </c>
      <c r="B680" s="2">
        <v>44281</v>
      </c>
      <c r="C680" s="3" t="s">
        <v>1318</v>
      </c>
      <c r="D680" s="4" t="s">
        <v>204</v>
      </c>
      <c r="E680" s="3">
        <v>6</v>
      </c>
      <c r="F680" s="5">
        <f>INDEX([1]products!$A$1:$G$49,MATCH([1]orders!$D680,[1]products!$A$1:$A$49,0),MATCH([1]orders!K$1,[1]products!$A$1:$G$1,0))</f>
        <v>2.5</v>
      </c>
      <c r="G680" s="6">
        <f>INDEX([1]products!$A$1:$G$49,MATCH([1]orders!$D680,[1]products!$A$1:$A$49,0),MATCH([1]orders!L$1,[1]products!$A$1:$G$1,0))</f>
        <v>29.784999999999997</v>
      </c>
      <c r="H680" s="6">
        <f t="shared" si="10"/>
        <v>178.70999999999998</v>
      </c>
    </row>
    <row r="681" spans="1:8" x14ac:dyDescent="0.3">
      <c r="A681" s="1" t="s">
        <v>1319</v>
      </c>
      <c r="B681" s="2">
        <v>44645</v>
      </c>
      <c r="C681" s="3" t="s">
        <v>1320</v>
      </c>
      <c r="D681" s="4" t="s">
        <v>10</v>
      </c>
      <c r="E681" s="3">
        <v>1</v>
      </c>
      <c r="F681" s="5">
        <f>INDEX([1]products!$A$1:$G$49,MATCH([1]orders!$D681,[1]products!$A$1:$A$49,0),MATCH([1]orders!K$1,[1]products!$A$1:$G$1,0))</f>
        <v>2.5</v>
      </c>
      <c r="G681" s="6">
        <f>INDEX([1]products!$A$1:$G$49,MATCH([1]orders!$D681,[1]products!$A$1:$A$49,0),MATCH([1]orders!L$1,[1]products!$A$1:$G$1,0))</f>
        <v>27.484999999999996</v>
      </c>
      <c r="H681" s="6">
        <f t="shared" si="10"/>
        <v>27.484999999999996</v>
      </c>
    </row>
    <row r="682" spans="1:8" x14ac:dyDescent="0.3">
      <c r="A682" s="1" t="s">
        <v>1321</v>
      </c>
      <c r="B682" s="2">
        <v>44399</v>
      </c>
      <c r="C682" s="3" t="s">
        <v>1322</v>
      </c>
      <c r="D682" s="4" t="s">
        <v>61</v>
      </c>
      <c r="E682" s="3">
        <v>5</v>
      </c>
      <c r="F682" s="5">
        <f>INDEX([1]products!$A$1:$G$49,MATCH([1]orders!$D682,[1]products!$A$1:$A$49,0),MATCH([1]orders!K$1,[1]products!$A$1:$G$1,0))</f>
        <v>1</v>
      </c>
      <c r="G682" s="6">
        <f>INDEX([1]products!$A$1:$G$49,MATCH([1]orders!$D682,[1]products!$A$1:$A$49,0),MATCH([1]orders!L$1,[1]products!$A$1:$G$1,0))</f>
        <v>11.25</v>
      </c>
      <c r="H682" s="6">
        <f t="shared" si="10"/>
        <v>56.25</v>
      </c>
    </row>
    <row r="683" spans="1:8" x14ac:dyDescent="0.3">
      <c r="A683" s="1" t="s">
        <v>1323</v>
      </c>
      <c r="B683" s="2">
        <v>44080</v>
      </c>
      <c r="C683" s="3" t="s">
        <v>1324</v>
      </c>
      <c r="D683" s="4" t="s">
        <v>19</v>
      </c>
      <c r="E683" s="3">
        <v>2</v>
      </c>
      <c r="F683" s="5">
        <f>INDEX([1]products!$A$1:$G$49,MATCH([1]orders!$D683,[1]products!$A$1:$A$49,0),MATCH([1]orders!K$1,[1]products!$A$1:$G$1,0))</f>
        <v>0.2</v>
      </c>
      <c r="G683" s="6">
        <f>INDEX([1]products!$A$1:$G$49,MATCH([1]orders!$D683,[1]products!$A$1:$A$49,0),MATCH([1]orders!L$1,[1]products!$A$1:$G$1,0))</f>
        <v>4.7549999999999999</v>
      </c>
      <c r="H683" s="6">
        <f t="shared" si="10"/>
        <v>9.51</v>
      </c>
    </row>
    <row r="684" spans="1:8" x14ac:dyDescent="0.3">
      <c r="A684" s="1" t="s">
        <v>1325</v>
      </c>
      <c r="B684" s="2">
        <v>43827</v>
      </c>
      <c r="C684" s="3" t="s">
        <v>1326</v>
      </c>
      <c r="D684" s="4" t="s">
        <v>64</v>
      </c>
      <c r="E684" s="3">
        <v>2</v>
      </c>
      <c r="F684" s="5">
        <f>INDEX([1]products!$A$1:$G$49,MATCH([1]orders!$D684,[1]products!$A$1:$A$49,0),MATCH([1]orders!K$1,[1]products!$A$1:$G$1,0))</f>
        <v>0.2</v>
      </c>
      <c r="G684" s="6">
        <f>INDEX([1]products!$A$1:$G$49,MATCH([1]orders!$D684,[1]products!$A$1:$A$49,0),MATCH([1]orders!L$1,[1]products!$A$1:$G$1,0))</f>
        <v>4.125</v>
      </c>
      <c r="H684" s="6">
        <f t="shared" si="10"/>
        <v>8.25</v>
      </c>
    </row>
    <row r="685" spans="1:8" x14ac:dyDescent="0.3">
      <c r="A685" s="1" t="s">
        <v>1327</v>
      </c>
      <c r="B685" s="2">
        <v>43941</v>
      </c>
      <c r="C685" s="3" t="s">
        <v>1328</v>
      </c>
      <c r="D685" s="4" t="s">
        <v>123</v>
      </c>
      <c r="E685" s="3">
        <v>6</v>
      </c>
      <c r="F685" s="5">
        <f>INDEX([1]products!$A$1:$G$49,MATCH([1]orders!$D685,[1]products!$A$1:$A$49,0),MATCH([1]orders!K$1,[1]products!$A$1:$G$1,0))</f>
        <v>0.5</v>
      </c>
      <c r="G685" s="6">
        <f>INDEX([1]products!$A$1:$G$49,MATCH([1]orders!$D685,[1]products!$A$1:$A$49,0),MATCH([1]orders!L$1,[1]products!$A$1:$G$1,0))</f>
        <v>7.77</v>
      </c>
      <c r="H685" s="6">
        <f t="shared" si="10"/>
        <v>46.62</v>
      </c>
    </row>
    <row r="686" spans="1:8" x14ac:dyDescent="0.3">
      <c r="A686" s="1" t="s">
        <v>1329</v>
      </c>
      <c r="B686" s="2">
        <v>43517</v>
      </c>
      <c r="C686" s="3" t="s">
        <v>1330</v>
      </c>
      <c r="D686" s="4" t="s">
        <v>189</v>
      </c>
      <c r="E686" s="3">
        <v>6</v>
      </c>
      <c r="F686" s="5">
        <f>INDEX([1]products!$A$1:$G$49,MATCH([1]orders!$D686,[1]products!$A$1:$A$49,0),MATCH([1]orders!K$1,[1]products!$A$1:$G$1,0))</f>
        <v>1</v>
      </c>
      <c r="G686" s="6">
        <f>INDEX([1]products!$A$1:$G$49,MATCH([1]orders!$D686,[1]products!$A$1:$A$49,0),MATCH([1]orders!L$1,[1]products!$A$1:$G$1,0))</f>
        <v>11.95</v>
      </c>
      <c r="H686" s="6">
        <f t="shared" si="10"/>
        <v>71.699999999999989</v>
      </c>
    </row>
    <row r="687" spans="1:8" x14ac:dyDescent="0.3">
      <c r="A687" s="1" t="s">
        <v>1331</v>
      </c>
      <c r="B687" s="2">
        <v>44637</v>
      </c>
      <c r="C687" s="3" t="s">
        <v>1332</v>
      </c>
      <c r="D687" s="4" t="s">
        <v>104</v>
      </c>
      <c r="E687" s="3">
        <v>2</v>
      </c>
      <c r="F687" s="5">
        <f>INDEX([1]products!$A$1:$G$49,MATCH([1]orders!$D687,[1]products!$A$1:$A$49,0),MATCH([1]orders!K$1,[1]products!$A$1:$G$1,0))</f>
        <v>2.5</v>
      </c>
      <c r="G687" s="6">
        <f>INDEX([1]products!$A$1:$G$49,MATCH([1]orders!$D687,[1]products!$A$1:$A$49,0),MATCH([1]orders!L$1,[1]products!$A$1:$G$1,0))</f>
        <v>36.454999999999998</v>
      </c>
      <c r="H687" s="6">
        <f t="shared" si="10"/>
        <v>72.91</v>
      </c>
    </row>
    <row r="688" spans="1:8" x14ac:dyDescent="0.3">
      <c r="A688" s="1" t="s">
        <v>1333</v>
      </c>
      <c r="B688" s="2">
        <v>44330</v>
      </c>
      <c r="C688" s="3" t="s">
        <v>1334</v>
      </c>
      <c r="D688" s="4" t="s">
        <v>101</v>
      </c>
      <c r="E688" s="3">
        <v>3</v>
      </c>
      <c r="F688" s="5">
        <f>INDEX([1]products!$A$1:$G$49,MATCH([1]orders!$D688,[1]products!$A$1:$A$49,0),MATCH([1]orders!K$1,[1]products!$A$1:$G$1,0))</f>
        <v>0.2</v>
      </c>
      <c r="G688" s="6">
        <f>INDEX([1]products!$A$1:$G$49,MATCH([1]orders!$D688,[1]products!$A$1:$A$49,0),MATCH([1]orders!L$1,[1]products!$A$1:$G$1,0))</f>
        <v>2.6849999999999996</v>
      </c>
      <c r="H688" s="6">
        <f t="shared" si="10"/>
        <v>8.0549999999999997</v>
      </c>
    </row>
    <row r="689" spans="1:8" x14ac:dyDescent="0.3">
      <c r="A689" s="1" t="s">
        <v>1335</v>
      </c>
      <c r="B689" s="2">
        <v>43471</v>
      </c>
      <c r="C689" s="3" t="s">
        <v>1336</v>
      </c>
      <c r="D689" s="4" t="s">
        <v>3</v>
      </c>
      <c r="E689" s="3">
        <v>2</v>
      </c>
      <c r="F689" s="5">
        <f>INDEX([1]products!$A$1:$G$49,MATCH([1]orders!$D689,[1]products!$A$1:$A$49,0),MATCH([1]orders!K$1,[1]products!$A$1:$G$1,0))</f>
        <v>0.5</v>
      </c>
      <c r="G689" s="6">
        <f>INDEX([1]products!$A$1:$G$49,MATCH([1]orders!$D689,[1]products!$A$1:$A$49,0),MATCH([1]orders!L$1,[1]products!$A$1:$G$1,0))</f>
        <v>8.25</v>
      </c>
      <c r="H689" s="6">
        <f t="shared" si="10"/>
        <v>16.5</v>
      </c>
    </row>
    <row r="690" spans="1:8" x14ac:dyDescent="0.3">
      <c r="A690" s="1" t="s">
        <v>1337</v>
      </c>
      <c r="B690" s="2">
        <v>43579</v>
      </c>
      <c r="C690" s="3" t="s">
        <v>1338</v>
      </c>
      <c r="D690" s="4" t="s">
        <v>6</v>
      </c>
      <c r="E690" s="3">
        <v>5</v>
      </c>
      <c r="F690" s="5">
        <f>INDEX([1]products!$A$1:$G$49,MATCH([1]orders!$D690,[1]products!$A$1:$A$49,0),MATCH([1]orders!K$1,[1]products!$A$1:$G$1,0))</f>
        <v>1</v>
      </c>
      <c r="G690" s="6">
        <f>INDEX([1]products!$A$1:$G$49,MATCH([1]orders!$D690,[1]products!$A$1:$A$49,0),MATCH([1]orders!L$1,[1]products!$A$1:$G$1,0))</f>
        <v>12.95</v>
      </c>
      <c r="H690" s="6">
        <f t="shared" si="10"/>
        <v>64.75</v>
      </c>
    </row>
    <row r="691" spans="1:8" x14ac:dyDescent="0.3">
      <c r="A691" s="1" t="s">
        <v>1339</v>
      </c>
      <c r="B691" s="2">
        <v>44346</v>
      </c>
      <c r="C691" s="3" t="s">
        <v>1340</v>
      </c>
      <c r="D691" s="4" t="s">
        <v>67</v>
      </c>
      <c r="E691" s="3">
        <v>5</v>
      </c>
      <c r="F691" s="5">
        <f>INDEX([1]products!$A$1:$G$49,MATCH([1]orders!$D691,[1]products!$A$1:$A$49,0),MATCH([1]orders!K$1,[1]products!$A$1:$G$1,0))</f>
        <v>0.5</v>
      </c>
      <c r="G691" s="6">
        <f>INDEX([1]products!$A$1:$G$49,MATCH([1]orders!$D691,[1]products!$A$1:$A$49,0),MATCH([1]orders!L$1,[1]products!$A$1:$G$1,0))</f>
        <v>6.75</v>
      </c>
      <c r="H691" s="6">
        <f t="shared" si="10"/>
        <v>33.75</v>
      </c>
    </row>
    <row r="692" spans="1:8" x14ac:dyDescent="0.3">
      <c r="A692" s="1" t="s">
        <v>1341</v>
      </c>
      <c r="B692" s="2">
        <v>44754</v>
      </c>
      <c r="C692" s="3" t="s">
        <v>1342</v>
      </c>
      <c r="D692" s="4" t="s">
        <v>109</v>
      </c>
      <c r="E692" s="3">
        <v>6</v>
      </c>
      <c r="F692" s="5">
        <f>INDEX([1]products!$A$1:$G$49,MATCH([1]orders!$D692,[1]products!$A$1:$A$49,0),MATCH([1]orders!K$1,[1]products!$A$1:$G$1,0))</f>
        <v>2.5</v>
      </c>
      <c r="G692" s="6">
        <f>INDEX([1]products!$A$1:$G$49,MATCH([1]orders!$D692,[1]products!$A$1:$A$49,0),MATCH([1]orders!L$1,[1]products!$A$1:$G$1,0))</f>
        <v>29.784999999999997</v>
      </c>
      <c r="H692" s="6">
        <f t="shared" si="10"/>
        <v>178.70999999999998</v>
      </c>
    </row>
    <row r="693" spans="1:8" x14ac:dyDescent="0.3">
      <c r="A693" s="1" t="s">
        <v>1343</v>
      </c>
      <c r="B693" s="2">
        <v>44227</v>
      </c>
      <c r="C693" s="3" t="s">
        <v>1344</v>
      </c>
      <c r="D693" s="4" t="s">
        <v>61</v>
      </c>
      <c r="E693" s="3">
        <v>2</v>
      </c>
      <c r="F693" s="5">
        <f>INDEX([1]products!$A$1:$G$49,MATCH([1]orders!$D693,[1]products!$A$1:$A$49,0),MATCH([1]orders!K$1,[1]products!$A$1:$G$1,0))</f>
        <v>1</v>
      </c>
      <c r="G693" s="6">
        <f>INDEX([1]products!$A$1:$G$49,MATCH([1]orders!$D693,[1]products!$A$1:$A$49,0),MATCH([1]orders!L$1,[1]products!$A$1:$G$1,0))</f>
        <v>11.25</v>
      </c>
      <c r="H693" s="6">
        <f t="shared" si="10"/>
        <v>22.5</v>
      </c>
    </row>
    <row r="694" spans="1:8" x14ac:dyDescent="0.3">
      <c r="A694" s="1" t="s">
        <v>1345</v>
      </c>
      <c r="B694" s="2">
        <v>43720</v>
      </c>
      <c r="C694" s="3" t="s">
        <v>1346</v>
      </c>
      <c r="D694" s="4" t="s">
        <v>13</v>
      </c>
      <c r="E694" s="3">
        <v>1</v>
      </c>
      <c r="F694" s="5">
        <f>INDEX([1]products!$A$1:$G$49,MATCH([1]orders!$D694,[1]products!$A$1:$A$49,0),MATCH([1]orders!K$1,[1]products!$A$1:$G$1,0))</f>
        <v>1</v>
      </c>
      <c r="G694" s="6">
        <f>INDEX([1]products!$A$1:$G$49,MATCH([1]orders!$D694,[1]products!$A$1:$A$49,0),MATCH([1]orders!L$1,[1]products!$A$1:$G$1,0))</f>
        <v>12.95</v>
      </c>
      <c r="H694" s="6">
        <f t="shared" si="10"/>
        <v>12.95</v>
      </c>
    </row>
    <row r="695" spans="1:8" x14ac:dyDescent="0.3">
      <c r="A695" s="1" t="s">
        <v>1347</v>
      </c>
      <c r="B695" s="2">
        <v>44012</v>
      </c>
      <c r="C695" s="3" t="s">
        <v>1348</v>
      </c>
      <c r="D695" s="4" t="s">
        <v>171</v>
      </c>
      <c r="E695" s="3">
        <v>2</v>
      </c>
      <c r="F695" s="5">
        <f>INDEX([1]products!$A$1:$G$49,MATCH([1]orders!$D695,[1]products!$A$1:$A$49,0),MATCH([1]orders!K$1,[1]products!$A$1:$G$1,0))</f>
        <v>2.5</v>
      </c>
      <c r="G695" s="6">
        <f>INDEX([1]products!$A$1:$G$49,MATCH([1]orders!$D695,[1]products!$A$1:$A$49,0),MATCH([1]orders!L$1,[1]products!$A$1:$G$1,0))</f>
        <v>25.874999999999996</v>
      </c>
      <c r="H695" s="6">
        <f t="shared" si="10"/>
        <v>51.749999999999993</v>
      </c>
    </row>
    <row r="696" spans="1:8" x14ac:dyDescent="0.3">
      <c r="A696" s="1" t="s">
        <v>1349</v>
      </c>
      <c r="B696" s="2">
        <v>43915</v>
      </c>
      <c r="C696" s="3" t="s">
        <v>1350</v>
      </c>
      <c r="D696" s="4" t="s">
        <v>16</v>
      </c>
      <c r="E696" s="3">
        <v>5</v>
      </c>
      <c r="F696" s="5">
        <f>INDEX([1]products!$A$1:$G$49,MATCH([1]orders!$D696,[1]products!$A$1:$A$49,0),MATCH([1]orders!K$1,[1]products!$A$1:$G$1,0))</f>
        <v>0.5</v>
      </c>
      <c r="G696" s="6">
        <f>INDEX([1]products!$A$1:$G$49,MATCH([1]orders!$D696,[1]products!$A$1:$A$49,0),MATCH([1]orders!L$1,[1]products!$A$1:$G$1,0))</f>
        <v>7.29</v>
      </c>
      <c r="H696" s="6">
        <f t="shared" si="10"/>
        <v>36.450000000000003</v>
      </c>
    </row>
    <row r="697" spans="1:8" x14ac:dyDescent="0.3">
      <c r="A697" s="1" t="s">
        <v>1351</v>
      </c>
      <c r="B697" s="2">
        <v>44300</v>
      </c>
      <c r="C697" s="3" t="s">
        <v>1352</v>
      </c>
      <c r="D697" s="4" t="s">
        <v>104</v>
      </c>
      <c r="E697" s="3">
        <v>5</v>
      </c>
      <c r="F697" s="5">
        <f>INDEX([1]products!$A$1:$G$49,MATCH([1]orders!$D697,[1]products!$A$1:$A$49,0),MATCH([1]orders!K$1,[1]products!$A$1:$G$1,0))</f>
        <v>2.5</v>
      </c>
      <c r="G697" s="6">
        <f>INDEX([1]products!$A$1:$G$49,MATCH([1]orders!$D697,[1]products!$A$1:$A$49,0),MATCH([1]orders!L$1,[1]products!$A$1:$G$1,0))</f>
        <v>36.454999999999998</v>
      </c>
      <c r="H697" s="6">
        <f t="shared" si="10"/>
        <v>182.27499999999998</v>
      </c>
    </row>
    <row r="698" spans="1:8" x14ac:dyDescent="0.3">
      <c r="A698" s="1" t="s">
        <v>1353</v>
      </c>
      <c r="B698" s="2">
        <v>43693</v>
      </c>
      <c r="C698" s="3" t="s">
        <v>1354</v>
      </c>
      <c r="D698" s="4" t="s">
        <v>123</v>
      </c>
      <c r="E698" s="3">
        <v>4</v>
      </c>
      <c r="F698" s="5">
        <f>INDEX([1]products!$A$1:$G$49,MATCH([1]orders!$D698,[1]products!$A$1:$A$49,0),MATCH([1]orders!K$1,[1]products!$A$1:$G$1,0))</f>
        <v>0.5</v>
      </c>
      <c r="G698" s="6">
        <f>INDEX([1]products!$A$1:$G$49,MATCH([1]orders!$D698,[1]products!$A$1:$A$49,0),MATCH([1]orders!L$1,[1]products!$A$1:$G$1,0))</f>
        <v>7.77</v>
      </c>
      <c r="H698" s="6">
        <f t="shared" si="10"/>
        <v>31.08</v>
      </c>
    </row>
    <row r="699" spans="1:8" x14ac:dyDescent="0.3">
      <c r="A699" s="1" t="s">
        <v>1355</v>
      </c>
      <c r="B699" s="2">
        <v>44547</v>
      </c>
      <c r="C699" s="3" t="s">
        <v>1356</v>
      </c>
      <c r="D699" s="4" t="s">
        <v>67</v>
      </c>
      <c r="E699" s="3">
        <v>3</v>
      </c>
      <c r="F699" s="5">
        <f>INDEX([1]products!$A$1:$G$49,MATCH([1]orders!$D699,[1]products!$A$1:$A$49,0),MATCH([1]orders!K$1,[1]products!$A$1:$G$1,0))</f>
        <v>0.5</v>
      </c>
      <c r="G699" s="6">
        <f>INDEX([1]products!$A$1:$G$49,MATCH([1]orders!$D699,[1]products!$A$1:$A$49,0),MATCH([1]orders!L$1,[1]products!$A$1:$G$1,0))</f>
        <v>6.75</v>
      </c>
      <c r="H699" s="6">
        <f t="shared" si="10"/>
        <v>20.25</v>
      </c>
    </row>
    <row r="700" spans="1:8" x14ac:dyDescent="0.3">
      <c r="A700" s="1" t="s">
        <v>1357</v>
      </c>
      <c r="B700" s="2">
        <v>43830</v>
      </c>
      <c r="C700" s="3" t="s">
        <v>1344</v>
      </c>
      <c r="D700" s="4" t="s">
        <v>13</v>
      </c>
      <c r="E700" s="3">
        <v>2</v>
      </c>
      <c r="F700" s="5">
        <f>INDEX([1]products!$A$1:$G$49,MATCH([1]orders!$D700,[1]products!$A$1:$A$49,0),MATCH([1]orders!K$1,[1]products!$A$1:$G$1,0))</f>
        <v>1</v>
      </c>
      <c r="G700" s="6">
        <f>INDEX([1]products!$A$1:$G$49,MATCH([1]orders!$D700,[1]products!$A$1:$A$49,0),MATCH([1]orders!L$1,[1]products!$A$1:$G$1,0))</f>
        <v>12.95</v>
      </c>
      <c r="H700" s="6">
        <f t="shared" si="10"/>
        <v>25.9</v>
      </c>
    </row>
    <row r="701" spans="1:8" x14ac:dyDescent="0.3">
      <c r="A701" s="1" t="s">
        <v>1358</v>
      </c>
      <c r="B701" s="2">
        <v>44298</v>
      </c>
      <c r="C701" s="3" t="s">
        <v>1359</v>
      </c>
      <c r="D701" s="4" t="s">
        <v>72</v>
      </c>
      <c r="E701" s="3">
        <v>4</v>
      </c>
      <c r="F701" s="5">
        <f>INDEX([1]products!$A$1:$G$49,MATCH([1]orders!$D701,[1]products!$A$1:$A$49,0),MATCH([1]orders!K$1,[1]products!$A$1:$G$1,0))</f>
        <v>0.5</v>
      </c>
      <c r="G701" s="6">
        <f>INDEX([1]products!$A$1:$G$49,MATCH([1]orders!$D701,[1]products!$A$1:$A$49,0),MATCH([1]orders!L$1,[1]products!$A$1:$G$1,0))</f>
        <v>5.97</v>
      </c>
      <c r="H701" s="6">
        <f t="shared" si="10"/>
        <v>23.88</v>
      </c>
    </row>
    <row r="702" spans="1:8" x14ac:dyDescent="0.3">
      <c r="A702" s="1" t="s">
        <v>1360</v>
      </c>
      <c r="B702" s="2">
        <v>43736</v>
      </c>
      <c r="C702" s="3" t="s">
        <v>1361</v>
      </c>
      <c r="D702" s="4" t="s">
        <v>83</v>
      </c>
      <c r="E702" s="3">
        <v>2</v>
      </c>
      <c r="F702" s="5">
        <f>INDEX([1]products!$A$1:$G$49,MATCH([1]orders!$D702,[1]products!$A$1:$A$49,0),MATCH([1]orders!K$1,[1]products!$A$1:$G$1,0))</f>
        <v>0.5</v>
      </c>
      <c r="G702" s="6">
        <f>INDEX([1]products!$A$1:$G$49,MATCH([1]orders!$D702,[1]products!$A$1:$A$49,0),MATCH([1]orders!L$1,[1]products!$A$1:$G$1,0))</f>
        <v>9.51</v>
      </c>
      <c r="H702" s="6">
        <f t="shared" si="10"/>
        <v>19.02</v>
      </c>
    </row>
    <row r="703" spans="1:8" x14ac:dyDescent="0.3">
      <c r="A703" s="1" t="s">
        <v>1362</v>
      </c>
      <c r="B703" s="2">
        <v>44727</v>
      </c>
      <c r="C703" s="3" t="s">
        <v>1363</v>
      </c>
      <c r="D703" s="4" t="s">
        <v>72</v>
      </c>
      <c r="E703" s="3">
        <v>5</v>
      </c>
      <c r="F703" s="5">
        <f>INDEX([1]products!$A$1:$G$49,MATCH([1]orders!$D703,[1]products!$A$1:$A$49,0),MATCH([1]orders!K$1,[1]products!$A$1:$G$1,0))</f>
        <v>0.5</v>
      </c>
      <c r="G703" s="6">
        <f>INDEX([1]products!$A$1:$G$49,MATCH([1]orders!$D703,[1]products!$A$1:$A$49,0),MATCH([1]orders!L$1,[1]products!$A$1:$G$1,0))</f>
        <v>5.97</v>
      </c>
      <c r="H703" s="6">
        <f t="shared" si="10"/>
        <v>29.849999999999998</v>
      </c>
    </row>
    <row r="704" spans="1:8" x14ac:dyDescent="0.3">
      <c r="A704" s="1" t="s">
        <v>1364</v>
      </c>
      <c r="B704" s="2">
        <v>43661</v>
      </c>
      <c r="C704" s="3" t="s">
        <v>1365</v>
      </c>
      <c r="D704" s="4" t="s">
        <v>192</v>
      </c>
      <c r="E704" s="3">
        <v>1</v>
      </c>
      <c r="F704" s="5">
        <f>INDEX([1]products!$A$1:$G$49,MATCH([1]orders!$D704,[1]products!$A$1:$A$49,0),MATCH([1]orders!K$1,[1]products!$A$1:$G$1,0))</f>
        <v>0.5</v>
      </c>
      <c r="G704" s="6">
        <f>INDEX([1]products!$A$1:$G$49,MATCH([1]orders!$D704,[1]products!$A$1:$A$49,0),MATCH([1]orders!L$1,[1]products!$A$1:$G$1,0))</f>
        <v>7.77</v>
      </c>
      <c r="H704" s="6">
        <f t="shared" si="10"/>
        <v>7.77</v>
      </c>
    </row>
    <row r="705" spans="1:8" x14ac:dyDescent="0.3">
      <c r="A705" s="1" t="s">
        <v>1366</v>
      </c>
      <c r="B705" s="2">
        <v>43506</v>
      </c>
      <c r="C705" s="3" t="s">
        <v>1367</v>
      </c>
      <c r="D705" s="4" t="s">
        <v>109</v>
      </c>
      <c r="E705" s="3">
        <v>4</v>
      </c>
      <c r="F705" s="5">
        <f>INDEX([1]products!$A$1:$G$49,MATCH([1]orders!$D705,[1]products!$A$1:$A$49,0),MATCH([1]orders!K$1,[1]products!$A$1:$G$1,0))</f>
        <v>2.5</v>
      </c>
      <c r="G705" s="6">
        <f>INDEX([1]products!$A$1:$G$49,MATCH([1]orders!$D705,[1]products!$A$1:$A$49,0),MATCH([1]orders!L$1,[1]products!$A$1:$G$1,0))</f>
        <v>29.784999999999997</v>
      </c>
      <c r="H705" s="6">
        <f t="shared" si="10"/>
        <v>119.13999999999999</v>
      </c>
    </row>
    <row r="706" spans="1:8" x14ac:dyDescent="0.3">
      <c r="A706" s="1" t="s">
        <v>1368</v>
      </c>
      <c r="B706" s="2">
        <v>44716</v>
      </c>
      <c r="C706" s="3" t="s">
        <v>1369</v>
      </c>
      <c r="D706" s="4" t="s">
        <v>51</v>
      </c>
      <c r="E706" s="3">
        <v>6</v>
      </c>
      <c r="F706" s="5">
        <f>INDEX([1]products!$A$1:$G$49,MATCH([1]orders!$D706,[1]products!$A$1:$A$49,0),MATCH([1]orders!K$1,[1]products!$A$1:$G$1,0))</f>
        <v>0.2</v>
      </c>
      <c r="G706" s="6">
        <f>INDEX([1]products!$A$1:$G$49,MATCH([1]orders!$D706,[1]products!$A$1:$A$49,0),MATCH([1]orders!L$1,[1]products!$A$1:$G$1,0))</f>
        <v>3.645</v>
      </c>
      <c r="H706" s="6">
        <f t="shared" ref="H706:H769" si="11">E706*G706</f>
        <v>21.87</v>
      </c>
    </row>
    <row r="707" spans="1:8" x14ac:dyDescent="0.3">
      <c r="A707" s="1" t="s">
        <v>1370</v>
      </c>
      <c r="B707" s="2">
        <v>44114</v>
      </c>
      <c r="C707" s="3" t="s">
        <v>1371</v>
      </c>
      <c r="D707" s="4" t="s">
        <v>176</v>
      </c>
      <c r="E707" s="3">
        <v>2</v>
      </c>
      <c r="F707" s="5">
        <f>INDEX([1]products!$A$1:$G$49,MATCH([1]orders!$D707,[1]products!$A$1:$A$49,0),MATCH([1]orders!K$1,[1]products!$A$1:$G$1,0))</f>
        <v>0.5</v>
      </c>
      <c r="G707" s="6">
        <f>INDEX([1]products!$A$1:$G$49,MATCH([1]orders!$D707,[1]products!$A$1:$A$49,0),MATCH([1]orders!L$1,[1]products!$A$1:$G$1,0))</f>
        <v>8.91</v>
      </c>
      <c r="H707" s="6">
        <f t="shared" si="11"/>
        <v>17.82</v>
      </c>
    </row>
    <row r="708" spans="1:8" x14ac:dyDescent="0.3">
      <c r="A708" s="1" t="s">
        <v>1372</v>
      </c>
      <c r="B708" s="2">
        <v>44353</v>
      </c>
      <c r="C708" s="3" t="s">
        <v>1373</v>
      </c>
      <c r="D708" s="4" t="s">
        <v>64</v>
      </c>
      <c r="E708" s="3">
        <v>3</v>
      </c>
      <c r="F708" s="5">
        <f>INDEX([1]products!$A$1:$G$49,MATCH([1]orders!$D708,[1]products!$A$1:$A$49,0),MATCH([1]orders!K$1,[1]products!$A$1:$G$1,0))</f>
        <v>0.2</v>
      </c>
      <c r="G708" s="6">
        <f>INDEX([1]products!$A$1:$G$49,MATCH([1]orders!$D708,[1]products!$A$1:$A$49,0),MATCH([1]orders!L$1,[1]products!$A$1:$G$1,0))</f>
        <v>4.125</v>
      </c>
      <c r="H708" s="6">
        <f t="shared" si="11"/>
        <v>12.375</v>
      </c>
    </row>
    <row r="709" spans="1:8" x14ac:dyDescent="0.3">
      <c r="A709" s="1" t="s">
        <v>1374</v>
      </c>
      <c r="B709" s="2">
        <v>43540</v>
      </c>
      <c r="C709" s="3" t="s">
        <v>1375</v>
      </c>
      <c r="D709" s="4" t="s">
        <v>13</v>
      </c>
      <c r="E709" s="3">
        <v>2</v>
      </c>
      <c r="F709" s="5">
        <f>INDEX([1]products!$A$1:$G$49,MATCH([1]orders!$D709,[1]products!$A$1:$A$49,0),MATCH([1]orders!K$1,[1]products!$A$1:$G$1,0))</f>
        <v>1</v>
      </c>
      <c r="G709" s="6">
        <f>INDEX([1]products!$A$1:$G$49,MATCH([1]orders!$D709,[1]products!$A$1:$A$49,0),MATCH([1]orders!L$1,[1]products!$A$1:$G$1,0))</f>
        <v>12.95</v>
      </c>
      <c r="H709" s="6">
        <f t="shared" si="11"/>
        <v>25.9</v>
      </c>
    </row>
    <row r="710" spans="1:8" x14ac:dyDescent="0.3">
      <c r="A710" s="1" t="s">
        <v>1376</v>
      </c>
      <c r="B710" s="2">
        <v>43804</v>
      </c>
      <c r="C710" s="3" t="s">
        <v>1377</v>
      </c>
      <c r="D710" s="4" t="s">
        <v>67</v>
      </c>
      <c r="E710" s="3">
        <v>2</v>
      </c>
      <c r="F710" s="5">
        <f>INDEX([1]products!$A$1:$G$49,MATCH([1]orders!$D710,[1]products!$A$1:$A$49,0),MATCH([1]orders!K$1,[1]products!$A$1:$G$1,0))</f>
        <v>0.5</v>
      </c>
      <c r="G710" s="6">
        <f>INDEX([1]products!$A$1:$G$49,MATCH([1]orders!$D710,[1]products!$A$1:$A$49,0),MATCH([1]orders!L$1,[1]products!$A$1:$G$1,0))</f>
        <v>6.75</v>
      </c>
      <c r="H710" s="6">
        <f t="shared" si="11"/>
        <v>13.5</v>
      </c>
    </row>
    <row r="711" spans="1:8" x14ac:dyDescent="0.3">
      <c r="A711" s="1" t="s">
        <v>1378</v>
      </c>
      <c r="B711" s="2">
        <v>43485</v>
      </c>
      <c r="C711" s="3" t="s">
        <v>1379</v>
      </c>
      <c r="D711" s="4" t="s">
        <v>176</v>
      </c>
      <c r="E711" s="3">
        <v>2</v>
      </c>
      <c r="F711" s="5">
        <f>INDEX([1]products!$A$1:$G$49,MATCH([1]orders!$D711,[1]products!$A$1:$A$49,0),MATCH([1]orders!K$1,[1]products!$A$1:$G$1,0))</f>
        <v>0.5</v>
      </c>
      <c r="G711" s="6">
        <f>INDEX([1]products!$A$1:$G$49,MATCH([1]orders!$D711,[1]products!$A$1:$A$49,0),MATCH([1]orders!L$1,[1]products!$A$1:$G$1,0))</f>
        <v>8.91</v>
      </c>
      <c r="H711" s="6">
        <f t="shared" si="11"/>
        <v>17.82</v>
      </c>
    </row>
    <row r="712" spans="1:8" x14ac:dyDescent="0.3">
      <c r="A712" s="1" t="s">
        <v>1380</v>
      </c>
      <c r="B712" s="2">
        <v>44655</v>
      </c>
      <c r="C712" s="3" t="s">
        <v>1381</v>
      </c>
      <c r="D712" s="4" t="s">
        <v>3</v>
      </c>
      <c r="E712" s="3">
        <v>3</v>
      </c>
      <c r="F712" s="5">
        <f>INDEX([1]products!$A$1:$G$49,MATCH([1]orders!$D712,[1]products!$A$1:$A$49,0),MATCH([1]orders!K$1,[1]products!$A$1:$G$1,0))</f>
        <v>0.5</v>
      </c>
      <c r="G712" s="6">
        <f>INDEX([1]products!$A$1:$G$49,MATCH([1]orders!$D712,[1]products!$A$1:$A$49,0),MATCH([1]orders!L$1,[1]products!$A$1:$G$1,0))</f>
        <v>8.25</v>
      </c>
      <c r="H712" s="6">
        <f t="shared" si="11"/>
        <v>24.75</v>
      </c>
    </row>
    <row r="713" spans="1:8" x14ac:dyDescent="0.3">
      <c r="A713" s="1" t="s">
        <v>1382</v>
      </c>
      <c r="B713" s="2">
        <v>44600</v>
      </c>
      <c r="C713" s="3" t="s">
        <v>1383</v>
      </c>
      <c r="D713" s="4" t="s">
        <v>162</v>
      </c>
      <c r="E713" s="3">
        <v>6</v>
      </c>
      <c r="F713" s="5">
        <f>INDEX([1]products!$A$1:$G$49,MATCH([1]orders!$D713,[1]products!$A$1:$A$49,0),MATCH([1]orders!K$1,[1]products!$A$1:$G$1,0))</f>
        <v>0.2</v>
      </c>
      <c r="G713" s="6">
        <f>INDEX([1]products!$A$1:$G$49,MATCH([1]orders!$D713,[1]products!$A$1:$A$49,0),MATCH([1]orders!L$1,[1]products!$A$1:$G$1,0))</f>
        <v>2.9849999999999999</v>
      </c>
      <c r="H713" s="6">
        <f t="shared" si="11"/>
        <v>17.91</v>
      </c>
    </row>
    <row r="714" spans="1:8" x14ac:dyDescent="0.3">
      <c r="A714" s="1" t="s">
        <v>1384</v>
      </c>
      <c r="B714" s="2">
        <v>43646</v>
      </c>
      <c r="C714" s="3" t="s">
        <v>1385</v>
      </c>
      <c r="D714" s="4" t="s">
        <v>3</v>
      </c>
      <c r="E714" s="3">
        <v>2</v>
      </c>
      <c r="F714" s="5">
        <f>INDEX([1]products!$A$1:$G$49,MATCH([1]orders!$D714,[1]products!$A$1:$A$49,0),MATCH([1]orders!K$1,[1]products!$A$1:$G$1,0))</f>
        <v>0.5</v>
      </c>
      <c r="G714" s="6">
        <f>INDEX([1]products!$A$1:$G$49,MATCH([1]orders!$D714,[1]products!$A$1:$A$49,0),MATCH([1]orders!L$1,[1]products!$A$1:$G$1,0))</f>
        <v>8.25</v>
      </c>
      <c r="H714" s="6">
        <f t="shared" si="11"/>
        <v>16.5</v>
      </c>
    </row>
    <row r="715" spans="1:8" x14ac:dyDescent="0.3">
      <c r="A715" s="1" t="s">
        <v>1386</v>
      </c>
      <c r="B715" s="2">
        <v>43960</v>
      </c>
      <c r="C715" s="3" t="s">
        <v>1387</v>
      </c>
      <c r="D715" s="4" t="s">
        <v>162</v>
      </c>
      <c r="E715" s="3">
        <v>1</v>
      </c>
      <c r="F715" s="5">
        <f>INDEX([1]products!$A$1:$G$49,MATCH([1]orders!$D715,[1]products!$A$1:$A$49,0),MATCH([1]orders!K$1,[1]products!$A$1:$G$1,0))</f>
        <v>0.2</v>
      </c>
      <c r="G715" s="6">
        <f>INDEX([1]products!$A$1:$G$49,MATCH([1]orders!$D715,[1]products!$A$1:$A$49,0),MATCH([1]orders!L$1,[1]products!$A$1:$G$1,0))</f>
        <v>2.9849999999999999</v>
      </c>
      <c r="H715" s="6">
        <f t="shared" si="11"/>
        <v>2.9849999999999999</v>
      </c>
    </row>
    <row r="716" spans="1:8" x14ac:dyDescent="0.3">
      <c r="A716" s="1" t="s">
        <v>1388</v>
      </c>
      <c r="B716" s="2">
        <v>44358</v>
      </c>
      <c r="C716" s="3" t="s">
        <v>1389</v>
      </c>
      <c r="D716" s="4" t="s">
        <v>51</v>
      </c>
      <c r="E716" s="3">
        <v>4</v>
      </c>
      <c r="F716" s="5">
        <f>INDEX([1]products!$A$1:$G$49,MATCH([1]orders!$D716,[1]products!$A$1:$A$49,0),MATCH([1]orders!K$1,[1]products!$A$1:$G$1,0))</f>
        <v>0.2</v>
      </c>
      <c r="G716" s="6">
        <f>INDEX([1]products!$A$1:$G$49,MATCH([1]orders!$D716,[1]products!$A$1:$A$49,0),MATCH([1]orders!L$1,[1]products!$A$1:$G$1,0))</f>
        <v>3.645</v>
      </c>
      <c r="H716" s="6">
        <f t="shared" si="11"/>
        <v>14.58</v>
      </c>
    </row>
    <row r="717" spans="1:8" x14ac:dyDescent="0.3">
      <c r="A717" s="1" t="s">
        <v>1390</v>
      </c>
      <c r="B717" s="2">
        <v>44504</v>
      </c>
      <c r="C717" s="3" t="s">
        <v>1391</v>
      </c>
      <c r="D717" s="4" t="s">
        <v>137</v>
      </c>
      <c r="E717" s="3">
        <v>6</v>
      </c>
      <c r="F717" s="5">
        <f>INDEX([1]products!$A$1:$G$49,MATCH([1]orders!$D717,[1]products!$A$1:$A$49,0),MATCH([1]orders!K$1,[1]products!$A$1:$G$1,0))</f>
        <v>1</v>
      </c>
      <c r="G717" s="6">
        <f>INDEX([1]products!$A$1:$G$49,MATCH([1]orders!$D717,[1]products!$A$1:$A$49,0),MATCH([1]orders!L$1,[1]products!$A$1:$G$1,0))</f>
        <v>14.85</v>
      </c>
      <c r="H717" s="6">
        <f t="shared" si="11"/>
        <v>89.1</v>
      </c>
    </row>
    <row r="718" spans="1:8" x14ac:dyDescent="0.3">
      <c r="A718" s="1" t="s">
        <v>1392</v>
      </c>
      <c r="B718" s="2">
        <v>44612</v>
      </c>
      <c r="C718" s="3" t="s">
        <v>1344</v>
      </c>
      <c r="D718" s="4" t="s">
        <v>189</v>
      </c>
      <c r="E718" s="3">
        <v>3</v>
      </c>
      <c r="F718" s="5">
        <f>INDEX([1]products!$A$1:$G$49,MATCH([1]orders!$D718,[1]products!$A$1:$A$49,0),MATCH([1]orders!K$1,[1]products!$A$1:$G$1,0))</f>
        <v>1</v>
      </c>
      <c r="G718" s="6">
        <f>INDEX([1]products!$A$1:$G$49,MATCH([1]orders!$D718,[1]products!$A$1:$A$49,0),MATCH([1]orders!L$1,[1]products!$A$1:$G$1,0))</f>
        <v>11.95</v>
      </c>
      <c r="H718" s="6">
        <f t="shared" si="11"/>
        <v>35.849999999999994</v>
      </c>
    </row>
    <row r="719" spans="1:8" x14ac:dyDescent="0.3">
      <c r="A719" s="1" t="s">
        <v>1393</v>
      </c>
      <c r="B719" s="2">
        <v>43649</v>
      </c>
      <c r="C719" s="3" t="s">
        <v>1394</v>
      </c>
      <c r="D719" s="4" t="s">
        <v>118</v>
      </c>
      <c r="E719" s="3">
        <v>3</v>
      </c>
      <c r="F719" s="5">
        <f>INDEX([1]products!$A$1:$G$49,MATCH([1]orders!$D719,[1]products!$A$1:$A$49,0),MATCH([1]orders!K$1,[1]products!$A$1:$G$1,0))</f>
        <v>2.5</v>
      </c>
      <c r="G719" s="6">
        <f>INDEX([1]products!$A$1:$G$49,MATCH([1]orders!$D719,[1]products!$A$1:$A$49,0),MATCH([1]orders!L$1,[1]products!$A$1:$G$1,0))</f>
        <v>22.884999999999998</v>
      </c>
      <c r="H719" s="6">
        <f t="shared" si="11"/>
        <v>68.655000000000001</v>
      </c>
    </row>
    <row r="720" spans="1:8" x14ac:dyDescent="0.3">
      <c r="A720" s="1" t="s">
        <v>1395</v>
      </c>
      <c r="B720" s="2">
        <v>44348</v>
      </c>
      <c r="C720" s="3" t="s">
        <v>1396</v>
      </c>
      <c r="D720" s="4" t="s">
        <v>13</v>
      </c>
      <c r="E720" s="3">
        <v>3</v>
      </c>
      <c r="F720" s="5">
        <f>INDEX([1]products!$A$1:$G$49,MATCH([1]orders!$D720,[1]products!$A$1:$A$49,0),MATCH([1]orders!K$1,[1]products!$A$1:$G$1,0))</f>
        <v>1</v>
      </c>
      <c r="G720" s="6">
        <f>INDEX([1]products!$A$1:$G$49,MATCH([1]orders!$D720,[1]products!$A$1:$A$49,0),MATCH([1]orders!L$1,[1]products!$A$1:$G$1,0))</f>
        <v>12.95</v>
      </c>
      <c r="H720" s="6">
        <f t="shared" si="11"/>
        <v>38.849999999999994</v>
      </c>
    </row>
    <row r="721" spans="1:8" x14ac:dyDescent="0.3">
      <c r="A721" s="1" t="s">
        <v>1397</v>
      </c>
      <c r="B721" s="2">
        <v>44150</v>
      </c>
      <c r="C721" s="3" t="s">
        <v>1398</v>
      </c>
      <c r="D721" s="4" t="s">
        <v>132</v>
      </c>
      <c r="E721" s="3">
        <v>5</v>
      </c>
      <c r="F721" s="5">
        <f>INDEX([1]products!$A$1:$G$49,MATCH([1]orders!$D721,[1]products!$A$1:$A$49,0),MATCH([1]orders!K$1,[1]products!$A$1:$G$1,0))</f>
        <v>1</v>
      </c>
      <c r="G721" s="6">
        <f>INDEX([1]products!$A$1:$G$49,MATCH([1]orders!$D721,[1]products!$A$1:$A$49,0),MATCH([1]orders!L$1,[1]products!$A$1:$G$1,0))</f>
        <v>15.85</v>
      </c>
      <c r="H721" s="6">
        <f t="shared" si="11"/>
        <v>79.25</v>
      </c>
    </row>
    <row r="722" spans="1:8" x14ac:dyDescent="0.3">
      <c r="A722" s="1" t="s">
        <v>1399</v>
      </c>
      <c r="B722" s="2">
        <v>44215</v>
      </c>
      <c r="C722" s="3" t="s">
        <v>1400</v>
      </c>
      <c r="D722" s="4" t="s">
        <v>16</v>
      </c>
      <c r="E722" s="3">
        <v>5</v>
      </c>
      <c r="F722" s="5">
        <f>INDEX([1]products!$A$1:$G$49,MATCH([1]orders!$D722,[1]products!$A$1:$A$49,0),MATCH([1]orders!K$1,[1]products!$A$1:$G$1,0))</f>
        <v>0.5</v>
      </c>
      <c r="G722" s="6">
        <f>INDEX([1]products!$A$1:$G$49,MATCH([1]orders!$D722,[1]products!$A$1:$A$49,0),MATCH([1]orders!L$1,[1]products!$A$1:$G$1,0))</f>
        <v>7.29</v>
      </c>
      <c r="H722" s="6">
        <f t="shared" si="11"/>
        <v>36.450000000000003</v>
      </c>
    </row>
    <row r="723" spans="1:8" x14ac:dyDescent="0.3">
      <c r="A723" s="1" t="s">
        <v>1401</v>
      </c>
      <c r="B723" s="2">
        <v>44479</v>
      </c>
      <c r="C723" s="3" t="s">
        <v>1402</v>
      </c>
      <c r="D723" s="4" t="s">
        <v>162</v>
      </c>
      <c r="E723" s="3">
        <v>3</v>
      </c>
      <c r="F723" s="5">
        <f>INDEX([1]products!$A$1:$G$49,MATCH([1]orders!$D723,[1]products!$A$1:$A$49,0),MATCH([1]orders!K$1,[1]products!$A$1:$G$1,0))</f>
        <v>0.2</v>
      </c>
      <c r="G723" s="6">
        <f>INDEX([1]products!$A$1:$G$49,MATCH([1]orders!$D723,[1]products!$A$1:$A$49,0),MATCH([1]orders!L$1,[1]products!$A$1:$G$1,0))</f>
        <v>2.9849999999999999</v>
      </c>
      <c r="H723" s="6">
        <f t="shared" si="11"/>
        <v>8.9550000000000001</v>
      </c>
    </row>
    <row r="724" spans="1:8" x14ac:dyDescent="0.3">
      <c r="A724" s="1" t="s">
        <v>1403</v>
      </c>
      <c r="B724" s="2">
        <v>44620</v>
      </c>
      <c r="C724" s="3" t="s">
        <v>1404</v>
      </c>
      <c r="D724" s="4" t="s">
        <v>245</v>
      </c>
      <c r="E724" s="3">
        <v>2</v>
      </c>
      <c r="F724" s="5">
        <f>INDEX([1]products!$A$1:$G$49,MATCH([1]orders!$D724,[1]products!$A$1:$A$49,0),MATCH([1]orders!K$1,[1]products!$A$1:$G$1,0))</f>
        <v>1</v>
      </c>
      <c r="G724" s="6">
        <f>INDEX([1]products!$A$1:$G$49,MATCH([1]orders!$D724,[1]products!$A$1:$A$49,0),MATCH([1]orders!L$1,[1]products!$A$1:$G$1,0))</f>
        <v>12.15</v>
      </c>
      <c r="H724" s="6">
        <f t="shared" si="11"/>
        <v>24.3</v>
      </c>
    </row>
    <row r="725" spans="1:8" x14ac:dyDescent="0.3">
      <c r="A725" s="1" t="s">
        <v>1405</v>
      </c>
      <c r="B725" s="2">
        <v>44470</v>
      </c>
      <c r="C725" s="3" t="s">
        <v>1406</v>
      </c>
      <c r="D725" s="4" t="s">
        <v>112</v>
      </c>
      <c r="E725" s="3">
        <v>2</v>
      </c>
      <c r="F725" s="5">
        <f>INDEX([1]products!$A$1:$G$49,MATCH([1]orders!$D725,[1]products!$A$1:$A$49,0),MATCH([1]orders!K$1,[1]products!$A$1:$G$1,0))</f>
        <v>2.5</v>
      </c>
      <c r="G725" s="6">
        <f>INDEX([1]products!$A$1:$G$49,MATCH([1]orders!$D725,[1]products!$A$1:$A$49,0),MATCH([1]orders!L$1,[1]products!$A$1:$G$1,0))</f>
        <v>31.624999999999996</v>
      </c>
      <c r="H725" s="6">
        <f t="shared" si="11"/>
        <v>63.249999999999993</v>
      </c>
    </row>
    <row r="726" spans="1:8" x14ac:dyDescent="0.3">
      <c r="A726" s="1" t="s">
        <v>1407</v>
      </c>
      <c r="B726" s="2">
        <v>44076</v>
      </c>
      <c r="C726" s="3" t="s">
        <v>1408</v>
      </c>
      <c r="D726" s="4" t="s">
        <v>44</v>
      </c>
      <c r="E726" s="3">
        <v>2</v>
      </c>
      <c r="F726" s="5">
        <f>INDEX([1]products!$A$1:$G$49,MATCH([1]orders!$D726,[1]products!$A$1:$A$49,0),MATCH([1]orders!K$1,[1]products!$A$1:$G$1,0))</f>
        <v>0.2</v>
      </c>
      <c r="G726" s="6">
        <f>INDEX([1]products!$A$1:$G$49,MATCH([1]orders!$D726,[1]products!$A$1:$A$49,0),MATCH([1]orders!L$1,[1]products!$A$1:$G$1,0))</f>
        <v>3.375</v>
      </c>
      <c r="H726" s="6">
        <f t="shared" si="11"/>
        <v>6.75</v>
      </c>
    </row>
    <row r="727" spans="1:8" x14ac:dyDescent="0.3">
      <c r="A727" s="1" t="s">
        <v>1409</v>
      </c>
      <c r="B727" s="2">
        <v>44043</v>
      </c>
      <c r="C727" s="3" t="s">
        <v>1410</v>
      </c>
      <c r="D727" s="4" t="s">
        <v>115</v>
      </c>
      <c r="E727" s="3">
        <v>6</v>
      </c>
      <c r="F727" s="5">
        <f>INDEX([1]products!$A$1:$G$49,MATCH([1]orders!$D727,[1]products!$A$1:$A$49,0),MATCH([1]orders!K$1,[1]products!$A$1:$G$1,0))</f>
        <v>0.2</v>
      </c>
      <c r="G727" s="6">
        <f>INDEX([1]products!$A$1:$G$49,MATCH([1]orders!$D727,[1]products!$A$1:$A$49,0),MATCH([1]orders!L$1,[1]products!$A$1:$G$1,0))</f>
        <v>3.8849999999999998</v>
      </c>
      <c r="H727" s="6">
        <f t="shared" si="11"/>
        <v>23.31</v>
      </c>
    </row>
    <row r="728" spans="1:8" x14ac:dyDescent="0.3">
      <c r="A728" s="1" t="s">
        <v>1411</v>
      </c>
      <c r="B728" s="2">
        <v>44571</v>
      </c>
      <c r="C728" s="3" t="s">
        <v>1412</v>
      </c>
      <c r="D728" s="4" t="s">
        <v>104</v>
      </c>
      <c r="E728" s="3">
        <v>4</v>
      </c>
      <c r="F728" s="5">
        <f>INDEX([1]products!$A$1:$G$49,MATCH([1]orders!$D728,[1]products!$A$1:$A$49,0),MATCH([1]orders!K$1,[1]products!$A$1:$G$1,0))</f>
        <v>2.5</v>
      </c>
      <c r="G728" s="6">
        <f>INDEX([1]products!$A$1:$G$49,MATCH([1]orders!$D728,[1]products!$A$1:$A$49,0),MATCH([1]orders!L$1,[1]products!$A$1:$G$1,0))</f>
        <v>36.454999999999998</v>
      </c>
      <c r="H728" s="6">
        <f t="shared" si="11"/>
        <v>145.82</v>
      </c>
    </row>
    <row r="729" spans="1:8" x14ac:dyDescent="0.3">
      <c r="A729" s="1" t="s">
        <v>1413</v>
      </c>
      <c r="B729" s="2">
        <v>44264</v>
      </c>
      <c r="C729" s="3" t="s">
        <v>1414</v>
      </c>
      <c r="D729" s="4" t="s">
        <v>22</v>
      </c>
      <c r="E729" s="3">
        <v>5</v>
      </c>
      <c r="F729" s="5">
        <f>INDEX([1]products!$A$1:$G$49,MATCH([1]orders!$D729,[1]products!$A$1:$A$49,0),MATCH([1]orders!K$1,[1]products!$A$1:$G$1,0))</f>
        <v>0.5</v>
      </c>
      <c r="G729" s="6">
        <f>INDEX([1]products!$A$1:$G$49,MATCH([1]orders!$D729,[1]products!$A$1:$A$49,0),MATCH([1]orders!L$1,[1]products!$A$1:$G$1,0))</f>
        <v>5.97</v>
      </c>
      <c r="H729" s="6">
        <f t="shared" si="11"/>
        <v>29.849999999999998</v>
      </c>
    </row>
    <row r="730" spans="1:8" x14ac:dyDescent="0.3">
      <c r="A730" s="1" t="s">
        <v>1415</v>
      </c>
      <c r="B730" s="2">
        <v>44155</v>
      </c>
      <c r="C730" s="3" t="s">
        <v>1416</v>
      </c>
      <c r="D730" s="4" t="s">
        <v>16</v>
      </c>
      <c r="E730" s="3">
        <v>3</v>
      </c>
      <c r="F730" s="5">
        <f>INDEX([1]products!$A$1:$G$49,MATCH([1]orders!$D730,[1]products!$A$1:$A$49,0),MATCH([1]orders!K$1,[1]products!$A$1:$G$1,0))</f>
        <v>0.5</v>
      </c>
      <c r="G730" s="6">
        <f>INDEX([1]products!$A$1:$G$49,MATCH([1]orders!$D730,[1]products!$A$1:$A$49,0),MATCH([1]orders!L$1,[1]products!$A$1:$G$1,0))</f>
        <v>7.29</v>
      </c>
      <c r="H730" s="6">
        <f t="shared" si="11"/>
        <v>21.87</v>
      </c>
    </row>
    <row r="731" spans="1:8" x14ac:dyDescent="0.3">
      <c r="A731" s="1" t="s">
        <v>1417</v>
      </c>
      <c r="B731" s="2">
        <v>44634</v>
      </c>
      <c r="C731" s="3" t="s">
        <v>1418</v>
      </c>
      <c r="D731" s="4" t="s">
        <v>77</v>
      </c>
      <c r="E731" s="3">
        <v>1</v>
      </c>
      <c r="F731" s="5">
        <f>INDEX([1]products!$A$1:$G$49,MATCH([1]orders!$D731,[1]products!$A$1:$A$49,0),MATCH([1]orders!K$1,[1]products!$A$1:$G$1,0))</f>
        <v>0.2</v>
      </c>
      <c r="G731" s="6">
        <f>INDEX([1]products!$A$1:$G$49,MATCH([1]orders!$D731,[1]products!$A$1:$A$49,0),MATCH([1]orders!L$1,[1]products!$A$1:$G$1,0))</f>
        <v>4.3650000000000002</v>
      </c>
      <c r="H731" s="6">
        <f t="shared" si="11"/>
        <v>4.3650000000000002</v>
      </c>
    </row>
    <row r="732" spans="1:8" x14ac:dyDescent="0.3">
      <c r="A732" s="1" t="s">
        <v>1419</v>
      </c>
      <c r="B732" s="2">
        <v>43475</v>
      </c>
      <c r="C732" s="3" t="s">
        <v>1420</v>
      </c>
      <c r="D732" s="4" t="s">
        <v>104</v>
      </c>
      <c r="E732" s="3">
        <v>1</v>
      </c>
      <c r="F732" s="5">
        <f>INDEX([1]products!$A$1:$G$49,MATCH([1]orders!$D732,[1]products!$A$1:$A$49,0),MATCH([1]orders!K$1,[1]products!$A$1:$G$1,0))</f>
        <v>2.5</v>
      </c>
      <c r="G732" s="6">
        <f>INDEX([1]products!$A$1:$G$49,MATCH([1]orders!$D732,[1]products!$A$1:$A$49,0),MATCH([1]orders!L$1,[1]products!$A$1:$G$1,0))</f>
        <v>36.454999999999998</v>
      </c>
      <c r="H732" s="6">
        <f t="shared" si="11"/>
        <v>36.454999999999998</v>
      </c>
    </row>
    <row r="733" spans="1:8" x14ac:dyDescent="0.3">
      <c r="A733" s="1" t="s">
        <v>1421</v>
      </c>
      <c r="B733" s="2">
        <v>44222</v>
      </c>
      <c r="C733" s="3" t="s">
        <v>1422</v>
      </c>
      <c r="D733" s="4" t="s">
        <v>38</v>
      </c>
      <c r="E733" s="3">
        <v>4</v>
      </c>
      <c r="F733" s="5">
        <f>INDEX([1]products!$A$1:$G$49,MATCH([1]orders!$D733,[1]products!$A$1:$A$49,0),MATCH([1]orders!K$1,[1]products!$A$1:$G$1,0))</f>
        <v>0.2</v>
      </c>
      <c r="G733" s="6">
        <f>INDEX([1]products!$A$1:$G$49,MATCH([1]orders!$D733,[1]products!$A$1:$A$49,0),MATCH([1]orders!L$1,[1]products!$A$1:$G$1,0))</f>
        <v>3.8849999999999998</v>
      </c>
      <c r="H733" s="6">
        <f t="shared" si="11"/>
        <v>15.54</v>
      </c>
    </row>
    <row r="734" spans="1:8" x14ac:dyDescent="0.3">
      <c r="A734" s="1" t="s">
        <v>1423</v>
      </c>
      <c r="B734" s="2">
        <v>44312</v>
      </c>
      <c r="C734" s="3" t="s">
        <v>1424</v>
      </c>
      <c r="D734" s="4" t="s">
        <v>254</v>
      </c>
      <c r="E734" s="3">
        <v>2</v>
      </c>
      <c r="F734" s="5">
        <f>INDEX([1]products!$A$1:$G$49,MATCH([1]orders!$D734,[1]products!$A$1:$A$49,0),MATCH([1]orders!K$1,[1]products!$A$1:$G$1,0))</f>
        <v>0.2</v>
      </c>
      <c r="G734" s="6">
        <f>INDEX([1]products!$A$1:$G$49,MATCH([1]orders!$D734,[1]products!$A$1:$A$49,0),MATCH([1]orders!L$1,[1]products!$A$1:$G$1,0))</f>
        <v>4.4550000000000001</v>
      </c>
      <c r="H734" s="6">
        <f t="shared" si="11"/>
        <v>8.91</v>
      </c>
    </row>
    <row r="735" spans="1:8" x14ac:dyDescent="0.3">
      <c r="A735" s="1" t="s">
        <v>1425</v>
      </c>
      <c r="B735" s="2">
        <v>44565</v>
      </c>
      <c r="C735" s="3" t="s">
        <v>1426</v>
      </c>
      <c r="D735" s="4" t="s">
        <v>197</v>
      </c>
      <c r="E735" s="3">
        <v>3</v>
      </c>
      <c r="F735" s="5">
        <f>INDEX([1]products!$A$1:$G$49,MATCH([1]orders!$D735,[1]products!$A$1:$A$49,0),MATCH([1]orders!K$1,[1]products!$A$1:$G$1,0))</f>
        <v>2.5</v>
      </c>
      <c r="G735" s="6">
        <f>INDEX([1]products!$A$1:$G$49,MATCH([1]orders!$D735,[1]products!$A$1:$A$49,0),MATCH([1]orders!L$1,[1]products!$A$1:$G$1,0))</f>
        <v>33.464999999999996</v>
      </c>
      <c r="H735" s="6">
        <f t="shared" si="11"/>
        <v>100.39499999999998</v>
      </c>
    </row>
    <row r="736" spans="1:8" x14ac:dyDescent="0.3">
      <c r="A736" s="1" t="s">
        <v>1427</v>
      </c>
      <c r="B736" s="2">
        <v>43697</v>
      </c>
      <c r="C736" s="3" t="s">
        <v>1428</v>
      </c>
      <c r="D736" s="4" t="s">
        <v>101</v>
      </c>
      <c r="E736" s="3">
        <v>5</v>
      </c>
      <c r="F736" s="5">
        <f>INDEX([1]products!$A$1:$G$49,MATCH([1]orders!$D736,[1]products!$A$1:$A$49,0),MATCH([1]orders!K$1,[1]products!$A$1:$G$1,0))</f>
        <v>0.2</v>
      </c>
      <c r="G736" s="6">
        <f>INDEX([1]products!$A$1:$G$49,MATCH([1]orders!$D736,[1]products!$A$1:$A$49,0),MATCH([1]orders!L$1,[1]products!$A$1:$G$1,0))</f>
        <v>2.6849999999999996</v>
      </c>
      <c r="H736" s="6">
        <f t="shared" si="11"/>
        <v>13.424999999999997</v>
      </c>
    </row>
    <row r="737" spans="1:8" x14ac:dyDescent="0.3">
      <c r="A737" s="1" t="s">
        <v>1429</v>
      </c>
      <c r="B737" s="2">
        <v>44757</v>
      </c>
      <c r="C737" s="3" t="s">
        <v>1430</v>
      </c>
      <c r="D737" s="4" t="s">
        <v>51</v>
      </c>
      <c r="E737" s="3">
        <v>6</v>
      </c>
      <c r="F737" s="5">
        <f>INDEX([1]products!$A$1:$G$49,MATCH([1]orders!$D737,[1]products!$A$1:$A$49,0),MATCH([1]orders!K$1,[1]products!$A$1:$G$1,0))</f>
        <v>0.2</v>
      </c>
      <c r="G737" s="6">
        <f>INDEX([1]products!$A$1:$G$49,MATCH([1]orders!$D737,[1]products!$A$1:$A$49,0),MATCH([1]orders!L$1,[1]products!$A$1:$G$1,0))</f>
        <v>3.645</v>
      </c>
      <c r="H737" s="6">
        <f t="shared" si="11"/>
        <v>21.87</v>
      </c>
    </row>
    <row r="738" spans="1:8" x14ac:dyDescent="0.3">
      <c r="A738" s="1" t="s">
        <v>1431</v>
      </c>
      <c r="B738" s="2">
        <v>43508</v>
      </c>
      <c r="C738" s="3" t="s">
        <v>1432</v>
      </c>
      <c r="D738" s="4" t="s">
        <v>13</v>
      </c>
      <c r="E738" s="3">
        <v>2</v>
      </c>
      <c r="F738" s="5">
        <f>INDEX([1]products!$A$1:$G$49,MATCH([1]orders!$D738,[1]products!$A$1:$A$49,0),MATCH([1]orders!K$1,[1]products!$A$1:$G$1,0))</f>
        <v>1</v>
      </c>
      <c r="G738" s="6">
        <f>INDEX([1]products!$A$1:$G$49,MATCH([1]orders!$D738,[1]products!$A$1:$A$49,0),MATCH([1]orders!L$1,[1]products!$A$1:$G$1,0))</f>
        <v>12.95</v>
      </c>
      <c r="H738" s="6">
        <f t="shared" si="11"/>
        <v>25.9</v>
      </c>
    </row>
    <row r="739" spans="1:8" x14ac:dyDescent="0.3">
      <c r="A739" s="1" t="s">
        <v>1433</v>
      </c>
      <c r="B739" s="2">
        <v>44447</v>
      </c>
      <c r="C739" s="3" t="s">
        <v>1434</v>
      </c>
      <c r="D739" s="4" t="s">
        <v>61</v>
      </c>
      <c r="E739" s="3">
        <v>5</v>
      </c>
      <c r="F739" s="5">
        <f>INDEX([1]products!$A$1:$G$49,MATCH([1]orders!$D739,[1]products!$A$1:$A$49,0),MATCH([1]orders!K$1,[1]products!$A$1:$G$1,0))</f>
        <v>1</v>
      </c>
      <c r="G739" s="6">
        <f>INDEX([1]products!$A$1:$G$49,MATCH([1]orders!$D739,[1]products!$A$1:$A$49,0),MATCH([1]orders!L$1,[1]products!$A$1:$G$1,0))</f>
        <v>11.25</v>
      </c>
      <c r="H739" s="6">
        <f t="shared" si="11"/>
        <v>56.25</v>
      </c>
    </row>
    <row r="740" spans="1:8" x14ac:dyDescent="0.3">
      <c r="A740" s="1" t="s">
        <v>1435</v>
      </c>
      <c r="B740" s="2">
        <v>43812</v>
      </c>
      <c r="C740" s="3" t="s">
        <v>1436</v>
      </c>
      <c r="D740" s="4" t="s">
        <v>182</v>
      </c>
      <c r="E740" s="3">
        <v>3</v>
      </c>
      <c r="F740" s="5">
        <f>INDEX([1]products!$A$1:$G$49,MATCH([1]orders!$D740,[1]products!$A$1:$A$49,0),MATCH([1]orders!K$1,[1]products!$A$1:$G$1,0))</f>
        <v>0.2</v>
      </c>
      <c r="G740" s="6">
        <f>INDEX([1]products!$A$1:$G$49,MATCH([1]orders!$D740,[1]products!$A$1:$A$49,0),MATCH([1]orders!L$1,[1]products!$A$1:$G$1,0))</f>
        <v>3.5849999999999995</v>
      </c>
      <c r="H740" s="6">
        <f t="shared" si="11"/>
        <v>10.754999999999999</v>
      </c>
    </row>
    <row r="741" spans="1:8" x14ac:dyDescent="0.3">
      <c r="A741" s="1" t="s">
        <v>1437</v>
      </c>
      <c r="B741" s="2">
        <v>44433</v>
      </c>
      <c r="C741" s="3" t="s">
        <v>1344</v>
      </c>
      <c r="D741" s="4" t="s">
        <v>51</v>
      </c>
      <c r="E741" s="3">
        <v>5</v>
      </c>
      <c r="F741" s="5">
        <f>INDEX([1]products!$A$1:$G$49,MATCH([1]orders!$D741,[1]products!$A$1:$A$49,0),MATCH([1]orders!K$1,[1]products!$A$1:$G$1,0))</f>
        <v>0.2</v>
      </c>
      <c r="G741" s="6">
        <f>INDEX([1]products!$A$1:$G$49,MATCH([1]orders!$D741,[1]products!$A$1:$A$49,0),MATCH([1]orders!L$1,[1]products!$A$1:$G$1,0))</f>
        <v>3.645</v>
      </c>
      <c r="H741" s="6">
        <f t="shared" si="11"/>
        <v>18.225000000000001</v>
      </c>
    </row>
    <row r="742" spans="1:8" x14ac:dyDescent="0.3">
      <c r="A742" s="1" t="s">
        <v>1438</v>
      </c>
      <c r="B742" s="2">
        <v>44643</v>
      </c>
      <c r="C742" s="3" t="s">
        <v>1439</v>
      </c>
      <c r="D742" s="4" t="s">
        <v>157</v>
      </c>
      <c r="E742" s="3">
        <v>4</v>
      </c>
      <c r="F742" s="5">
        <f>INDEX([1]products!$A$1:$G$49,MATCH([1]orders!$D742,[1]products!$A$1:$A$49,0),MATCH([1]orders!K$1,[1]products!$A$1:$G$1,0))</f>
        <v>0.5</v>
      </c>
      <c r="G742" s="6">
        <f>INDEX([1]products!$A$1:$G$49,MATCH([1]orders!$D742,[1]products!$A$1:$A$49,0),MATCH([1]orders!L$1,[1]products!$A$1:$G$1,0))</f>
        <v>7.169999999999999</v>
      </c>
      <c r="H742" s="6">
        <f t="shared" si="11"/>
        <v>28.679999999999996</v>
      </c>
    </row>
    <row r="743" spans="1:8" x14ac:dyDescent="0.3">
      <c r="A743" s="1" t="s">
        <v>1440</v>
      </c>
      <c r="B743" s="2">
        <v>43566</v>
      </c>
      <c r="C743" s="3" t="s">
        <v>1441</v>
      </c>
      <c r="D743" s="4" t="s">
        <v>77</v>
      </c>
      <c r="E743" s="3">
        <v>2</v>
      </c>
      <c r="F743" s="5">
        <f>INDEX([1]products!$A$1:$G$49,MATCH([1]orders!$D743,[1]products!$A$1:$A$49,0),MATCH([1]orders!K$1,[1]products!$A$1:$G$1,0))</f>
        <v>0.2</v>
      </c>
      <c r="G743" s="6">
        <f>INDEX([1]products!$A$1:$G$49,MATCH([1]orders!$D743,[1]products!$A$1:$A$49,0),MATCH([1]orders!L$1,[1]products!$A$1:$G$1,0))</f>
        <v>4.3650000000000002</v>
      </c>
      <c r="H743" s="6">
        <f t="shared" si="11"/>
        <v>8.73</v>
      </c>
    </row>
    <row r="744" spans="1:8" x14ac:dyDescent="0.3">
      <c r="A744" s="1" t="s">
        <v>1442</v>
      </c>
      <c r="B744" s="2">
        <v>44133</v>
      </c>
      <c r="C744" s="3" t="s">
        <v>1443</v>
      </c>
      <c r="D744" s="4" t="s">
        <v>96</v>
      </c>
      <c r="E744" s="3">
        <v>4</v>
      </c>
      <c r="F744" s="5">
        <f>INDEX([1]products!$A$1:$G$49,MATCH([1]orders!$D744,[1]products!$A$1:$A$49,0),MATCH([1]orders!K$1,[1]products!$A$1:$G$1,0))</f>
        <v>1</v>
      </c>
      <c r="G744" s="6">
        <f>INDEX([1]products!$A$1:$G$49,MATCH([1]orders!$D744,[1]products!$A$1:$A$49,0),MATCH([1]orders!L$1,[1]products!$A$1:$G$1,0))</f>
        <v>14.55</v>
      </c>
      <c r="H744" s="6">
        <f t="shared" si="11"/>
        <v>58.2</v>
      </c>
    </row>
    <row r="745" spans="1:8" x14ac:dyDescent="0.3">
      <c r="A745" s="1" t="s">
        <v>1444</v>
      </c>
      <c r="B745" s="2">
        <v>44042</v>
      </c>
      <c r="C745" s="3" t="s">
        <v>1445</v>
      </c>
      <c r="D745" s="4" t="s">
        <v>72</v>
      </c>
      <c r="E745" s="3">
        <v>3</v>
      </c>
      <c r="F745" s="5">
        <f>INDEX([1]products!$A$1:$G$49,MATCH([1]orders!$D745,[1]products!$A$1:$A$49,0),MATCH([1]orders!K$1,[1]products!$A$1:$G$1,0))</f>
        <v>0.5</v>
      </c>
      <c r="G745" s="6">
        <f>INDEX([1]products!$A$1:$G$49,MATCH([1]orders!$D745,[1]products!$A$1:$A$49,0),MATCH([1]orders!L$1,[1]products!$A$1:$G$1,0))</f>
        <v>5.97</v>
      </c>
      <c r="H745" s="6">
        <f t="shared" si="11"/>
        <v>17.91</v>
      </c>
    </row>
    <row r="746" spans="1:8" x14ac:dyDescent="0.3">
      <c r="A746" s="1" t="s">
        <v>1446</v>
      </c>
      <c r="B746" s="2">
        <v>43539</v>
      </c>
      <c r="C746" s="3" t="s">
        <v>1447</v>
      </c>
      <c r="D746" s="4" t="s">
        <v>162</v>
      </c>
      <c r="E746" s="3">
        <v>6</v>
      </c>
      <c r="F746" s="5">
        <f>INDEX([1]products!$A$1:$G$49,MATCH([1]orders!$D746,[1]products!$A$1:$A$49,0),MATCH([1]orders!K$1,[1]products!$A$1:$G$1,0))</f>
        <v>0.2</v>
      </c>
      <c r="G746" s="6">
        <f>INDEX([1]products!$A$1:$G$49,MATCH([1]orders!$D746,[1]products!$A$1:$A$49,0),MATCH([1]orders!L$1,[1]products!$A$1:$G$1,0))</f>
        <v>2.9849999999999999</v>
      </c>
      <c r="H746" s="6">
        <f t="shared" si="11"/>
        <v>17.91</v>
      </c>
    </row>
    <row r="747" spans="1:8" x14ac:dyDescent="0.3">
      <c r="A747" s="1" t="s">
        <v>1448</v>
      </c>
      <c r="B747" s="2">
        <v>44557</v>
      </c>
      <c r="C747" s="3" t="s">
        <v>1449</v>
      </c>
      <c r="D747" s="4" t="s">
        <v>16</v>
      </c>
      <c r="E747" s="3">
        <v>2</v>
      </c>
      <c r="F747" s="5">
        <f>INDEX([1]products!$A$1:$G$49,MATCH([1]orders!$D747,[1]products!$A$1:$A$49,0),MATCH([1]orders!K$1,[1]products!$A$1:$G$1,0))</f>
        <v>0.5</v>
      </c>
      <c r="G747" s="6">
        <f>INDEX([1]products!$A$1:$G$49,MATCH([1]orders!$D747,[1]products!$A$1:$A$49,0),MATCH([1]orders!L$1,[1]products!$A$1:$G$1,0))</f>
        <v>7.29</v>
      </c>
      <c r="H747" s="6">
        <f t="shared" si="11"/>
        <v>14.58</v>
      </c>
    </row>
    <row r="748" spans="1:8" x14ac:dyDescent="0.3">
      <c r="A748" s="1" t="s">
        <v>1450</v>
      </c>
      <c r="B748" s="2">
        <v>43741</v>
      </c>
      <c r="C748" s="3" t="s">
        <v>1451</v>
      </c>
      <c r="D748" s="4" t="s">
        <v>61</v>
      </c>
      <c r="E748" s="3">
        <v>3</v>
      </c>
      <c r="F748" s="5">
        <f>INDEX([1]products!$A$1:$G$49,MATCH([1]orders!$D748,[1]products!$A$1:$A$49,0),MATCH([1]orders!K$1,[1]products!$A$1:$G$1,0))</f>
        <v>1</v>
      </c>
      <c r="G748" s="6">
        <f>INDEX([1]products!$A$1:$G$49,MATCH([1]orders!$D748,[1]products!$A$1:$A$49,0),MATCH([1]orders!L$1,[1]products!$A$1:$G$1,0))</f>
        <v>11.25</v>
      </c>
      <c r="H748" s="6">
        <f t="shared" si="11"/>
        <v>33.75</v>
      </c>
    </row>
    <row r="749" spans="1:8" x14ac:dyDescent="0.3">
      <c r="A749" s="1" t="s">
        <v>1452</v>
      </c>
      <c r="B749" s="2">
        <v>43501</v>
      </c>
      <c r="C749" s="3" t="s">
        <v>1453</v>
      </c>
      <c r="D749" s="4" t="s">
        <v>78</v>
      </c>
      <c r="E749" s="3">
        <v>4</v>
      </c>
      <c r="F749" s="5">
        <f>INDEX([1]products!$A$1:$G$49,MATCH([1]orders!$D749,[1]products!$A$1:$A$49,0),MATCH([1]orders!K$1,[1]products!$A$1:$G$1,0))</f>
        <v>0.5</v>
      </c>
      <c r="G749" s="6">
        <f>INDEX([1]products!$A$1:$G$49,MATCH([1]orders!$D749,[1]products!$A$1:$A$49,0),MATCH([1]orders!L$1,[1]products!$A$1:$G$1,0))</f>
        <v>8.73</v>
      </c>
      <c r="H749" s="6">
        <f t="shared" si="11"/>
        <v>34.92</v>
      </c>
    </row>
    <row r="750" spans="1:8" x14ac:dyDescent="0.3">
      <c r="A750" s="1" t="s">
        <v>1454</v>
      </c>
      <c r="B750" s="2">
        <v>44074</v>
      </c>
      <c r="C750" s="3" t="s">
        <v>1455</v>
      </c>
      <c r="D750" s="4" t="s">
        <v>16</v>
      </c>
      <c r="E750" s="3">
        <v>2</v>
      </c>
      <c r="F750" s="5">
        <f>INDEX([1]products!$A$1:$G$49,MATCH([1]orders!$D750,[1]products!$A$1:$A$49,0),MATCH([1]orders!K$1,[1]products!$A$1:$G$1,0))</f>
        <v>0.5</v>
      </c>
      <c r="G750" s="6">
        <f>INDEX([1]products!$A$1:$G$49,MATCH([1]orders!$D750,[1]products!$A$1:$A$49,0),MATCH([1]orders!L$1,[1]products!$A$1:$G$1,0))</f>
        <v>7.29</v>
      </c>
      <c r="H750" s="6">
        <f t="shared" si="11"/>
        <v>14.58</v>
      </c>
    </row>
    <row r="751" spans="1:8" x14ac:dyDescent="0.3">
      <c r="A751" s="1" t="s">
        <v>1456</v>
      </c>
      <c r="B751" s="2">
        <v>44209</v>
      </c>
      <c r="C751" s="3" t="s">
        <v>1457</v>
      </c>
      <c r="D751" s="4" t="s">
        <v>101</v>
      </c>
      <c r="E751" s="3">
        <v>2</v>
      </c>
      <c r="F751" s="5">
        <f>INDEX([1]products!$A$1:$G$49,MATCH([1]orders!$D751,[1]products!$A$1:$A$49,0),MATCH([1]orders!K$1,[1]products!$A$1:$G$1,0))</f>
        <v>0.2</v>
      </c>
      <c r="G751" s="6">
        <f>INDEX([1]products!$A$1:$G$49,MATCH([1]orders!$D751,[1]products!$A$1:$A$49,0),MATCH([1]orders!L$1,[1]products!$A$1:$G$1,0))</f>
        <v>2.6849999999999996</v>
      </c>
      <c r="H751" s="6">
        <f t="shared" si="11"/>
        <v>5.3699999999999992</v>
      </c>
    </row>
    <row r="752" spans="1:8" x14ac:dyDescent="0.3">
      <c r="A752" s="1" t="s">
        <v>1458</v>
      </c>
      <c r="B752" s="2">
        <v>44277</v>
      </c>
      <c r="C752" s="3" t="s">
        <v>1459</v>
      </c>
      <c r="D752" s="4" t="s">
        <v>22</v>
      </c>
      <c r="E752" s="3">
        <v>1</v>
      </c>
      <c r="F752" s="5">
        <f>INDEX([1]products!$A$1:$G$49,MATCH([1]orders!$D752,[1]products!$A$1:$A$49,0),MATCH([1]orders!K$1,[1]products!$A$1:$G$1,0))</f>
        <v>0.5</v>
      </c>
      <c r="G752" s="6">
        <f>INDEX([1]products!$A$1:$G$49,MATCH([1]orders!$D752,[1]products!$A$1:$A$49,0),MATCH([1]orders!L$1,[1]products!$A$1:$G$1,0))</f>
        <v>5.97</v>
      </c>
      <c r="H752" s="6">
        <f t="shared" si="11"/>
        <v>5.97</v>
      </c>
    </row>
    <row r="753" spans="1:8" x14ac:dyDescent="0.3">
      <c r="A753" s="1" t="s">
        <v>1460</v>
      </c>
      <c r="B753" s="2">
        <v>43847</v>
      </c>
      <c r="C753" s="3" t="s">
        <v>1461</v>
      </c>
      <c r="D753" s="4" t="s">
        <v>83</v>
      </c>
      <c r="E753" s="3">
        <v>2</v>
      </c>
      <c r="F753" s="5">
        <f>INDEX([1]products!$A$1:$G$49,MATCH([1]orders!$D753,[1]products!$A$1:$A$49,0),MATCH([1]orders!K$1,[1]products!$A$1:$G$1,0))</f>
        <v>0.5</v>
      </c>
      <c r="G753" s="6">
        <f>INDEX([1]products!$A$1:$G$49,MATCH([1]orders!$D753,[1]products!$A$1:$A$49,0),MATCH([1]orders!L$1,[1]products!$A$1:$G$1,0))</f>
        <v>9.51</v>
      </c>
      <c r="H753" s="6">
        <f t="shared" si="11"/>
        <v>19.02</v>
      </c>
    </row>
    <row r="754" spans="1:8" x14ac:dyDescent="0.3">
      <c r="A754" s="1" t="s">
        <v>1462</v>
      </c>
      <c r="B754" s="2">
        <v>43648</v>
      </c>
      <c r="C754" s="3" t="s">
        <v>1463</v>
      </c>
      <c r="D754" s="4" t="s">
        <v>9</v>
      </c>
      <c r="E754" s="3">
        <v>2</v>
      </c>
      <c r="F754" s="5">
        <f>INDEX([1]products!$A$1:$G$49,MATCH([1]orders!$D754,[1]products!$A$1:$A$49,0),MATCH([1]orders!K$1,[1]products!$A$1:$G$1,0))</f>
        <v>1</v>
      </c>
      <c r="G754" s="6">
        <f>INDEX([1]products!$A$1:$G$49,MATCH([1]orders!$D754,[1]products!$A$1:$A$49,0),MATCH([1]orders!L$1,[1]products!$A$1:$G$1,0))</f>
        <v>13.75</v>
      </c>
      <c r="H754" s="6">
        <f t="shared" si="11"/>
        <v>27.5</v>
      </c>
    </row>
    <row r="755" spans="1:8" x14ac:dyDescent="0.3">
      <c r="A755" s="1" t="s">
        <v>1464</v>
      </c>
      <c r="B755" s="2">
        <v>44704</v>
      </c>
      <c r="C755" s="3" t="s">
        <v>1465</v>
      </c>
      <c r="D755" s="4" t="s">
        <v>72</v>
      </c>
      <c r="E755" s="3">
        <v>5</v>
      </c>
      <c r="F755" s="5">
        <f>INDEX([1]products!$A$1:$G$49,MATCH([1]orders!$D755,[1]products!$A$1:$A$49,0),MATCH([1]orders!K$1,[1]products!$A$1:$G$1,0))</f>
        <v>0.5</v>
      </c>
      <c r="G755" s="6">
        <f>INDEX([1]products!$A$1:$G$49,MATCH([1]orders!$D755,[1]products!$A$1:$A$49,0),MATCH([1]orders!L$1,[1]products!$A$1:$G$1,0))</f>
        <v>5.97</v>
      </c>
      <c r="H755" s="6">
        <f t="shared" si="11"/>
        <v>29.849999999999998</v>
      </c>
    </row>
    <row r="756" spans="1:8" x14ac:dyDescent="0.3">
      <c r="A756" s="1" t="s">
        <v>1466</v>
      </c>
      <c r="B756" s="2">
        <v>44726</v>
      </c>
      <c r="C756" s="3" t="s">
        <v>1344</v>
      </c>
      <c r="D756" s="4" t="s">
        <v>54</v>
      </c>
      <c r="E756" s="3">
        <v>6</v>
      </c>
      <c r="F756" s="5">
        <f>INDEX([1]products!$A$1:$G$49,MATCH([1]orders!$D756,[1]products!$A$1:$A$49,0),MATCH([1]orders!K$1,[1]products!$A$1:$G$1,0))</f>
        <v>0.2</v>
      </c>
      <c r="G756" s="6">
        <f>INDEX([1]products!$A$1:$G$49,MATCH([1]orders!$D756,[1]products!$A$1:$A$49,0),MATCH([1]orders!L$1,[1]products!$A$1:$G$1,0))</f>
        <v>2.9849999999999999</v>
      </c>
      <c r="H756" s="6">
        <f t="shared" si="11"/>
        <v>17.91</v>
      </c>
    </row>
    <row r="757" spans="1:8" x14ac:dyDescent="0.3">
      <c r="A757" s="1" t="s">
        <v>1467</v>
      </c>
      <c r="B757" s="2">
        <v>44397</v>
      </c>
      <c r="C757" s="3" t="s">
        <v>1468</v>
      </c>
      <c r="D757" s="4" t="s">
        <v>19</v>
      </c>
      <c r="E757" s="3">
        <v>6</v>
      </c>
      <c r="F757" s="5">
        <f>INDEX([1]products!$A$1:$G$49,MATCH([1]orders!$D757,[1]products!$A$1:$A$49,0),MATCH([1]orders!K$1,[1]products!$A$1:$G$1,0))</f>
        <v>0.2</v>
      </c>
      <c r="G757" s="6">
        <f>INDEX([1]products!$A$1:$G$49,MATCH([1]orders!$D757,[1]products!$A$1:$A$49,0),MATCH([1]orders!L$1,[1]products!$A$1:$G$1,0))</f>
        <v>4.7549999999999999</v>
      </c>
      <c r="H757" s="6">
        <f t="shared" si="11"/>
        <v>28.53</v>
      </c>
    </row>
    <row r="758" spans="1:8" x14ac:dyDescent="0.3">
      <c r="A758" s="1" t="s">
        <v>1469</v>
      </c>
      <c r="B758" s="2">
        <v>44715</v>
      </c>
      <c r="C758" s="3" t="s">
        <v>1470</v>
      </c>
      <c r="D758" s="4" t="s">
        <v>179</v>
      </c>
      <c r="E758" s="3">
        <v>4</v>
      </c>
      <c r="F758" s="5">
        <f>INDEX([1]products!$A$1:$G$49,MATCH([1]orders!$D758,[1]products!$A$1:$A$49,0),MATCH([1]orders!K$1,[1]products!$A$1:$G$1,0))</f>
        <v>1</v>
      </c>
      <c r="G758" s="6">
        <f>INDEX([1]products!$A$1:$G$49,MATCH([1]orders!$D758,[1]products!$A$1:$A$49,0),MATCH([1]orders!L$1,[1]products!$A$1:$G$1,0))</f>
        <v>8.9499999999999993</v>
      </c>
      <c r="H758" s="6">
        <f t="shared" si="11"/>
        <v>35.799999999999997</v>
      </c>
    </row>
    <row r="759" spans="1:8" x14ac:dyDescent="0.3">
      <c r="A759" s="1" t="s">
        <v>1471</v>
      </c>
      <c r="B759" s="2">
        <v>43977</v>
      </c>
      <c r="C759" s="3" t="s">
        <v>1472</v>
      </c>
      <c r="D759" s="4" t="s">
        <v>72</v>
      </c>
      <c r="E759" s="3">
        <v>3</v>
      </c>
      <c r="F759" s="5">
        <f>INDEX([1]products!$A$1:$G$49,MATCH([1]orders!$D759,[1]products!$A$1:$A$49,0),MATCH([1]orders!K$1,[1]products!$A$1:$G$1,0))</f>
        <v>0.5</v>
      </c>
      <c r="G759" s="6">
        <f>INDEX([1]products!$A$1:$G$49,MATCH([1]orders!$D759,[1]products!$A$1:$A$49,0),MATCH([1]orders!L$1,[1]products!$A$1:$G$1,0))</f>
        <v>5.97</v>
      </c>
      <c r="H759" s="6">
        <f t="shared" si="11"/>
        <v>17.91</v>
      </c>
    </row>
    <row r="760" spans="1:8" x14ac:dyDescent="0.3">
      <c r="A760" s="1" t="s">
        <v>1473</v>
      </c>
      <c r="B760" s="2">
        <v>43672</v>
      </c>
      <c r="C760" s="3" t="s">
        <v>1474</v>
      </c>
      <c r="D760" s="4" t="s">
        <v>179</v>
      </c>
      <c r="E760" s="3">
        <v>1</v>
      </c>
      <c r="F760" s="5">
        <f>INDEX([1]products!$A$1:$G$49,MATCH([1]orders!$D760,[1]products!$A$1:$A$49,0),MATCH([1]orders!K$1,[1]products!$A$1:$G$1,0))</f>
        <v>1</v>
      </c>
      <c r="G760" s="6">
        <f>INDEX([1]products!$A$1:$G$49,MATCH([1]orders!$D760,[1]products!$A$1:$A$49,0),MATCH([1]orders!L$1,[1]products!$A$1:$G$1,0))</f>
        <v>8.9499999999999993</v>
      </c>
      <c r="H760" s="6">
        <f t="shared" si="11"/>
        <v>8.9499999999999993</v>
      </c>
    </row>
    <row r="761" spans="1:8" x14ac:dyDescent="0.3">
      <c r="A761" s="1" t="s">
        <v>1475</v>
      </c>
      <c r="B761" s="2">
        <v>44126</v>
      </c>
      <c r="C761" s="3" t="s">
        <v>1476</v>
      </c>
      <c r="D761" s="4" t="s">
        <v>109</v>
      </c>
      <c r="E761" s="3">
        <v>1</v>
      </c>
      <c r="F761" s="5">
        <f>INDEX([1]products!$A$1:$G$49,MATCH([1]orders!$D761,[1]products!$A$1:$A$49,0),MATCH([1]orders!K$1,[1]products!$A$1:$G$1,0))</f>
        <v>2.5</v>
      </c>
      <c r="G761" s="6">
        <f>INDEX([1]products!$A$1:$G$49,MATCH([1]orders!$D761,[1]products!$A$1:$A$49,0),MATCH([1]orders!L$1,[1]products!$A$1:$G$1,0))</f>
        <v>29.784999999999997</v>
      </c>
      <c r="H761" s="6">
        <f t="shared" si="11"/>
        <v>29.784999999999997</v>
      </c>
    </row>
    <row r="762" spans="1:8" x14ac:dyDescent="0.3">
      <c r="A762" s="1" t="s">
        <v>1477</v>
      </c>
      <c r="B762" s="2">
        <v>44189</v>
      </c>
      <c r="C762" s="3" t="s">
        <v>1478</v>
      </c>
      <c r="D762" s="4" t="s">
        <v>176</v>
      </c>
      <c r="E762" s="3">
        <v>5</v>
      </c>
      <c r="F762" s="5">
        <f>INDEX([1]products!$A$1:$G$49,MATCH([1]orders!$D762,[1]products!$A$1:$A$49,0),MATCH([1]orders!K$1,[1]products!$A$1:$G$1,0))</f>
        <v>0.5</v>
      </c>
      <c r="G762" s="6">
        <f>INDEX([1]products!$A$1:$G$49,MATCH([1]orders!$D762,[1]products!$A$1:$A$49,0),MATCH([1]orders!L$1,[1]products!$A$1:$G$1,0))</f>
        <v>8.91</v>
      </c>
      <c r="H762" s="6">
        <f t="shared" si="11"/>
        <v>44.55</v>
      </c>
    </row>
    <row r="763" spans="1:8" x14ac:dyDescent="0.3">
      <c r="A763" s="1" t="s">
        <v>1479</v>
      </c>
      <c r="B763" s="2">
        <v>43714</v>
      </c>
      <c r="C763" s="3" t="s">
        <v>1480</v>
      </c>
      <c r="D763" s="4" t="s">
        <v>137</v>
      </c>
      <c r="E763" s="3">
        <v>6</v>
      </c>
      <c r="F763" s="5">
        <f>INDEX([1]products!$A$1:$G$49,MATCH([1]orders!$D763,[1]products!$A$1:$A$49,0),MATCH([1]orders!K$1,[1]products!$A$1:$G$1,0))</f>
        <v>1</v>
      </c>
      <c r="G763" s="6">
        <f>INDEX([1]products!$A$1:$G$49,MATCH([1]orders!$D763,[1]products!$A$1:$A$49,0),MATCH([1]orders!L$1,[1]products!$A$1:$G$1,0))</f>
        <v>14.85</v>
      </c>
      <c r="H763" s="6">
        <f t="shared" si="11"/>
        <v>89.1</v>
      </c>
    </row>
    <row r="764" spans="1:8" x14ac:dyDescent="0.3">
      <c r="A764" s="1" t="s">
        <v>1481</v>
      </c>
      <c r="B764" s="2">
        <v>43563</v>
      </c>
      <c r="C764" s="3" t="s">
        <v>1482</v>
      </c>
      <c r="D764" s="4" t="s">
        <v>78</v>
      </c>
      <c r="E764" s="3">
        <v>5</v>
      </c>
      <c r="F764" s="5">
        <f>INDEX([1]products!$A$1:$G$49,MATCH([1]orders!$D764,[1]products!$A$1:$A$49,0),MATCH([1]orders!K$1,[1]products!$A$1:$G$1,0))</f>
        <v>0.5</v>
      </c>
      <c r="G764" s="6">
        <f>INDEX([1]products!$A$1:$G$49,MATCH([1]orders!$D764,[1]products!$A$1:$A$49,0),MATCH([1]orders!L$1,[1]products!$A$1:$G$1,0))</f>
        <v>8.73</v>
      </c>
      <c r="H764" s="6">
        <f t="shared" si="11"/>
        <v>43.650000000000006</v>
      </c>
    </row>
    <row r="765" spans="1:8" x14ac:dyDescent="0.3">
      <c r="A765" s="1" t="s">
        <v>1483</v>
      </c>
      <c r="B765" s="2">
        <v>44587</v>
      </c>
      <c r="C765" s="3" t="s">
        <v>1484</v>
      </c>
      <c r="D765" s="4" t="s">
        <v>192</v>
      </c>
      <c r="E765" s="3">
        <v>3</v>
      </c>
      <c r="F765" s="5">
        <f>INDEX([1]products!$A$1:$G$49,MATCH([1]orders!$D765,[1]products!$A$1:$A$49,0),MATCH([1]orders!K$1,[1]products!$A$1:$G$1,0))</f>
        <v>0.5</v>
      </c>
      <c r="G765" s="6">
        <f>INDEX([1]products!$A$1:$G$49,MATCH([1]orders!$D765,[1]products!$A$1:$A$49,0),MATCH([1]orders!L$1,[1]products!$A$1:$G$1,0))</f>
        <v>7.77</v>
      </c>
      <c r="H765" s="6">
        <f t="shared" si="11"/>
        <v>23.31</v>
      </c>
    </row>
    <row r="766" spans="1:8" x14ac:dyDescent="0.3">
      <c r="A766" s="1" t="s">
        <v>1485</v>
      </c>
      <c r="B766" s="2">
        <v>43797</v>
      </c>
      <c r="C766" s="3" t="s">
        <v>1486</v>
      </c>
      <c r="D766" s="4" t="s">
        <v>204</v>
      </c>
      <c r="E766" s="3">
        <v>6</v>
      </c>
      <c r="F766" s="5">
        <f>INDEX([1]products!$A$1:$G$49,MATCH([1]orders!$D766,[1]products!$A$1:$A$49,0),MATCH([1]orders!K$1,[1]products!$A$1:$G$1,0))</f>
        <v>2.5</v>
      </c>
      <c r="G766" s="6">
        <f>INDEX([1]products!$A$1:$G$49,MATCH([1]orders!$D766,[1]products!$A$1:$A$49,0),MATCH([1]orders!L$1,[1]products!$A$1:$G$1,0))</f>
        <v>29.784999999999997</v>
      </c>
      <c r="H766" s="6">
        <f t="shared" si="11"/>
        <v>178.70999999999998</v>
      </c>
    </row>
    <row r="767" spans="1:8" x14ac:dyDescent="0.3">
      <c r="A767" s="1" t="s">
        <v>1487</v>
      </c>
      <c r="B767" s="2">
        <v>43667</v>
      </c>
      <c r="C767" s="3" t="s">
        <v>1488</v>
      </c>
      <c r="D767" s="4" t="s">
        <v>2</v>
      </c>
      <c r="E767" s="3">
        <v>6</v>
      </c>
      <c r="F767" s="5">
        <f>INDEX([1]products!$A$1:$G$49,MATCH([1]orders!$D767,[1]products!$A$1:$A$49,0),MATCH([1]orders!K$1,[1]products!$A$1:$G$1,0))</f>
        <v>1</v>
      </c>
      <c r="G767" s="6">
        <f>INDEX([1]products!$A$1:$G$49,MATCH([1]orders!$D767,[1]products!$A$1:$A$49,0),MATCH([1]orders!L$1,[1]products!$A$1:$G$1,0))</f>
        <v>9.9499999999999993</v>
      </c>
      <c r="H767" s="6">
        <f t="shared" si="11"/>
        <v>59.699999999999996</v>
      </c>
    </row>
    <row r="768" spans="1:8" x14ac:dyDescent="0.3">
      <c r="A768" s="1" t="s">
        <v>1487</v>
      </c>
      <c r="B768" s="2">
        <v>43667</v>
      </c>
      <c r="C768" s="3" t="s">
        <v>1488</v>
      </c>
      <c r="D768" s="4" t="s">
        <v>192</v>
      </c>
      <c r="E768" s="3">
        <v>2</v>
      </c>
      <c r="F768" s="5">
        <f>INDEX([1]products!$A$1:$G$49,MATCH([1]orders!$D768,[1]products!$A$1:$A$49,0),MATCH([1]orders!K$1,[1]products!$A$1:$G$1,0))</f>
        <v>0.5</v>
      </c>
      <c r="G768" s="6">
        <f>INDEX([1]products!$A$1:$G$49,MATCH([1]orders!$D768,[1]products!$A$1:$A$49,0),MATCH([1]orders!L$1,[1]products!$A$1:$G$1,0))</f>
        <v>7.77</v>
      </c>
      <c r="H768" s="6">
        <f t="shared" si="11"/>
        <v>15.54</v>
      </c>
    </row>
    <row r="769" spans="1:8" x14ac:dyDescent="0.3">
      <c r="A769" s="1" t="s">
        <v>1489</v>
      </c>
      <c r="B769" s="2">
        <v>44267</v>
      </c>
      <c r="C769" s="3" t="s">
        <v>1468</v>
      </c>
      <c r="D769" s="4" t="s">
        <v>204</v>
      </c>
      <c r="E769" s="3">
        <v>3</v>
      </c>
      <c r="F769" s="5">
        <f>INDEX([1]products!$A$1:$G$49,MATCH([1]orders!$D769,[1]products!$A$1:$A$49,0),MATCH([1]orders!K$1,[1]products!$A$1:$G$1,0))</f>
        <v>2.5</v>
      </c>
      <c r="G769" s="6">
        <f>INDEX([1]products!$A$1:$G$49,MATCH([1]orders!$D769,[1]products!$A$1:$A$49,0),MATCH([1]orders!L$1,[1]products!$A$1:$G$1,0))</f>
        <v>29.784999999999997</v>
      </c>
      <c r="H769" s="6">
        <f t="shared" si="11"/>
        <v>89.35499999999999</v>
      </c>
    </row>
    <row r="770" spans="1:8" x14ac:dyDescent="0.3">
      <c r="A770" s="1" t="s">
        <v>1490</v>
      </c>
      <c r="B770" s="2">
        <v>44562</v>
      </c>
      <c r="C770" s="3" t="s">
        <v>1468</v>
      </c>
      <c r="D770" s="4" t="s">
        <v>189</v>
      </c>
      <c r="E770" s="3">
        <v>2</v>
      </c>
      <c r="F770" s="5">
        <f>INDEX([1]products!$A$1:$G$49,MATCH([1]orders!$D770,[1]products!$A$1:$A$49,0),MATCH([1]orders!K$1,[1]products!$A$1:$G$1,0))</f>
        <v>1</v>
      </c>
      <c r="G770" s="6">
        <f>INDEX([1]products!$A$1:$G$49,MATCH([1]orders!$D770,[1]products!$A$1:$A$49,0),MATCH([1]orders!L$1,[1]products!$A$1:$G$1,0))</f>
        <v>11.95</v>
      </c>
      <c r="H770" s="6">
        <f t="shared" ref="H770:H833" si="12">E770*G770</f>
        <v>23.9</v>
      </c>
    </row>
    <row r="771" spans="1:8" x14ac:dyDescent="0.3">
      <c r="A771" s="1" t="s">
        <v>1491</v>
      </c>
      <c r="B771" s="2">
        <v>43912</v>
      </c>
      <c r="C771" s="3" t="s">
        <v>1492</v>
      </c>
      <c r="D771" s="4" t="s">
        <v>41</v>
      </c>
      <c r="E771" s="3">
        <v>6</v>
      </c>
      <c r="F771" s="5">
        <f>INDEX([1]products!$A$1:$G$49,MATCH([1]orders!$D771,[1]products!$A$1:$A$49,0),MATCH([1]orders!K$1,[1]products!$A$1:$G$1,0))</f>
        <v>2.5</v>
      </c>
      <c r="G771" s="6">
        <f>INDEX([1]products!$A$1:$G$49,MATCH([1]orders!$D771,[1]products!$A$1:$A$49,0),MATCH([1]orders!L$1,[1]products!$A$1:$G$1,0))</f>
        <v>22.884999999999998</v>
      </c>
      <c r="H771" s="6">
        <f t="shared" si="12"/>
        <v>137.31</v>
      </c>
    </row>
    <row r="772" spans="1:8" x14ac:dyDescent="0.3">
      <c r="A772" s="1" t="s">
        <v>1493</v>
      </c>
      <c r="B772" s="2">
        <v>44092</v>
      </c>
      <c r="C772" s="3" t="s">
        <v>1494</v>
      </c>
      <c r="D772" s="4" t="s">
        <v>27</v>
      </c>
      <c r="E772" s="3">
        <v>1</v>
      </c>
      <c r="F772" s="5">
        <f>INDEX([1]products!$A$1:$G$49,MATCH([1]orders!$D772,[1]products!$A$1:$A$49,0),MATCH([1]orders!K$1,[1]products!$A$1:$G$1,0))</f>
        <v>1</v>
      </c>
      <c r="G772" s="6">
        <f>INDEX([1]products!$A$1:$G$49,MATCH([1]orders!$D772,[1]products!$A$1:$A$49,0),MATCH([1]orders!L$1,[1]products!$A$1:$G$1,0))</f>
        <v>9.9499999999999993</v>
      </c>
      <c r="H772" s="6">
        <f t="shared" si="12"/>
        <v>9.9499999999999993</v>
      </c>
    </row>
    <row r="773" spans="1:8" x14ac:dyDescent="0.3">
      <c r="A773" s="1" t="s">
        <v>1495</v>
      </c>
      <c r="B773" s="2">
        <v>43468</v>
      </c>
      <c r="C773" s="3" t="s">
        <v>1496</v>
      </c>
      <c r="D773" s="4" t="s">
        <v>157</v>
      </c>
      <c r="E773" s="3">
        <v>3</v>
      </c>
      <c r="F773" s="5">
        <f>INDEX([1]products!$A$1:$G$49,MATCH([1]orders!$D773,[1]products!$A$1:$A$49,0),MATCH([1]orders!K$1,[1]products!$A$1:$G$1,0))</f>
        <v>0.5</v>
      </c>
      <c r="G773" s="6">
        <f>INDEX([1]products!$A$1:$G$49,MATCH([1]orders!$D773,[1]products!$A$1:$A$49,0),MATCH([1]orders!L$1,[1]products!$A$1:$G$1,0))</f>
        <v>7.169999999999999</v>
      </c>
      <c r="H773" s="6">
        <f t="shared" si="12"/>
        <v>21.509999999999998</v>
      </c>
    </row>
    <row r="774" spans="1:8" x14ac:dyDescent="0.3">
      <c r="A774" s="1" t="s">
        <v>1497</v>
      </c>
      <c r="B774" s="2">
        <v>44468</v>
      </c>
      <c r="C774" s="3" t="s">
        <v>1498</v>
      </c>
      <c r="D774" s="4" t="s">
        <v>9</v>
      </c>
      <c r="E774" s="3">
        <v>6</v>
      </c>
      <c r="F774" s="5">
        <f>INDEX([1]products!$A$1:$G$49,MATCH([1]orders!$D774,[1]products!$A$1:$A$49,0),MATCH([1]orders!K$1,[1]products!$A$1:$G$1,0))</f>
        <v>1</v>
      </c>
      <c r="G774" s="6">
        <f>INDEX([1]products!$A$1:$G$49,MATCH([1]orders!$D774,[1]products!$A$1:$A$49,0),MATCH([1]orders!L$1,[1]products!$A$1:$G$1,0))</f>
        <v>13.75</v>
      </c>
      <c r="H774" s="6">
        <f t="shared" si="12"/>
        <v>82.5</v>
      </c>
    </row>
    <row r="775" spans="1:8" x14ac:dyDescent="0.3">
      <c r="A775" s="1" t="s">
        <v>1499</v>
      </c>
      <c r="B775" s="2">
        <v>44488</v>
      </c>
      <c r="C775" s="3" t="s">
        <v>1500</v>
      </c>
      <c r="D775" s="4" t="s">
        <v>77</v>
      </c>
      <c r="E775" s="3">
        <v>2</v>
      </c>
      <c r="F775" s="5">
        <f>INDEX([1]products!$A$1:$G$49,MATCH([1]orders!$D775,[1]products!$A$1:$A$49,0),MATCH([1]orders!K$1,[1]products!$A$1:$G$1,0))</f>
        <v>0.2</v>
      </c>
      <c r="G775" s="6">
        <f>INDEX([1]products!$A$1:$G$49,MATCH([1]orders!$D775,[1]products!$A$1:$A$49,0),MATCH([1]orders!L$1,[1]products!$A$1:$G$1,0))</f>
        <v>4.3650000000000002</v>
      </c>
      <c r="H775" s="6">
        <f t="shared" si="12"/>
        <v>8.73</v>
      </c>
    </row>
    <row r="776" spans="1:8" x14ac:dyDescent="0.3">
      <c r="A776" s="1" t="s">
        <v>1501</v>
      </c>
      <c r="B776" s="2">
        <v>44756</v>
      </c>
      <c r="C776" s="3" t="s">
        <v>1502</v>
      </c>
      <c r="D776" s="4" t="s">
        <v>2</v>
      </c>
      <c r="E776" s="3">
        <v>2</v>
      </c>
      <c r="F776" s="5">
        <f>INDEX([1]products!$A$1:$G$49,MATCH([1]orders!$D776,[1]products!$A$1:$A$49,0),MATCH([1]orders!K$1,[1]products!$A$1:$G$1,0))</f>
        <v>1</v>
      </c>
      <c r="G776" s="6">
        <f>INDEX([1]products!$A$1:$G$49,MATCH([1]orders!$D776,[1]products!$A$1:$A$49,0),MATCH([1]orders!L$1,[1]products!$A$1:$G$1,0))</f>
        <v>9.9499999999999993</v>
      </c>
      <c r="H776" s="6">
        <f t="shared" si="12"/>
        <v>19.899999999999999</v>
      </c>
    </row>
    <row r="777" spans="1:8" x14ac:dyDescent="0.3">
      <c r="A777" s="1" t="s">
        <v>1503</v>
      </c>
      <c r="B777" s="2">
        <v>44396</v>
      </c>
      <c r="C777" s="3" t="s">
        <v>1504</v>
      </c>
      <c r="D777" s="4" t="s">
        <v>176</v>
      </c>
      <c r="E777" s="3">
        <v>2</v>
      </c>
      <c r="F777" s="5">
        <f>INDEX([1]products!$A$1:$G$49,MATCH([1]orders!$D777,[1]products!$A$1:$A$49,0),MATCH([1]orders!K$1,[1]products!$A$1:$G$1,0))</f>
        <v>0.5</v>
      </c>
      <c r="G777" s="6">
        <f>INDEX([1]products!$A$1:$G$49,MATCH([1]orders!$D777,[1]products!$A$1:$A$49,0),MATCH([1]orders!L$1,[1]products!$A$1:$G$1,0))</f>
        <v>8.91</v>
      </c>
      <c r="H777" s="6">
        <f t="shared" si="12"/>
        <v>17.82</v>
      </c>
    </row>
    <row r="778" spans="1:8" x14ac:dyDescent="0.3">
      <c r="A778" s="1" t="s">
        <v>1505</v>
      </c>
      <c r="B778" s="2">
        <v>44540</v>
      </c>
      <c r="C778" s="3" t="s">
        <v>1506</v>
      </c>
      <c r="D778" s="4" t="s">
        <v>67</v>
      </c>
      <c r="E778" s="3">
        <v>3</v>
      </c>
      <c r="F778" s="5">
        <f>INDEX([1]products!$A$1:$G$49,MATCH([1]orders!$D778,[1]products!$A$1:$A$49,0),MATCH([1]orders!K$1,[1]products!$A$1:$G$1,0))</f>
        <v>0.5</v>
      </c>
      <c r="G778" s="6">
        <f>INDEX([1]products!$A$1:$G$49,MATCH([1]orders!$D778,[1]products!$A$1:$A$49,0),MATCH([1]orders!L$1,[1]products!$A$1:$G$1,0))</f>
        <v>6.75</v>
      </c>
      <c r="H778" s="6">
        <f t="shared" si="12"/>
        <v>20.25</v>
      </c>
    </row>
    <row r="779" spans="1:8" x14ac:dyDescent="0.3">
      <c r="A779" s="1" t="s">
        <v>1507</v>
      </c>
      <c r="B779" s="2">
        <v>43541</v>
      </c>
      <c r="C779" s="3" t="s">
        <v>1508</v>
      </c>
      <c r="D779" s="4" t="s">
        <v>204</v>
      </c>
      <c r="E779" s="3">
        <v>2</v>
      </c>
      <c r="F779" s="5">
        <f>INDEX([1]products!$A$1:$G$49,MATCH([1]orders!$D779,[1]products!$A$1:$A$49,0),MATCH([1]orders!K$1,[1]products!$A$1:$G$1,0))</f>
        <v>2.5</v>
      </c>
      <c r="G779" s="6">
        <f>INDEX([1]products!$A$1:$G$49,MATCH([1]orders!$D779,[1]products!$A$1:$A$49,0),MATCH([1]orders!L$1,[1]products!$A$1:$G$1,0))</f>
        <v>29.784999999999997</v>
      </c>
      <c r="H779" s="6">
        <f t="shared" si="12"/>
        <v>59.569999999999993</v>
      </c>
    </row>
    <row r="780" spans="1:8" x14ac:dyDescent="0.3">
      <c r="A780" s="1" t="s">
        <v>1509</v>
      </c>
      <c r="B780" s="2">
        <v>43889</v>
      </c>
      <c r="C780" s="3" t="s">
        <v>1510</v>
      </c>
      <c r="D780" s="4" t="s">
        <v>83</v>
      </c>
      <c r="E780" s="3">
        <v>2</v>
      </c>
      <c r="F780" s="5">
        <f>INDEX([1]products!$A$1:$G$49,MATCH([1]orders!$D780,[1]products!$A$1:$A$49,0),MATCH([1]orders!K$1,[1]products!$A$1:$G$1,0))</f>
        <v>0.5</v>
      </c>
      <c r="G780" s="6">
        <f>INDEX([1]products!$A$1:$G$49,MATCH([1]orders!$D780,[1]products!$A$1:$A$49,0),MATCH([1]orders!L$1,[1]products!$A$1:$G$1,0))</f>
        <v>9.51</v>
      </c>
      <c r="H780" s="6">
        <f t="shared" si="12"/>
        <v>19.02</v>
      </c>
    </row>
    <row r="781" spans="1:8" x14ac:dyDescent="0.3">
      <c r="A781" s="1" t="s">
        <v>1511</v>
      </c>
      <c r="B781" s="2">
        <v>43985</v>
      </c>
      <c r="C781" s="3" t="s">
        <v>1512</v>
      </c>
      <c r="D781" s="4" t="s">
        <v>13</v>
      </c>
      <c r="E781" s="3">
        <v>6</v>
      </c>
      <c r="F781" s="5">
        <f>INDEX([1]products!$A$1:$G$49,MATCH([1]orders!$D781,[1]products!$A$1:$A$49,0),MATCH([1]orders!K$1,[1]products!$A$1:$G$1,0))</f>
        <v>1</v>
      </c>
      <c r="G781" s="6">
        <f>INDEX([1]products!$A$1:$G$49,MATCH([1]orders!$D781,[1]products!$A$1:$A$49,0),MATCH([1]orders!L$1,[1]products!$A$1:$G$1,0))</f>
        <v>12.95</v>
      </c>
      <c r="H781" s="6">
        <f t="shared" si="12"/>
        <v>77.699999999999989</v>
      </c>
    </row>
    <row r="782" spans="1:8" x14ac:dyDescent="0.3">
      <c r="A782" s="1" t="s">
        <v>1513</v>
      </c>
      <c r="B782" s="2">
        <v>43883</v>
      </c>
      <c r="C782" s="3" t="s">
        <v>1514</v>
      </c>
      <c r="D782" s="4" t="s">
        <v>9</v>
      </c>
      <c r="E782" s="3">
        <v>3</v>
      </c>
      <c r="F782" s="5">
        <f>INDEX([1]products!$A$1:$G$49,MATCH([1]orders!$D782,[1]products!$A$1:$A$49,0),MATCH([1]orders!K$1,[1]products!$A$1:$G$1,0))</f>
        <v>1</v>
      </c>
      <c r="G782" s="6">
        <f>INDEX([1]products!$A$1:$G$49,MATCH([1]orders!$D782,[1]products!$A$1:$A$49,0),MATCH([1]orders!L$1,[1]products!$A$1:$G$1,0))</f>
        <v>13.75</v>
      </c>
      <c r="H782" s="6">
        <f t="shared" si="12"/>
        <v>41.25</v>
      </c>
    </row>
    <row r="783" spans="1:8" x14ac:dyDescent="0.3">
      <c r="A783" s="1" t="s">
        <v>1515</v>
      </c>
      <c r="B783" s="2">
        <v>43778</v>
      </c>
      <c r="C783" s="3" t="s">
        <v>1516</v>
      </c>
      <c r="D783" s="4" t="s">
        <v>104</v>
      </c>
      <c r="E783" s="3">
        <v>4</v>
      </c>
      <c r="F783" s="5">
        <f>INDEX([1]products!$A$1:$G$49,MATCH([1]orders!$D783,[1]products!$A$1:$A$49,0),MATCH([1]orders!K$1,[1]products!$A$1:$G$1,0))</f>
        <v>2.5</v>
      </c>
      <c r="G783" s="6">
        <f>INDEX([1]products!$A$1:$G$49,MATCH([1]orders!$D783,[1]products!$A$1:$A$49,0),MATCH([1]orders!L$1,[1]products!$A$1:$G$1,0))</f>
        <v>36.454999999999998</v>
      </c>
      <c r="H783" s="6">
        <f t="shared" si="12"/>
        <v>145.82</v>
      </c>
    </row>
    <row r="784" spans="1:8" x14ac:dyDescent="0.3">
      <c r="A784" s="1" t="s">
        <v>1517</v>
      </c>
      <c r="B784" s="2">
        <v>43897</v>
      </c>
      <c r="C784" s="3" t="s">
        <v>1518</v>
      </c>
      <c r="D784" s="4" t="s">
        <v>254</v>
      </c>
      <c r="E784" s="3">
        <v>6</v>
      </c>
      <c r="F784" s="5">
        <f>INDEX([1]products!$A$1:$G$49,MATCH([1]orders!$D784,[1]products!$A$1:$A$49,0),MATCH([1]orders!K$1,[1]products!$A$1:$G$1,0))</f>
        <v>0.2</v>
      </c>
      <c r="G784" s="6">
        <f>INDEX([1]products!$A$1:$G$49,MATCH([1]orders!$D784,[1]products!$A$1:$A$49,0),MATCH([1]orders!L$1,[1]products!$A$1:$G$1,0))</f>
        <v>4.4550000000000001</v>
      </c>
      <c r="H784" s="6">
        <f t="shared" si="12"/>
        <v>26.73</v>
      </c>
    </row>
    <row r="785" spans="1:8" x14ac:dyDescent="0.3">
      <c r="A785" s="1" t="s">
        <v>1519</v>
      </c>
      <c r="B785" s="2">
        <v>44312</v>
      </c>
      <c r="C785" s="3" t="s">
        <v>1520</v>
      </c>
      <c r="D785" s="4" t="s">
        <v>78</v>
      </c>
      <c r="E785" s="3">
        <v>5</v>
      </c>
      <c r="F785" s="5">
        <f>INDEX([1]products!$A$1:$G$49,MATCH([1]orders!$D785,[1]products!$A$1:$A$49,0),MATCH([1]orders!K$1,[1]products!$A$1:$G$1,0))</f>
        <v>0.5</v>
      </c>
      <c r="G785" s="6">
        <f>INDEX([1]products!$A$1:$G$49,MATCH([1]orders!$D785,[1]products!$A$1:$A$49,0),MATCH([1]orders!L$1,[1]products!$A$1:$G$1,0))</f>
        <v>8.73</v>
      </c>
      <c r="H785" s="6">
        <f t="shared" si="12"/>
        <v>43.650000000000006</v>
      </c>
    </row>
    <row r="786" spans="1:8" x14ac:dyDescent="0.3">
      <c r="A786" s="1" t="s">
        <v>1521</v>
      </c>
      <c r="B786" s="2">
        <v>44511</v>
      </c>
      <c r="C786" s="3" t="s">
        <v>1522</v>
      </c>
      <c r="D786" s="4" t="s">
        <v>132</v>
      </c>
      <c r="E786" s="3">
        <v>2</v>
      </c>
      <c r="F786" s="5">
        <f>INDEX([1]products!$A$1:$G$49,MATCH([1]orders!$D786,[1]products!$A$1:$A$49,0),MATCH([1]orders!K$1,[1]products!$A$1:$G$1,0))</f>
        <v>1</v>
      </c>
      <c r="G786" s="6">
        <f>INDEX([1]products!$A$1:$G$49,MATCH([1]orders!$D786,[1]products!$A$1:$A$49,0),MATCH([1]orders!L$1,[1]products!$A$1:$G$1,0))</f>
        <v>15.85</v>
      </c>
      <c r="H786" s="6">
        <f t="shared" si="12"/>
        <v>31.7</v>
      </c>
    </row>
    <row r="787" spans="1:8" x14ac:dyDescent="0.3">
      <c r="A787" s="1" t="s">
        <v>1523</v>
      </c>
      <c r="B787" s="2">
        <v>44362</v>
      </c>
      <c r="C787" s="3" t="s">
        <v>1524</v>
      </c>
      <c r="D787" s="4" t="s">
        <v>118</v>
      </c>
      <c r="E787" s="3">
        <v>1</v>
      </c>
      <c r="F787" s="5">
        <f>INDEX([1]products!$A$1:$G$49,MATCH([1]orders!$D787,[1]products!$A$1:$A$49,0),MATCH([1]orders!K$1,[1]products!$A$1:$G$1,0))</f>
        <v>2.5</v>
      </c>
      <c r="G787" s="6">
        <f>INDEX([1]products!$A$1:$G$49,MATCH([1]orders!$D787,[1]products!$A$1:$A$49,0),MATCH([1]orders!L$1,[1]products!$A$1:$G$1,0))</f>
        <v>22.884999999999998</v>
      </c>
      <c r="H787" s="6">
        <f t="shared" si="12"/>
        <v>22.884999999999998</v>
      </c>
    </row>
    <row r="788" spans="1:8" x14ac:dyDescent="0.3">
      <c r="A788" s="1" t="s">
        <v>1525</v>
      </c>
      <c r="B788" s="2">
        <v>43888</v>
      </c>
      <c r="C788" s="3" t="s">
        <v>1510</v>
      </c>
      <c r="D788" s="4" t="s">
        <v>530</v>
      </c>
      <c r="E788" s="3">
        <v>1</v>
      </c>
      <c r="F788" s="5">
        <f>INDEX([1]products!$A$1:$G$49,MATCH([1]orders!$D788,[1]products!$A$1:$A$49,0),MATCH([1]orders!K$1,[1]products!$A$1:$G$1,0))</f>
        <v>2.5</v>
      </c>
      <c r="G788" s="6">
        <f>INDEX([1]products!$A$1:$G$49,MATCH([1]orders!$D788,[1]products!$A$1:$A$49,0),MATCH([1]orders!L$1,[1]products!$A$1:$G$1,0))</f>
        <v>27.945</v>
      </c>
      <c r="H788" s="6">
        <f t="shared" si="12"/>
        <v>27.945</v>
      </c>
    </row>
    <row r="789" spans="1:8" x14ac:dyDescent="0.3">
      <c r="A789" s="1" t="s">
        <v>1526</v>
      </c>
      <c r="B789" s="2">
        <v>44305</v>
      </c>
      <c r="C789" s="3" t="s">
        <v>1527</v>
      </c>
      <c r="D789" s="4" t="s">
        <v>9</v>
      </c>
      <c r="E789" s="3">
        <v>6</v>
      </c>
      <c r="F789" s="5">
        <f>INDEX([1]products!$A$1:$G$49,MATCH([1]orders!$D789,[1]products!$A$1:$A$49,0),MATCH([1]orders!K$1,[1]products!$A$1:$G$1,0))</f>
        <v>1</v>
      </c>
      <c r="G789" s="6">
        <f>INDEX([1]products!$A$1:$G$49,MATCH([1]orders!$D789,[1]products!$A$1:$A$49,0),MATCH([1]orders!L$1,[1]products!$A$1:$G$1,0))</f>
        <v>13.75</v>
      </c>
      <c r="H789" s="6">
        <f t="shared" si="12"/>
        <v>82.5</v>
      </c>
    </row>
    <row r="790" spans="1:8" x14ac:dyDescent="0.3">
      <c r="A790" s="1" t="s">
        <v>1528</v>
      </c>
      <c r="B790" s="2">
        <v>44771</v>
      </c>
      <c r="C790" s="3" t="s">
        <v>1529</v>
      </c>
      <c r="D790" s="4" t="s">
        <v>41</v>
      </c>
      <c r="E790" s="3">
        <v>2</v>
      </c>
      <c r="F790" s="5">
        <f>INDEX([1]products!$A$1:$G$49,MATCH([1]orders!$D790,[1]products!$A$1:$A$49,0),MATCH([1]orders!K$1,[1]products!$A$1:$G$1,0))</f>
        <v>2.5</v>
      </c>
      <c r="G790" s="6">
        <f>INDEX([1]products!$A$1:$G$49,MATCH([1]orders!$D790,[1]products!$A$1:$A$49,0),MATCH([1]orders!L$1,[1]products!$A$1:$G$1,0))</f>
        <v>22.884999999999998</v>
      </c>
      <c r="H790" s="6">
        <f t="shared" si="12"/>
        <v>45.769999999999996</v>
      </c>
    </row>
    <row r="791" spans="1:8" x14ac:dyDescent="0.3">
      <c r="A791" s="1" t="s">
        <v>1530</v>
      </c>
      <c r="B791" s="2">
        <v>43485</v>
      </c>
      <c r="C791" s="3" t="s">
        <v>1531</v>
      </c>
      <c r="D791" s="4" t="s">
        <v>6</v>
      </c>
      <c r="E791" s="3">
        <v>6</v>
      </c>
      <c r="F791" s="5">
        <f>INDEX([1]products!$A$1:$G$49,MATCH([1]orders!$D791,[1]products!$A$1:$A$49,0),MATCH([1]orders!K$1,[1]products!$A$1:$G$1,0))</f>
        <v>1</v>
      </c>
      <c r="G791" s="6">
        <f>INDEX([1]products!$A$1:$G$49,MATCH([1]orders!$D791,[1]products!$A$1:$A$49,0),MATCH([1]orders!L$1,[1]products!$A$1:$G$1,0))</f>
        <v>12.95</v>
      </c>
      <c r="H791" s="6">
        <f t="shared" si="12"/>
        <v>77.699999999999989</v>
      </c>
    </row>
    <row r="792" spans="1:8" x14ac:dyDescent="0.3">
      <c r="A792" s="1" t="s">
        <v>1532</v>
      </c>
      <c r="B792" s="2">
        <v>44613</v>
      </c>
      <c r="C792" s="3" t="s">
        <v>1533</v>
      </c>
      <c r="D792" s="4" t="s">
        <v>192</v>
      </c>
      <c r="E792" s="3">
        <v>3</v>
      </c>
      <c r="F792" s="5">
        <f>INDEX([1]products!$A$1:$G$49,MATCH([1]orders!$D792,[1]products!$A$1:$A$49,0),MATCH([1]orders!K$1,[1]products!$A$1:$G$1,0))</f>
        <v>0.5</v>
      </c>
      <c r="G792" s="6">
        <f>INDEX([1]products!$A$1:$G$49,MATCH([1]orders!$D792,[1]products!$A$1:$A$49,0),MATCH([1]orders!L$1,[1]products!$A$1:$G$1,0))</f>
        <v>7.77</v>
      </c>
      <c r="H792" s="6">
        <f t="shared" si="12"/>
        <v>23.31</v>
      </c>
    </row>
    <row r="793" spans="1:8" x14ac:dyDescent="0.3">
      <c r="A793" s="1" t="s">
        <v>1534</v>
      </c>
      <c r="B793" s="2">
        <v>43954</v>
      </c>
      <c r="C793" s="3" t="s">
        <v>1535</v>
      </c>
      <c r="D793" s="4" t="s">
        <v>19</v>
      </c>
      <c r="E793" s="3">
        <v>5</v>
      </c>
      <c r="F793" s="5">
        <f>INDEX([1]products!$A$1:$G$49,MATCH([1]orders!$D793,[1]products!$A$1:$A$49,0),MATCH([1]orders!K$1,[1]products!$A$1:$G$1,0))</f>
        <v>0.2</v>
      </c>
      <c r="G793" s="6">
        <f>INDEX([1]products!$A$1:$G$49,MATCH([1]orders!$D793,[1]products!$A$1:$A$49,0),MATCH([1]orders!L$1,[1]products!$A$1:$G$1,0))</f>
        <v>4.7549999999999999</v>
      </c>
      <c r="H793" s="6">
        <f t="shared" si="12"/>
        <v>23.774999999999999</v>
      </c>
    </row>
    <row r="794" spans="1:8" x14ac:dyDescent="0.3">
      <c r="A794" s="1" t="s">
        <v>1536</v>
      </c>
      <c r="B794" s="2">
        <v>43545</v>
      </c>
      <c r="C794" s="3" t="s">
        <v>1537</v>
      </c>
      <c r="D794" s="4" t="s">
        <v>78</v>
      </c>
      <c r="E794" s="3">
        <v>6</v>
      </c>
      <c r="F794" s="5">
        <f>INDEX([1]products!$A$1:$G$49,MATCH([1]orders!$D794,[1]products!$A$1:$A$49,0),MATCH([1]orders!K$1,[1]products!$A$1:$G$1,0))</f>
        <v>0.5</v>
      </c>
      <c r="G794" s="6">
        <f>INDEX([1]products!$A$1:$G$49,MATCH([1]orders!$D794,[1]products!$A$1:$A$49,0),MATCH([1]orders!L$1,[1]products!$A$1:$G$1,0))</f>
        <v>8.73</v>
      </c>
      <c r="H794" s="6">
        <f t="shared" si="12"/>
        <v>52.38</v>
      </c>
    </row>
    <row r="795" spans="1:8" x14ac:dyDescent="0.3">
      <c r="A795" s="1" t="s">
        <v>1538</v>
      </c>
      <c r="B795" s="2">
        <v>43629</v>
      </c>
      <c r="C795" s="3" t="s">
        <v>1539</v>
      </c>
      <c r="D795" s="4" t="s">
        <v>182</v>
      </c>
      <c r="E795" s="3">
        <v>5</v>
      </c>
      <c r="F795" s="5">
        <f>INDEX([1]products!$A$1:$G$49,MATCH([1]orders!$D795,[1]products!$A$1:$A$49,0),MATCH([1]orders!K$1,[1]products!$A$1:$G$1,0))</f>
        <v>0.2</v>
      </c>
      <c r="G795" s="6">
        <f>INDEX([1]products!$A$1:$G$49,MATCH([1]orders!$D795,[1]products!$A$1:$A$49,0),MATCH([1]orders!L$1,[1]products!$A$1:$G$1,0))</f>
        <v>3.5849999999999995</v>
      </c>
      <c r="H795" s="6">
        <f t="shared" si="12"/>
        <v>17.924999999999997</v>
      </c>
    </row>
    <row r="796" spans="1:8" x14ac:dyDescent="0.3">
      <c r="A796" s="1" t="s">
        <v>1540</v>
      </c>
      <c r="B796" s="2">
        <v>43987</v>
      </c>
      <c r="C796" s="3" t="s">
        <v>1541</v>
      </c>
      <c r="D796" s="4" t="s">
        <v>204</v>
      </c>
      <c r="E796" s="3">
        <v>5</v>
      </c>
      <c r="F796" s="5">
        <f>INDEX([1]products!$A$1:$G$49,MATCH([1]orders!$D796,[1]products!$A$1:$A$49,0),MATCH([1]orders!K$1,[1]products!$A$1:$G$1,0))</f>
        <v>2.5</v>
      </c>
      <c r="G796" s="6">
        <f>INDEX([1]products!$A$1:$G$49,MATCH([1]orders!$D796,[1]products!$A$1:$A$49,0),MATCH([1]orders!L$1,[1]products!$A$1:$G$1,0))</f>
        <v>29.784999999999997</v>
      </c>
      <c r="H796" s="6">
        <f t="shared" si="12"/>
        <v>148.92499999999998</v>
      </c>
    </row>
    <row r="797" spans="1:8" x14ac:dyDescent="0.3">
      <c r="A797" s="1" t="s">
        <v>1542</v>
      </c>
      <c r="B797" s="2">
        <v>43540</v>
      </c>
      <c r="C797" s="3" t="s">
        <v>1543</v>
      </c>
      <c r="D797" s="4" t="s">
        <v>157</v>
      </c>
      <c r="E797" s="3">
        <v>4</v>
      </c>
      <c r="F797" s="5">
        <f>INDEX([1]products!$A$1:$G$49,MATCH([1]orders!$D797,[1]products!$A$1:$A$49,0),MATCH([1]orders!K$1,[1]products!$A$1:$G$1,0))</f>
        <v>0.5</v>
      </c>
      <c r="G797" s="6">
        <f>INDEX([1]products!$A$1:$G$49,MATCH([1]orders!$D797,[1]products!$A$1:$A$49,0),MATCH([1]orders!L$1,[1]products!$A$1:$G$1,0))</f>
        <v>7.169999999999999</v>
      </c>
      <c r="H797" s="6">
        <f t="shared" si="12"/>
        <v>28.679999999999996</v>
      </c>
    </row>
    <row r="798" spans="1:8" x14ac:dyDescent="0.3">
      <c r="A798" s="1" t="s">
        <v>1544</v>
      </c>
      <c r="B798" s="2">
        <v>44533</v>
      </c>
      <c r="C798" s="3" t="s">
        <v>1545</v>
      </c>
      <c r="D798" s="4" t="s">
        <v>83</v>
      </c>
      <c r="E798" s="3">
        <v>1</v>
      </c>
      <c r="F798" s="5">
        <f>INDEX([1]products!$A$1:$G$49,MATCH([1]orders!$D798,[1]products!$A$1:$A$49,0),MATCH([1]orders!K$1,[1]products!$A$1:$G$1,0))</f>
        <v>0.5</v>
      </c>
      <c r="G798" s="6">
        <f>INDEX([1]products!$A$1:$G$49,MATCH([1]orders!$D798,[1]products!$A$1:$A$49,0),MATCH([1]orders!L$1,[1]products!$A$1:$G$1,0))</f>
        <v>9.51</v>
      </c>
      <c r="H798" s="6">
        <f t="shared" si="12"/>
        <v>9.51</v>
      </c>
    </row>
    <row r="799" spans="1:8" x14ac:dyDescent="0.3">
      <c r="A799" s="1" t="s">
        <v>1546</v>
      </c>
      <c r="B799" s="2">
        <v>44751</v>
      </c>
      <c r="C799" s="3" t="s">
        <v>1547</v>
      </c>
      <c r="D799" s="4" t="s">
        <v>192</v>
      </c>
      <c r="E799" s="3">
        <v>4</v>
      </c>
      <c r="F799" s="5">
        <f>INDEX([1]products!$A$1:$G$49,MATCH([1]orders!$D799,[1]products!$A$1:$A$49,0),MATCH([1]orders!K$1,[1]products!$A$1:$G$1,0))</f>
        <v>0.5</v>
      </c>
      <c r="G799" s="6">
        <f>INDEX([1]products!$A$1:$G$49,MATCH([1]orders!$D799,[1]products!$A$1:$A$49,0),MATCH([1]orders!L$1,[1]products!$A$1:$G$1,0))</f>
        <v>7.77</v>
      </c>
      <c r="H799" s="6">
        <f t="shared" si="12"/>
        <v>31.08</v>
      </c>
    </row>
    <row r="800" spans="1:8" x14ac:dyDescent="0.3">
      <c r="A800" s="1" t="s">
        <v>1548</v>
      </c>
      <c r="B800" s="2">
        <v>43950</v>
      </c>
      <c r="C800" s="3" t="s">
        <v>1549</v>
      </c>
      <c r="D800" s="4" t="s">
        <v>101</v>
      </c>
      <c r="E800" s="3">
        <v>3</v>
      </c>
      <c r="F800" s="5">
        <f>INDEX([1]products!$A$1:$G$49,MATCH([1]orders!$D800,[1]products!$A$1:$A$49,0),MATCH([1]orders!K$1,[1]products!$A$1:$G$1,0))</f>
        <v>0.2</v>
      </c>
      <c r="G800" s="6">
        <f>INDEX([1]products!$A$1:$G$49,MATCH([1]orders!$D800,[1]products!$A$1:$A$49,0),MATCH([1]orders!L$1,[1]products!$A$1:$G$1,0))</f>
        <v>2.6849999999999996</v>
      </c>
      <c r="H800" s="6">
        <f t="shared" si="12"/>
        <v>8.0549999999999997</v>
      </c>
    </row>
    <row r="801" spans="1:8" x14ac:dyDescent="0.3">
      <c r="A801" s="1" t="s">
        <v>1550</v>
      </c>
      <c r="B801" s="2">
        <v>44588</v>
      </c>
      <c r="C801" s="3" t="s">
        <v>1551</v>
      </c>
      <c r="D801" s="4" t="s">
        <v>245</v>
      </c>
      <c r="E801" s="3">
        <v>3</v>
      </c>
      <c r="F801" s="5">
        <f>INDEX([1]products!$A$1:$G$49,MATCH([1]orders!$D801,[1]products!$A$1:$A$49,0),MATCH([1]orders!K$1,[1]products!$A$1:$G$1,0))</f>
        <v>1</v>
      </c>
      <c r="G801" s="6">
        <f>INDEX([1]products!$A$1:$G$49,MATCH([1]orders!$D801,[1]products!$A$1:$A$49,0),MATCH([1]orders!L$1,[1]products!$A$1:$G$1,0))</f>
        <v>12.15</v>
      </c>
      <c r="H801" s="6">
        <f t="shared" si="12"/>
        <v>36.450000000000003</v>
      </c>
    </row>
    <row r="802" spans="1:8" x14ac:dyDescent="0.3">
      <c r="A802" s="1" t="s">
        <v>1552</v>
      </c>
      <c r="B802" s="2">
        <v>44240</v>
      </c>
      <c r="C802" s="3" t="s">
        <v>1553</v>
      </c>
      <c r="D802" s="4" t="s">
        <v>101</v>
      </c>
      <c r="E802" s="3">
        <v>6</v>
      </c>
      <c r="F802" s="5">
        <f>INDEX([1]products!$A$1:$G$49,MATCH([1]orders!$D802,[1]products!$A$1:$A$49,0),MATCH([1]orders!K$1,[1]products!$A$1:$G$1,0))</f>
        <v>0.2</v>
      </c>
      <c r="G802" s="6">
        <f>INDEX([1]products!$A$1:$G$49,MATCH([1]orders!$D802,[1]products!$A$1:$A$49,0),MATCH([1]orders!L$1,[1]products!$A$1:$G$1,0))</f>
        <v>2.6849999999999996</v>
      </c>
      <c r="H802" s="6">
        <f t="shared" si="12"/>
        <v>16.11</v>
      </c>
    </row>
    <row r="803" spans="1:8" x14ac:dyDescent="0.3">
      <c r="A803" s="1" t="s">
        <v>1554</v>
      </c>
      <c r="B803" s="2">
        <v>44025</v>
      </c>
      <c r="C803" s="3" t="s">
        <v>1555</v>
      </c>
      <c r="D803" s="4" t="s">
        <v>35</v>
      </c>
      <c r="E803" s="3">
        <v>2</v>
      </c>
      <c r="F803" s="5">
        <f>INDEX([1]products!$A$1:$G$49,MATCH([1]orders!$D803,[1]products!$A$1:$A$49,0),MATCH([1]orders!K$1,[1]products!$A$1:$G$1,0))</f>
        <v>2.5</v>
      </c>
      <c r="G803" s="6">
        <f>INDEX([1]products!$A$1:$G$49,MATCH([1]orders!$D803,[1]products!$A$1:$A$49,0),MATCH([1]orders!L$1,[1]products!$A$1:$G$1,0))</f>
        <v>20.584999999999997</v>
      </c>
      <c r="H803" s="6">
        <f t="shared" si="12"/>
        <v>41.169999999999995</v>
      </c>
    </row>
    <row r="804" spans="1:8" x14ac:dyDescent="0.3">
      <c r="A804" s="1" t="s">
        <v>1556</v>
      </c>
      <c r="B804" s="2">
        <v>43902</v>
      </c>
      <c r="C804" s="3" t="s">
        <v>1557</v>
      </c>
      <c r="D804" s="4" t="s">
        <v>101</v>
      </c>
      <c r="E804" s="3">
        <v>4</v>
      </c>
      <c r="F804" s="5">
        <f>INDEX([1]products!$A$1:$G$49,MATCH([1]orders!$D804,[1]products!$A$1:$A$49,0),MATCH([1]orders!K$1,[1]products!$A$1:$G$1,0))</f>
        <v>0.2</v>
      </c>
      <c r="G804" s="6">
        <f>INDEX([1]products!$A$1:$G$49,MATCH([1]orders!$D804,[1]products!$A$1:$A$49,0),MATCH([1]orders!L$1,[1]products!$A$1:$G$1,0))</f>
        <v>2.6849999999999996</v>
      </c>
      <c r="H804" s="6">
        <f t="shared" si="12"/>
        <v>10.739999999999998</v>
      </c>
    </row>
    <row r="805" spans="1:8" x14ac:dyDescent="0.3">
      <c r="A805" s="1" t="s">
        <v>1558</v>
      </c>
      <c r="B805" s="2">
        <v>43955</v>
      </c>
      <c r="C805" s="3" t="s">
        <v>1559</v>
      </c>
      <c r="D805" s="4" t="s">
        <v>112</v>
      </c>
      <c r="E805" s="3">
        <v>4</v>
      </c>
      <c r="F805" s="5">
        <f>INDEX([1]products!$A$1:$G$49,MATCH([1]orders!$D805,[1]products!$A$1:$A$49,0),MATCH([1]orders!K$1,[1]products!$A$1:$G$1,0))</f>
        <v>2.5</v>
      </c>
      <c r="G805" s="6">
        <f>INDEX([1]products!$A$1:$G$49,MATCH([1]orders!$D805,[1]products!$A$1:$A$49,0),MATCH([1]orders!L$1,[1]products!$A$1:$G$1,0))</f>
        <v>31.624999999999996</v>
      </c>
      <c r="H805" s="6">
        <f t="shared" si="12"/>
        <v>126.49999999999999</v>
      </c>
    </row>
    <row r="806" spans="1:8" x14ac:dyDescent="0.3">
      <c r="A806" s="1" t="s">
        <v>1560</v>
      </c>
      <c r="B806" s="2">
        <v>44289</v>
      </c>
      <c r="C806" s="3" t="s">
        <v>1561</v>
      </c>
      <c r="D806" s="4" t="s">
        <v>189</v>
      </c>
      <c r="E806" s="3">
        <v>2</v>
      </c>
      <c r="F806" s="5">
        <f>INDEX([1]products!$A$1:$G$49,MATCH([1]orders!$D806,[1]products!$A$1:$A$49,0),MATCH([1]orders!K$1,[1]products!$A$1:$G$1,0))</f>
        <v>1</v>
      </c>
      <c r="G806" s="6">
        <f>INDEX([1]products!$A$1:$G$49,MATCH([1]orders!$D806,[1]products!$A$1:$A$49,0),MATCH([1]orders!L$1,[1]products!$A$1:$G$1,0))</f>
        <v>11.95</v>
      </c>
      <c r="H806" s="6">
        <f t="shared" si="12"/>
        <v>23.9</v>
      </c>
    </row>
    <row r="807" spans="1:8" x14ac:dyDescent="0.3">
      <c r="A807" s="1" t="s">
        <v>1562</v>
      </c>
      <c r="B807" s="2">
        <v>44713</v>
      </c>
      <c r="C807" s="3" t="s">
        <v>1563</v>
      </c>
      <c r="D807" s="4" t="s">
        <v>22</v>
      </c>
      <c r="E807" s="3">
        <v>1</v>
      </c>
      <c r="F807" s="5">
        <f>INDEX([1]products!$A$1:$G$49,MATCH([1]orders!$D807,[1]products!$A$1:$A$49,0),MATCH([1]orders!K$1,[1]products!$A$1:$G$1,0))</f>
        <v>0.5</v>
      </c>
      <c r="G807" s="6">
        <f>INDEX([1]products!$A$1:$G$49,MATCH([1]orders!$D807,[1]products!$A$1:$A$49,0),MATCH([1]orders!L$1,[1]products!$A$1:$G$1,0))</f>
        <v>5.97</v>
      </c>
      <c r="H807" s="6">
        <f t="shared" si="12"/>
        <v>5.97</v>
      </c>
    </row>
    <row r="808" spans="1:8" x14ac:dyDescent="0.3">
      <c r="A808" s="1" t="s">
        <v>1564</v>
      </c>
      <c r="B808" s="2">
        <v>44241</v>
      </c>
      <c r="C808" s="3" t="s">
        <v>1565</v>
      </c>
      <c r="D808" s="4" t="s">
        <v>38</v>
      </c>
      <c r="E808" s="3">
        <v>2</v>
      </c>
      <c r="F808" s="5">
        <f>INDEX([1]products!$A$1:$G$49,MATCH([1]orders!$D808,[1]products!$A$1:$A$49,0),MATCH([1]orders!K$1,[1]products!$A$1:$G$1,0))</f>
        <v>0.2</v>
      </c>
      <c r="G808" s="6">
        <f>INDEX([1]products!$A$1:$G$49,MATCH([1]orders!$D808,[1]products!$A$1:$A$49,0),MATCH([1]orders!L$1,[1]products!$A$1:$G$1,0))</f>
        <v>3.8849999999999998</v>
      </c>
      <c r="H808" s="6">
        <f t="shared" si="12"/>
        <v>7.77</v>
      </c>
    </row>
    <row r="809" spans="1:8" x14ac:dyDescent="0.3">
      <c r="A809" s="1" t="s">
        <v>1566</v>
      </c>
      <c r="B809" s="2">
        <v>44543</v>
      </c>
      <c r="C809" s="3" t="s">
        <v>1567</v>
      </c>
      <c r="D809" s="4" t="s">
        <v>123</v>
      </c>
      <c r="E809" s="3">
        <v>3</v>
      </c>
      <c r="F809" s="5">
        <f>INDEX([1]products!$A$1:$G$49,MATCH([1]orders!$D809,[1]products!$A$1:$A$49,0),MATCH([1]orders!K$1,[1]products!$A$1:$G$1,0))</f>
        <v>0.5</v>
      </c>
      <c r="G809" s="6">
        <f>INDEX([1]products!$A$1:$G$49,MATCH([1]orders!$D809,[1]products!$A$1:$A$49,0),MATCH([1]orders!L$1,[1]products!$A$1:$G$1,0))</f>
        <v>7.77</v>
      </c>
      <c r="H809" s="6">
        <f t="shared" si="12"/>
        <v>23.31</v>
      </c>
    </row>
    <row r="810" spans="1:8" x14ac:dyDescent="0.3">
      <c r="A810" s="1" t="s">
        <v>1568</v>
      </c>
      <c r="B810" s="2">
        <v>43868</v>
      </c>
      <c r="C810" s="3" t="s">
        <v>1569</v>
      </c>
      <c r="D810" s="4" t="s">
        <v>10</v>
      </c>
      <c r="E810" s="3">
        <v>5</v>
      </c>
      <c r="F810" s="5">
        <f>INDEX([1]products!$A$1:$G$49,MATCH([1]orders!$D810,[1]products!$A$1:$A$49,0),MATCH([1]orders!K$1,[1]products!$A$1:$G$1,0))</f>
        <v>2.5</v>
      </c>
      <c r="G810" s="6">
        <f>INDEX([1]products!$A$1:$G$49,MATCH([1]orders!$D810,[1]products!$A$1:$A$49,0),MATCH([1]orders!L$1,[1]products!$A$1:$G$1,0))</f>
        <v>27.484999999999996</v>
      </c>
      <c r="H810" s="6">
        <f t="shared" si="12"/>
        <v>137.42499999999998</v>
      </c>
    </row>
    <row r="811" spans="1:8" x14ac:dyDescent="0.3">
      <c r="A811" s="1" t="s">
        <v>1570</v>
      </c>
      <c r="B811" s="2">
        <v>44235</v>
      </c>
      <c r="C811" s="3" t="s">
        <v>1571</v>
      </c>
      <c r="D811" s="4" t="s">
        <v>101</v>
      </c>
      <c r="E811" s="3">
        <v>3</v>
      </c>
      <c r="F811" s="5">
        <f>INDEX([1]products!$A$1:$G$49,MATCH([1]orders!$D811,[1]products!$A$1:$A$49,0),MATCH([1]orders!K$1,[1]products!$A$1:$G$1,0))</f>
        <v>0.2</v>
      </c>
      <c r="G811" s="6">
        <f>INDEX([1]products!$A$1:$G$49,MATCH([1]orders!$D811,[1]products!$A$1:$A$49,0),MATCH([1]orders!L$1,[1]products!$A$1:$G$1,0))</f>
        <v>2.6849999999999996</v>
      </c>
      <c r="H811" s="6">
        <f t="shared" si="12"/>
        <v>8.0549999999999997</v>
      </c>
    </row>
    <row r="812" spans="1:8" x14ac:dyDescent="0.3">
      <c r="A812" s="1" t="s">
        <v>1572</v>
      </c>
      <c r="B812" s="2">
        <v>44054</v>
      </c>
      <c r="C812" s="3" t="s">
        <v>1573</v>
      </c>
      <c r="D812" s="4" t="s">
        <v>83</v>
      </c>
      <c r="E812" s="3">
        <v>3</v>
      </c>
      <c r="F812" s="5">
        <f>INDEX([1]products!$A$1:$G$49,MATCH([1]orders!$D812,[1]products!$A$1:$A$49,0),MATCH([1]orders!K$1,[1]products!$A$1:$G$1,0))</f>
        <v>0.5</v>
      </c>
      <c r="G812" s="6">
        <f>INDEX([1]products!$A$1:$G$49,MATCH([1]orders!$D812,[1]products!$A$1:$A$49,0),MATCH([1]orders!L$1,[1]products!$A$1:$G$1,0))</f>
        <v>9.51</v>
      </c>
      <c r="H812" s="6">
        <f t="shared" si="12"/>
        <v>28.53</v>
      </c>
    </row>
    <row r="813" spans="1:8" x14ac:dyDescent="0.3">
      <c r="A813" s="1" t="s">
        <v>1574</v>
      </c>
      <c r="B813" s="2">
        <v>44114</v>
      </c>
      <c r="C813" s="3" t="s">
        <v>1575</v>
      </c>
      <c r="D813" s="4" t="s">
        <v>61</v>
      </c>
      <c r="E813" s="3">
        <v>6</v>
      </c>
      <c r="F813" s="5">
        <f>INDEX([1]products!$A$1:$G$49,MATCH([1]orders!$D813,[1]products!$A$1:$A$49,0),MATCH([1]orders!K$1,[1]products!$A$1:$G$1,0))</f>
        <v>1</v>
      </c>
      <c r="G813" s="6">
        <f>INDEX([1]products!$A$1:$G$49,MATCH([1]orders!$D813,[1]products!$A$1:$A$49,0),MATCH([1]orders!L$1,[1]products!$A$1:$G$1,0))</f>
        <v>11.25</v>
      </c>
      <c r="H813" s="6">
        <f t="shared" si="12"/>
        <v>67.5</v>
      </c>
    </row>
    <row r="814" spans="1:8" x14ac:dyDescent="0.3">
      <c r="A814" s="1" t="s">
        <v>1574</v>
      </c>
      <c r="B814" s="2">
        <v>44114</v>
      </c>
      <c r="C814" s="3" t="s">
        <v>1575</v>
      </c>
      <c r="D814" s="4" t="s">
        <v>109</v>
      </c>
      <c r="E814" s="3">
        <v>6</v>
      </c>
      <c r="F814" s="5">
        <f>INDEX([1]products!$A$1:$G$49,MATCH([1]orders!$D814,[1]products!$A$1:$A$49,0),MATCH([1]orders!K$1,[1]products!$A$1:$G$1,0))</f>
        <v>2.5</v>
      </c>
      <c r="G814" s="6">
        <f>INDEX([1]products!$A$1:$G$49,MATCH([1]orders!$D814,[1]products!$A$1:$A$49,0),MATCH([1]orders!L$1,[1]products!$A$1:$G$1,0))</f>
        <v>29.784999999999997</v>
      </c>
      <c r="H814" s="6">
        <f t="shared" si="12"/>
        <v>178.70999999999998</v>
      </c>
    </row>
    <row r="815" spans="1:8" x14ac:dyDescent="0.3">
      <c r="A815" s="1" t="s">
        <v>1576</v>
      </c>
      <c r="B815" s="2">
        <v>44173</v>
      </c>
      <c r="C815" s="3" t="s">
        <v>1577</v>
      </c>
      <c r="D815" s="4" t="s">
        <v>112</v>
      </c>
      <c r="E815" s="3">
        <v>1</v>
      </c>
      <c r="F815" s="5">
        <f>INDEX([1]products!$A$1:$G$49,MATCH([1]orders!$D815,[1]products!$A$1:$A$49,0),MATCH([1]orders!K$1,[1]products!$A$1:$G$1,0))</f>
        <v>2.5</v>
      </c>
      <c r="G815" s="6">
        <f>INDEX([1]products!$A$1:$G$49,MATCH([1]orders!$D815,[1]products!$A$1:$A$49,0),MATCH([1]orders!L$1,[1]products!$A$1:$G$1,0))</f>
        <v>31.624999999999996</v>
      </c>
      <c r="H815" s="6">
        <f t="shared" si="12"/>
        <v>31.624999999999996</v>
      </c>
    </row>
    <row r="816" spans="1:8" x14ac:dyDescent="0.3">
      <c r="A816" s="1" t="s">
        <v>1578</v>
      </c>
      <c r="B816" s="2">
        <v>43573</v>
      </c>
      <c r="C816" s="3" t="s">
        <v>1579</v>
      </c>
      <c r="D816" s="4" t="s">
        <v>254</v>
      </c>
      <c r="E816" s="3">
        <v>2</v>
      </c>
      <c r="F816" s="5">
        <f>INDEX([1]products!$A$1:$G$49,MATCH([1]orders!$D816,[1]products!$A$1:$A$49,0),MATCH([1]orders!K$1,[1]products!$A$1:$G$1,0))</f>
        <v>0.2</v>
      </c>
      <c r="G816" s="6">
        <f>INDEX([1]products!$A$1:$G$49,MATCH([1]orders!$D816,[1]products!$A$1:$A$49,0),MATCH([1]orders!L$1,[1]products!$A$1:$G$1,0))</f>
        <v>4.4550000000000001</v>
      </c>
      <c r="H816" s="6">
        <f t="shared" si="12"/>
        <v>8.91</v>
      </c>
    </row>
    <row r="817" spans="1:8" x14ac:dyDescent="0.3">
      <c r="A817" s="1" t="s">
        <v>1580</v>
      </c>
      <c r="B817" s="2">
        <v>44200</v>
      </c>
      <c r="C817" s="3" t="s">
        <v>1581</v>
      </c>
      <c r="D817" s="4" t="s">
        <v>22</v>
      </c>
      <c r="E817" s="3">
        <v>6</v>
      </c>
      <c r="F817" s="5">
        <f>INDEX([1]products!$A$1:$G$49,MATCH([1]orders!$D817,[1]products!$A$1:$A$49,0),MATCH([1]orders!K$1,[1]products!$A$1:$G$1,0))</f>
        <v>0.5</v>
      </c>
      <c r="G817" s="6">
        <f>INDEX([1]products!$A$1:$G$49,MATCH([1]orders!$D817,[1]products!$A$1:$A$49,0),MATCH([1]orders!L$1,[1]products!$A$1:$G$1,0))</f>
        <v>5.97</v>
      </c>
      <c r="H817" s="6">
        <f t="shared" si="12"/>
        <v>35.82</v>
      </c>
    </row>
    <row r="818" spans="1:8" x14ac:dyDescent="0.3">
      <c r="A818" s="1" t="s">
        <v>1582</v>
      </c>
      <c r="B818" s="2">
        <v>43534</v>
      </c>
      <c r="C818" s="3" t="s">
        <v>1583</v>
      </c>
      <c r="D818" s="4" t="s">
        <v>83</v>
      </c>
      <c r="E818" s="3">
        <v>4</v>
      </c>
      <c r="F818" s="5">
        <f>INDEX([1]products!$A$1:$G$49,MATCH([1]orders!$D818,[1]products!$A$1:$A$49,0),MATCH([1]orders!K$1,[1]products!$A$1:$G$1,0))</f>
        <v>0.5</v>
      </c>
      <c r="G818" s="6">
        <f>INDEX([1]products!$A$1:$G$49,MATCH([1]orders!$D818,[1]products!$A$1:$A$49,0),MATCH([1]orders!L$1,[1]products!$A$1:$G$1,0))</f>
        <v>9.51</v>
      </c>
      <c r="H818" s="6">
        <f t="shared" si="12"/>
        <v>38.04</v>
      </c>
    </row>
    <row r="819" spans="1:8" x14ac:dyDescent="0.3">
      <c r="A819" s="1" t="s">
        <v>1584</v>
      </c>
      <c r="B819" s="2">
        <v>43798</v>
      </c>
      <c r="C819" s="3" t="s">
        <v>1585</v>
      </c>
      <c r="D819" s="4" t="s">
        <v>123</v>
      </c>
      <c r="E819" s="3">
        <v>2</v>
      </c>
      <c r="F819" s="5">
        <f>INDEX([1]products!$A$1:$G$49,MATCH([1]orders!$D819,[1]products!$A$1:$A$49,0),MATCH([1]orders!K$1,[1]products!$A$1:$G$1,0))</f>
        <v>0.5</v>
      </c>
      <c r="G819" s="6">
        <f>INDEX([1]products!$A$1:$G$49,MATCH([1]orders!$D819,[1]products!$A$1:$A$49,0),MATCH([1]orders!L$1,[1]products!$A$1:$G$1,0))</f>
        <v>7.77</v>
      </c>
      <c r="H819" s="6">
        <f t="shared" si="12"/>
        <v>15.54</v>
      </c>
    </row>
    <row r="820" spans="1:8" x14ac:dyDescent="0.3">
      <c r="A820" s="1" t="s">
        <v>1586</v>
      </c>
      <c r="B820" s="2">
        <v>44761</v>
      </c>
      <c r="C820" s="3" t="s">
        <v>1569</v>
      </c>
      <c r="D820" s="4" t="s">
        <v>132</v>
      </c>
      <c r="E820" s="3">
        <v>5</v>
      </c>
      <c r="F820" s="5">
        <f>INDEX([1]products!$A$1:$G$49,MATCH([1]orders!$D820,[1]products!$A$1:$A$49,0),MATCH([1]orders!K$1,[1]products!$A$1:$G$1,0))</f>
        <v>1</v>
      </c>
      <c r="G820" s="6">
        <f>INDEX([1]products!$A$1:$G$49,MATCH([1]orders!$D820,[1]products!$A$1:$A$49,0),MATCH([1]orders!L$1,[1]products!$A$1:$G$1,0))</f>
        <v>15.85</v>
      </c>
      <c r="H820" s="6">
        <f t="shared" si="12"/>
        <v>79.25</v>
      </c>
    </row>
    <row r="821" spans="1:8" x14ac:dyDescent="0.3">
      <c r="A821" s="1" t="s">
        <v>1587</v>
      </c>
      <c r="B821" s="2">
        <v>44008</v>
      </c>
      <c r="C821" s="3" t="s">
        <v>1588</v>
      </c>
      <c r="D821" s="4" t="s">
        <v>19</v>
      </c>
      <c r="E821" s="3">
        <v>1</v>
      </c>
      <c r="F821" s="5">
        <f>INDEX([1]products!$A$1:$G$49,MATCH([1]orders!$D821,[1]products!$A$1:$A$49,0),MATCH([1]orders!K$1,[1]products!$A$1:$G$1,0))</f>
        <v>0.2</v>
      </c>
      <c r="G821" s="6">
        <f>INDEX([1]products!$A$1:$G$49,MATCH([1]orders!$D821,[1]products!$A$1:$A$49,0),MATCH([1]orders!L$1,[1]products!$A$1:$G$1,0))</f>
        <v>4.7549999999999999</v>
      </c>
      <c r="H821" s="6">
        <f t="shared" si="12"/>
        <v>4.7549999999999999</v>
      </c>
    </row>
    <row r="822" spans="1:8" x14ac:dyDescent="0.3">
      <c r="A822" s="1" t="s">
        <v>1589</v>
      </c>
      <c r="B822" s="2">
        <v>43510</v>
      </c>
      <c r="C822" s="3" t="s">
        <v>1590</v>
      </c>
      <c r="D822" s="4" t="s">
        <v>9</v>
      </c>
      <c r="E822" s="3">
        <v>4</v>
      </c>
      <c r="F822" s="5">
        <f>INDEX([1]products!$A$1:$G$49,MATCH([1]orders!$D822,[1]products!$A$1:$A$49,0),MATCH([1]orders!K$1,[1]products!$A$1:$G$1,0))</f>
        <v>1</v>
      </c>
      <c r="G822" s="6">
        <f>INDEX([1]products!$A$1:$G$49,MATCH([1]orders!$D822,[1]products!$A$1:$A$49,0),MATCH([1]orders!L$1,[1]products!$A$1:$G$1,0))</f>
        <v>13.75</v>
      </c>
      <c r="H822" s="6">
        <f t="shared" si="12"/>
        <v>55</v>
      </c>
    </row>
    <row r="823" spans="1:8" x14ac:dyDescent="0.3">
      <c r="A823" s="1" t="s">
        <v>1591</v>
      </c>
      <c r="B823" s="2">
        <v>44144</v>
      </c>
      <c r="C823" s="3" t="s">
        <v>1592</v>
      </c>
      <c r="D823" s="4" t="s">
        <v>146</v>
      </c>
      <c r="E823" s="3">
        <v>5</v>
      </c>
      <c r="F823" s="5">
        <f>INDEX([1]products!$A$1:$G$49,MATCH([1]orders!$D823,[1]products!$A$1:$A$49,0),MATCH([1]orders!K$1,[1]products!$A$1:$G$1,0))</f>
        <v>0.5</v>
      </c>
      <c r="G823" s="6">
        <f>INDEX([1]products!$A$1:$G$49,MATCH([1]orders!$D823,[1]products!$A$1:$A$49,0),MATCH([1]orders!L$1,[1]products!$A$1:$G$1,0))</f>
        <v>5.3699999999999992</v>
      </c>
      <c r="H823" s="6">
        <f t="shared" si="12"/>
        <v>26.849999999999994</v>
      </c>
    </row>
    <row r="824" spans="1:8" x14ac:dyDescent="0.3">
      <c r="A824" s="1" t="s">
        <v>1593</v>
      </c>
      <c r="B824" s="2">
        <v>43585</v>
      </c>
      <c r="C824" s="3" t="s">
        <v>1594</v>
      </c>
      <c r="D824" s="4" t="s">
        <v>30</v>
      </c>
      <c r="E824" s="3">
        <v>4</v>
      </c>
      <c r="F824" s="5">
        <f>INDEX([1]products!$A$1:$G$49,MATCH([1]orders!$D824,[1]products!$A$1:$A$49,0),MATCH([1]orders!K$1,[1]products!$A$1:$G$1,0))</f>
        <v>2.5</v>
      </c>
      <c r="G824" s="6">
        <f>INDEX([1]products!$A$1:$G$49,MATCH([1]orders!$D824,[1]products!$A$1:$A$49,0),MATCH([1]orders!L$1,[1]products!$A$1:$G$1,0))</f>
        <v>34.154999999999994</v>
      </c>
      <c r="H824" s="6">
        <f t="shared" si="12"/>
        <v>136.61999999999998</v>
      </c>
    </row>
    <row r="825" spans="1:8" x14ac:dyDescent="0.3">
      <c r="A825" s="1" t="s">
        <v>1595</v>
      </c>
      <c r="B825" s="2">
        <v>44134</v>
      </c>
      <c r="C825" s="3" t="s">
        <v>1596</v>
      </c>
      <c r="D825" s="4" t="s">
        <v>132</v>
      </c>
      <c r="E825" s="3">
        <v>3</v>
      </c>
      <c r="F825" s="5">
        <f>INDEX([1]products!$A$1:$G$49,MATCH([1]orders!$D825,[1]products!$A$1:$A$49,0),MATCH([1]orders!K$1,[1]products!$A$1:$G$1,0))</f>
        <v>1</v>
      </c>
      <c r="G825" s="6">
        <f>INDEX([1]products!$A$1:$G$49,MATCH([1]orders!$D825,[1]products!$A$1:$A$49,0),MATCH([1]orders!L$1,[1]products!$A$1:$G$1,0))</f>
        <v>15.85</v>
      </c>
      <c r="H825" s="6">
        <f t="shared" si="12"/>
        <v>47.55</v>
      </c>
    </row>
    <row r="826" spans="1:8" x14ac:dyDescent="0.3">
      <c r="A826" s="1" t="s">
        <v>1597</v>
      </c>
      <c r="B826" s="2">
        <v>43781</v>
      </c>
      <c r="C826" s="3" t="s">
        <v>1598</v>
      </c>
      <c r="D826" s="4" t="s">
        <v>44</v>
      </c>
      <c r="E826" s="3">
        <v>5</v>
      </c>
      <c r="F826" s="5">
        <f>INDEX([1]products!$A$1:$G$49,MATCH([1]orders!$D826,[1]products!$A$1:$A$49,0),MATCH([1]orders!K$1,[1]products!$A$1:$G$1,0))</f>
        <v>0.2</v>
      </c>
      <c r="G826" s="6">
        <f>INDEX([1]products!$A$1:$G$49,MATCH([1]orders!$D826,[1]products!$A$1:$A$49,0),MATCH([1]orders!L$1,[1]products!$A$1:$G$1,0))</f>
        <v>3.375</v>
      </c>
      <c r="H826" s="6">
        <f t="shared" si="12"/>
        <v>16.875</v>
      </c>
    </row>
    <row r="827" spans="1:8" x14ac:dyDescent="0.3">
      <c r="A827" s="1" t="s">
        <v>1599</v>
      </c>
      <c r="B827" s="2">
        <v>44603</v>
      </c>
      <c r="C827" s="3" t="s">
        <v>1600</v>
      </c>
      <c r="D827" s="4" t="s">
        <v>27</v>
      </c>
      <c r="E827" s="3">
        <v>3</v>
      </c>
      <c r="F827" s="5">
        <f>INDEX([1]products!$A$1:$G$49,MATCH([1]orders!$D827,[1]products!$A$1:$A$49,0),MATCH([1]orders!K$1,[1]products!$A$1:$G$1,0))</f>
        <v>1</v>
      </c>
      <c r="G827" s="6">
        <f>INDEX([1]products!$A$1:$G$49,MATCH([1]orders!$D827,[1]products!$A$1:$A$49,0),MATCH([1]orders!L$1,[1]products!$A$1:$G$1,0))</f>
        <v>9.9499999999999993</v>
      </c>
      <c r="H827" s="6">
        <f t="shared" si="12"/>
        <v>29.849999999999998</v>
      </c>
    </row>
    <row r="828" spans="1:8" x14ac:dyDescent="0.3">
      <c r="A828" s="1" t="s">
        <v>1601</v>
      </c>
      <c r="B828" s="2">
        <v>44283</v>
      </c>
      <c r="C828" s="3" t="s">
        <v>1602</v>
      </c>
      <c r="D828" s="4" t="s">
        <v>3</v>
      </c>
      <c r="E828" s="3">
        <v>5</v>
      </c>
      <c r="F828" s="5">
        <f>INDEX([1]products!$A$1:$G$49,MATCH([1]orders!$D828,[1]products!$A$1:$A$49,0),MATCH([1]orders!K$1,[1]products!$A$1:$G$1,0))</f>
        <v>0.5</v>
      </c>
      <c r="G828" s="6">
        <f>INDEX([1]products!$A$1:$G$49,MATCH([1]orders!$D828,[1]products!$A$1:$A$49,0),MATCH([1]orders!L$1,[1]products!$A$1:$G$1,0))</f>
        <v>8.25</v>
      </c>
      <c r="H828" s="6">
        <f t="shared" si="12"/>
        <v>41.25</v>
      </c>
    </row>
    <row r="829" spans="1:8" x14ac:dyDescent="0.3">
      <c r="A829" s="1" t="s">
        <v>1603</v>
      </c>
      <c r="B829" s="2">
        <v>44540</v>
      </c>
      <c r="C829" s="3" t="s">
        <v>1604</v>
      </c>
      <c r="D829" s="4" t="s">
        <v>64</v>
      </c>
      <c r="E829" s="3">
        <v>5</v>
      </c>
      <c r="F829" s="5">
        <f>INDEX([1]products!$A$1:$G$49,MATCH([1]orders!$D829,[1]products!$A$1:$A$49,0),MATCH([1]orders!K$1,[1]products!$A$1:$G$1,0))</f>
        <v>0.2</v>
      </c>
      <c r="G829" s="6">
        <f>INDEX([1]products!$A$1:$G$49,MATCH([1]orders!$D829,[1]products!$A$1:$A$49,0),MATCH([1]orders!L$1,[1]products!$A$1:$G$1,0))</f>
        <v>4.125</v>
      </c>
      <c r="H829" s="6">
        <f t="shared" si="12"/>
        <v>20.625</v>
      </c>
    </row>
    <row r="830" spans="1:8" x14ac:dyDescent="0.3">
      <c r="A830" s="1" t="s">
        <v>1605</v>
      </c>
      <c r="B830" s="2">
        <v>44505</v>
      </c>
      <c r="C830" s="3" t="s">
        <v>1606</v>
      </c>
      <c r="D830" s="4" t="s">
        <v>118</v>
      </c>
      <c r="E830" s="3">
        <v>6</v>
      </c>
      <c r="F830" s="5">
        <f>INDEX([1]products!$A$1:$G$49,MATCH([1]orders!$D830,[1]products!$A$1:$A$49,0),MATCH([1]orders!K$1,[1]products!$A$1:$G$1,0))</f>
        <v>2.5</v>
      </c>
      <c r="G830" s="6">
        <f>INDEX([1]products!$A$1:$G$49,MATCH([1]orders!$D830,[1]products!$A$1:$A$49,0),MATCH([1]orders!L$1,[1]products!$A$1:$G$1,0))</f>
        <v>22.884999999999998</v>
      </c>
      <c r="H830" s="6">
        <f t="shared" si="12"/>
        <v>137.31</v>
      </c>
    </row>
    <row r="831" spans="1:8" x14ac:dyDescent="0.3">
      <c r="A831" s="1" t="s">
        <v>1607</v>
      </c>
      <c r="B831" s="2">
        <v>43890</v>
      </c>
      <c r="C831" s="3" t="s">
        <v>1608</v>
      </c>
      <c r="D831" s="4" t="s">
        <v>54</v>
      </c>
      <c r="E831" s="3">
        <v>1</v>
      </c>
      <c r="F831" s="5">
        <f>INDEX([1]products!$A$1:$G$49,MATCH([1]orders!$D831,[1]products!$A$1:$A$49,0),MATCH([1]orders!K$1,[1]products!$A$1:$G$1,0))</f>
        <v>0.2</v>
      </c>
      <c r="G831" s="6">
        <f>INDEX([1]products!$A$1:$G$49,MATCH([1]orders!$D831,[1]products!$A$1:$A$49,0),MATCH([1]orders!L$1,[1]products!$A$1:$G$1,0))</f>
        <v>2.9849999999999999</v>
      </c>
      <c r="H831" s="6">
        <f t="shared" si="12"/>
        <v>2.9849999999999999</v>
      </c>
    </row>
    <row r="832" spans="1:8" x14ac:dyDescent="0.3">
      <c r="A832" s="1" t="s">
        <v>1609</v>
      </c>
      <c r="B832" s="2">
        <v>44414</v>
      </c>
      <c r="C832" s="3" t="s">
        <v>1610</v>
      </c>
      <c r="D832" s="4" t="s">
        <v>9</v>
      </c>
      <c r="E832" s="3">
        <v>2</v>
      </c>
      <c r="F832" s="5">
        <f>INDEX([1]products!$A$1:$G$49,MATCH([1]orders!$D832,[1]products!$A$1:$A$49,0),MATCH([1]orders!K$1,[1]products!$A$1:$G$1,0))</f>
        <v>1</v>
      </c>
      <c r="G832" s="6">
        <f>INDEX([1]products!$A$1:$G$49,MATCH([1]orders!$D832,[1]products!$A$1:$A$49,0),MATCH([1]orders!L$1,[1]products!$A$1:$G$1,0))</f>
        <v>13.75</v>
      </c>
      <c r="H832" s="6">
        <f t="shared" si="12"/>
        <v>27.5</v>
      </c>
    </row>
    <row r="833" spans="1:8" x14ac:dyDescent="0.3">
      <c r="A833" s="1" t="s">
        <v>1609</v>
      </c>
      <c r="B833" s="2">
        <v>44414</v>
      </c>
      <c r="C833" s="3" t="s">
        <v>1610</v>
      </c>
      <c r="D833" s="4" t="s">
        <v>54</v>
      </c>
      <c r="E833" s="3">
        <v>2</v>
      </c>
      <c r="F833" s="5">
        <f>INDEX([1]products!$A$1:$G$49,MATCH([1]orders!$D833,[1]products!$A$1:$A$49,0),MATCH([1]orders!K$1,[1]products!$A$1:$G$1,0))</f>
        <v>0.2</v>
      </c>
      <c r="G833" s="6">
        <f>INDEX([1]products!$A$1:$G$49,MATCH([1]orders!$D833,[1]products!$A$1:$A$49,0),MATCH([1]orders!L$1,[1]products!$A$1:$G$1,0))</f>
        <v>2.9849999999999999</v>
      </c>
      <c r="H833" s="6">
        <f t="shared" si="12"/>
        <v>5.97</v>
      </c>
    </row>
    <row r="834" spans="1:8" x14ac:dyDescent="0.3">
      <c r="A834" s="1" t="s">
        <v>1611</v>
      </c>
      <c r="B834" s="2">
        <v>44274</v>
      </c>
      <c r="C834" s="3" t="s">
        <v>1612</v>
      </c>
      <c r="D834" s="4" t="s">
        <v>2</v>
      </c>
      <c r="E834" s="3">
        <v>6</v>
      </c>
      <c r="F834" s="5">
        <f>INDEX([1]products!$A$1:$G$49,MATCH([1]orders!$D834,[1]products!$A$1:$A$49,0),MATCH([1]orders!K$1,[1]products!$A$1:$G$1,0))</f>
        <v>1</v>
      </c>
      <c r="G834" s="6">
        <f>INDEX([1]products!$A$1:$G$49,MATCH([1]orders!$D834,[1]products!$A$1:$A$49,0),MATCH([1]orders!L$1,[1]products!$A$1:$G$1,0))</f>
        <v>9.9499999999999993</v>
      </c>
      <c r="H834" s="6">
        <f t="shared" ref="H834:H897" si="13">E834*G834</f>
        <v>59.699999999999996</v>
      </c>
    </row>
    <row r="835" spans="1:8" x14ac:dyDescent="0.3">
      <c r="A835" s="1" t="s">
        <v>1613</v>
      </c>
      <c r="B835" s="2">
        <v>44302</v>
      </c>
      <c r="C835" s="3" t="s">
        <v>1614</v>
      </c>
      <c r="D835" s="4" t="s">
        <v>35</v>
      </c>
      <c r="E835" s="3">
        <v>4</v>
      </c>
      <c r="F835" s="5">
        <f>INDEX([1]products!$A$1:$G$49,MATCH([1]orders!$D835,[1]products!$A$1:$A$49,0),MATCH([1]orders!K$1,[1]products!$A$1:$G$1,0))</f>
        <v>2.5</v>
      </c>
      <c r="G835" s="6">
        <f>INDEX([1]products!$A$1:$G$49,MATCH([1]orders!$D835,[1]products!$A$1:$A$49,0),MATCH([1]orders!L$1,[1]products!$A$1:$G$1,0))</f>
        <v>20.584999999999997</v>
      </c>
      <c r="H835" s="6">
        <f t="shared" si="13"/>
        <v>82.339999999999989</v>
      </c>
    </row>
    <row r="836" spans="1:8" x14ac:dyDescent="0.3">
      <c r="A836" s="1" t="s">
        <v>1615</v>
      </c>
      <c r="B836" s="2">
        <v>44141</v>
      </c>
      <c r="C836" s="3" t="s">
        <v>1616</v>
      </c>
      <c r="D836" s="4" t="s">
        <v>118</v>
      </c>
      <c r="E836" s="3">
        <v>1</v>
      </c>
      <c r="F836" s="5">
        <f>INDEX([1]products!$A$1:$G$49,MATCH([1]orders!$D836,[1]products!$A$1:$A$49,0),MATCH([1]orders!K$1,[1]products!$A$1:$G$1,0))</f>
        <v>2.5</v>
      </c>
      <c r="G836" s="6">
        <f>INDEX([1]products!$A$1:$G$49,MATCH([1]orders!$D836,[1]products!$A$1:$A$49,0),MATCH([1]orders!L$1,[1]products!$A$1:$G$1,0))</f>
        <v>22.884999999999998</v>
      </c>
      <c r="H836" s="6">
        <f t="shared" si="13"/>
        <v>22.884999999999998</v>
      </c>
    </row>
    <row r="837" spans="1:8" x14ac:dyDescent="0.3">
      <c r="A837" s="1" t="s">
        <v>1617</v>
      </c>
      <c r="B837" s="2">
        <v>44270</v>
      </c>
      <c r="C837" s="3" t="s">
        <v>1618</v>
      </c>
      <c r="D837" s="4" t="s">
        <v>176</v>
      </c>
      <c r="E837" s="3">
        <v>1</v>
      </c>
      <c r="F837" s="5">
        <f>INDEX([1]products!$A$1:$G$49,MATCH([1]orders!$D837,[1]products!$A$1:$A$49,0),MATCH([1]orders!K$1,[1]products!$A$1:$G$1,0))</f>
        <v>0.5</v>
      </c>
      <c r="G837" s="6">
        <f>INDEX([1]products!$A$1:$G$49,MATCH([1]orders!$D837,[1]products!$A$1:$A$49,0),MATCH([1]orders!L$1,[1]products!$A$1:$G$1,0))</f>
        <v>8.91</v>
      </c>
      <c r="H837" s="6">
        <f t="shared" si="13"/>
        <v>8.91</v>
      </c>
    </row>
    <row r="838" spans="1:8" x14ac:dyDescent="0.3">
      <c r="A838" s="1" t="s">
        <v>1619</v>
      </c>
      <c r="B838" s="2">
        <v>44486</v>
      </c>
      <c r="C838" s="3" t="s">
        <v>1620</v>
      </c>
      <c r="D838" s="4" t="s">
        <v>54</v>
      </c>
      <c r="E838" s="3">
        <v>4</v>
      </c>
      <c r="F838" s="5">
        <f>INDEX([1]products!$A$1:$G$49,MATCH([1]orders!$D838,[1]products!$A$1:$A$49,0),MATCH([1]orders!K$1,[1]products!$A$1:$G$1,0))</f>
        <v>0.2</v>
      </c>
      <c r="G838" s="6">
        <f>INDEX([1]products!$A$1:$G$49,MATCH([1]orders!$D838,[1]products!$A$1:$A$49,0),MATCH([1]orders!L$1,[1]products!$A$1:$G$1,0))</f>
        <v>2.9849999999999999</v>
      </c>
      <c r="H838" s="6">
        <f t="shared" si="13"/>
        <v>11.94</v>
      </c>
    </row>
    <row r="839" spans="1:8" x14ac:dyDescent="0.3">
      <c r="A839" s="1" t="s">
        <v>1621</v>
      </c>
      <c r="B839" s="2">
        <v>43715</v>
      </c>
      <c r="C839" s="3" t="s">
        <v>1569</v>
      </c>
      <c r="D839" s="4" t="s">
        <v>197</v>
      </c>
      <c r="E839" s="3">
        <v>3</v>
      </c>
      <c r="F839" s="5">
        <f>INDEX([1]products!$A$1:$G$49,MATCH([1]orders!$D839,[1]products!$A$1:$A$49,0),MATCH([1]orders!K$1,[1]products!$A$1:$G$1,0))</f>
        <v>2.5</v>
      </c>
      <c r="G839" s="6">
        <f>INDEX([1]products!$A$1:$G$49,MATCH([1]orders!$D839,[1]products!$A$1:$A$49,0),MATCH([1]orders!L$1,[1]products!$A$1:$G$1,0))</f>
        <v>33.464999999999996</v>
      </c>
      <c r="H839" s="6">
        <f t="shared" si="13"/>
        <v>100.39499999999998</v>
      </c>
    </row>
    <row r="840" spans="1:8" x14ac:dyDescent="0.3">
      <c r="A840" s="1" t="s">
        <v>1622</v>
      </c>
      <c r="B840" s="2">
        <v>44755</v>
      </c>
      <c r="C840" s="3" t="s">
        <v>1623</v>
      </c>
      <c r="D840" s="4" t="s">
        <v>118</v>
      </c>
      <c r="E840" s="3">
        <v>5</v>
      </c>
      <c r="F840" s="5">
        <f>INDEX([1]products!$A$1:$G$49,MATCH([1]orders!$D840,[1]products!$A$1:$A$49,0),MATCH([1]orders!K$1,[1]products!$A$1:$G$1,0))</f>
        <v>2.5</v>
      </c>
      <c r="G840" s="6">
        <f>INDEX([1]products!$A$1:$G$49,MATCH([1]orders!$D840,[1]products!$A$1:$A$49,0),MATCH([1]orders!L$1,[1]products!$A$1:$G$1,0))</f>
        <v>22.884999999999998</v>
      </c>
      <c r="H840" s="6">
        <f t="shared" si="13"/>
        <v>114.42499999999998</v>
      </c>
    </row>
    <row r="841" spans="1:8" x14ac:dyDescent="0.3">
      <c r="A841" s="1" t="s">
        <v>1624</v>
      </c>
      <c r="B841" s="2">
        <v>44521</v>
      </c>
      <c r="C841" s="3" t="s">
        <v>1625</v>
      </c>
      <c r="D841" s="4" t="s">
        <v>3</v>
      </c>
      <c r="E841" s="3">
        <v>5</v>
      </c>
      <c r="F841" s="5">
        <f>INDEX([1]products!$A$1:$G$49,MATCH([1]orders!$D841,[1]products!$A$1:$A$49,0),MATCH([1]orders!K$1,[1]products!$A$1:$G$1,0))</f>
        <v>0.5</v>
      </c>
      <c r="G841" s="6">
        <f>INDEX([1]products!$A$1:$G$49,MATCH([1]orders!$D841,[1]products!$A$1:$A$49,0),MATCH([1]orders!L$1,[1]products!$A$1:$G$1,0))</f>
        <v>8.25</v>
      </c>
      <c r="H841" s="6">
        <f t="shared" si="13"/>
        <v>41.25</v>
      </c>
    </row>
    <row r="842" spans="1:8" x14ac:dyDescent="0.3">
      <c r="A842" s="1" t="s">
        <v>1626</v>
      </c>
      <c r="B842" s="2">
        <v>44574</v>
      </c>
      <c r="C842" s="3" t="s">
        <v>1627</v>
      </c>
      <c r="D842" s="4" t="s">
        <v>157</v>
      </c>
      <c r="E842" s="3">
        <v>4</v>
      </c>
      <c r="F842" s="5">
        <f>INDEX([1]products!$A$1:$G$49,MATCH([1]orders!$D842,[1]products!$A$1:$A$49,0),MATCH([1]orders!K$1,[1]products!$A$1:$G$1,0))</f>
        <v>0.5</v>
      </c>
      <c r="G842" s="6">
        <f>INDEX([1]products!$A$1:$G$49,MATCH([1]orders!$D842,[1]products!$A$1:$A$49,0),MATCH([1]orders!L$1,[1]products!$A$1:$G$1,0))</f>
        <v>7.169999999999999</v>
      </c>
      <c r="H842" s="6">
        <f t="shared" si="13"/>
        <v>28.679999999999996</v>
      </c>
    </row>
    <row r="843" spans="1:8" x14ac:dyDescent="0.3">
      <c r="A843" s="1" t="s">
        <v>1628</v>
      </c>
      <c r="B843" s="2">
        <v>44755</v>
      </c>
      <c r="C843" s="3" t="s">
        <v>1629</v>
      </c>
      <c r="D843" s="4" t="s">
        <v>77</v>
      </c>
      <c r="E843" s="3">
        <v>1</v>
      </c>
      <c r="F843" s="5">
        <f>INDEX([1]products!$A$1:$G$49,MATCH([1]orders!$D843,[1]products!$A$1:$A$49,0),MATCH([1]orders!K$1,[1]products!$A$1:$G$1,0))</f>
        <v>0.2</v>
      </c>
      <c r="G843" s="6">
        <f>INDEX([1]products!$A$1:$G$49,MATCH([1]orders!$D843,[1]products!$A$1:$A$49,0),MATCH([1]orders!L$1,[1]products!$A$1:$G$1,0))</f>
        <v>4.3650000000000002</v>
      </c>
      <c r="H843" s="6">
        <f t="shared" si="13"/>
        <v>4.3650000000000002</v>
      </c>
    </row>
    <row r="844" spans="1:8" x14ac:dyDescent="0.3">
      <c r="A844" s="1" t="s">
        <v>1630</v>
      </c>
      <c r="B844" s="2">
        <v>44502</v>
      </c>
      <c r="C844" s="3" t="s">
        <v>1600</v>
      </c>
      <c r="D844" s="4" t="s">
        <v>64</v>
      </c>
      <c r="E844" s="3">
        <v>2</v>
      </c>
      <c r="F844" s="5">
        <f>INDEX([1]products!$A$1:$G$49,MATCH([1]orders!$D844,[1]products!$A$1:$A$49,0),MATCH([1]orders!K$1,[1]products!$A$1:$G$1,0))</f>
        <v>0.2</v>
      </c>
      <c r="G844" s="6">
        <f>INDEX([1]products!$A$1:$G$49,MATCH([1]orders!$D844,[1]products!$A$1:$A$49,0),MATCH([1]orders!L$1,[1]products!$A$1:$G$1,0))</f>
        <v>4.125</v>
      </c>
      <c r="H844" s="6">
        <f t="shared" si="13"/>
        <v>8.25</v>
      </c>
    </row>
    <row r="845" spans="1:8" x14ac:dyDescent="0.3">
      <c r="A845" s="1" t="s">
        <v>1631</v>
      </c>
      <c r="B845" s="2">
        <v>44387</v>
      </c>
      <c r="C845" s="3" t="s">
        <v>1632</v>
      </c>
      <c r="D845" s="4" t="s">
        <v>64</v>
      </c>
      <c r="E845" s="3">
        <v>2</v>
      </c>
      <c r="F845" s="5">
        <f>INDEX([1]products!$A$1:$G$49,MATCH([1]orders!$D845,[1]products!$A$1:$A$49,0),MATCH([1]orders!K$1,[1]products!$A$1:$G$1,0))</f>
        <v>0.2</v>
      </c>
      <c r="G845" s="6">
        <f>INDEX([1]products!$A$1:$G$49,MATCH([1]orders!$D845,[1]products!$A$1:$A$49,0),MATCH([1]orders!L$1,[1]products!$A$1:$G$1,0))</f>
        <v>4.125</v>
      </c>
      <c r="H845" s="6">
        <f t="shared" si="13"/>
        <v>8.25</v>
      </c>
    </row>
    <row r="846" spans="1:8" x14ac:dyDescent="0.3">
      <c r="A846" s="1" t="s">
        <v>1633</v>
      </c>
      <c r="B846" s="2">
        <v>44476</v>
      </c>
      <c r="C846" s="3" t="s">
        <v>1634</v>
      </c>
      <c r="D846" s="4" t="s">
        <v>72</v>
      </c>
      <c r="E846" s="3">
        <v>6</v>
      </c>
      <c r="F846" s="5">
        <f>INDEX([1]products!$A$1:$G$49,MATCH([1]orders!$D846,[1]products!$A$1:$A$49,0),MATCH([1]orders!K$1,[1]products!$A$1:$G$1,0))</f>
        <v>0.5</v>
      </c>
      <c r="G846" s="6">
        <f>INDEX([1]products!$A$1:$G$49,MATCH([1]orders!$D846,[1]products!$A$1:$A$49,0),MATCH([1]orders!L$1,[1]products!$A$1:$G$1,0))</f>
        <v>5.97</v>
      </c>
      <c r="H846" s="6">
        <f t="shared" si="13"/>
        <v>35.82</v>
      </c>
    </row>
    <row r="847" spans="1:8" x14ac:dyDescent="0.3">
      <c r="A847" s="1" t="s">
        <v>1635</v>
      </c>
      <c r="B847" s="2">
        <v>43889</v>
      </c>
      <c r="C847" s="3" t="s">
        <v>1636</v>
      </c>
      <c r="D847" s="4" t="s">
        <v>530</v>
      </c>
      <c r="E847" s="3">
        <v>6</v>
      </c>
      <c r="F847" s="5">
        <f>INDEX([1]products!$A$1:$G$49,MATCH([1]orders!$D847,[1]products!$A$1:$A$49,0),MATCH([1]orders!K$1,[1]products!$A$1:$G$1,0))</f>
        <v>2.5</v>
      </c>
      <c r="G847" s="6">
        <f>INDEX([1]products!$A$1:$G$49,MATCH([1]orders!$D847,[1]products!$A$1:$A$49,0),MATCH([1]orders!L$1,[1]products!$A$1:$G$1,0))</f>
        <v>27.945</v>
      </c>
      <c r="H847" s="6">
        <f t="shared" si="13"/>
        <v>167.67000000000002</v>
      </c>
    </row>
    <row r="848" spans="1:8" x14ac:dyDescent="0.3">
      <c r="A848" s="1" t="s">
        <v>1637</v>
      </c>
      <c r="B848" s="2">
        <v>44747</v>
      </c>
      <c r="C848" s="3" t="s">
        <v>1638</v>
      </c>
      <c r="D848" s="4" t="s">
        <v>171</v>
      </c>
      <c r="E848" s="3">
        <v>2</v>
      </c>
      <c r="F848" s="5">
        <f>INDEX([1]products!$A$1:$G$49,MATCH([1]orders!$D848,[1]products!$A$1:$A$49,0),MATCH([1]orders!K$1,[1]products!$A$1:$G$1,0))</f>
        <v>2.5</v>
      </c>
      <c r="G848" s="6">
        <f>INDEX([1]products!$A$1:$G$49,MATCH([1]orders!$D848,[1]products!$A$1:$A$49,0),MATCH([1]orders!L$1,[1]products!$A$1:$G$1,0))</f>
        <v>25.874999999999996</v>
      </c>
      <c r="H848" s="6">
        <f t="shared" si="13"/>
        <v>51.749999999999993</v>
      </c>
    </row>
    <row r="849" spans="1:8" x14ac:dyDescent="0.3">
      <c r="A849" s="1" t="s">
        <v>1639</v>
      </c>
      <c r="B849" s="2">
        <v>44460</v>
      </c>
      <c r="C849" s="3" t="s">
        <v>1640</v>
      </c>
      <c r="D849" s="4" t="s">
        <v>54</v>
      </c>
      <c r="E849" s="3">
        <v>3</v>
      </c>
      <c r="F849" s="5">
        <f>INDEX([1]products!$A$1:$G$49,MATCH([1]orders!$D849,[1]products!$A$1:$A$49,0),MATCH([1]orders!K$1,[1]products!$A$1:$G$1,0))</f>
        <v>0.2</v>
      </c>
      <c r="G849" s="6">
        <f>INDEX([1]products!$A$1:$G$49,MATCH([1]orders!$D849,[1]products!$A$1:$A$49,0),MATCH([1]orders!L$1,[1]products!$A$1:$G$1,0))</f>
        <v>2.9849999999999999</v>
      </c>
      <c r="H849" s="6">
        <f t="shared" si="13"/>
        <v>8.9550000000000001</v>
      </c>
    </row>
    <row r="850" spans="1:8" x14ac:dyDescent="0.3">
      <c r="A850" s="1" t="s">
        <v>1641</v>
      </c>
      <c r="B850" s="2">
        <v>43468</v>
      </c>
      <c r="C850" s="3" t="s">
        <v>1642</v>
      </c>
      <c r="D850" s="4" t="s">
        <v>176</v>
      </c>
      <c r="E850" s="3">
        <v>6</v>
      </c>
      <c r="F850" s="5">
        <f>INDEX([1]products!$A$1:$G$49,MATCH([1]orders!$D850,[1]products!$A$1:$A$49,0),MATCH([1]orders!K$1,[1]products!$A$1:$G$1,0))</f>
        <v>0.5</v>
      </c>
      <c r="G850" s="6">
        <f>INDEX([1]products!$A$1:$G$49,MATCH([1]orders!$D850,[1]products!$A$1:$A$49,0),MATCH([1]orders!L$1,[1]products!$A$1:$G$1,0))</f>
        <v>8.91</v>
      </c>
      <c r="H850" s="6">
        <f t="shared" si="13"/>
        <v>53.46</v>
      </c>
    </row>
    <row r="851" spans="1:8" x14ac:dyDescent="0.3">
      <c r="A851" s="1" t="s">
        <v>1643</v>
      </c>
      <c r="B851" s="2">
        <v>44628</v>
      </c>
      <c r="C851" s="3" t="s">
        <v>1644</v>
      </c>
      <c r="D851" s="4" t="s">
        <v>115</v>
      </c>
      <c r="E851" s="3">
        <v>6</v>
      </c>
      <c r="F851" s="5">
        <f>INDEX([1]products!$A$1:$G$49,MATCH([1]orders!$D851,[1]products!$A$1:$A$49,0),MATCH([1]orders!K$1,[1]products!$A$1:$G$1,0))</f>
        <v>0.2</v>
      </c>
      <c r="G851" s="6">
        <f>INDEX([1]products!$A$1:$G$49,MATCH([1]orders!$D851,[1]products!$A$1:$A$49,0),MATCH([1]orders!L$1,[1]products!$A$1:$G$1,0))</f>
        <v>3.8849999999999998</v>
      </c>
      <c r="H851" s="6">
        <f t="shared" si="13"/>
        <v>23.31</v>
      </c>
    </row>
    <row r="852" spans="1:8" x14ac:dyDescent="0.3">
      <c r="A852" s="1" t="s">
        <v>1643</v>
      </c>
      <c r="B852" s="2">
        <v>44628</v>
      </c>
      <c r="C852" s="3" t="s">
        <v>1644</v>
      </c>
      <c r="D852" s="4" t="s">
        <v>44</v>
      </c>
      <c r="E852" s="3">
        <v>2</v>
      </c>
      <c r="F852" s="5">
        <f>INDEX([1]products!$A$1:$G$49,MATCH([1]orders!$D852,[1]products!$A$1:$A$49,0),MATCH([1]orders!K$1,[1]products!$A$1:$G$1,0))</f>
        <v>0.2</v>
      </c>
      <c r="G852" s="6">
        <f>INDEX([1]products!$A$1:$G$49,MATCH([1]orders!$D852,[1]products!$A$1:$A$49,0),MATCH([1]orders!L$1,[1]products!$A$1:$G$1,0))</f>
        <v>3.375</v>
      </c>
      <c r="H852" s="6">
        <f t="shared" si="13"/>
        <v>6.75</v>
      </c>
    </row>
    <row r="853" spans="1:8" x14ac:dyDescent="0.3">
      <c r="A853" s="1" t="s">
        <v>1645</v>
      </c>
      <c r="B853" s="2">
        <v>43900</v>
      </c>
      <c r="C853" s="3" t="s">
        <v>1646</v>
      </c>
      <c r="D853" s="4" t="s">
        <v>123</v>
      </c>
      <c r="E853" s="3">
        <v>1</v>
      </c>
      <c r="F853" s="5">
        <f>INDEX([1]products!$A$1:$G$49,MATCH([1]orders!$D853,[1]products!$A$1:$A$49,0),MATCH([1]orders!K$1,[1]products!$A$1:$G$1,0))</f>
        <v>0.5</v>
      </c>
      <c r="G853" s="6">
        <f>INDEX([1]products!$A$1:$G$49,MATCH([1]orders!$D853,[1]products!$A$1:$A$49,0),MATCH([1]orders!L$1,[1]products!$A$1:$G$1,0))</f>
        <v>7.77</v>
      </c>
      <c r="H853" s="6">
        <f t="shared" si="13"/>
        <v>7.77</v>
      </c>
    </row>
    <row r="854" spans="1:8" x14ac:dyDescent="0.3">
      <c r="A854" s="1" t="s">
        <v>1647</v>
      </c>
      <c r="B854" s="2">
        <v>44527</v>
      </c>
      <c r="C854" s="3" t="s">
        <v>1648</v>
      </c>
      <c r="D854" s="4" t="s">
        <v>109</v>
      </c>
      <c r="E854" s="3">
        <v>4</v>
      </c>
      <c r="F854" s="5">
        <f>INDEX([1]products!$A$1:$G$49,MATCH([1]orders!$D854,[1]products!$A$1:$A$49,0),MATCH([1]orders!K$1,[1]products!$A$1:$G$1,0))</f>
        <v>2.5</v>
      </c>
      <c r="G854" s="6">
        <f>INDEX([1]products!$A$1:$G$49,MATCH([1]orders!$D854,[1]products!$A$1:$A$49,0),MATCH([1]orders!L$1,[1]products!$A$1:$G$1,0))</f>
        <v>29.784999999999997</v>
      </c>
      <c r="H854" s="6">
        <f t="shared" si="13"/>
        <v>119.13999999999999</v>
      </c>
    </row>
    <row r="855" spans="1:8" x14ac:dyDescent="0.3">
      <c r="A855" s="1" t="s">
        <v>1649</v>
      </c>
      <c r="B855" s="2">
        <v>44259</v>
      </c>
      <c r="C855" s="3" t="s">
        <v>1650</v>
      </c>
      <c r="D855" s="4" t="s">
        <v>27</v>
      </c>
      <c r="E855" s="3">
        <v>2</v>
      </c>
      <c r="F855" s="5">
        <f>INDEX([1]products!$A$1:$G$49,MATCH([1]orders!$D855,[1]products!$A$1:$A$49,0),MATCH([1]orders!K$1,[1]products!$A$1:$G$1,0))</f>
        <v>1</v>
      </c>
      <c r="G855" s="6">
        <f>INDEX([1]products!$A$1:$G$49,MATCH([1]orders!$D855,[1]products!$A$1:$A$49,0),MATCH([1]orders!L$1,[1]products!$A$1:$G$1,0))</f>
        <v>9.9499999999999993</v>
      </c>
      <c r="H855" s="6">
        <f t="shared" si="13"/>
        <v>19.899999999999999</v>
      </c>
    </row>
    <row r="856" spans="1:8" x14ac:dyDescent="0.3">
      <c r="A856" s="1" t="s">
        <v>1651</v>
      </c>
      <c r="B856" s="2">
        <v>44516</v>
      </c>
      <c r="C856" s="3" t="s">
        <v>1652</v>
      </c>
      <c r="D856" s="4" t="s">
        <v>157</v>
      </c>
      <c r="E856" s="3">
        <v>5</v>
      </c>
      <c r="F856" s="5">
        <f>INDEX([1]products!$A$1:$G$49,MATCH([1]orders!$D856,[1]products!$A$1:$A$49,0),MATCH([1]orders!K$1,[1]products!$A$1:$G$1,0))</f>
        <v>0.5</v>
      </c>
      <c r="G856" s="6">
        <f>INDEX([1]products!$A$1:$G$49,MATCH([1]orders!$D856,[1]products!$A$1:$A$49,0),MATCH([1]orders!L$1,[1]products!$A$1:$G$1,0))</f>
        <v>7.169999999999999</v>
      </c>
      <c r="H856" s="6">
        <f t="shared" si="13"/>
        <v>35.849999999999994</v>
      </c>
    </row>
    <row r="857" spans="1:8" x14ac:dyDescent="0.3">
      <c r="A857" s="1" t="s">
        <v>1653</v>
      </c>
      <c r="B857" s="2">
        <v>43632</v>
      </c>
      <c r="C857" s="3" t="s">
        <v>1654</v>
      </c>
      <c r="D857" s="4" t="s">
        <v>109</v>
      </c>
      <c r="E857" s="3">
        <v>3</v>
      </c>
      <c r="F857" s="5">
        <f>INDEX([1]products!$A$1:$G$49,MATCH([1]orders!$D857,[1]products!$A$1:$A$49,0),MATCH([1]orders!K$1,[1]products!$A$1:$G$1,0))</f>
        <v>2.5</v>
      </c>
      <c r="G857" s="6">
        <f>INDEX([1]products!$A$1:$G$49,MATCH([1]orders!$D857,[1]products!$A$1:$A$49,0),MATCH([1]orders!L$1,[1]products!$A$1:$G$1,0))</f>
        <v>29.784999999999997</v>
      </c>
      <c r="H857" s="6">
        <f t="shared" si="13"/>
        <v>89.35499999999999</v>
      </c>
    </row>
    <row r="858" spans="1:8" x14ac:dyDescent="0.3">
      <c r="A858" s="1" t="s">
        <v>1655</v>
      </c>
      <c r="B858" s="2">
        <v>44031</v>
      </c>
      <c r="C858" s="3" t="s">
        <v>1600</v>
      </c>
      <c r="D858" s="4" t="s">
        <v>77</v>
      </c>
      <c r="E858" s="3">
        <v>2</v>
      </c>
      <c r="F858" s="5">
        <f>INDEX([1]products!$A$1:$G$49,MATCH([1]orders!$D858,[1]products!$A$1:$A$49,0),MATCH([1]orders!K$1,[1]products!$A$1:$G$1,0))</f>
        <v>0.2</v>
      </c>
      <c r="G858" s="6">
        <f>INDEX([1]products!$A$1:$G$49,MATCH([1]orders!$D858,[1]products!$A$1:$A$49,0),MATCH([1]orders!L$1,[1]products!$A$1:$G$1,0))</f>
        <v>4.3650000000000002</v>
      </c>
      <c r="H858" s="6">
        <f t="shared" si="13"/>
        <v>8.73</v>
      </c>
    </row>
    <row r="859" spans="1:8" x14ac:dyDescent="0.3">
      <c r="A859" s="1" t="s">
        <v>1656</v>
      </c>
      <c r="B859" s="2">
        <v>43889</v>
      </c>
      <c r="C859" s="3" t="s">
        <v>1657</v>
      </c>
      <c r="D859" s="4" t="s">
        <v>10</v>
      </c>
      <c r="E859" s="3">
        <v>5</v>
      </c>
      <c r="F859" s="5">
        <f>INDEX([1]products!$A$1:$G$49,MATCH([1]orders!$D859,[1]products!$A$1:$A$49,0),MATCH([1]orders!K$1,[1]products!$A$1:$G$1,0))</f>
        <v>2.5</v>
      </c>
      <c r="G859" s="6">
        <f>INDEX([1]products!$A$1:$G$49,MATCH([1]orders!$D859,[1]products!$A$1:$A$49,0),MATCH([1]orders!L$1,[1]products!$A$1:$G$1,0))</f>
        <v>27.484999999999996</v>
      </c>
      <c r="H859" s="6">
        <f t="shared" si="13"/>
        <v>137.42499999999998</v>
      </c>
    </row>
    <row r="860" spans="1:8" x14ac:dyDescent="0.3">
      <c r="A860" s="1" t="s">
        <v>1658</v>
      </c>
      <c r="B860" s="2">
        <v>43638</v>
      </c>
      <c r="C860" s="3" t="s">
        <v>1659</v>
      </c>
      <c r="D860" s="4" t="s">
        <v>78</v>
      </c>
      <c r="E860" s="3">
        <v>4</v>
      </c>
      <c r="F860" s="5">
        <f>INDEX([1]products!$A$1:$G$49,MATCH([1]orders!$D860,[1]products!$A$1:$A$49,0),MATCH([1]orders!K$1,[1]products!$A$1:$G$1,0))</f>
        <v>0.5</v>
      </c>
      <c r="G860" s="6">
        <f>INDEX([1]products!$A$1:$G$49,MATCH([1]orders!$D860,[1]products!$A$1:$A$49,0),MATCH([1]orders!L$1,[1]products!$A$1:$G$1,0))</f>
        <v>8.73</v>
      </c>
      <c r="H860" s="6">
        <f t="shared" si="13"/>
        <v>34.92</v>
      </c>
    </row>
    <row r="861" spans="1:8" x14ac:dyDescent="0.3">
      <c r="A861" s="1" t="s">
        <v>1660</v>
      </c>
      <c r="B861" s="2">
        <v>43716</v>
      </c>
      <c r="C861" s="3" t="s">
        <v>1661</v>
      </c>
      <c r="D861" s="4" t="s">
        <v>204</v>
      </c>
      <c r="E861" s="3">
        <v>6</v>
      </c>
      <c r="F861" s="5">
        <f>INDEX([1]products!$A$1:$G$49,MATCH([1]orders!$D861,[1]products!$A$1:$A$49,0),MATCH([1]orders!K$1,[1]products!$A$1:$G$1,0))</f>
        <v>2.5</v>
      </c>
      <c r="G861" s="6">
        <f>INDEX([1]products!$A$1:$G$49,MATCH([1]orders!$D861,[1]products!$A$1:$A$49,0),MATCH([1]orders!L$1,[1]products!$A$1:$G$1,0))</f>
        <v>29.784999999999997</v>
      </c>
      <c r="H861" s="6">
        <f t="shared" si="13"/>
        <v>178.70999999999998</v>
      </c>
    </row>
    <row r="862" spans="1:8" x14ac:dyDescent="0.3">
      <c r="A862" s="1" t="s">
        <v>1662</v>
      </c>
      <c r="B862" s="2">
        <v>44707</v>
      </c>
      <c r="C862" s="3" t="s">
        <v>1663</v>
      </c>
      <c r="D862" s="4" t="s">
        <v>171</v>
      </c>
      <c r="E862" s="3">
        <v>1</v>
      </c>
      <c r="F862" s="5">
        <f>INDEX([1]products!$A$1:$G$49,MATCH([1]orders!$D862,[1]products!$A$1:$A$49,0),MATCH([1]orders!K$1,[1]products!$A$1:$G$1,0))</f>
        <v>2.5</v>
      </c>
      <c r="G862" s="6">
        <f>INDEX([1]products!$A$1:$G$49,MATCH([1]orders!$D862,[1]products!$A$1:$A$49,0),MATCH([1]orders!L$1,[1]products!$A$1:$G$1,0))</f>
        <v>25.874999999999996</v>
      </c>
      <c r="H862" s="6">
        <f t="shared" si="13"/>
        <v>25.874999999999996</v>
      </c>
    </row>
    <row r="863" spans="1:8" x14ac:dyDescent="0.3">
      <c r="A863" s="1" t="s">
        <v>1664</v>
      </c>
      <c r="B863" s="2">
        <v>43802</v>
      </c>
      <c r="C863" s="3" t="s">
        <v>1665</v>
      </c>
      <c r="D863" s="4" t="s">
        <v>13</v>
      </c>
      <c r="E863" s="3">
        <v>6</v>
      </c>
      <c r="F863" s="5">
        <f>INDEX([1]products!$A$1:$G$49,MATCH([1]orders!$D863,[1]products!$A$1:$A$49,0),MATCH([1]orders!K$1,[1]products!$A$1:$G$1,0))</f>
        <v>1</v>
      </c>
      <c r="G863" s="6">
        <f>INDEX([1]products!$A$1:$G$49,MATCH([1]orders!$D863,[1]products!$A$1:$A$49,0),MATCH([1]orders!L$1,[1]products!$A$1:$G$1,0))</f>
        <v>12.95</v>
      </c>
      <c r="H863" s="6">
        <f t="shared" si="13"/>
        <v>77.699999999999989</v>
      </c>
    </row>
    <row r="864" spans="1:8" x14ac:dyDescent="0.3">
      <c r="A864" s="1" t="s">
        <v>1666</v>
      </c>
      <c r="B864" s="2">
        <v>43725</v>
      </c>
      <c r="C864" s="3" t="s">
        <v>1667</v>
      </c>
      <c r="D864" s="4" t="s">
        <v>2</v>
      </c>
      <c r="E864" s="3">
        <v>1</v>
      </c>
      <c r="F864" s="5">
        <f>INDEX([1]products!$A$1:$G$49,MATCH([1]orders!$D864,[1]products!$A$1:$A$49,0),MATCH([1]orders!K$1,[1]products!$A$1:$G$1,0))</f>
        <v>1</v>
      </c>
      <c r="G864" s="6">
        <f>INDEX([1]products!$A$1:$G$49,MATCH([1]orders!$D864,[1]products!$A$1:$A$49,0),MATCH([1]orders!L$1,[1]products!$A$1:$G$1,0))</f>
        <v>9.9499999999999993</v>
      </c>
      <c r="H864" s="6">
        <f t="shared" si="13"/>
        <v>9.9499999999999993</v>
      </c>
    </row>
    <row r="865" spans="1:8" x14ac:dyDescent="0.3">
      <c r="A865" s="1" t="s">
        <v>1668</v>
      </c>
      <c r="B865" s="2">
        <v>44712</v>
      </c>
      <c r="C865" s="3" t="s">
        <v>1669</v>
      </c>
      <c r="D865" s="4" t="s">
        <v>96</v>
      </c>
      <c r="E865" s="3">
        <v>2</v>
      </c>
      <c r="F865" s="5">
        <f>INDEX([1]products!$A$1:$G$49,MATCH([1]orders!$D865,[1]products!$A$1:$A$49,0),MATCH([1]orders!K$1,[1]products!$A$1:$G$1,0))</f>
        <v>1</v>
      </c>
      <c r="G865" s="6">
        <f>INDEX([1]products!$A$1:$G$49,MATCH([1]orders!$D865,[1]products!$A$1:$A$49,0),MATCH([1]orders!L$1,[1]products!$A$1:$G$1,0))</f>
        <v>14.55</v>
      </c>
      <c r="H865" s="6">
        <f t="shared" si="13"/>
        <v>29.1</v>
      </c>
    </row>
    <row r="866" spans="1:8" x14ac:dyDescent="0.3">
      <c r="A866" s="1" t="s">
        <v>1670</v>
      </c>
      <c r="B866" s="2">
        <v>43759</v>
      </c>
      <c r="C866" s="3" t="s">
        <v>1671</v>
      </c>
      <c r="D866" s="4" t="s">
        <v>182</v>
      </c>
      <c r="E866" s="3">
        <v>6</v>
      </c>
      <c r="F866" s="5">
        <f>INDEX([1]products!$A$1:$G$49,MATCH([1]orders!$D866,[1]products!$A$1:$A$49,0),MATCH([1]orders!K$1,[1]products!$A$1:$G$1,0))</f>
        <v>0.2</v>
      </c>
      <c r="G866" s="6">
        <f>INDEX([1]products!$A$1:$G$49,MATCH([1]orders!$D866,[1]products!$A$1:$A$49,0),MATCH([1]orders!L$1,[1]products!$A$1:$G$1,0))</f>
        <v>3.5849999999999995</v>
      </c>
      <c r="H866" s="6">
        <f t="shared" si="13"/>
        <v>21.509999999999998</v>
      </c>
    </row>
    <row r="867" spans="1:8" x14ac:dyDescent="0.3">
      <c r="A867" s="1" t="s">
        <v>1672</v>
      </c>
      <c r="B867" s="2">
        <v>44675</v>
      </c>
      <c r="C867" s="3" t="s">
        <v>1673</v>
      </c>
      <c r="D867" s="4" t="s">
        <v>67</v>
      </c>
      <c r="E867" s="3">
        <v>1</v>
      </c>
      <c r="F867" s="5">
        <f>INDEX([1]products!$A$1:$G$49,MATCH([1]orders!$D867,[1]products!$A$1:$A$49,0),MATCH([1]orders!K$1,[1]products!$A$1:$G$1,0))</f>
        <v>0.5</v>
      </c>
      <c r="G867" s="6">
        <f>INDEX([1]products!$A$1:$G$49,MATCH([1]orders!$D867,[1]products!$A$1:$A$49,0),MATCH([1]orders!L$1,[1]products!$A$1:$G$1,0))</f>
        <v>6.75</v>
      </c>
      <c r="H867" s="6">
        <f t="shared" si="13"/>
        <v>6.75</v>
      </c>
    </row>
    <row r="868" spans="1:8" x14ac:dyDescent="0.3">
      <c r="A868" s="1" t="s">
        <v>1674</v>
      </c>
      <c r="B868" s="2">
        <v>44209</v>
      </c>
      <c r="C868" s="3" t="s">
        <v>1675</v>
      </c>
      <c r="D868" s="4" t="s">
        <v>72</v>
      </c>
      <c r="E868" s="3">
        <v>3</v>
      </c>
      <c r="F868" s="5">
        <f>INDEX([1]products!$A$1:$G$49,MATCH([1]orders!$D868,[1]products!$A$1:$A$49,0),MATCH([1]orders!K$1,[1]products!$A$1:$G$1,0))</f>
        <v>0.5</v>
      </c>
      <c r="G868" s="6">
        <f>INDEX([1]products!$A$1:$G$49,MATCH([1]orders!$D868,[1]products!$A$1:$A$49,0),MATCH([1]orders!L$1,[1]products!$A$1:$G$1,0))</f>
        <v>5.97</v>
      </c>
      <c r="H868" s="6">
        <f t="shared" si="13"/>
        <v>17.91</v>
      </c>
    </row>
    <row r="869" spans="1:8" x14ac:dyDescent="0.3">
      <c r="A869" s="1" t="s">
        <v>1676</v>
      </c>
      <c r="B869" s="2">
        <v>44792</v>
      </c>
      <c r="C869" s="3" t="s">
        <v>1677</v>
      </c>
      <c r="D869" s="4" t="s">
        <v>204</v>
      </c>
      <c r="E869" s="3">
        <v>1</v>
      </c>
      <c r="F869" s="5">
        <f>INDEX([1]products!$A$1:$G$49,MATCH([1]orders!$D869,[1]products!$A$1:$A$49,0),MATCH([1]orders!K$1,[1]products!$A$1:$G$1,0))</f>
        <v>2.5</v>
      </c>
      <c r="G869" s="6">
        <f>INDEX([1]products!$A$1:$G$49,MATCH([1]orders!$D869,[1]products!$A$1:$A$49,0),MATCH([1]orders!L$1,[1]products!$A$1:$G$1,0))</f>
        <v>29.784999999999997</v>
      </c>
      <c r="H869" s="6">
        <f t="shared" si="13"/>
        <v>29.784999999999997</v>
      </c>
    </row>
    <row r="870" spans="1:8" x14ac:dyDescent="0.3">
      <c r="A870" s="1" t="s">
        <v>1678</v>
      </c>
      <c r="B870" s="2">
        <v>43526</v>
      </c>
      <c r="C870" s="3" t="s">
        <v>1679</v>
      </c>
      <c r="D870" s="4" t="s">
        <v>3</v>
      </c>
      <c r="E870" s="3">
        <v>5</v>
      </c>
      <c r="F870" s="5">
        <f>INDEX([1]products!$A$1:$G$49,MATCH([1]orders!$D870,[1]products!$A$1:$A$49,0),MATCH([1]orders!K$1,[1]products!$A$1:$G$1,0))</f>
        <v>0.5</v>
      </c>
      <c r="G870" s="6">
        <f>INDEX([1]products!$A$1:$G$49,MATCH([1]orders!$D870,[1]products!$A$1:$A$49,0),MATCH([1]orders!L$1,[1]products!$A$1:$G$1,0))</f>
        <v>8.25</v>
      </c>
      <c r="H870" s="6">
        <f t="shared" si="13"/>
        <v>41.25</v>
      </c>
    </row>
    <row r="871" spans="1:8" x14ac:dyDescent="0.3">
      <c r="A871" s="1" t="s">
        <v>1680</v>
      </c>
      <c r="B871" s="2">
        <v>43851</v>
      </c>
      <c r="C871" s="3" t="s">
        <v>1681</v>
      </c>
      <c r="D871" s="4" t="s">
        <v>22</v>
      </c>
      <c r="E871" s="3">
        <v>3</v>
      </c>
      <c r="F871" s="5">
        <f>INDEX([1]products!$A$1:$G$49,MATCH([1]orders!$D871,[1]products!$A$1:$A$49,0),MATCH([1]orders!K$1,[1]products!$A$1:$G$1,0))</f>
        <v>0.5</v>
      </c>
      <c r="G871" s="6">
        <f>INDEX([1]products!$A$1:$G$49,MATCH([1]orders!$D871,[1]products!$A$1:$A$49,0),MATCH([1]orders!L$1,[1]products!$A$1:$G$1,0))</f>
        <v>5.97</v>
      </c>
      <c r="H871" s="6">
        <f t="shared" si="13"/>
        <v>17.91</v>
      </c>
    </row>
    <row r="872" spans="1:8" x14ac:dyDescent="0.3">
      <c r="A872" s="1" t="s">
        <v>1682</v>
      </c>
      <c r="B872" s="2">
        <v>44460</v>
      </c>
      <c r="C872" s="3" t="s">
        <v>1683</v>
      </c>
      <c r="D872" s="4" t="s">
        <v>16</v>
      </c>
      <c r="E872" s="3">
        <v>1</v>
      </c>
      <c r="F872" s="5">
        <f>INDEX([1]products!$A$1:$G$49,MATCH([1]orders!$D872,[1]products!$A$1:$A$49,0),MATCH([1]orders!K$1,[1]products!$A$1:$G$1,0))</f>
        <v>0.5</v>
      </c>
      <c r="G872" s="6">
        <f>INDEX([1]products!$A$1:$G$49,MATCH([1]orders!$D872,[1]products!$A$1:$A$49,0),MATCH([1]orders!L$1,[1]products!$A$1:$G$1,0))</f>
        <v>7.29</v>
      </c>
      <c r="H872" s="6">
        <f t="shared" si="13"/>
        <v>7.29</v>
      </c>
    </row>
    <row r="873" spans="1:8" x14ac:dyDescent="0.3">
      <c r="A873" s="1" t="s">
        <v>1684</v>
      </c>
      <c r="B873" s="2">
        <v>43707</v>
      </c>
      <c r="C873" s="3" t="s">
        <v>1685</v>
      </c>
      <c r="D873" s="4" t="s">
        <v>137</v>
      </c>
      <c r="E873" s="3">
        <v>2</v>
      </c>
      <c r="F873" s="5">
        <f>INDEX([1]products!$A$1:$G$49,MATCH([1]orders!$D873,[1]products!$A$1:$A$49,0),MATCH([1]orders!K$1,[1]products!$A$1:$G$1,0))</f>
        <v>1</v>
      </c>
      <c r="G873" s="6">
        <f>INDEX([1]products!$A$1:$G$49,MATCH([1]orders!$D873,[1]products!$A$1:$A$49,0),MATCH([1]orders!L$1,[1]products!$A$1:$G$1,0))</f>
        <v>14.85</v>
      </c>
      <c r="H873" s="6">
        <f t="shared" si="13"/>
        <v>29.7</v>
      </c>
    </row>
    <row r="874" spans="1:8" x14ac:dyDescent="0.3">
      <c r="A874" s="1" t="s">
        <v>1686</v>
      </c>
      <c r="B874" s="2">
        <v>43521</v>
      </c>
      <c r="C874" s="3" t="s">
        <v>1687</v>
      </c>
      <c r="D874" s="4" t="s">
        <v>61</v>
      </c>
      <c r="E874" s="3">
        <v>2</v>
      </c>
      <c r="F874" s="5">
        <f>INDEX([1]products!$A$1:$G$49,MATCH([1]orders!$D874,[1]products!$A$1:$A$49,0),MATCH([1]orders!K$1,[1]products!$A$1:$G$1,0))</f>
        <v>1</v>
      </c>
      <c r="G874" s="6">
        <f>INDEX([1]products!$A$1:$G$49,MATCH([1]orders!$D874,[1]products!$A$1:$A$49,0),MATCH([1]orders!L$1,[1]products!$A$1:$G$1,0))</f>
        <v>11.25</v>
      </c>
      <c r="H874" s="6">
        <f t="shared" si="13"/>
        <v>22.5</v>
      </c>
    </row>
    <row r="875" spans="1:8" x14ac:dyDescent="0.3">
      <c r="A875" s="1" t="s">
        <v>1688</v>
      </c>
      <c r="B875" s="2">
        <v>43725</v>
      </c>
      <c r="C875" s="3" t="s">
        <v>1673</v>
      </c>
      <c r="D875" s="4" t="s">
        <v>162</v>
      </c>
      <c r="E875" s="3">
        <v>4</v>
      </c>
      <c r="F875" s="5">
        <f>INDEX([1]products!$A$1:$G$49,MATCH([1]orders!$D875,[1]products!$A$1:$A$49,0),MATCH([1]orders!K$1,[1]products!$A$1:$G$1,0))</f>
        <v>0.2</v>
      </c>
      <c r="G875" s="6">
        <f>INDEX([1]products!$A$1:$G$49,MATCH([1]orders!$D875,[1]products!$A$1:$A$49,0),MATCH([1]orders!L$1,[1]products!$A$1:$G$1,0))</f>
        <v>2.9849999999999999</v>
      </c>
      <c r="H875" s="6">
        <f t="shared" si="13"/>
        <v>11.94</v>
      </c>
    </row>
    <row r="876" spans="1:8" x14ac:dyDescent="0.3">
      <c r="A876" s="1" t="s">
        <v>1689</v>
      </c>
      <c r="B876" s="2">
        <v>43680</v>
      </c>
      <c r="C876" s="3" t="s">
        <v>1690</v>
      </c>
      <c r="D876" s="4" t="s">
        <v>6</v>
      </c>
      <c r="E876" s="3">
        <v>2</v>
      </c>
      <c r="F876" s="5">
        <f>INDEX([1]products!$A$1:$G$49,MATCH([1]orders!$D876,[1]products!$A$1:$A$49,0),MATCH([1]orders!K$1,[1]products!$A$1:$G$1,0))</f>
        <v>1</v>
      </c>
      <c r="G876" s="6">
        <f>INDEX([1]products!$A$1:$G$49,MATCH([1]orders!$D876,[1]products!$A$1:$A$49,0),MATCH([1]orders!L$1,[1]products!$A$1:$G$1,0))</f>
        <v>12.95</v>
      </c>
      <c r="H876" s="6">
        <f t="shared" si="13"/>
        <v>25.9</v>
      </c>
    </row>
    <row r="877" spans="1:8" x14ac:dyDescent="0.3">
      <c r="A877" s="1" t="s">
        <v>1691</v>
      </c>
      <c r="B877" s="2">
        <v>44253</v>
      </c>
      <c r="C877" s="3" t="s">
        <v>1692</v>
      </c>
      <c r="D877" s="4" t="s">
        <v>78</v>
      </c>
      <c r="E877" s="3">
        <v>5</v>
      </c>
      <c r="F877" s="5">
        <f>INDEX([1]products!$A$1:$G$49,MATCH([1]orders!$D877,[1]products!$A$1:$A$49,0),MATCH([1]orders!K$1,[1]products!$A$1:$G$1,0))</f>
        <v>0.5</v>
      </c>
      <c r="G877" s="6">
        <f>INDEX([1]products!$A$1:$G$49,MATCH([1]orders!$D877,[1]products!$A$1:$A$49,0),MATCH([1]orders!L$1,[1]products!$A$1:$G$1,0))</f>
        <v>8.73</v>
      </c>
      <c r="H877" s="6">
        <f t="shared" si="13"/>
        <v>43.650000000000006</v>
      </c>
    </row>
    <row r="878" spans="1:8" x14ac:dyDescent="0.3">
      <c r="A878" s="1" t="s">
        <v>1691</v>
      </c>
      <c r="B878" s="2">
        <v>44253</v>
      </c>
      <c r="C878" s="3" t="s">
        <v>1692</v>
      </c>
      <c r="D878" s="4" t="s">
        <v>192</v>
      </c>
      <c r="E878" s="3">
        <v>6</v>
      </c>
      <c r="F878" s="5">
        <f>INDEX([1]products!$A$1:$G$49,MATCH([1]orders!$D878,[1]products!$A$1:$A$49,0),MATCH([1]orders!K$1,[1]products!$A$1:$G$1,0))</f>
        <v>0.5</v>
      </c>
      <c r="G878" s="6">
        <f>INDEX([1]products!$A$1:$G$49,MATCH([1]orders!$D878,[1]products!$A$1:$A$49,0),MATCH([1]orders!L$1,[1]products!$A$1:$G$1,0))</f>
        <v>7.77</v>
      </c>
      <c r="H878" s="6">
        <f t="shared" si="13"/>
        <v>46.62</v>
      </c>
    </row>
    <row r="879" spans="1:8" x14ac:dyDescent="0.3">
      <c r="A879" s="1" t="s">
        <v>1693</v>
      </c>
      <c r="B879" s="2">
        <v>44411</v>
      </c>
      <c r="C879" s="3" t="s">
        <v>1694</v>
      </c>
      <c r="D879" s="4" t="s">
        <v>83</v>
      </c>
      <c r="E879" s="3">
        <v>3</v>
      </c>
      <c r="F879" s="5">
        <f>INDEX([1]products!$A$1:$G$49,MATCH([1]orders!$D879,[1]products!$A$1:$A$49,0),MATCH([1]orders!K$1,[1]products!$A$1:$G$1,0))</f>
        <v>0.5</v>
      </c>
      <c r="G879" s="6">
        <f>INDEX([1]products!$A$1:$G$49,MATCH([1]orders!$D879,[1]products!$A$1:$A$49,0),MATCH([1]orders!L$1,[1]products!$A$1:$G$1,0))</f>
        <v>9.51</v>
      </c>
      <c r="H879" s="6">
        <f t="shared" si="13"/>
        <v>28.53</v>
      </c>
    </row>
    <row r="880" spans="1:8" x14ac:dyDescent="0.3">
      <c r="A880" s="1" t="s">
        <v>1695</v>
      </c>
      <c r="B880" s="2">
        <v>44323</v>
      </c>
      <c r="C880" s="3" t="s">
        <v>1696</v>
      </c>
      <c r="D880" s="4" t="s">
        <v>10</v>
      </c>
      <c r="E880" s="3">
        <v>1</v>
      </c>
      <c r="F880" s="5">
        <f>INDEX([1]products!$A$1:$G$49,MATCH([1]orders!$D880,[1]products!$A$1:$A$49,0),MATCH([1]orders!K$1,[1]products!$A$1:$G$1,0))</f>
        <v>2.5</v>
      </c>
      <c r="G880" s="6">
        <f>INDEX([1]products!$A$1:$G$49,MATCH([1]orders!$D880,[1]products!$A$1:$A$49,0),MATCH([1]orders!L$1,[1]products!$A$1:$G$1,0))</f>
        <v>27.484999999999996</v>
      </c>
      <c r="H880" s="6">
        <f t="shared" si="13"/>
        <v>27.484999999999996</v>
      </c>
    </row>
    <row r="881" spans="1:8" x14ac:dyDescent="0.3">
      <c r="A881" s="1" t="s">
        <v>1697</v>
      </c>
      <c r="B881" s="2">
        <v>43630</v>
      </c>
      <c r="C881" s="3" t="s">
        <v>1698</v>
      </c>
      <c r="D881" s="4" t="s">
        <v>51</v>
      </c>
      <c r="E881" s="3">
        <v>3</v>
      </c>
      <c r="F881" s="5">
        <f>INDEX([1]products!$A$1:$G$49,MATCH([1]orders!$D881,[1]products!$A$1:$A$49,0),MATCH([1]orders!K$1,[1]products!$A$1:$G$1,0))</f>
        <v>0.2</v>
      </c>
      <c r="G881" s="6">
        <f>INDEX([1]products!$A$1:$G$49,MATCH([1]orders!$D881,[1]products!$A$1:$A$49,0),MATCH([1]orders!L$1,[1]products!$A$1:$G$1,0))</f>
        <v>3.645</v>
      </c>
      <c r="H881" s="6">
        <f t="shared" si="13"/>
        <v>10.935</v>
      </c>
    </row>
    <row r="882" spans="1:8" x14ac:dyDescent="0.3">
      <c r="A882" s="1" t="s">
        <v>1699</v>
      </c>
      <c r="B882" s="2">
        <v>43790</v>
      </c>
      <c r="C882" s="3" t="s">
        <v>1700</v>
      </c>
      <c r="D882" s="4" t="s">
        <v>182</v>
      </c>
      <c r="E882" s="3">
        <v>2</v>
      </c>
      <c r="F882" s="5">
        <f>INDEX([1]products!$A$1:$G$49,MATCH([1]orders!$D882,[1]products!$A$1:$A$49,0),MATCH([1]orders!K$1,[1]products!$A$1:$G$1,0))</f>
        <v>0.2</v>
      </c>
      <c r="G882" s="6">
        <f>INDEX([1]products!$A$1:$G$49,MATCH([1]orders!$D882,[1]products!$A$1:$A$49,0),MATCH([1]orders!L$1,[1]products!$A$1:$G$1,0))</f>
        <v>3.5849999999999995</v>
      </c>
      <c r="H882" s="6">
        <f t="shared" si="13"/>
        <v>7.169999999999999</v>
      </c>
    </row>
    <row r="883" spans="1:8" x14ac:dyDescent="0.3">
      <c r="A883" s="1" t="s">
        <v>1701</v>
      </c>
      <c r="B883" s="2">
        <v>44286</v>
      </c>
      <c r="C883" s="3" t="s">
        <v>1702</v>
      </c>
      <c r="D883" s="4" t="s">
        <v>115</v>
      </c>
      <c r="E883" s="3">
        <v>6</v>
      </c>
      <c r="F883" s="5">
        <f>INDEX([1]products!$A$1:$G$49,MATCH([1]orders!$D883,[1]products!$A$1:$A$49,0),MATCH([1]orders!K$1,[1]products!$A$1:$G$1,0))</f>
        <v>0.2</v>
      </c>
      <c r="G883" s="6">
        <f>INDEX([1]products!$A$1:$G$49,MATCH([1]orders!$D883,[1]products!$A$1:$A$49,0),MATCH([1]orders!L$1,[1]products!$A$1:$G$1,0))</f>
        <v>3.8849999999999998</v>
      </c>
      <c r="H883" s="6">
        <f t="shared" si="13"/>
        <v>23.31</v>
      </c>
    </row>
    <row r="884" spans="1:8" x14ac:dyDescent="0.3">
      <c r="A884" s="1" t="s">
        <v>1703</v>
      </c>
      <c r="B884" s="2">
        <v>43647</v>
      </c>
      <c r="C884" s="3" t="s">
        <v>1704</v>
      </c>
      <c r="D884" s="4" t="s">
        <v>118</v>
      </c>
      <c r="E884" s="3">
        <v>5</v>
      </c>
      <c r="F884" s="5">
        <f>INDEX([1]products!$A$1:$G$49,MATCH([1]orders!$D884,[1]products!$A$1:$A$49,0),MATCH([1]orders!K$1,[1]products!$A$1:$G$1,0))</f>
        <v>2.5</v>
      </c>
      <c r="G884" s="6">
        <f>INDEX([1]products!$A$1:$G$49,MATCH([1]orders!$D884,[1]products!$A$1:$A$49,0),MATCH([1]orders!L$1,[1]products!$A$1:$G$1,0))</f>
        <v>22.884999999999998</v>
      </c>
      <c r="H884" s="6">
        <f t="shared" si="13"/>
        <v>114.42499999999998</v>
      </c>
    </row>
    <row r="885" spans="1:8" x14ac:dyDescent="0.3">
      <c r="A885" s="1" t="s">
        <v>1705</v>
      </c>
      <c r="B885" s="2">
        <v>43956</v>
      </c>
      <c r="C885" s="3" t="s">
        <v>1706</v>
      </c>
      <c r="D885" s="4" t="s">
        <v>171</v>
      </c>
      <c r="E885" s="3">
        <v>3</v>
      </c>
      <c r="F885" s="5">
        <f>INDEX([1]products!$A$1:$G$49,MATCH([1]orders!$D885,[1]products!$A$1:$A$49,0),MATCH([1]orders!K$1,[1]products!$A$1:$G$1,0))</f>
        <v>2.5</v>
      </c>
      <c r="G885" s="6">
        <f>INDEX([1]products!$A$1:$G$49,MATCH([1]orders!$D885,[1]products!$A$1:$A$49,0),MATCH([1]orders!L$1,[1]products!$A$1:$G$1,0))</f>
        <v>25.874999999999996</v>
      </c>
      <c r="H885" s="6">
        <f t="shared" si="13"/>
        <v>77.624999999999986</v>
      </c>
    </row>
    <row r="886" spans="1:8" x14ac:dyDescent="0.3">
      <c r="A886" s="1" t="s">
        <v>1707</v>
      </c>
      <c r="B886" s="2">
        <v>43941</v>
      </c>
      <c r="C886" s="3" t="s">
        <v>1708</v>
      </c>
      <c r="D886" s="4" t="s">
        <v>146</v>
      </c>
      <c r="E886" s="3">
        <v>1</v>
      </c>
      <c r="F886" s="5">
        <f>INDEX([1]products!$A$1:$G$49,MATCH([1]orders!$D886,[1]products!$A$1:$A$49,0),MATCH([1]orders!K$1,[1]products!$A$1:$G$1,0))</f>
        <v>0.5</v>
      </c>
      <c r="G886" s="6">
        <f>INDEX([1]products!$A$1:$G$49,MATCH([1]orders!$D886,[1]products!$A$1:$A$49,0),MATCH([1]orders!L$1,[1]products!$A$1:$G$1,0))</f>
        <v>5.3699999999999992</v>
      </c>
      <c r="H886" s="6">
        <f t="shared" si="13"/>
        <v>5.3699999999999992</v>
      </c>
    </row>
    <row r="887" spans="1:8" x14ac:dyDescent="0.3">
      <c r="A887" s="1" t="s">
        <v>1709</v>
      </c>
      <c r="B887" s="2">
        <v>43664</v>
      </c>
      <c r="C887" s="3" t="s">
        <v>1710</v>
      </c>
      <c r="D887" s="4" t="s">
        <v>35</v>
      </c>
      <c r="E887" s="3">
        <v>6</v>
      </c>
      <c r="F887" s="5">
        <f>INDEX([1]products!$A$1:$G$49,MATCH([1]orders!$D887,[1]products!$A$1:$A$49,0),MATCH([1]orders!K$1,[1]products!$A$1:$G$1,0))</f>
        <v>2.5</v>
      </c>
      <c r="G887" s="6">
        <f>INDEX([1]products!$A$1:$G$49,MATCH([1]orders!$D887,[1]products!$A$1:$A$49,0),MATCH([1]orders!L$1,[1]products!$A$1:$G$1,0))</f>
        <v>20.584999999999997</v>
      </c>
      <c r="H887" s="6">
        <f t="shared" si="13"/>
        <v>123.50999999999999</v>
      </c>
    </row>
    <row r="888" spans="1:8" x14ac:dyDescent="0.3">
      <c r="A888" s="1" t="s">
        <v>1711</v>
      </c>
      <c r="B888" s="2">
        <v>44518</v>
      </c>
      <c r="C888" s="3" t="s">
        <v>1712</v>
      </c>
      <c r="D888" s="4" t="s">
        <v>78</v>
      </c>
      <c r="E888" s="3">
        <v>2</v>
      </c>
      <c r="F888" s="5">
        <f>INDEX([1]products!$A$1:$G$49,MATCH([1]orders!$D888,[1]products!$A$1:$A$49,0),MATCH([1]orders!K$1,[1]products!$A$1:$G$1,0))</f>
        <v>0.5</v>
      </c>
      <c r="G888" s="6">
        <f>INDEX([1]products!$A$1:$G$49,MATCH([1]orders!$D888,[1]products!$A$1:$A$49,0),MATCH([1]orders!L$1,[1]products!$A$1:$G$1,0))</f>
        <v>8.73</v>
      </c>
      <c r="H888" s="6">
        <f t="shared" si="13"/>
        <v>17.46</v>
      </c>
    </row>
    <row r="889" spans="1:8" x14ac:dyDescent="0.3">
      <c r="A889" s="1" t="s">
        <v>1713</v>
      </c>
      <c r="B889" s="2">
        <v>44002</v>
      </c>
      <c r="C889" s="3" t="s">
        <v>1714</v>
      </c>
      <c r="D889" s="4" t="s">
        <v>254</v>
      </c>
      <c r="E889" s="3">
        <v>3</v>
      </c>
      <c r="F889" s="5">
        <f>INDEX([1]products!$A$1:$G$49,MATCH([1]orders!$D889,[1]products!$A$1:$A$49,0),MATCH([1]orders!K$1,[1]products!$A$1:$G$1,0))</f>
        <v>0.2</v>
      </c>
      <c r="G889" s="6">
        <f>INDEX([1]products!$A$1:$G$49,MATCH([1]orders!$D889,[1]products!$A$1:$A$49,0),MATCH([1]orders!L$1,[1]products!$A$1:$G$1,0))</f>
        <v>4.4550000000000001</v>
      </c>
      <c r="H889" s="6">
        <f t="shared" si="13"/>
        <v>13.365</v>
      </c>
    </row>
    <row r="890" spans="1:8" x14ac:dyDescent="0.3">
      <c r="A890" s="1" t="s">
        <v>1715</v>
      </c>
      <c r="B890" s="2">
        <v>44292</v>
      </c>
      <c r="C890" s="3" t="s">
        <v>1716</v>
      </c>
      <c r="D890" s="4" t="s">
        <v>115</v>
      </c>
      <c r="E890" s="3">
        <v>2</v>
      </c>
      <c r="F890" s="5">
        <f>INDEX([1]products!$A$1:$G$49,MATCH([1]orders!$D890,[1]products!$A$1:$A$49,0),MATCH([1]orders!K$1,[1]products!$A$1:$G$1,0))</f>
        <v>0.2</v>
      </c>
      <c r="G890" s="6">
        <f>INDEX([1]products!$A$1:$G$49,MATCH([1]orders!$D890,[1]products!$A$1:$A$49,0),MATCH([1]orders!L$1,[1]products!$A$1:$G$1,0))</f>
        <v>3.8849999999999998</v>
      </c>
      <c r="H890" s="6">
        <f t="shared" si="13"/>
        <v>7.77</v>
      </c>
    </row>
    <row r="891" spans="1:8" x14ac:dyDescent="0.3">
      <c r="A891" s="1" t="s">
        <v>1717</v>
      </c>
      <c r="B891" s="2">
        <v>43633</v>
      </c>
      <c r="C891" s="3" t="s">
        <v>1718</v>
      </c>
      <c r="D891" s="4" t="s">
        <v>101</v>
      </c>
      <c r="E891" s="3">
        <v>1</v>
      </c>
      <c r="F891" s="5">
        <f>INDEX([1]products!$A$1:$G$49,MATCH([1]orders!$D891,[1]products!$A$1:$A$49,0),MATCH([1]orders!K$1,[1]products!$A$1:$G$1,0))</f>
        <v>0.2</v>
      </c>
      <c r="G891" s="6">
        <f>INDEX([1]products!$A$1:$G$49,MATCH([1]orders!$D891,[1]products!$A$1:$A$49,0),MATCH([1]orders!L$1,[1]products!$A$1:$G$1,0))</f>
        <v>2.6849999999999996</v>
      </c>
      <c r="H891" s="6">
        <f t="shared" si="13"/>
        <v>2.6849999999999996</v>
      </c>
    </row>
    <row r="892" spans="1:8" x14ac:dyDescent="0.3">
      <c r="A892" s="1" t="s">
        <v>1719</v>
      </c>
      <c r="B892" s="2">
        <v>44646</v>
      </c>
      <c r="C892" s="3" t="s">
        <v>1704</v>
      </c>
      <c r="D892" s="4" t="s">
        <v>35</v>
      </c>
      <c r="E892" s="3">
        <v>1</v>
      </c>
      <c r="F892" s="5">
        <f>INDEX([1]products!$A$1:$G$49,MATCH([1]orders!$D892,[1]products!$A$1:$A$49,0),MATCH([1]orders!K$1,[1]products!$A$1:$G$1,0))</f>
        <v>2.5</v>
      </c>
      <c r="G892" s="6">
        <f>INDEX([1]products!$A$1:$G$49,MATCH([1]orders!$D892,[1]products!$A$1:$A$49,0),MATCH([1]orders!L$1,[1]products!$A$1:$G$1,0))</f>
        <v>20.584999999999997</v>
      </c>
      <c r="H892" s="6">
        <f t="shared" si="13"/>
        <v>20.584999999999997</v>
      </c>
    </row>
    <row r="893" spans="1:8" x14ac:dyDescent="0.3">
      <c r="A893" s="1" t="s">
        <v>1720</v>
      </c>
      <c r="B893" s="2">
        <v>44469</v>
      </c>
      <c r="C893" s="3" t="s">
        <v>1721</v>
      </c>
      <c r="D893" s="4" t="s">
        <v>118</v>
      </c>
      <c r="E893" s="3">
        <v>5</v>
      </c>
      <c r="F893" s="5">
        <f>INDEX([1]products!$A$1:$G$49,MATCH([1]orders!$D893,[1]products!$A$1:$A$49,0),MATCH([1]orders!K$1,[1]products!$A$1:$G$1,0))</f>
        <v>2.5</v>
      </c>
      <c r="G893" s="6">
        <f>INDEX([1]products!$A$1:$G$49,MATCH([1]orders!$D893,[1]products!$A$1:$A$49,0),MATCH([1]orders!L$1,[1]products!$A$1:$G$1,0))</f>
        <v>22.884999999999998</v>
      </c>
      <c r="H893" s="6">
        <f t="shared" si="13"/>
        <v>114.42499999999998</v>
      </c>
    </row>
    <row r="894" spans="1:8" x14ac:dyDescent="0.3">
      <c r="A894" s="1" t="s">
        <v>1722</v>
      </c>
      <c r="B894" s="2">
        <v>43635</v>
      </c>
      <c r="C894" s="3" t="s">
        <v>1723</v>
      </c>
      <c r="D894" s="4" t="s">
        <v>64</v>
      </c>
      <c r="E894" s="3">
        <v>5</v>
      </c>
      <c r="F894" s="5">
        <f>INDEX([1]products!$A$1:$G$49,MATCH([1]orders!$D894,[1]products!$A$1:$A$49,0),MATCH([1]orders!K$1,[1]products!$A$1:$G$1,0))</f>
        <v>0.2</v>
      </c>
      <c r="G894" s="6">
        <f>INDEX([1]products!$A$1:$G$49,MATCH([1]orders!$D894,[1]products!$A$1:$A$49,0),MATCH([1]orders!L$1,[1]products!$A$1:$G$1,0))</f>
        <v>4.125</v>
      </c>
      <c r="H894" s="6">
        <f t="shared" si="13"/>
        <v>20.625</v>
      </c>
    </row>
    <row r="895" spans="1:8" x14ac:dyDescent="0.3">
      <c r="A895" s="1" t="s">
        <v>1724</v>
      </c>
      <c r="B895" s="2">
        <v>44651</v>
      </c>
      <c r="C895" s="3" t="s">
        <v>1725</v>
      </c>
      <c r="D895" s="4" t="s">
        <v>83</v>
      </c>
      <c r="E895" s="3">
        <v>6</v>
      </c>
      <c r="F895" s="5">
        <f>INDEX([1]products!$A$1:$G$49,MATCH([1]orders!$D895,[1]products!$A$1:$A$49,0),MATCH([1]orders!K$1,[1]products!$A$1:$G$1,0))</f>
        <v>0.5</v>
      </c>
      <c r="G895" s="6">
        <f>INDEX([1]products!$A$1:$G$49,MATCH([1]orders!$D895,[1]products!$A$1:$A$49,0),MATCH([1]orders!L$1,[1]products!$A$1:$G$1,0))</f>
        <v>9.51</v>
      </c>
      <c r="H895" s="6">
        <f t="shared" si="13"/>
        <v>57.06</v>
      </c>
    </row>
    <row r="896" spans="1:8" x14ac:dyDescent="0.3">
      <c r="A896" s="1" t="s">
        <v>1726</v>
      </c>
      <c r="B896" s="2">
        <v>44016</v>
      </c>
      <c r="C896" s="3" t="s">
        <v>1727</v>
      </c>
      <c r="D896" s="4" t="s">
        <v>35</v>
      </c>
      <c r="E896" s="3">
        <v>4</v>
      </c>
      <c r="F896" s="5">
        <f>INDEX([1]products!$A$1:$G$49,MATCH([1]orders!$D896,[1]products!$A$1:$A$49,0),MATCH([1]orders!K$1,[1]products!$A$1:$G$1,0))</f>
        <v>2.5</v>
      </c>
      <c r="G896" s="6">
        <f>INDEX([1]products!$A$1:$G$49,MATCH([1]orders!$D896,[1]products!$A$1:$A$49,0),MATCH([1]orders!L$1,[1]products!$A$1:$G$1,0))</f>
        <v>20.584999999999997</v>
      </c>
      <c r="H896" s="6">
        <f t="shared" si="13"/>
        <v>82.339999999999989</v>
      </c>
    </row>
    <row r="897" spans="1:8" x14ac:dyDescent="0.3">
      <c r="A897" s="1" t="s">
        <v>1728</v>
      </c>
      <c r="B897" s="2">
        <v>44521</v>
      </c>
      <c r="C897" s="3" t="s">
        <v>1729</v>
      </c>
      <c r="D897" s="4" t="s">
        <v>112</v>
      </c>
      <c r="E897" s="3">
        <v>5</v>
      </c>
      <c r="F897" s="5">
        <f>INDEX([1]products!$A$1:$G$49,MATCH([1]orders!$D897,[1]products!$A$1:$A$49,0),MATCH([1]orders!K$1,[1]products!$A$1:$G$1,0))</f>
        <v>2.5</v>
      </c>
      <c r="G897" s="6">
        <f>INDEX([1]products!$A$1:$G$49,MATCH([1]orders!$D897,[1]products!$A$1:$A$49,0),MATCH([1]orders!L$1,[1]products!$A$1:$G$1,0))</f>
        <v>31.624999999999996</v>
      </c>
      <c r="H897" s="6">
        <f t="shared" si="13"/>
        <v>158.12499999999997</v>
      </c>
    </row>
    <row r="898" spans="1:8" x14ac:dyDescent="0.3">
      <c r="A898" s="1" t="s">
        <v>1730</v>
      </c>
      <c r="B898" s="2">
        <v>44347</v>
      </c>
      <c r="C898" s="3" t="s">
        <v>1731</v>
      </c>
      <c r="D898" s="4" t="s">
        <v>146</v>
      </c>
      <c r="E898" s="3">
        <v>6</v>
      </c>
      <c r="F898" s="5">
        <f>INDEX([1]products!$A$1:$G$49,MATCH([1]orders!$D898,[1]products!$A$1:$A$49,0),MATCH([1]orders!K$1,[1]products!$A$1:$G$1,0))</f>
        <v>0.5</v>
      </c>
      <c r="G898" s="6">
        <f>INDEX([1]products!$A$1:$G$49,MATCH([1]orders!$D898,[1]products!$A$1:$A$49,0),MATCH([1]orders!L$1,[1]products!$A$1:$G$1,0))</f>
        <v>5.3699999999999992</v>
      </c>
      <c r="H898" s="6">
        <f t="shared" ref="H898:H961" si="14">E898*G898</f>
        <v>32.22</v>
      </c>
    </row>
    <row r="899" spans="1:8" x14ac:dyDescent="0.3">
      <c r="A899" s="1" t="s">
        <v>1732</v>
      </c>
      <c r="B899" s="2">
        <v>43932</v>
      </c>
      <c r="C899" s="3" t="s">
        <v>1733</v>
      </c>
      <c r="D899" s="4" t="s">
        <v>245</v>
      </c>
      <c r="E899" s="3">
        <v>2</v>
      </c>
      <c r="F899" s="5">
        <f>INDEX([1]products!$A$1:$G$49,MATCH([1]orders!$D899,[1]products!$A$1:$A$49,0),MATCH([1]orders!K$1,[1]products!$A$1:$G$1,0))</f>
        <v>1</v>
      </c>
      <c r="G899" s="6">
        <f>INDEX([1]products!$A$1:$G$49,MATCH([1]orders!$D899,[1]products!$A$1:$A$49,0),MATCH([1]orders!L$1,[1]products!$A$1:$G$1,0))</f>
        <v>12.15</v>
      </c>
      <c r="H899" s="6">
        <f t="shared" si="14"/>
        <v>24.3</v>
      </c>
    </row>
    <row r="900" spans="1:8" x14ac:dyDescent="0.3">
      <c r="A900" s="1" t="s">
        <v>1734</v>
      </c>
      <c r="B900" s="2">
        <v>44089</v>
      </c>
      <c r="C900" s="3" t="s">
        <v>1735</v>
      </c>
      <c r="D900" s="4" t="s">
        <v>157</v>
      </c>
      <c r="E900" s="3">
        <v>5</v>
      </c>
      <c r="F900" s="5">
        <f>INDEX([1]products!$A$1:$G$49,MATCH([1]orders!$D900,[1]products!$A$1:$A$49,0),MATCH([1]orders!K$1,[1]products!$A$1:$G$1,0))</f>
        <v>0.5</v>
      </c>
      <c r="G900" s="6">
        <f>INDEX([1]products!$A$1:$G$49,MATCH([1]orders!$D900,[1]products!$A$1:$A$49,0),MATCH([1]orders!L$1,[1]products!$A$1:$G$1,0))</f>
        <v>7.169999999999999</v>
      </c>
      <c r="H900" s="6">
        <f t="shared" si="14"/>
        <v>35.849999999999994</v>
      </c>
    </row>
    <row r="901" spans="1:8" x14ac:dyDescent="0.3">
      <c r="A901" s="1" t="s">
        <v>1736</v>
      </c>
      <c r="B901" s="2">
        <v>44523</v>
      </c>
      <c r="C901" s="3" t="s">
        <v>1729</v>
      </c>
      <c r="D901" s="4" t="s">
        <v>96</v>
      </c>
      <c r="E901" s="3">
        <v>5</v>
      </c>
      <c r="F901" s="5">
        <f>INDEX([1]products!$A$1:$G$49,MATCH([1]orders!$D901,[1]products!$A$1:$A$49,0),MATCH([1]orders!K$1,[1]products!$A$1:$G$1,0))</f>
        <v>1</v>
      </c>
      <c r="G901" s="6">
        <f>INDEX([1]products!$A$1:$G$49,MATCH([1]orders!$D901,[1]products!$A$1:$A$49,0),MATCH([1]orders!L$1,[1]products!$A$1:$G$1,0))</f>
        <v>14.55</v>
      </c>
      <c r="H901" s="6">
        <f t="shared" si="14"/>
        <v>72.75</v>
      </c>
    </row>
    <row r="902" spans="1:8" x14ac:dyDescent="0.3">
      <c r="A902" s="1" t="s">
        <v>1737</v>
      </c>
      <c r="B902" s="2">
        <v>44584</v>
      </c>
      <c r="C902" s="3" t="s">
        <v>1738</v>
      </c>
      <c r="D902" s="4" t="s">
        <v>132</v>
      </c>
      <c r="E902" s="3">
        <v>3</v>
      </c>
      <c r="F902" s="5">
        <f>INDEX([1]products!$A$1:$G$49,MATCH([1]orders!$D902,[1]products!$A$1:$A$49,0),MATCH([1]orders!K$1,[1]products!$A$1:$G$1,0))</f>
        <v>1</v>
      </c>
      <c r="G902" s="6">
        <f>INDEX([1]products!$A$1:$G$49,MATCH([1]orders!$D902,[1]products!$A$1:$A$49,0),MATCH([1]orders!L$1,[1]products!$A$1:$G$1,0))</f>
        <v>15.85</v>
      </c>
      <c r="H902" s="6">
        <f t="shared" si="14"/>
        <v>47.55</v>
      </c>
    </row>
    <row r="903" spans="1:8" x14ac:dyDescent="0.3">
      <c r="A903" s="1" t="s">
        <v>1739</v>
      </c>
      <c r="B903" s="2">
        <v>44223</v>
      </c>
      <c r="C903" s="3" t="s">
        <v>1740</v>
      </c>
      <c r="D903" s="4" t="s">
        <v>182</v>
      </c>
      <c r="E903" s="3">
        <v>1</v>
      </c>
      <c r="F903" s="5">
        <f>INDEX([1]products!$A$1:$G$49,MATCH([1]orders!$D903,[1]products!$A$1:$A$49,0),MATCH([1]orders!K$1,[1]products!$A$1:$G$1,0))</f>
        <v>0.2</v>
      </c>
      <c r="G903" s="6">
        <f>INDEX([1]products!$A$1:$G$49,MATCH([1]orders!$D903,[1]products!$A$1:$A$49,0),MATCH([1]orders!L$1,[1]products!$A$1:$G$1,0))</f>
        <v>3.5849999999999995</v>
      </c>
      <c r="H903" s="6">
        <f t="shared" si="14"/>
        <v>3.5849999999999995</v>
      </c>
    </row>
    <row r="904" spans="1:8" x14ac:dyDescent="0.3">
      <c r="A904" s="1" t="s">
        <v>1741</v>
      </c>
      <c r="B904" s="2">
        <v>43640</v>
      </c>
      <c r="C904" s="3" t="s">
        <v>1742</v>
      </c>
      <c r="D904" s="4" t="s">
        <v>112</v>
      </c>
      <c r="E904" s="3">
        <v>5</v>
      </c>
      <c r="F904" s="5">
        <f>INDEX([1]products!$A$1:$G$49,MATCH([1]orders!$D904,[1]products!$A$1:$A$49,0),MATCH([1]orders!K$1,[1]products!$A$1:$G$1,0))</f>
        <v>2.5</v>
      </c>
      <c r="G904" s="6">
        <f>INDEX([1]products!$A$1:$G$49,MATCH([1]orders!$D904,[1]products!$A$1:$A$49,0),MATCH([1]orders!L$1,[1]products!$A$1:$G$1,0))</f>
        <v>31.624999999999996</v>
      </c>
      <c r="H904" s="6">
        <f t="shared" si="14"/>
        <v>158.12499999999997</v>
      </c>
    </row>
    <row r="905" spans="1:8" x14ac:dyDescent="0.3">
      <c r="A905" s="1" t="s">
        <v>1743</v>
      </c>
      <c r="B905" s="2">
        <v>43905</v>
      </c>
      <c r="C905" s="3" t="s">
        <v>1744</v>
      </c>
      <c r="D905" s="4" t="s">
        <v>78</v>
      </c>
      <c r="E905" s="3">
        <v>2</v>
      </c>
      <c r="F905" s="5">
        <f>INDEX([1]products!$A$1:$G$49,MATCH([1]orders!$D905,[1]products!$A$1:$A$49,0),MATCH([1]orders!K$1,[1]products!$A$1:$G$1,0))</f>
        <v>0.5</v>
      </c>
      <c r="G905" s="6">
        <f>INDEX([1]products!$A$1:$G$49,MATCH([1]orders!$D905,[1]products!$A$1:$A$49,0),MATCH([1]orders!L$1,[1]products!$A$1:$G$1,0))</f>
        <v>8.73</v>
      </c>
      <c r="H905" s="6">
        <f t="shared" si="14"/>
        <v>17.46</v>
      </c>
    </row>
    <row r="906" spans="1:8" x14ac:dyDescent="0.3">
      <c r="A906" s="1" t="s">
        <v>1745</v>
      </c>
      <c r="B906" s="2">
        <v>44463</v>
      </c>
      <c r="C906" s="3" t="s">
        <v>1746</v>
      </c>
      <c r="D906" s="4" t="s">
        <v>204</v>
      </c>
      <c r="E906" s="3">
        <v>5</v>
      </c>
      <c r="F906" s="5">
        <f>INDEX([1]products!$A$1:$G$49,MATCH([1]orders!$D906,[1]products!$A$1:$A$49,0),MATCH([1]orders!K$1,[1]products!$A$1:$G$1,0))</f>
        <v>2.5</v>
      </c>
      <c r="G906" s="6">
        <f>INDEX([1]products!$A$1:$G$49,MATCH([1]orders!$D906,[1]products!$A$1:$A$49,0),MATCH([1]orders!L$1,[1]products!$A$1:$G$1,0))</f>
        <v>29.784999999999997</v>
      </c>
      <c r="H906" s="6">
        <f t="shared" si="14"/>
        <v>148.92499999999998</v>
      </c>
    </row>
    <row r="907" spans="1:8" x14ac:dyDescent="0.3">
      <c r="A907" s="1" t="s">
        <v>1747</v>
      </c>
      <c r="B907" s="2">
        <v>43560</v>
      </c>
      <c r="C907" s="3" t="s">
        <v>1748</v>
      </c>
      <c r="D907" s="4" t="s">
        <v>67</v>
      </c>
      <c r="E907" s="3">
        <v>6</v>
      </c>
      <c r="F907" s="5">
        <f>INDEX([1]products!$A$1:$G$49,MATCH([1]orders!$D907,[1]products!$A$1:$A$49,0),MATCH([1]orders!K$1,[1]products!$A$1:$G$1,0))</f>
        <v>0.5</v>
      </c>
      <c r="G907" s="6">
        <f>INDEX([1]products!$A$1:$G$49,MATCH([1]orders!$D907,[1]products!$A$1:$A$49,0),MATCH([1]orders!L$1,[1]products!$A$1:$G$1,0))</f>
        <v>6.75</v>
      </c>
      <c r="H907" s="6">
        <f t="shared" si="14"/>
        <v>40.5</v>
      </c>
    </row>
    <row r="908" spans="1:8" x14ac:dyDescent="0.3">
      <c r="A908" s="1" t="s">
        <v>1749</v>
      </c>
      <c r="B908" s="2">
        <v>44588</v>
      </c>
      <c r="C908" s="3" t="s">
        <v>1750</v>
      </c>
      <c r="D908" s="4" t="s">
        <v>67</v>
      </c>
      <c r="E908" s="3">
        <v>4</v>
      </c>
      <c r="F908" s="5">
        <f>INDEX([1]products!$A$1:$G$49,MATCH([1]orders!$D908,[1]products!$A$1:$A$49,0),MATCH([1]orders!K$1,[1]products!$A$1:$G$1,0))</f>
        <v>0.5</v>
      </c>
      <c r="G908" s="6">
        <f>INDEX([1]products!$A$1:$G$49,MATCH([1]orders!$D908,[1]products!$A$1:$A$49,0),MATCH([1]orders!L$1,[1]products!$A$1:$G$1,0))</f>
        <v>6.75</v>
      </c>
      <c r="H908" s="6">
        <f t="shared" si="14"/>
        <v>27</v>
      </c>
    </row>
    <row r="909" spans="1:8" x14ac:dyDescent="0.3">
      <c r="A909" s="1" t="s">
        <v>1751</v>
      </c>
      <c r="B909" s="2">
        <v>44449</v>
      </c>
      <c r="C909" s="3" t="s">
        <v>1752</v>
      </c>
      <c r="D909" s="4" t="s">
        <v>13</v>
      </c>
      <c r="E909" s="3">
        <v>3</v>
      </c>
      <c r="F909" s="5">
        <f>INDEX([1]products!$A$1:$G$49,MATCH([1]orders!$D909,[1]products!$A$1:$A$49,0),MATCH([1]orders!K$1,[1]products!$A$1:$G$1,0))</f>
        <v>1</v>
      </c>
      <c r="G909" s="6">
        <f>INDEX([1]products!$A$1:$G$49,MATCH([1]orders!$D909,[1]products!$A$1:$A$49,0),MATCH([1]orders!L$1,[1]products!$A$1:$G$1,0))</f>
        <v>12.95</v>
      </c>
      <c r="H909" s="6">
        <f t="shared" si="14"/>
        <v>38.849999999999994</v>
      </c>
    </row>
    <row r="910" spans="1:8" x14ac:dyDescent="0.3">
      <c r="A910" s="1" t="s">
        <v>1753</v>
      </c>
      <c r="B910" s="2">
        <v>43836</v>
      </c>
      <c r="C910" s="3" t="s">
        <v>1754</v>
      </c>
      <c r="D910" s="4" t="s">
        <v>189</v>
      </c>
      <c r="E910" s="3">
        <v>5</v>
      </c>
      <c r="F910" s="5">
        <f>INDEX([1]products!$A$1:$G$49,MATCH([1]orders!$D910,[1]products!$A$1:$A$49,0),MATCH([1]orders!K$1,[1]products!$A$1:$G$1,0))</f>
        <v>1</v>
      </c>
      <c r="G910" s="6">
        <f>INDEX([1]products!$A$1:$G$49,MATCH([1]orders!$D910,[1]products!$A$1:$A$49,0),MATCH([1]orders!L$1,[1]products!$A$1:$G$1,0))</f>
        <v>11.95</v>
      </c>
      <c r="H910" s="6">
        <f t="shared" si="14"/>
        <v>59.75</v>
      </c>
    </row>
    <row r="911" spans="1:8" x14ac:dyDescent="0.3">
      <c r="A911" s="1" t="s">
        <v>1755</v>
      </c>
      <c r="B911" s="2">
        <v>44635</v>
      </c>
      <c r="C911" s="3" t="s">
        <v>1756</v>
      </c>
      <c r="D911" s="4" t="s">
        <v>182</v>
      </c>
      <c r="E911" s="3">
        <v>3</v>
      </c>
      <c r="F911" s="5">
        <f>INDEX([1]products!$A$1:$G$49,MATCH([1]orders!$D911,[1]products!$A$1:$A$49,0),MATCH([1]orders!K$1,[1]products!$A$1:$G$1,0))</f>
        <v>0.2</v>
      </c>
      <c r="G911" s="6">
        <f>INDEX([1]products!$A$1:$G$49,MATCH([1]orders!$D911,[1]products!$A$1:$A$49,0),MATCH([1]orders!L$1,[1]products!$A$1:$G$1,0))</f>
        <v>3.5849999999999995</v>
      </c>
      <c r="H911" s="6">
        <f t="shared" si="14"/>
        <v>10.754999999999999</v>
      </c>
    </row>
    <row r="912" spans="1:8" x14ac:dyDescent="0.3">
      <c r="A912" s="1" t="s">
        <v>1757</v>
      </c>
      <c r="B912" s="2">
        <v>44447</v>
      </c>
      <c r="C912" s="3" t="s">
        <v>1758</v>
      </c>
      <c r="D912" s="4" t="s">
        <v>118</v>
      </c>
      <c r="E912" s="3">
        <v>4</v>
      </c>
      <c r="F912" s="5">
        <f>INDEX([1]products!$A$1:$G$49,MATCH([1]orders!$D912,[1]products!$A$1:$A$49,0),MATCH([1]orders!K$1,[1]products!$A$1:$G$1,0))</f>
        <v>2.5</v>
      </c>
      <c r="G912" s="6">
        <f>INDEX([1]products!$A$1:$G$49,MATCH([1]orders!$D912,[1]products!$A$1:$A$49,0),MATCH([1]orders!L$1,[1]products!$A$1:$G$1,0))</f>
        <v>22.884999999999998</v>
      </c>
      <c r="H912" s="6">
        <f t="shared" si="14"/>
        <v>91.539999999999992</v>
      </c>
    </row>
    <row r="913" spans="1:8" x14ac:dyDescent="0.3">
      <c r="A913" s="1" t="s">
        <v>1759</v>
      </c>
      <c r="B913" s="2">
        <v>44511</v>
      </c>
      <c r="C913" s="3" t="s">
        <v>1760</v>
      </c>
      <c r="D913" s="4" t="s">
        <v>61</v>
      </c>
      <c r="E913" s="3">
        <v>4</v>
      </c>
      <c r="F913" s="5">
        <f>INDEX([1]products!$A$1:$G$49,MATCH([1]orders!$D913,[1]products!$A$1:$A$49,0),MATCH([1]orders!K$1,[1]products!$A$1:$G$1,0))</f>
        <v>1</v>
      </c>
      <c r="G913" s="6">
        <f>INDEX([1]products!$A$1:$G$49,MATCH([1]orders!$D913,[1]products!$A$1:$A$49,0),MATCH([1]orders!L$1,[1]products!$A$1:$G$1,0))</f>
        <v>11.25</v>
      </c>
      <c r="H913" s="6">
        <f t="shared" si="14"/>
        <v>45</v>
      </c>
    </row>
    <row r="914" spans="1:8" x14ac:dyDescent="0.3">
      <c r="A914" s="1" t="s">
        <v>1761</v>
      </c>
      <c r="B914" s="2">
        <v>43726</v>
      </c>
      <c r="C914" s="3" t="s">
        <v>1762</v>
      </c>
      <c r="D914" s="4" t="s">
        <v>41</v>
      </c>
      <c r="E914" s="3">
        <v>6</v>
      </c>
      <c r="F914" s="5">
        <f>INDEX([1]products!$A$1:$G$49,MATCH([1]orders!$D914,[1]products!$A$1:$A$49,0),MATCH([1]orders!K$1,[1]products!$A$1:$G$1,0))</f>
        <v>2.5</v>
      </c>
      <c r="G914" s="6">
        <f>INDEX([1]products!$A$1:$G$49,MATCH([1]orders!$D914,[1]products!$A$1:$A$49,0),MATCH([1]orders!L$1,[1]products!$A$1:$G$1,0))</f>
        <v>22.884999999999998</v>
      </c>
      <c r="H914" s="6">
        <f t="shared" si="14"/>
        <v>137.31</v>
      </c>
    </row>
    <row r="915" spans="1:8" x14ac:dyDescent="0.3">
      <c r="A915" s="1" t="s">
        <v>1763</v>
      </c>
      <c r="B915" s="2">
        <v>44406</v>
      </c>
      <c r="C915" s="3" t="s">
        <v>1764</v>
      </c>
      <c r="D915" s="4" t="s">
        <v>67</v>
      </c>
      <c r="E915" s="3">
        <v>1</v>
      </c>
      <c r="F915" s="5">
        <f>INDEX([1]products!$A$1:$G$49,MATCH([1]orders!$D915,[1]products!$A$1:$A$49,0),MATCH([1]orders!K$1,[1]products!$A$1:$G$1,0))</f>
        <v>0.5</v>
      </c>
      <c r="G915" s="6">
        <f>INDEX([1]products!$A$1:$G$49,MATCH([1]orders!$D915,[1]products!$A$1:$A$49,0),MATCH([1]orders!L$1,[1]products!$A$1:$G$1,0))</f>
        <v>6.75</v>
      </c>
      <c r="H915" s="6">
        <f t="shared" si="14"/>
        <v>6.75</v>
      </c>
    </row>
    <row r="916" spans="1:8" x14ac:dyDescent="0.3">
      <c r="A916" s="1" t="s">
        <v>1765</v>
      </c>
      <c r="B916" s="2">
        <v>44640</v>
      </c>
      <c r="C916" s="3" t="s">
        <v>1766</v>
      </c>
      <c r="D916" s="4" t="s">
        <v>61</v>
      </c>
      <c r="E916" s="3">
        <v>4</v>
      </c>
      <c r="F916" s="5">
        <f>INDEX([1]products!$A$1:$G$49,MATCH([1]orders!$D916,[1]products!$A$1:$A$49,0),MATCH([1]orders!K$1,[1]products!$A$1:$G$1,0))</f>
        <v>1</v>
      </c>
      <c r="G916" s="6">
        <f>INDEX([1]products!$A$1:$G$49,MATCH([1]orders!$D916,[1]products!$A$1:$A$49,0),MATCH([1]orders!L$1,[1]products!$A$1:$G$1,0))</f>
        <v>11.25</v>
      </c>
      <c r="H916" s="6">
        <f t="shared" si="14"/>
        <v>45</v>
      </c>
    </row>
    <row r="917" spans="1:8" x14ac:dyDescent="0.3">
      <c r="A917" s="1" t="s">
        <v>1767</v>
      </c>
      <c r="B917" s="2">
        <v>43955</v>
      </c>
      <c r="C917" s="3" t="s">
        <v>1768</v>
      </c>
      <c r="D917" s="4" t="s">
        <v>530</v>
      </c>
      <c r="E917" s="3">
        <v>3</v>
      </c>
      <c r="F917" s="5">
        <f>INDEX([1]products!$A$1:$G$49,MATCH([1]orders!$D917,[1]products!$A$1:$A$49,0),MATCH([1]orders!K$1,[1]products!$A$1:$G$1,0))</f>
        <v>2.5</v>
      </c>
      <c r="G917" s="6">
        <f>INDEX([1]products!$A$1:$G$49,MATCH([1]orders!$D917,[1]products!$A$1:$A$49,0),MATCH([1]orders!L$1,[1]products!$A$1:$G$1,0))</f>
        <v>27.945</v>
      </c>
      <c r="H917" s="6">
        <f t="shared" si="14"/>
        <v>83.835000000000008</v>
      </c>
    </row>
    <row r="918" spans="1:8" x14ac:dyDescent="0.3">
      <c r="A918" s="1" t="s">
        <v>1769</v>
      </c>
      <c r="B918" s="2">
        <v>44291</v>
      </c>
      <c r="C918" s="3" t="s">
        <v>1770</v>
      </c>
      <c r="D918" s="4" t="s">
        <v>51</v>
      </c>
      <c r="E918" s="3">
        <v>1</v>
      </c>
      <c r="F918" s="5">
        <f>INDEX([1]products!$A$1:$G$49,MATCH([1]orders!$D918,[1]products!$A$1:$A$49,0),MATCH([1]orders!K$1,[1]products!$A$1:$G$1,0))</f>
        <v>0.2</v>
      </c>
      <c r="G918" s="6">
        <f>INDEX([1]products!$A$1:$G$49,MATCH([1]orders!$D918,[1]products!$A$1:$A$49,0),MATCH([1]orders!L$1,[1]products!$A$1:$G$1,0))</f>
        <v>3.645</v>
      </c>
      <c r="H918" s="6">
        <f t="shared" si="14"/>
        <v>3.645</v>
      </c>
    </row>
    <row r="919" spans="1:8" x14ac:dyDescent="0.3">
      <c r="A919" s="1" t="s">
        <v>1771</v>
      </c>
      <c r="B919" s="2">
        <v>44573</v>
      </c>
      <c r="C919" s="3" t="s">
        <v>1772</v>
      </c>
      <c r="D919" s="4" t="s">
        <v>67</v>
      </c>
      <c r="E919" s="3">
        <v>1</v>
      </c>
      <c r="F919" s="5">
        <f>INDEX([1]products!$A$1:$G$49,MATCH([1]orders!$D919,[1]products!$A$1:$A$49,0),MATCH([1]orders!K$1,[1]products!$A$1:$G$1,0))</f>
        <v>0.5</v>
      </c>
      <c r="G919" s="6">
        <f>INDEX([1]products!$A$1:$G$49,MATCH([1]orders!$D919,[1]products!$A$1:$A$49,0),MATCH([1]orders!L$1,[1]products!$A$1:$G$1,0))</f>
        <v>6.75</v>
      </c>
      <c r="H919" s="6">
        <f t="shared" si="14"/>
        <v>6.75</v>
      </c>
    </row>
    <row r="920" spans="1:8" x14ac:dyDescent="0.3">
      <c r="A920" s="1" t="s">
        <v>1771</v>
      </c>
      <c r="B920" s="2">
        <v>44573</v>
      </c>
      <c r="C920" s="3" t="s">
        <v>1772</v>
      </c>
      <c r="D920" s="4" t="s">
        <v>16</v>
      </c>
      <c r="E920" s="3">
        <v>3</v>
      </c>
      <c r="F920" s="5">
        <f>INDEX([1]products!$A$1:$G$49,MATCH([1]orders!$D920,[1]products!$A$1:$A$49,0),MATCH([1]orders!K$1,[1]products!$A$1:$G$1,0))</f>
        <v>0.5</v>
      </c>
      <c r="G920" s="6">
        <f>INDEX([1]products!$A$1:$G$49,MATCH([1]orders!$D920,[1]products!$A$1:$A$49,0),MATCH([1]orders!L$1,[1]products!$A$1:$G$1,0))</f>
        <v>7.29</v>
      </c>
      <c r="H920" s="6">
        <f t="shared" si="14"/>
        <v>21.87</v>
      </c>
    </row>
    <row r="921" spans="1:8" x14ac:dyDescent="0.3">
      <c r="A921" s="1" t="s">
        <v>1773</v>
      </c>
      <c r="B921" s="2">
        <v>44181</v>
      </c>
      <c r="C921" s="3" t="s">
        <v>1774</v>
      </c>
      <c r="D921" s="4" t="s">
        <v>101</v>
      </c>
      <c r="E921" s="3">
        <v>5</v>
      </c>
      <c r="F921" s="5">
        <f>INDEX([1]products!$A$1:$G$49,MATCH([1]orders!$D921,[1]products!$A$1:$A$49,0),MATCH([1]orders!K$1,[1]products!$A$1:$G$1,0))</f>
        <v>0.2</v>
      </c>
      <c r="G921" s="6">
        <f>INDEX([1]products!$A$1:$G$49,MATCH([1]orders!$D921,[1]products!$A$1:$A$49,0),MATCH([1]orders!L$1,[1]products!$A$1:$G$1,0))</f>
        <v>2.6849999999999996</v>
      </c>
      <c r="H921" s="6">
        <f t="shared" si="14"/>
        <v>13.424999999999997</v>
      </c>
    </row>
    <row r="922" spans="1:8" x14ac:dyDescent="0.3">
      <c r="A922" s="1" t="s">
        <v>1775</v>
      </c>
      <c r="B922" s="2">
        <v>44711</v>
      </c>
      <c r="C922" s="3" t="s">
        <v>1776</v>
      </c>
      <c r="D922" s="4" t="s">
        <v>35</v>
      </c>
      <c r="E922" s="3">
        <v>6</v>
      </c>
      <c r="F922" s="5">
        <f>INDEX([1]products!$A$1:$G$49,MATCH([1]orders!$D922,[1]products!$A$1:$A$49,0),MATCH([1]orders!K$1,[1]products!$A$1:$G$1,0))</f>
        <v>2.5</v>
      </c>
      <c r="G922" s="6">
        <f>INDEX([1]products!$A$1:$G$49,MATCH([1]orders!$D922,[1]products!$A$1:$A$49,0),MATCH([1]orders!L$1,[1]products!$A$1:$G$1,0))</f>
        <v>20.584999999999997</v>
      </c>
      <c r="H922" s="6">
        <f t="shared" si="14"/>
        <v>123.50999999999999</v>
      </c>
    </row>
    <row r="923" spans="1:8" x14ac:dyDescent="0.3">
      <c r="A923" s="1" t="s">
        <v>1777</v>
      </c>
      <c r="B923" s="2">
        <v>44509</v>
      </c>
      <c r="C923" s="3" t="s">
        <v>1778</v>
      </c>
      <c r="D923" s="4" t="s">
        <v>38</v>
      </c>
      <c r="E923" s="3">
        <v>2</v>
      </c>
      <c r="F923" s="5">
        <f>INDEX([1]products!$A$1:$G$49,MATCH([1]orders!$D923,[1]products!$A$1:$A$49,0),MATCH([1]orders!K$1,[1]products!$A$1:$G$1,0))</f>
        <v>0.2</v>
      </c>
      <c r="G923" s="6">
        <f>INDEX([1]products!$A$1:$G$49,MATCH([1]orders!$D923,[1]products!$A$1:$A$49,0),MATCH([1]orders!L$1,[1]products!$A$1:$G$1,0))</f>
        <v>3.8849999999999998</v>
      </c>
      <c r="H923" s="6">
        <f t="shared" si="14"/>
        <v>7.77</v>
      </c>
    </row>
    <row r="924" spans="1:8" x14ac:dyDescent="0.3">
      <c r="A924" s="1" t="s">
        <v>1779</v>
      </c>
      <c r="B924" s="2">
        <v>44659</v>
      </c>
      <c r="C924" s="3" t="s">
        <v>1780</v>
      </c>
      <c r="D924" s="4" t="s">
        <v>61</v>
      </c>
      <c r="E924" s="3">
        <v>6</v>
      </c>
      <c r="F924" s="5">
        <f>INDEX([1]products!$A$1:$G$49,MATCH([1]orders!$D924,[1]products!$A$1:$A$49,0),MATCH([1]orders!K$1,[1]products!$A$1:$G$1,0))</f>
        <v>1</v>
      </c>
      <c r="G924" s="6">
        <f>INDEX([1]products!$A$1:$G$49,MATCH([1]orders!$D924,[1]products!$A$1:$A$49,0),MATCH([1]orders!L$1,[1]products!$A$1:$G$1,0))</f>
        <v>11.25</v>
      </c>
      <c r="H924" s="6">
        <f t="shared" si="14"/>
        <v>67.5</v>
      </c>
    </row>
    <row r="925" spans="1:8" x14ac:dyDescent="0.3">
      <c r="A925" s="1" t="s">
        <v>1781</v>
      </c>
      <c r="B925" s="2">
        <v>43746</v>
      </c>
      <c r="C925" s="3" t="s">
        <v>1782</v>
      </c>
      <c r="D925" s="4" t="s">
        <v>530</v>
      </c>
      <c r="E925" s="3">
        <v>1</v>
      </c>
      <c r="F925" s="5">
        <f>INDEX([1]products!$A$1:$G$49,MATCH([1]orders!$D925,[1]products!$A$1:$A$49,0),MATCH([1]orders!K$1,[1]products!$A$1:$G$1,0))</f>
        <v>2.5</v>
      </c>
      <c r="G925" s="6">
        <f>INDEX([1]products!$A$1:$G$49,MATCH([1]orders!$D925,[1]products!$A$1:$A$49,0),MATCH([1]orders!L$1,[1]products!$A$1:$G$1,0))</f>
        <v>27.945</v>
      </c>
      <c r="H925" s="6">
        <f t="shared" si="14"/>
        <v>27.945</v>
      </c>
    </row>
    <row r="926" spans="1:8" x14ac:dyDescent="0.3">
      <c r="A926" s="1" t="s">
        <v>1783</v>
      </c>
      <c r="B926" s="2">
        <v>44451</v>
      </c>
      <c r="C926" s="3" t="s">
        <v>1784</v>
      </c>
      <c r="D926" s="4" t="s">
        <v>204</v>
      </c>
      <c r="E926" s="3">
        <v>3</v>
      </c>
      <c r="F926" s="5">
        <f>INDEX([1]products!$A$1:$G$49,MATCH([1]orders!$D926,[1]products!$A$1:$A$49,0),MATCH([1]orders!K$1,[1]products!$A$1:$G$1,0))</f>
        <v>2.5</v>
      </c>
      <c r="G926" s="6">
        <f>INDEX([1]products!$A$1:$G$49,MATCH([1]orders!$D926,[1]products!$A$1:$A$49,0),MATCH([1]orders!L$1,[1]products!$A$1:$G$1,0))</f>
        <v>29.784999999999997</v>
      </c>
      <c r="H926" s="6">
        <f t="shared" si="14"/>
        <v>89.35499999999999</v>
      </c>
    </row>
    <row r="927" spans="1:8" x14ac:dyDescent="0.3">
      <c r="A927" s="1" t="s">
        <v>1785</v>
      </c>
      <c r="B927" s="2">
        <v>44770</v>
      </c>
      <c r="C927" s="3" t="s">
        <v>1729</v>
      </c>
      <c r="D927" s="4" t="s">
        <v>67</v>
      </c>
      <c r="E927" s="3">
        <v>3</v>
      </c>
      <c r="F927" s="5">
        <f>INDEX([1]products!$A$1:$G$49,MATCH([1]orders!$D927,[1]products!$A$1:$A$49,0),MATCH([1]orders!K$1,[1]products!$A$1:$G$1,0))</f>
        <v>0.5</v>
      </c>
      <c r="G927" s="6">
        <f>INDEX([1]products!$A$1:$G$49,MATCH([1]orders!$D927,[1]products!$A$1:$A$49,0),MATCH([1]orders!L$1,[1]products!$A$1:$G$1,0))</f>
        <v>6.75</v>
      </c>
      <c r="H927" s="6">
        <f t="shared" si="14"/>
        <v>20.25</v>
      </c>
    </row>
    <row r="928" spans="1:8" x14ac:dyDescent="0.3">
      <c r="A928" s="1" t="s">
        <v>1786</v>
      </c>
      <c r="B928" s="2">
        <v>44012</v>
      </c>
      <c r="C928" s="3" t="s">
        <v>1787</v>
      </c>
      <c r="D928" s="4" t="s">
        <v>67</v>
      </c>
      <c r="E928" s="3">
        <v>5</v>
      </c>
      <c r="F928" s="5">
        <f>INDEX([1]products!$A$1:$G$49,MATCH([1]orders!$D928,[1]products!$A$1:$A$49,0),MATCH([1]orders!K$1,[1]products!$A$1:$G$1,0))</f>
        <v>0.5</v>
      </c>
      <c r="G928" s="6">
        <f>INDEX([1]products!$A$1:$G$49,MATCH([1]orders!$D928,[1]products!$A$1:$A$49,0),MATCH([1]orders!L$1,[1]products!$A$1:$G$1,0))</f>
        <v>6.75</v>
      </c>
      <c r="H928" s="6">
        <f t="shared" si="14"/>
        <v>33.75</v>
      </c>
    </row>
    <row r="929" spans="1:8" x14ac:dyDescent="0.3">
      <c r="A929" s="1" t="s">
        <v>1788</v>
      </c>
      <c r="B929" s="2">
        <v>43474</v>
      </c>
      <c r="C929" s="3" t="s">
        <v>1789</v>
      </c>
      <c r="D929" s="4" t="s">
        <v>530</v>
      </c>
      <c r="E929" s="3">
        <v>4</v>
      </c>
      <c r="F929" s="5">
        <f>INDEX([1]products!$A$1:$G$49,MATCH([1]orders!$D929,[1]products!$A$1:$A$49,0),MATCH([1]orders!K$1,[1]products!$A$1:$G$1,0))</f>
        <v>2.5</v>
      </c>
      <c r="G929" s="6">
        <f>INDEX([1]products!$A$1:$G$49,MATCH([1]orders!$D929,[1]products!$A$1:$A$49,0),MATCH([1]orders!L$1,[1]products!$A$1:$G$1,0))</f>
        <v>27.945</v>
      </c>
      <c r="H929" s="6">
        <f t="shared" si="14"/>
        <v>111.78</v>
      </c>
    </row>
    <row r="930" spans="1:8" x14ac:dyDescent="0.3">
      <c r="A930" s="1" t="s">
        <v>1790</v>
      </c>
      <c r="B930" s="2">
        <v>44754</v>
      </c>
      <c r="C930" s="3" t="s">
        <v>1791</v>
      </c>
      <c r="D930" s="4" t="s">
        <v>112</v>
      </c>
      <c r="E930" s="3">
        <v>2</v>
      </c>
      <c r="F930" s="5">
        <f>INDEX([1]products!$A$1:$G$49,MATCH([1]orders!$D930,[1]products!$A$1:$A$49,0),MATCH([1]orders!K$1,[1]products!$A$1:$G$1,0))</f>
        <v>2.5</v>
      </c>
      <c r="G930" s="6">
        <f>INDEX([1]products!$A$1:$G$49,MATCH([1]orders!$D930,[1]products!$A$1:$A$49,0),MATCH([1]orders!L$1,[1]products!$A$1:$G$1,0))</f>
        <v>31.624999999999996</v>
      </c>
      <c r="H930" s="6">
        <f t="shared" si="14"/>
        <v>63.249999999999993</v>
      </c>
    </row>
    <row r="931" spans="1:8" x14ac:dyDescent="0.3">
      <c r="A931" s="1" t="s">
        <v>1792</v>
      </c>
      <c r="B931" s="2">
        <v>44165</v>
      </c>
      <c r="C931" s="3" t="s">
        <v>1793</v>
      </c>
      <c r="D931" s="4" t="s">
        <v>254</v>
      </c>
      <c r="E931" s="3">
        <v>2</v>
      </c>
      <c r="F931" s="5">
        <f>INDEX([1]products!$A$1:$G$49,MATCH([1]orders!$D931,[1]products!$A$1:$A$49,0),MATCH([1]orders!K$1,[1]products!$A$1:$G$1,0))</f>
        <v>0.2</v>
      </c>
      <c r="G931" s="6">
        <f>INDEX([1]products!$A$1:$G$49,MATCH([1]orders!$D931,[1]products!$A$1:$A$49,0),MATCH([1]orders!L$1,[1]products!$A$1:$G$1,0))</f>
        <v>4.4550000000000001</v>
      </c>
      <c r="H931" s="6">
        <f t="shared" si="14"/>
        <v>8.91</v>
      </c>
    </row>
    <row r="932" spans="1:8" x14ac:dyDescent="0.3">
      <c r="A932" s="1" t="s">
        <v>1794</v>
      </c>
      <c r="B932" s="2">
        <v>43546</v>
      </c>
      <c r="C932" s="3" t="s">
        <v>1795</v>
      </c>
      <c r="D932" s="4" t="s">
        <v>245</v>
      </c>
      <c r="E932" s="3">
        <v>1</v>
      </c>
      <c r="F932" s="5">
        <f>INDEX([1]products!$A$1:$G$49,MATCH([1]orders!$D932,[1]products!$A$1:$A$49,0),MATCH([1]orders!K$1,[1]products!$A$1:$G$1,0))</f>
        <v>1</v>
      </c>
      <c r="G932" s="6">
        <f>INDEX([1]products!$A$1:$G$49,MATCH([1]orders!$D932,[1]products!$A$1:$A$49,0),MATCH([1]orders!L$1,[1]products!$A$1:$G$1,0))</f>
        <v>12.15</v>
      </c>
      <c r="H932" s="6">
        <f t="shared" si="14"/>
        <v>12.15</v>
      </c>
    </row>
    <row r="933" spans="1:8" x14ac:dyDescent="0.3">
      <c r="A933" s="1" t="s">
        <v>1796</v>
      </c>
      <c r="B933" s="2">
        <v>44607</v>
      </c>
      <c r="C933" s="3" t="s">
        <v>1797</v>
      </c>
      <c r="D933" s="4" t="s">
        <v>72</v>
      </c>
      <c r="E933" s="3">
        <v>4</v>
      </c>
      <c r="F933" s="5">
        <f>INDEX([1]products!$A$1:$G$49,MATCH([1]orders!$D933,[1]products!$A$1:$A$49,0),MATCH([1]orders!K$1,[1]products!$A$1:$G$1,0))</f>
        <v>0.5</v>
      </c>
      <c r="G933" s="6">
        <f>INDEX([1]products!$A$1:$G$49,MATCH([1]orders!$D933,[1]products!$A$1:$A$49,0),MATCH([1]orders!L$1,[1]products!$A$1:$G$1,0))</f>
        <v>5.97</v>
      </c>
      <c r="H933" s="6">
        <f t="shared" si="14"/>
        <v>23.88</v>
      </c>
    </row>
    <row r="934" spans="1:8" x14ac:dyDescent="0.3">
      <c r="A934" s="1" t="s">
        <v>1798</v>
      </c>
      <c r="B934" s="2">
        <v>44117</v>
      </c>
      <c r="C934" s="3" t="s">
        <v>1799</v>
      </c>
      <c r="D934" s="4" t="s">
        <v>9</v>
      </c>
      <c r="E934" s="3">
        <v>4</v>
      </c>
      <c r="F934" s="5">
        <f>INDEX([1]products!$A$1:$G$49,MATCH([1]orders!$D934,[1]products!$A$1:$A$49,0),MATCH([1]orders!K$1,[1]products!$A$1:$G$1,0))</f>
        <v>1</v>
      </c>
      <c r="G934" s="6">
        <f>INDEX([1]products!$A$1:$G$49,MATCH([1]orders!$D934,[1]products!$A$1:$A$49,0),MATCH([1]orders!L$1,[1]products!$A$1:$G$1,0))</f>
        <v>13.75</v>
      </c>
      <c r="H934" s="6">
        <f t="shared" si="14"/>
        <v>55</v>
      </c>
    </row>
    <row r="935" spans="1:8" x14ac:dyDescent="0.3">
      <c r="A935" s="1" t="s">
        <v>1800</v>
      </c>
      <c r="B935" s="2">
        <v>44557</v>
      </c>
      <c r="C935" s="3" t="s">
        <v>1801</v>
      </c>
      <c r="D935" s="4" t="s">
        <v>179</v>
      </c>
      <c r="E935" s="3">
        <v>3</v>
      </c>
      <c r="F935" s="5">
        <f>INDEX([1]products!$A$1:$G$49,MATCH([1]orders!$D935,[1]products!$A$1:$A$49,0),MATCH([1]orders!K$1,[1]products!$A$1:$G$1,0))</f>
        <v>1</v>
      </c>
      <c r="G935" s="6">
        <f>INDEX([1]products!$A$1:$G$49,MATCH([1]orders!$D935,[1]products!$A$1:$A$49,0),MATCH([1]orders!L$1,[1]products!$A$1:$G$1,0))</f>
        <v>8.9499999999999993</v>
      </c>
      <c r="H935" s="6">
        <f t="shared" si="14"/>
        <v>26.849999999999998</v>
      </c>
    </row>
    <row r="936" spans="1:8" x14ac:dyDescent="0.3">
      <c r="A936" s="1" t="s">
        <v>1802</v>
      </c>
      <c r="B936" s="2">
        <v>44409</v>
      </c>
      <c r="C936" s="3" t="s">
        <v>1803</v>
      </c>
      <c r="D936" s="4" t="s">
        <v>41</v>
      </c>
      <c r="E936" s="3">
        <v>5</v>
      </c>
      <c r="F936" s="5">
        <f>INDEX([1]products!$A$1:$G$49,MATCH([1]orders!$D936,[1]products!$A$1:$A$49,0),MATCH([1]orders!K$1,[1]products!$A$1:$G$1,0))</f>
        <v>2.5</v>
      </c>
      <c r="G936" s="6">
        <f>INDEX([1]products!$A$1:$G$49,MATCH([1]orders!$D936,[1]products!$A$1:$A$49,0),MATCH([1]orders!L$1,[1]products!$A$1:$G$1,0))</f>
        <v>22.884999999999998</v>
      </c>
      <c r="H936" s="6">
        <f t="shared" si="14"/>
        <v>114.42499999999998</v>
      </c>
    </row>
    <row r="937" spans="1:8" x14ac:dyDescent="0.3">
      <c r="A937" s="1" t="s">
        <v>1804</v>
      </c>
      <c r="B937" s="2">
        <v>44153</v>
      </c>
      <c r="C937" s="3" t="s">
        <v>1805</v>
      </c>
      <c r="D937" s="4" t="s">
        <v>171</v>
      </c>
      <c r="E937" s="3">
        <v>6</v>
      </c>
      <c r="F937" s="5">
        <f>INDEX([1]products!$A$1:$G$49,MATCH([1]orders!$D937,[1]products!$A$1:$A$49,0),MATCH([1]orders!K$1,[1]products!$A$1:$G$1,0))</f>
        <v>2.5</v>
      </c>
      <c r="G937" s="6">
        <f>INDEX([1]products!$A$1:$G$49,MATCH([1]orders!$D937,[1]products!$A$1:$A$49,0),MATCH([1]orders!L$1,[1]products!$A$1:$G$1,0))</f>
        <v>25.874999999999996</v>
      </c>
      <c r="H937" s="6">
        <f t="shared" si="14"/>
        <v>155.24999999999997</v>
      </c>
    </row>
    <row r="938" spans="1:8" x14ac:dyDescent="0.3">
      <c r="A938" s="1" t="s">
        <v>1806</v>
      </c>
      <c r="B938" s="2">
        <v>44493</v>
      </c>
      <c r="C938" s="3" t="s">
        <v>1807</v>
      </c>
      <c r="D938" s="4" t="s">
        <v>123</v>
      </c>
      <c r="E938" s="3">
        <v>3</v>
      </c>
      <c r="F938" s="5">
        <f>INDEX([1]products!$A$1:$G$49,MATCH([1]orders!$D938,[1]products!$A$1:$A$49,0),MATCH([1]orders!K$1,[1]products!$A$1:$G$1,0))</f>
        <v>0.5</v>
      </c>
      <c r="G938" s="6">
        <f>INDEX([1]products!$A$1:$G$49,MATCH([1]orders!$D938,[1]products!$A$1:$A$49,0),MATCH([1]orders!L$1,[1]products!$A$1:$G$1,0))</f>
        <v>7.77</v>
      </c>
      <c r="H938" s="6">
        <f t="shared" si="14"/>
        <v>23.31</v>
      </c>
    </row>
    <row r="939" spans="1:8" x14ac:dyDescent="0.3">
      <c r="A939" s="1" t="s">
        <v>1806</v>
      </c>
      <c r="B939" s="2">
        <v>44493</v>
      </c>
      <c r="C939" s="3" t="s">
        <v>1807</v>
      </c>
      <c r="D939" s="4" t="s">
        <v>41</v>
      </c>
      <c r="E939" s="3">
        <v>4</v>
      </c>
      <c r="F939" s="5">
        <f>INDEX([1]products!$A$1:$G$49,MATCH([1]orders!$D939,[1]products!$A$1:$A$49,0),MATCH([1]orders!K$1,[1]products!$A$1:$G$1,0))</f>
        <v>2.5</v>
      </c>
      <c r="G939" s="6">
        <f>INDEX([1]products!$A$1:$G$49,MATCH([1]orders!$D939,[1]products!$A$1:$A$49,0),MATCH([1]orders!L$1,[1]products!$A$1:$G$1,0))</f>
        <v>22.884999999999998</v>
      </c>
      <c r="H939" s="6">
        <f t="shared" si="14"/>
        <v>91.539999999999992</v>
      </c>
    </row>
    <row r="940" spans="1:8" x14ac:dyDescent="0.3">
      <c r="A940" s="1" t="s">
        <v>1808</v>
      </c>
      <c r="B940" s="2">
        <v>43829</v>
      </c>
      <c r="C940" s="3" t="s">
        <v>1809</v>
      </c>
      <c r="D940" s="4" t="s">
        <v>137</v>
      </c>
      <c r="E940" s="3">
        <v>5</v>
      </c>
      <c r="F940" s="5">
        <f>INDEX([1]products!$A$1:$G$49,MATCH([1]orders!$D940,[1]products!$A$1:$A$49,0),MATCH([1]orders!K$1,[1]products!$A$1:$G$1,0))</f>
        <v>1</v>
      </c>
      <c r="G940" s="6">
        <f>INDEX([1]products!$A$1:$G$49,MATCH([1]orders!$D940,[1]products!$A$1:$A$49,0),MATCH([1]orders!L$1,[1]products!$A$1:$G$1,0))</f>
        <v>14.85</v>
      </c>
      <c r="H940" s="6">
        <f t="shared" si="14"/>
        <v>74.25</v>
      </c>
    </row>
    <row r="941" spans="1:8" x14ac:dyDescent="0.3">
      <c r="A941" s="1" t="s">
        <v>1810</v>
      </c>
      <c r="B941" s="2">
        <v>44229</v>
      </c>
      <c r="C941" s="3" t="s">
        <v>1811</v>
      </c>
      <c r="D941" s="4" t="s">
        <v>19</v>
      </c>
      <c r="E941" s="3">
        <v>6</v>
      </c>
      <c r="F941" s="5">
        <f>INDEX([1]products!$A$1:$G$49,MATCH([1]orders!$D941,[1]products!$A$1:$A$49,0),MATCH([1]orders!K$1,[1]products!$A$1:$G$1,0))</f>
        <v>0.2</v>
      </c>
      <c r="G941" s="6">
        <f>INDEX([1]products!$A$1:$G$49,MATCH([1]orders!$D941,[1]products!$A$1:$A$49,0),MATCH([1]orders!L$1,[1]products!$A$1:$G$1,0))</f>
        <v>4.7549999999999999</v>
      </c>
      <c r="H941" s="6">
        <f t="shared" si="14"/>
        <v>28.53</v>
      </c>
    </row>
    <row r="942" spans="1:8" x14ac:dyDescent="0.3">
      <c r="A942" s="1" t="s">
        <v>1812</v>
      </c>
      <c r="B942" s="2">
        <v>44332</v>
      </c>
      <c r="C942" s="3" t="s">
        <v>1813</v>
      </c>
      <c r="D942" s="4" t="s">
        <v>157</v>
      </c>
      <c r="E942" s="3">
        <v>2</v>
      </c>
      <c r="F942" s="5">
        <f>INDEX([1]products!$A$1:$G$49,MATCH([1]orders!$D942,[1]products!$A$1:$A$49,0),MATCH([1]orders!K$1,[1]products!$A$1:$G$1,0))</f>
        <v>0.5</v>
      </c>
      <c r="G942" s="6">
        <f>INDEX([1]products!$A$1:$G$49,MATCH([1]orders!$D942,[1]products!$A$1:$A$49,0),MATCH([1]orders!L$1,[1]products!$A$1:$G$1,0))</f>
        <v>7.169999999999999</v>
      </c>
      <c r="H942" s="6">
        <f t="shared" si="14"/>
        <v>14.339999999999998</v>
      </c>
    </row>
    <row r="943" spans="1:8" x14ac:dyDescent="0.3">
      <c r="A943" s="1" t="s">
        <v>1814</v>
      </c>
      <c r="B943" s="2">
        <v>44674</v>
      </c>
      <c r="C943" s="3" t="s">
        <v>1815</v>
      </c>
      <c r="D943" s="4" t="s">
        <v>192</v>
      </c>
      <c r="E943" s="3">
        <v>2</v>
      </c>
      <c r="F943" s="5">
        <f>INDEX([1]products!$A$1:$G$49,MATCH([1]orders!$D943,[1]products!$A$1:$A$49,0),MATCH([1]orders!K$1,[1]products!$A$1:$G$1,0))</f>
        <v>0.5</v>
      </c>
      <c r="G943" s="6">
        <f>INDEX([1]products!$A$1:$G$49,MATCH([1]orders!$D943,[1]products!$A$1:$A$49,0),MATCH([1]orders!L$1,[1]products!$A$1:$G$1,0))</f>
        <v>7.77</v>
      </c>
      <c r="H943" s="6">
        <f t="shared" si="14"/>
        <v>15.54</v>
      </c>
    </row>
    <row r="944" spans="1:8" x14ac:dyDescent="0.3">
      <c r="A944" s="1" t="s">
        <v>1816</v>
      </c>
      <c r="B944" s="2">
        <v>44464</v>
      </c>
      <c r="C944" s="3" t="s">
        <v>1817</v>
      </c>
      <c r="D944" s="4" t="s">
        <v>189</v>
      </c>
      <c r="E944" s="3">
        <v>3</v>
      </c>
      <c r="F944" s="5">
        <f>INDEX([1]products!$A$1:$G$49,MATCH([1]orders!$D944,[1]products!$A$1:$A$49,0),MATCH([1]orders!K$1,[1]products!$A$1:$G$1,0))</f>
        <v>1</v>
      </c>
      <c r="G944" s="6">
        <f>INDEX([1]products!$A$1:$G$49,MATCH([1]orders!$D944,[1]products!$A$1:$A$49,0),MATCH([1]orders!L$1,[1]products!$A$1:$G$1,0))</f>
        <v>11.95</v>
      </c>
      <c r="H944" s="6">
        <f t="shared" si="14"/>
        <v>35.849999999999994</v>
      </c>
    </row>
    <row r="945" spans="1:8" x14ac:dyDescent="0.3">
      <c r="A945" s="1" t="s">
        <v>1818</v>
      </c>
      <c r="B945" s="2">
        <v>44719</v>
      </c>
      <c r="C945" s="3" t="s">
        <v>1819</v>
      </c>
      <c r="D945" s="4" t="s">
        <v>192</v>
      </c>
      <c r="E945" s="3">
        <v>6</v>
      </c>
      <c r="F945" s="5">
        <f>INDEX([1]products!$A$1:$G$49,MATCH([1]orders!$D945,[1]products!$A$1:$A$49,0),MATCH([1]orders!K$1,[1]products!$A$1:$G$1,0))</f>
        <v>0.5</v>
      </c>
      <c r="G945" s="6">
        <f>INDEX([1]products!$A$1:$G$49,MATCH([1]orders!$D945,[1]products!$A$1:$A$49,0),MATCH([1]orders!L$1,[1]products!$A$1:$G$1,0))</f>
        <v>7.77</v>
      </c>
      <c r="H945" s="6">
        <f t="shared" si="14"/>
        <v>46.62</v>
      </c>
    </row>
    <row r="946" spans="1:8" x14ac:dyDescent="0.3">
      <c r="A946" s="1" t="s">
        <v>1820</v>
      </c>
      <c r="B946" s="2">
        <v>44054</v>
      </c>
      <c r="C946" s="3" t="s">
        <v>1821</v>
      </c>
      <c r="D946" s="4" t="s">
        <v>157</v>
      </c>
      <c r="E946" s="3">
        <v>5</v>
      </c>
      <c r="F946" s="5">
        <f>INDEX([1]products!$A$1:$G$49,MATCH([1]orders!$D946,[1]products!$A$1:$A$49,0),MATCH([1]orders!K$1,[1]products!$A$1:$G$1,0))</f>
        <v>0.5</v>
      </c>
      <c r="G946" s="6">
        <f>INDEX([1]products!$A$1:$G$49,MATCH([1]orders!$D946,[1]products!$A$1:$A$49,0),MATCH([1]orders!L$1,[1]products!$A$1:$G$1,0))</f>
        <v>7.169999999999999</v>
      </c>
      <c r="H946" s="6">
        <f t="shared" si="14"/>
        <v>35.849999999999994</v>
      </c>
    </row>
    <row r="947" spans="1:8" x14ac:dyDescent="0.3">
      <c r="A947" s="1" t="s">
        <v>1822</v>
      </c>
      <c r="B947" s="2">
        <v>43524</v>
      </c>
      <c r="C947" s="3" t="s">
        <v>1823</v>
      </c>
      <c r="D947" s="4" t="s">
        <v>109</v>
      </c>
      <c r="E947" s="3">
        <v>4</v>
      </c>
      <c r="F947" s="5">
        <f>INDEX([1]products!$A$1:$G$49,MATCH([1]orders!$D947,[1]products!$A$1:$A$49,0),MATCH([1]orders!K$1,[1]products!$A$1:$G$1,0))</f>
        <v>2.5</v>
      </c>
      <c r="G947" s="6">
        <f>INDEX([1]products!$A$1:$G$49,MATCH([1]orders!$D947,[1]products!$A$1:$A$49,0),MATCH([1]orders!L$1,[1]products!$A$1:$G$1,0))</f>
        <v>29.784999999999997</v>
      </c>
      <c r="H947" s="6">
        <f t="shared" si="14"/>
        <v>119.13999999999999</v>
      </c>
    </row>
    <row r="948" spans="1:8" x14ac:dyDescent="0.3">
      <c r="A948" s="1" t="s">
        <v>1824</v>
      </c>
      <c r="B948" s="2">
        <v>43719</v>
      </c>
      <c r="C948" s="3" t="s">
        <v>1825</v>
      </c>
      <c r="D948" s="4" t="s">
        <v>123</v>
      </c>
      <c r="E948" s="3">
        <v>3</v>
      </c>
      <c r="F948" s="5">
        <f>INDEX([1]products!$A$1:$G$49,MATCH([1]orders!$D948,[1]products!$A$1:$A$49,0),MATCH([1]orders!K$1,[1]products!$A$1:$G$1,0))</f>
        <v>0.5</v>
      </c>
      <c r="G948" s="6">
        <f>INDEX([1]products!$A$1:$G$49,MATCH([1]orders!$D948,[1]products!$A$1:$A$49,0),MATCH([1]orders!L$1,[1]products!$A$1:$G$1,0))</f>
        <v>7.77</v>
      </c>
      <c r="H948" s="6">
        <f t="shared" si="14"/>
        <v>23.31</v>
      </c>
    </row>
    <row r="949" spans="1:8" x14ac:dyDescent="0.3">
      <c r="A949" s="1" t="s">
        <v>1826</v>
      </c>
      <c r="B949" s="2">
        <v>44294</v>
      </c>
      <c r="C949" s="3" t="s">
        <v>1827</v>
      </c>
      <c r="D949" s="4" t="s">
        <v>61</v>
      </c>
      <c r="E949" s="3">
        <v>1</v>
      </c>
      <c r="F949" s="5">
        <f>INDEX([1]products!$A$1:$G$49,MATCH([1]orders!$D949,[1]products!$A$1:$A$49,0),MATCH([1]orders!K$1,[1]products!$A$1:$G$1,0))</f>
        <v>1</v>
      </c>
      <c r="G949" s="6">
        <f>INDEX([1]products!$A$1:$G$49,MATCH([1]orders!$D949,[1]products!$A$1:$A$49,0),MATCH([1]orders!L$1,[1]products!$A$1:$G$1,0))</f>
        <v>11.25</v>
      </c>
      <c r="H949" s="6">
        <f t="shared" si="14"/>
        <v>11.25</v>
      </c>
    </row>
    <row r="950" spans="1:8" x14ac:dyDescent="0.3">
      <c r="A950" s="1" t="s">
        <v>1828</v>
      </c>
      <c r="B950" s="2">
        <v>44445</v>
      </c>
      <c r="C950" s="3" t="s">
        <v>1829</v>
      </c>
      <c r="D950" s="4" t="s">
        <v>530</v>
      </c>
      <c r="E950" s="3">
        <v>3</v>
      </c>
      <c r="F950" s="5">
        <f>INDEX([1]products!$A$1:$G$49,MATCH([1]orders!$D950,[1]products!$A$1:$A$49,0),MATCH([1]orders!K$1,[1]products!$A$1:$G$1,0))</f>
        <v>2.5</v>
      </c>
      <c r="G950" s="6">
        <f>INDEX([1]products!$A$1:$G$49,MATCH([1]orders!$D950,[1]products!$A$1:$A$49,0),MATCH([1]orders!L$1,[1]products!$A$1:$G$1,0))</f>
        <v>27.945</v>
      </c>
      <c r="H950" s="6">
        <f t="shared" si="14"/>
        <v>83.835000000000008</v>
      </c>
    </row>
    <row r="951" spans="1:8" x14ac:dyDescent="0.3">
      <c r="A951" s="1" t="s">
        <v>1830</v>
      </c>
      <c r="B951" s="2">
        <v>44449</v>
      </c>
      <c r="C951" s="3" t="s">
        <v>1831</v>
      </c>
      <c r="D951" s="4" t="s">
        <v>10</v>
      </c>
      <c r="E951" s="3">
        <v>4</v>
      </c>
      <c r="F951" s="5">
        <f>INDEX([1]products!$A$1:$G$49,MATCH([1]orders!$D951,[1]products!$A$1:$A$49,0),MATCH([1]orders!K$1,[1]products!$A$1:$G$1,0))</f>
        <v>2.5</v>
      </c>
      <c r="G951" s="6">
        <f>INDEX([1]products!$A$1:$G$49,MATCH([1]orders!$D951,[1]products!$A$1:$A$49,0),MATCH([1]orders!L$1,[1]products!$A$1:$G$1,0))</f>
        <v>27.484999999999996</v>
      </c>
      <c r="H951" s="6">
        <f t="shared" si="14"/>
        <v>109.93999999999998</v>
      </c>
    </row>
    <row r="952" spans="1:8" x14ac:dyDescent="0.3">
      <c r="A952" s="1" t="s">
        <v>1832</v>
      </c>
      <c r="B952" s="2">
        <v>44703</v>
      </c>
      <c r="C952" s="3" t="s">
        <v>1833</v>
      </c>
      <c r="D952" s="4" t="s">
        <v>182</v>
      </c>
      <c r="E952" s="3">
        <v>4</v>
      </c>
      <c r="F952" s="5">
        <f>INDEX([1]products!$A$1:$G$49,MATCH([1]orders!$D952,[1]products!$A$1:$A$49,0),MATCH([1]orders!K$1,[1]products!$A$1:$G$1,0))</f>
        <v>0.2</v>
      </c>
      <c r="G952" s="6">
        <f>INDEX([1]products!$A$1:$G$49,MATCH([1]orders!$D952,[1]products!$A$1:$A$49,0),MATCH([1]orders!L$1,[1]products!$A$1:$G$1,0))</f>
        <v>3.5849999999999995</v>
      </c>
      <c r="H952" s="6">
        <f t="shared" si="14"/>
        <v>14.339999999999998</v>
      </c>
    </row>
    <row r="953" spans="1:8" x14ac:dyDescent="0.3">
      <c r="A953" s="1" t="s">
        <v>1834</v>
      </c>
      <c r="B953" s="2">
        <v>44092</v>
      </c>
      <c r="C953" s="3" t="s">
        <v>1835</v>
      </c>
      <c r="D953" s="4" t="s">
        <v>182</v>
      </c>
      <c r="E953" s="3">
        <v>6</v>
      </c>
      <c r="F953" s="5">
        <f>INDEX([1]products!$A$1:$G$49,MATCH([1]orders!$D953,[1]products!$A$1:$A$49,0),MATCH([1]orders!K$1,[1]products!$A$1:$G$1,0))</f>
        <v>0.2</v>
      </c>
      <c r="G953" s="6">
        <f>INDEX([1]products!$A$1:$G$49,MATCH([1]orders!$D953,[1]products!$A$1:$A$49,0),MATCH([1]orders!L$1,[1]products!$A$1:$G$1,0))</f>
        <v>3.5849999999999995</v>
      </c>
      <c r="H953" s="6">
        <f t="shared" si="14"/>
        <v>21.509999999999998</v>
      </c>
    </row>
    <row r="954" spans="1:8" x14ac:dyDescent="0.3">
      <c r="A954" s="1" t="s">
        <v>1836</v>
      </c>
      <c r="B954" s="2">
        <v>44439</v>
      </c>
      <c r="C954" s="3" t="s">
        <v>1837</v>
      </c>
      <c r="D954" s="4" t="s">
        <v>61</v>
      </c>
      <c r="E954" s="3">
        <v>2</v>
      </c>
      <c r="F954" s="5">
        <f>INDEX([1]products!$A$1:$G$49,MATCH([1]orders!$D954,[1]products!$A$1:$A$49,0),MATCH([1]orders!K$1,[1]products!$A$1:$G$1,0))</f>
        <v>1</v>
      </c>
      <c r="G954" s="6">
        <f>INDEX([1]products!$A$1:$G$49,MATCH([1]orders!$D954,[1]products!$A$1:$A$49,0),MATCH([1]orders!L$1,[1]products!$A$1:$G$1,0))</f>
        <v>11.25</v>
      </c>
      <c r="H954" s="6">
        <f t="shared" si="14"/>
        <v>22.5</v>
      </c>
    </row>
    <row r="955" spans="1:8" x14ac:dyDescent="0.3">
      <c r="A955" s="1" t="s">
        <v>1838</v>
      </c>
      <c r="B955" s="2">
        <v>44582</v>
      </c>
      <c r="C955" s="3" t="s">
        <v>1801</v>
      </c>
      <c r="D955" s="4" t="s">
        <v>115</v>
      </c>
      <c r="E955" s="3">
        <v>1</v>
      </c>
      <c r="F955" s="5">
        <f>INDEX([1]products!$A$1:$G$49,MATCH([1]orders!$D955,[1]products!$A$1:$A$49,0),MATCH([1]orders!K$1,[1]products!$A$1:$G$1,0))</f>
        <v>0.2</v>
      </c>
      <c r="G955" s="6">
        <f>INDEX([1]products!$A$1:$G$49,MATCH([1]orders!$D955,[1]products!$A$1:$A$49,0),MATCH([1]orders!L$1,[1]products!$A$1:$G$1,0))</f>
        <v>3.8849999999999998</v>
      </c>
      <c r="H955" s="6">
        <f t="shared" si="14"/>
        <v>3.8849999999999998</v>
      </c>
    </row>
    <row r="956" spans="1:8" x14ac:dyDescent="0.3">
      <c r="A956" s="1" t="s">
        <v>1839</v>
      </c>
      <c r="B956" s="2">
        <v>44722</v>
      </c>
      <c r="C956" s="3" t="s">
        <v>1801</v>
      </c>
      <c r="D956" s="4" t="s">
        <v>530</v>
      </c>
      <c r="E956" s="3">
        <v>1</v>
      </c>
      <c r="F956" s="5">
        <f>INDEX([1]products!$A$1:$G$49,MATCH([1]orders!$D956,[1]products!$A$1:$A$49,0),MATCH([1]orders!K$1,[1]products!$A$1:$G$1,0))</f>
        <v>2.5</v>
      </c>
      <c r="G956" s="6">
        <f>INDEX([1]products!$A$1:$G$49,MATCH([1]orders!$D956,[1]products!$A$1:$A$49,0),MATCH([1]orders!L$1,[1]products!$A$1:$G$1,0))</f>
        <v>27.945</v>
      </c>
      <c r="H956" s="6">
        <f t="shared" si="14"/>
        <v>27.945</v>
      </c>
    </row>
    <row r="957" spans="1:8" x14ac:dyDescent="0.3">
      <c r="A957" s="1" t="s">
        <v>1840</v>
      </c>
      <c r="B957" s="2">
        <v>43582</v>
      </c>
      <c r="C957" s="3" t="s">
        <v>1801</v>
      </c>
      <c r="D957" s="4" t="s">
        <v>30</v>
      </c>
      <c r="E957" s="3">
        <v>5</v>
      </c>
      <c r="F957" s="5">
        <f>INDEX([1]products!$A$1:$G$49,MATCH([1]orders!$D957,[1]products!$A$1:$A$49,0),MATCH([1]orders!K$1,[1]products!$A$1:$G$1,0))</f>
        <v>2.5</v>
      </c>
      <c r="G957" s="6">
        <f>INDEX([1]products!$A$1:$G$49,MATCH([1]orders!$D957,[1]products!$A$1:$A$49,0),MATCH([1]orders!L$1,[1]products!$A$1:$G$1,0))</f>
        <v>34.154999999999994</v>
      </c>
      <c r="H957" s="6">
        <f t="shared" si="14"/>
        <v>170.77499999999998</v>
      </c>
    </row>
    <row r="958" spans="1:8" x14ac:dyDescent="0.3">
      <c r="A958" s="1" t="s">
        <v>1840</v>
      </c>
      <c r="B958" s="2">
        <v>43582</v>
      </c>
      <c r="C958" s="3" t="s">
        <v>1801</v>
      </c>
      <c r="D958" s="4" t="s">
        <v>10</v>
      </c>
      <c r="E958" s="3">
        <v>2</v>
      </c>
      <c r="F958" s="5">
        <f>INDEX([1]products!$A$1:$G$49,MATCH([1]orders!$D958,[1]products!$A$1:$A$49,0),MATCH([1]orders!K$1,[1]products!$A$1:$G$1,0))</f>
        <v>2.5</v>
      </c>
      <c r="G958" s="6">
        <f>INDEX([1]products!$A$1:$G$49,MATCH([1]orders!$D958,[1]products!$A$1:$A$49,0),MATCH([1]orders!L$1,[1]products!$A$1:$G$1,0))</f>
        <v>27.484999999999996</v>
      </c>
      <c r="H958" s="6">
        <f t="shared" si="14"/>
        <v>54.969999999999992</v>
      </c>
    </row>
    <row r="959" spans="1:8" x14ac:dyDescent="0.3">
      <c r="A959" s="1" t="s">
        <v>1840</v>
      </c>
      <c r="B959" s="2">
        <v>43582</v>
      </c>
      <c r="C959" s="3" t="s">
        <v>1801</v>
      </c>
      <c r="D959" s="4" t="s">
        <v>137</v>
      </c>
      <c r="E959" s="3">
        <v>1</v>
      </c>
      <c r="F959" s="5">
        <f>INDEX([1]products!$A$1:$G$49,MATCH([1]orders!$D959,[1]products!$A$1:$A$49,0),MATCH([1]orders!K$1,[1]products!$A$1:$G$1,0))</f>
        <v>1</v>
      </c>
      <c r="G959" s="6">
        <f>INDEX([1]products!$A$1:$G$49,MATCH([1]orders!$D959,[1]products!$A$1:$A$49,0),MATCH([1]orders!L$1,[1]products!$A$1:$G$1,0))</f>
        <v>14.85</v>
      </c>
      <c r="H959" s="6">
        <f t="shared" si="14"/>
        <v>14.85</v>
      </c>
    </row>
    <row r="960" spans="1:8" x14ac:dyDescent="0.3">
      <c r="A960" s="1" t="s">
        <v>1840</v>
      </c>
      <c r="B960" s="2">
        <v>43582</v>
      </c>
      <c r="C960" s="3" t="s">
        <v>1801</v>
      </c>
      <c r="D960" s="4" t="s">
        <v>115</v>
      </c>
      <c r="E960" s="3">
        <v>2</v>
      </c>
      <c r="F960" s="5">
        <f>INDEX([1]products!$A$1:$G$49,MATCH([1]orders!$D960,[1]products!$A$1:$A$49,0),MATCH([1]orders!K$1,[1]products!$A$1:$G$1,0))</f>
        <v>0.2</v>
      </c>
      <c r="G960" s="6">
        <f>INDEX([1]products!$A$1:$G$49,MATCH([1]orders!$D960,[1]products!$A$1:$A$49,0),MATCH([1]orders!L$1,[1]products!$A$1:$G$1,0))</f>
        <v>3.8849999999999998</v>
      </c>
      <c r="H960" s="6">
        <f t="shared" si="14"/>
        <v>7.77</v>
      </c>
    </row>
    <row r="961" spans="1:8" x14ac:dyDescent="0.3">
      <c r="A961" s="1" t="s">
        <v>1841</v>
      </c>
      <c r="B961" s="2">
        <v>44598</v>
      </c>
      <c r="C961" s="3" t="s">
        <v>1842</v>
      </c>
      <c r="D961" s="4" t="s">
        <v>19</v>
      </c>
      <c r="E961" s="3">
        <v>5</v>
      </c>
      <c r="F961" s="5">
        <f>INDEX([1]products!$A$1:$G$49,MATCH([1]orders!$D961,[1]products!$A$1:$A$49,0),MATCH([1]orders!K$1,[1]products!$A$1:$G$1,0))</f>
        <v>0.2</v>
      </c>
      <c r="G961" s="6">
        <f>INDEX([1]products!$A$1:$G$49,MATCH([1]orders!$D961,[1]products!$A$1:$A$49,0),MATCH([1]orders!L$1,[1]products!$A$1:$G$1,0))</f>
        <v>4.7549999999999999</v>
      </c>
      <c r="H961" s="6">
        <f t="shared" si="14"/>
        <v>23.774999999999999</v>
      </c>
    </row>
    <row r="962" spans="1:8" x14ac:dyDescent="0.3">
      <c r="A962" s="1" t="s">
        <v>1843</v>
      </c>
      <c r="B962" s="2">
        <v>44591</v>
      </c>
      <c r="C962" s="3" t="s">
        <v>1844</v>
      </c>
      <c r="D962" s="4" t="s">
        <v>132</v>
      </c>
      <c r="E962" s="3">
        <v>5</v>
      </c>
      <c r="F962" s="5">
        <f>INDEX([1]products!$A$1:$G$49,MATCH([1]orders!$D962,[1]products!$A$1:$A$49,0),MATCH([1]orders!K$1,[1]products!$A$1:$G$1,0))</f>
        <v>1</v>
      </c>
      <c r="G962" s="6">
        <f>INDEX([1]products!$A$1:$G$49,MATCH([1]orders!$D962,[1]products!$A$1:$A$49,0),MATCH([1]orders!L$1,[1]products!$A$1:$G$1,0))</f>
        <v>15.85</v>
      </c>
      <c r="H962" s="6">
        <f t="shared" ref="H962:H1001" si="15">E962*G962</f>
        <v>79.25</v>
      </c>
    </row>
    <row r="963" spans="1:8" x14ac:dyDescent="0.3">
      <c r="A963" s="1" t="s">
        <v>1845</v>
      </c>
      <c r="B963" s="2">
        <v>44158</v>
      </c>
      <c r="C963" s="3" t="s">
        <v>1846</v>
      </c>
      <c r="D963" s="4" t="s">
        <v>118</v>
      </c>
      <c r="E963" s="3">
        <v>2</v>
      </c>
      <c r="F963" s="5">
        <f>INDEX([1]products!$A$1:$G$49,MATCH([1]orders!$D963,[1]products!$A$1:$A$49,0),MATCH([1]orders!K$1,[1]products!$A$1:$G$1,0))</f>
        <v>2.5</v>
      </c>
      <c r="G963" s="6">
        <f>INDEX([1]products!$A$1:$G$49,MATCH([1]orders!$D963,[1]products!$A$1:$A$49,0),MATCH([1]orders!L$1,[1]products!$A$1:$G$1,0))</f>
        <v>22.884999999999998</v>
      </c>
      <c r="H963" s="6">
        <f t="shared" si="15"/>
        <v>45.769999999999996</v>
      </c>
    </row>
    <row r="964" spans="1:8" x14ac:dyDescent="0.3">
      <c r="A964" s="1" t="s">
        <v>1847</v>
      </c>
      <c r="B964" s="2">
        <v>44664</v>
      </c>
      <c r="C964" s="3" t="s">
        <v>1848</v>
      </c>
      <c r="D964" s="4" t="s">
        <v>179</v>
      </c>
      <c r="E964" s="3">
        <v>1</v>
      </c>
      <c r="F964" s="5">
        <f>INDEX([1]products!$A$1:$G$49,MATCH([1]orders!$D964,[1]products!$A$1:$A$49,0),MATCH([1]orders!K$1,[1]products!$A$1:$G$1,0))</f>
        <v>1</v>
      </c>
      <c r="G964" s="6">
        <f>INDEX([1]products!$A$1:$G$49,MATCH([1]orders!$D964,[1]products!$A$1:$A$49,0),MATCH([1]orders!L$1,[1]products!$A$1:$G$1,0))</f>
        <v>8.9499999999999993</v>
      </c>
      <c r="H964" s="6">
        <f t="shared" si="15"/>
        <v>8.9499999999999993</v>
      </c>
    </row>
    <row r="965" spans="1:8" x14ac:dyDescent="0.3">
      <c r="A965" s="1" t="s">
        <v>1849</v>
      </c>
      <c r="B965" s="2">
        <v>44203</v>
      </c>
      <c r="C965" s="3" t="s">
        <v>1850</v>
      </c>
      <c r="D965" s="4" t="s">
        <v>22</v>
      </c>
      <c r="E965" s="3">
        <v>4</v>
      </c>
      <c r="F965" s="5">
        <f>INDEX([1]products!$A$1:$G$49,MATCH([1]orders!$D965,[1]products!$A$1:$A$49,0),MATCH([1]orders!K$1,[1]products!$A$1:$G$1,0))</f>
        <v>0.5</v>
      </c>
      <c r="G965" s="6">
        <f>INDEX([1]products!$A$1:$G$49,MATCH([1]orders!$D965,[1]products!$A$1:$A$49,0),MATCH([1]orders!L$1,[1]products!$A$1:$G$1,0))</f>
        <v>5.97</v>
      </c>
      <c r="H965" s="6">
        <f t="shared" si="15"/>
        <v>23.88</v>
      </c>
    </row>
    <row r="966" spans="1:8" x14ac:dyDescent="0.3">
      <c r="A966" s="1" t="s">
        <v>1851</v>
      </c>
      <c r="B966" s="2">
        <v>43865</v>
      </c>
      <c r="C966" s="3" t="s">
        <v>1852</v>
      </c>
      <c r="D966" s="4" t="s">
        <v>254</v>
      </c>
      <c r="E966" s="3">
        <v>5</v>
      </c>
      <c r="F966" s="5">
        <f>INDEX([1]products!$A$1:$G$49,MATCH([1]orders!$D966,[1]products!$A$1:$A$49,0),MATCH([1]orders!K$1,[1]products!$A$1:$G$1,0))</f>
        <v>0.2</v>
      </c>
      <c r="G966" s="6">
        <f>INDEX([1]products!$A$1:$G$49,MATCH([1]orders!$D966,[1]products!$A$1:$A$49,0),MATCH([1]orders!L$1,[1]products!$A$1:$G$1,0))</f>
        <v>4.4550000000000001</v>
      </c>
      <c r="H966" s="6">
        <f t="shared" si="15"/>
        <v>22.274999999999999</v>
      </c>
    </row>
    <row r="967" spans="1:8" x14ac:dyDescent="0.3">
      <c r="A967" s="1" t="s">
        <v>1853</v>
      </c>
      <c r="B967" s="2">
        <v>43724</v>
      </c>
      <c r="C967" s="3" t="s">
        <v>1854</v>
      </c>
      <c r="D967" s="4" t="s">
        <v>2</v>
      </c>
      <c r="E967" s="3">
        <v>3</v>
      </c>
      <c r="F967" s="5">
        <f>INDEX([1]products!$A$1:$G$49,MATCH([1]orders!$D967,[1]products!$A$1:$A$49,0),MATCH([1]orders!K$1,[1]products!$A$1:$G$1,0))</f>
        <v>1</v>
      </c>
      <c r="G967" s="6">
        <f>INDEX([1]products!$A$1:$G$49,MATCH([1]orders!$D967,[1]products!$A$1:$A$49,0),MATCH([1]orders!L$1,[1]products!$A$1:$G$1,0))</f>
        <v>9.9499999999999993</v>
      </c>
      <c r="H967" s="6">
        <f t="shared" si="15"/>
        <v>29.849999999999998</v>
      </c>
    </row>
    <row r="968" spans="1:8" x14ac:dyDescent="0.3">
      <c r="A968" s="1" t="s">
        <v>1855</v>
      </c>
      <c r="B968" s="2">
        <v>43491</v>
      </c>
      <c r="C968" s="3" t="s">
        <v>1856</v>
      </c>
      <c r="D968" s="4" t="s">
        <v>176</v>
      </c>
      <c r="E968" s="3">
        <v>6</v>
      </c>
      <c r="F968" s="5">
        <f>INDEX([1]products!$A$1:$G$49,MATCH([1]orders!$D968,[1]products!$A$1:$A$49,0),MATCH([1]orders!K$1,[1]products!$A$1:$G$1,0))</f>
        <v>0.5</v>
      </c>
      <c r="G968" s="6">
        <f>INDEX([1]products!$A$1:$G$49,MATCH([1]orders!$D968,[1]products!$A$1:$A$49,0),MATCH([1]orders!L$1,[1]products!$A$1:$G$1,0))</f>
        <v>8.91</v>
      </c>
      <c r="H968" s="6">
        <f t="shared" si="15"/>
        <v>53.46</v>
      </c>
    </row>
    <row r="969" spans="1:8" x14ac:dyDescent="0.3">
      <c r="A969" s="1" t="s">
        <v>1857</v>
      </c>
      <c r="B969" s="2">
        <v>44246</v>
      </c>
      <c r="C969" s="3" t="s">
        <v>1858</v>
      </c>
      <c r="D969" s="4" t="s">
        <v>101</v>
      </c>
      <c r="E969" s="3">
        <v>1</v>
      </c>
      <c r="F969" s="5">
        <f>INDEX([1]products!$A$1:$G$49,MATCH([1]orders!$D969,[1]products!$A$1:$A$49,0),MATCH([1]orders!K$1,[1]products!$A$1:$G$1,0))</f>
        <v>0.2</v>
      </c>
      <c r="G969" s="6">
        <f>INDEX([1]products!$A$1:$G$49,MATCH([1]orders!$D969,[1]products!$A$1:$A$49,0),MATCH([1]orders!L$1,[1]products!$A$1:$G$1,0))</f>
        <v>2.6849999999999996</v>
      </c>
      <c r="H969" s="6">
        <f t="shared" si="15"/>
        <v>2.6849999999999996</v>
      </c>
    </row>
    <row r="970" spans="1:8" x14ac:dyDescent="0.3">
      <c r="A970" s="1" t="s">
        <v>1859</v>
      </c>
      <c r="B970" s="2">
        <v>44642</v>
      </c>
      <c r="C970" s="3" t="s">
        <v>1860</v>
      </c>
      <c r="D970" s="4" t="s">
        <v>162</v>
      </c>
      <c r="E970" s="3">
        <v>2</v>
      </c>
      <c r="F970" s="5">
        <f>INDEX([1]products!$A$1:$G$49,MATCH([1]orders!$D970,[1]products!$A$1:$A$49,0),MATCH([1]orders!K$1,[1]products!$A$1:$G$1,0))</f>
        <v>0.2</v>
      </c>
      <c r="G970" s="6">
        <f>INDEX([1]products!$A$1:$G$49,MATCH([1]orders!$D970,[1]products!$A$1:$A$49,0),MATCH([1]orders!L$1,[1]products!$A$1:$G$1,0))</f>
        <v>2.9849999999999999</v>
      </c>
      <c r="H970" s="6">
        <f t="shared" si="15"/>
        <v>5.97</v>
      </c>
    </row>
    <row r="971" spans="1:8" x14ac:dyDescent="0.3">
      <c r="A971" s="1" t="s">
        <v>1861</v>
      </c>
      <c r="B971" s="2">
        <v>43649</v>
      </c>
      <c r="C971" s="3" t="s">
        <v>1862</v>
      </c>
      <c r="D971" s="4" t="s">
        <v>13</v>
      </c>
      <c r="E971" s="3">
        <v>1</v>
      </c>
      <c r="F971" s="5">
        <f>INDEX([1]products!$A$1:$G$49,MATCH([1]orders!$D971,[1]products!$A$1:$A$49,0),MATCH([1]orders!K$1,[1]products!$A$1:$G$1,0))</f>
        <v>1</v>
      </c>
      <c r="G971" s="6">
        <f>INDEX([1]products!$A$1:$G$49,MATCH([1]orders!$D971,[1]products!$A$1:$A$49,0),MATCH([1]orders!L$1,[1]products!$A$1:$G$1,0))</f>
        <v>12.95</v>
      </c>
      <c r="H971" s="6">
        <f t="shared" si="15"/>
        <v>12.95</v>
      </c>
    </row>
    <row r="972" spans="1:8" x14ac:dyDescent="0.3">
      <c r="A972" s="1" t="s">
        <v>1863</v>
      </c>
      <c r="B972" s="2">
        <v>43729</v>
      </c>
      <c r="C972" s="3" t="s">
        <v>1864</v>
      </c>
      <c r="D972" s="4" t="s">
        <v>3</v>
      </c>
      <c r="E972" s="3">
        <v>1</v>
      </c>
      <c r="F972" s="5">
        <f>INDEX([1]products!$A$1:$G$49,MATCH([1]orders!$D972,[1]products!$A$1:$A$49,0),MATCH([1]orders!K$1,[1]products!$A$1:$G$1,0))</f>
        <v>0.5</v>
      </c>
      <c r="G972" s="6">
        <f>INDEX([1]products!$A$1:$G$49,MATCH([1]orders!$D972,[1]products!$A$1:$A$49,0),MATCH([1]orders!L$1,[1]products!$A$1:$G$1,0))</f>
        <v>8.25</v>
      </c>
      <c r="H972" s="6">
        <f t="shared" si="15"/>
        <v>8.25</v>
      </c>
    </row>
    <row r="973" spans="1:8" x14ac:dyDescent="0.3">
      <c r="A973" s="1" t="s">
        <v>1865</v>
      </c>
      <c r="B973" s="2">
        <v>43703</v>
      </c>
      <c r="C973" s="3" t="s">
        <v>1866</v>
      </c>
      <c r="D973" s="4" t="s">
        <v>204</v>
      </c>
      <c r="E973" s="3">
        <v>5</v>
      </c>
      <c r="F973" s="5">
        <f>INDEX([1]products!$A$1:$G$49,MATCH([1]orders!$D973,[1]products!$A$1:$A$49,0),MATCH([1]orders!K$1,[1]products!$A$1:$G$1,0))</f>
        <v>2.5</v>
      </c>
      <c r="G973" s="6">
        <f>INDEX([1]products!$A$1:$G$49,MATCH([1]orders!$D973,[1]products!$A$1:$A$49,0),MATCH([1]orders!L$1,[1]products!$A$1:$G$1,0))</f>
        <v>29.784999999999997</v>
      </c>
      <c r="H973" s="6">
        <f t="shared" si="15"/>
        <v>148.92499999999998</v>
      </c>
    </row>
    <row r="974" spans="1:8" x14ac:dyDescent="0.3">
      <c r="A974" s="1" t="s">
        <v>1867</v>
      </c>
      <c r="B974" s="2">
        <v>44411</v>
      </c>
      <c r="C974" s="3" t="s">
        <v>1868</v>
      </c>
      <c r="D974" s="4" t="s">
        <v>204</v>
      </c>
      <c r="E974" s="3">
        <v>3</v>
      </c>
      <c r="F974" s="5">
        <f>INDEX([1]products!$A$1:$G$49,MATCH([1]orders!$D974,[1]products!$A$1:$A$49,0),MATCH([1]orders!K$1,[1]products!$A$1:$G$1,0))</f>
        <v>2.5</v>
      </c>
      <c r="G974" s="6">
        <f>INDEX([1]products!$A$1:$G$49,MATCH([1]orders!$D974,[1]products!$A$1:$A$49,0),MATCH([1]orders!L$1,[1]products!$A$1:$G$1,0))</f>
        <v>29.784999999999997</v>
      </c>
      <c r="H974" s="6">
        <f t="shared" si="15"/>
        <v>89.35499999999999</v>
      </c>
    </row>
    <row r="975" spans="1:8" x14ac:dyDescent="0.3">
      <c r="A975" s="1" t="s">
        <v>1869</v>
      </c>
      <c r="B975" s="2">
        <v>44493</v>
      </c>
      <c r="C975" s="3" t="s">
        <v>1870</v>
      </c>
      <c r="D975" s="4" t="s">
        <v>96</v>
      </c>
      <c r="E975" s="3">
        <v>6</v>
      </c>
      <c r="F975" s="5">
        <f>INDEX([1]products!$A$1:$G$49,MATCH([1]orders!$D975,[1]products!$A$1:$A$49,0),MATCH([1]orders!K$1,[1]products!$A$1:$G$1,0))</f>
        <v>1</v>
      </c>
      <c r="G975" s="6">
        <f>INDEX([1]products!$A$1:$G$49,MATCH([1]orders!$D975,[1]products!$A$1:$A$49,0),MATCH([1]orders!L$1,[1]products!$A$1:$G$1,0))</f>
        <v>14.55</v>
      </c>
      <c r="H975" s="6">
        <f t="shared" si="15"/>
        <v>87.300000000000011</v>
      </c>
    </row>
    <row r="976" spans="1:8" x14ac:dyDescent="0.3">
      <c r="A976" s="1" t="s">
        <v>1871</v>
      </c>
      <c r="B976" s="2">
        <v>43556</v>
      </c>
      <c r="C976" s="3" t="s">
        <v>1872</v>
      </c>
      <c r="D976" s="4" t="s">
        <v>146</v>
      </c>
      <c r="E976" s="3">
        <v>1</v>
      </c>
      <c r="F976" s="5">
        <f>INDEX([1]products!$A$1:$G$49,MATCH([1]orders!$D976,[1]products!$A$1:$A$49,0),MATCH([1]orders!K$1,[1]products!$A$1:$G$1,0))</f>
        <v>0.5</v>
      </c>
      <c r="G976" s="6">
        <f>INDEX([1]products!$A$1:$G$49,MATCH([1]orders!$D976,[1]products!$A$1:$A$49,0),MATCH([1]orders!L$1,[1]products!$A$1:$G$1,0))</f>
        <v>5.3699999999999992</v>
      </c>
      <c r="H976" s="6">
        <f t="shared" si="15"/>
        <v>5.3699999999999992</v>
      </c>
    </row>
    <row r="977" spans="1:8" x14ac:dyDescent="0.3">
      <c r="A977" s="1" t="s">
        <v>1873</v>
      </c>
      <c r="B977" s="2">
        <v>44538</v>
      </c>
      <c r="C977" s="3" t="s">
        <v>1874</v>
      </c>
      <c r="D977" s="4" t="s">
        <v>54</v>
      </c>
      <c r="E977" s="3">
        <v>3</v>
      </c>
      <c r="F977" s="5">
        <f>INDEX([1]products!$A$1:$G$49,MATCH([1]orders!$D977,[1]products!$A$1:$A$49,0),MATCH([1]orders!K$1,[1]products!$A$1:$G$1,0))</f>
        <v>0.2</v>
      </c>
      <c r="G977" s="6">
        <f>INDEX([1]products!$A$1:$G$49,MATCH([1]orders!$D977,[1]products!$A$1:$A$49,0),MATCH([1]orders!L$1,[1]products!$A$1:$G$1,0))</f>
        <v>2.9849999999999999</v>
      </c>
      <c r="H977" s="6">
        <f t="shared" si="15"/>
        <v>8.9550000000000001</v>
      </c>
    </row>
    <row r="978" spans="1:8" x14ac:dyDescent="0.3">
      <c r="A978" s="1" t="s">
        <v>1875</v>
      </c>
      <c r="B978" s="2">
        <v>43643</v>
      </c>
      <c r="C978" s="3" t="s">
        <v>1876</v>
      </c>
      <c r="D978" s="4" t="s">
        <v>10</v>
      </c>
      <c r="E978" s="3">
        <v>5</v>
      </c>
      <c r="F978" s="5">
        <f>INDEX([1]products!$A$1:$G$49,MATCH([1]orders!$D978,[1]products!$A$1:$A$49,0),MATCH([1]orders!K$1,[1]products!$A$1:$G$1,0))</f>
        <v>2.5</v>
      </c>
      <c r="G978" s="6">
        <f>INDEX([1]products!$A$1:$G$49,MATCH([1]orders!$D978,[1]products!$A$1:$A$49,0),MATCH([1]orders!L$1,[1]products!$A$1:$G$1,0))</f>
        <v>27.484999999999996</v>
      </c>
      <c r="H978" s="6">
        <f t="shared" si="15"/>
        <v>137.42499999999998</v>
      </c>
    </row>
    <row r="979" spans="1:8" x14ac:dyDescent="0.3">
      <c r="A979" s="1" t="s">
        <v>1877</v>
      </c>
      <c r="B979" s="2">
        <v>44026</v>
      </c>
      <c r="C979" s="3" t="s">
        <v>1878</v>
      </c>
      <c r="D979" s="4" t="s">
        <v>189</v>
      </c>
      <c r="E979" s="3">
        <v>5</v>
      </c>
      <c r="F979" s="5">
        <f>INDEX([1]products!$A$1:$G$49,MATCH([1]orders!$D979,[1]products!$A$1:$A$49,0),MATCH([1]orders!K$1,[1]products!$A$1:$G$1,0))</f>
        <v>1</v>
      </c>
      <c r="G979" s="6">
        <f>INDEX([1]products!$A$1:$G$49,MATCH([1]orders!$D979,[1]products!$A$1:$A$49,0),MATCH([1]orders!L$1,[1]products!$A$1:$G$1,0))</f>
        <v>11.95</v>
      </c>
      <c r="H979" s="6">
        <f t="shared" si="15"/>
        <v>59.75</v>
      </c>
    </row>
    <row r="980" spans="1:8" x14ac:dyDescent="0.3">
      <c r="A980" s="1" t="s">
        <v>1879</v>
      </c>
      <c r="B980" s="2">
        <v>43913</v>
      </c>
      <c r="C980" s="3" t="s">
        <v>1870</v>
      </c>
      <c r="D980" s="4" t="s">
        <v>192</v>
      </c>
      <c r="E980" s="3">
        <v>3</v>
      </c>
      <c r="F980" s="5">
        <f>INDEX([1]products!$A$1:$G$49,MATCH([1]orders!$D980,[1]products!$A$1:$A$49,0),MATCH([1]orders!K$1,[1]products!$A$1:$G$1,0))</f>
        <v>0.5</v>
      </c>
      <c r="G980" s="6">
        <f>INDEX([1]products!$A$1:$G$49,MATCH([1]orders!$D980,[1]products!$A$1:$A$49,0),MATCH([1]orders!L$1,[1]products!$A$1:$G$1,0))</f>
        <v>7.77</v>
      </c>
      <c r="H980" s="6">
        <f t="shared" si="15"/>
        <v>23.31</v>
      </c>
    </row>
    <row r="981" spans="1:8" x14ac:dyDescent="0.3">
      <c r="A981" s="1" t="s">
        <v>1880</v>
      </c>
      <c r="B981" s="2">
        <v>43856</v>
      </c>
      <c r="C981" s="3" t="s">
        <v>1881</v>
      </c>
      <c r="D981" s="4" t="s">
        <v>146</v>
      </c>
      <c r="E981" s="3">
        <v>2</v>
      </c>
      <c r="F981" s="5">
        <f>INDEX([1]products!$A$1:$G$49,MATCH([1]orders!$D981,[1]products!$A$1:$A$49,0),MATCH([1]orders!K$1,[1]products!$A$1:$G$1,0))</f>
        <v>0.5</v>
      </c>
      <c r="G981" s="6">
        <f>INDEX([1]products!$A$1:$G$49,MATCH([1]orders!$D981,[1]products!$A$1:$A$49,0),MATCH([1]orders!L$1,[1]products!$A$1:$G$1,0))</f>
        <v>5.3699999999999992</v>
      </c>
      <c r="H981" s="6">
        <f t="shared" si="15"/>
        <v>10.739999999999998</v>
      </c>
    </row>
    <row r="982" spans="1:8" x14ac:dyDescent="0.3">
      <c r="A982" s="1" t="s">
        <v>1882</v>
      </c>
      <c r="B982" s="2">
        <v>43982</v>
      </c>
      <c r="C982" s="3" t="s">
        <v>1883</v>
      </c>
      <c r="D982" s="4" t="s">
        <v>530</v>
      </c>
      <c r="E982" s="3">
        <v>6</v>
      </c>
      <c r="F982" s="5">
        <f>INDEX([1]products!$A$1:$G$49,MATCH([1]orders!$D982,[1]products!$A$1:$A$49,0),MATCH([1]orders!K$1,[1]products!$A$1:$G$1,0))</f>
        <v>2.5</v>
      </c>
      <c r="G982" s="6">
        <f>INDEX([1]products!$A$1:$G$49,MATCH([1]orders!$D982,[1]products!$A$1:$A$49,0),MATCH([1]orders!L$1,[1]products!$A$1:$G$1,0))</f>
        <v>27.945</v>
      </c>
      <c r="H982" s="6">
        <f t="shared" si="15"/>
        <v>167.67000000000002</v>
      </c>
    </row>
    <row r="983" spans="1:8" x14ac:dyDescent="0.3">
      <c r="A983" s="1" t="s">
        <v>1884</v>
      </c>
      <c r="B983" s="2">
        <v>44397</v>
      </c>
      <c r="C983" s="3" t="s">
        <v>1885</v>
      </c>
      <c r="D983" s="4" t="s">
        <v>51</v>
      </c>
      <c r="E983" s="3">
        <v>6</v>
      </c>
      <c r="F983" s="5">
        <f>INDEX([1]products!$A$1:$G$49,MATCH([1]orders!$D983,[1]products!$A$1:$A$49,0),MATCH([1]orders!K$1,[1]products!$A$1:$G$1,0))</f>
        <v>0.2</v>
      </c>
      <c r="G983" s="6">
        <f>INDEX([1]products!$A$1:$G$49,MATCH([1]orders!$D983,[1]products!$A$1:$A$49,0),MATCH([1]orders!L$1,[1]products!$A$1:$G$1,0))</f>
        <v>3.645</v>
      </c>
      <c r="H983" s="6">
        <f t="shared" si="15"/>
        <v>21.87</v>
      </c>
    </row>
    <row r="984" spans="1:8" x14ac:dyDescent="0.3">
      <c r="A984" s="1" t="s">
        <v>1886</v>
      </c>
      <c r="B984" s="2">
        <v>44785</v>
      </c>
      <c r="C984" s="3" t="s">
        <v>1887</v>
      </c>
      <c r="D984" s="4" t="s">
        <v>189</v>
      </c>
      <c r="E984" s="3">
        <v>2</v>
      </c>
      <c r="F984" s="5">
        <f>INDEX([1]products!$A$1:$G$49,MATCH([1]orders!$D984,[1]products!$A$1:$A$49,0),MATCH([1]orders!K$1,[1]products!$A$1:$G$1,0))</f>
        <v>1</v>
      </c>
      <c r="G984" s="6">
        <f>INDEX([1]products!$A$1:$G$49,MATCH([1]orders!$D984,[1]products!$A$1:$A$49,0),MATCH([1]orders!L$1,[1]products!$A$1:$G$1,0))</f>
        <v>11.95</v>
      </c>
      <c r="H984" s="6">
        <f t="shared" si="15"/>
        <v>23.9</v>
      </c>
    </row>
    <row r="985" spans="1:8" x14ac:dyDescent="0.3">
      <c r="A985" s="1" t="s">
        <v>1888</v>
      </c>
      <c r="B985" s="2">
        <v>43831</v>
      </c>
      <c r="C985" s="3" t="s">
        <v>1889</v>
      </c>
      <c r="D985" s="4" t="s">
        <v>44</v>
      </c>
      <c r="E985" s="3">
        <v>2</v>
      </c>
      <c r="F985" s="5">
        <f>INDEX([1]products!$A$1:$G$49,MATCH([1]orders!$D985,[1]products!$A$1:$A$49,0),MATCH([1]orders!K$1,[1]products!$A$1:$G$1,0))</f>
        <v>0.2</v>
      </c>
      <c r="G985" s="6">
        <f>INDEX([1]products!$A$1:$G$49,MATCH([1]orders!$D985,[1]products!$A$1:$A$49,0),MATCH([1]orders!L$1,[1]products!$A$1:$G$1,0))</f>
        <v>3.375</v>
      </c>
      <c r="H985" s="4">
        <f t="shared" si="15"/>
        <v>6.75</v>
      </c>
    </row>
    <row r="986" spans="1:8" x14ac:dyDescent="0.3">
      <c r="A986" s="1" t="s">
        <v>1890</v>
      </c>
      <c r="B986" s="2">
        <v>44214</v>
      </c>
      <c r="C986" s="3" t="s">
        <v>1891</v>
      </c>
      <c r="D986" s="4" t="s">
        <v>112</v>
      </c>
      <c r="E986" s="3">
        <v>1</v>
      </c>
      <c r="F986" s="5">
        <f>INDEX([1]products!$A$1:$G$49,MATCH([1]orders!$D986,[1]products!$A$1:$A$49,0),MATCH([1]orders!K$1,[1]products!$A$1:$G$1,0))</f>
        <v>2.5</v>
      </c>
      <c r="G986" s="6">
        <f>INDEX([1]products!$A$1:$G$49,MATCH([1]orders!$D986,[1]products!$A$1:$A$49,0),MATCH([1]orders!L$1,[1]products!$A$1:$G$1,0))</f>
        <v>31.624999999999996</v>
      </c>
      <c r="H986" s="6">
        <f t="shared" si="15"/>
        <v>31.624999999999996</v>
      </c>
    </row>
    <row r="987" spans="1:8" x14ac:dyDescent="0.3">
      <c r="A987" s="1" t="s">
        <v>1892</v>
      </c>
      <c r="B987" s="2">
        <v>44561</v>
      </c>
      <c r="C987" s="3" t="s">
        <v>1893</v>
      </c>
      <c r="D987" s="4" t="s">
        <v>189</v>
      </c>
      <c r="E987" s="3">
        <v>4</v>
      </c>
      <c r="F987" s="5">
        <f>INDEX([1]products!$A$1:$G$49,MATCH([1]orders!$D987,[1]products!$A$1:$A$49,0),MATCH([1]orders!K$1,[1]products!$A$1:$G$1,0))</f>
        <v>1</v>
      </c>
      <c r="G987" s="6">
        <f>INDEX([1]products!$A$1:$G$49,MATCH([1]orders!$D987,[1]products!$A$1:$A$49,0),MATCH([1]orders!L$1,[1]products!$A$1:$G$1,0))</f>
        <v>11.95</v>
      </c>
      <c r="H987" s="6">
        <f t="shared" si="15"/>
        <v>47.8</v>
      </c>
    </row>
    <row r="988" spans="1:8" x14ac:dyDescent="0.3">
      <c r="A988" s="1" t="s">
        <v>1894</v>
      </c>
      <c r="B988" s="2">
        <v>43955</v>
      </c>
      <c r="C988" s="3" t="s">
        <v>1895</v>
      </c>
      <c r="D988" s="4" t="s">
        <v>197</v>
      </c>
      <c r="E988" s="3">
        <v>1</v>
      </c>
      <c r="F988" s="5">
        <f>INDEX([1]products!$A$1:$G$49,MATCH([1]orders!$D988,[1]products!$A$1:$A$49,0),MATCH([1]orders!K$1,[1]products!$A$1:$G$1,0))</f>
        <v>2.5</v>
      </c>
      <c r="G988" s="6">
        <f>INDEX([1]products!$A$1:$G$49,MATCH([1]orders!$D988,[1]products!$A$1:$A$49,0),MATCH([1]orders!L$1,[1]products!$A$1:$G$1,0))</f>
        <v>33.464999999999996</v>
      </c>
      <c r="H988" s="6">
        <f t="shared" si="15"/>
        <v>33.464999999999996</v>
      </c>
    </row>
    <row r="989" spans="1:8" x14ac:dyDescent="0.3">
      <c r="A989" s="1" t="s">
        <v>1896</v>
      </c>
      <c r="B989" s="2">
        <v>44247</v>
      </c>
      <c r="C989" s="3" t="s">
        <v>1897</v>
      </c>
      <c r="D989" s="4" t="s">
        <v>72</v>
      </c>
      <c r="E989" s="3">
        <v>5</v>
      </c>
      <c r="F989" s="5">
        <f>INDEX([1]products!$A$1:$G$49,MATCH([1]orders!$D989,[1]products!$A$1:$A$49,0),MATCH([1]orders!K$1,[1]products!$A$1:$G$1,0))</f>
        <v>0.5</v>
      </c>
      <c r="G989" s="6">
        <f>INDEX([1]products!$A$1:$G$49,MATCH([1]orders!$D989,[1]products!$A$1:$A$49,0),MATCH([1]orders!L$1,[1]products!$A$1:$G$1,0))</f>
        <v>5.97</v>
      </c>
      <c r="H989" s="6">
        <f t="shared" si="15"/>
        <v>29.849999999999998</v>
      </c>
    </row>
    <row r="990" spans="1:8" x14ac:dyDescent="0.3">
      <c r="A990" s="1" t="s">
        <v>1898</v>
      </c>
      <c r="B990" s="2">
        <v>43897</v>
      </c>
      <c r="C990" s="3" t="s">
        <v>1899</v>
      </c>
      <c r="D990" s="4" t="s">
        <v>2</v>
      </c>
      <c r="E990" s="3">
        <v>3</v>
      </c>
      <c r="F990" s="5">
        <f>INDEX([1]products!$A$1:$G$49,MATCH([1]orders!$D990,[1]products!$A$1:$A$49,0),MATCH([1]orders!K$1,[1]products!$A$1:$G$1,0))</f>
        <v>1</v>
      </c>
      <c r="G990" s="6">
        <f>INDEX([1]products!$A$1:$G$49,MATCH([1]orders!$D990,[1]products!$A$1:$A$49,0),MATCH([1]orders!L$1,[1]products!$A$1:$G$1,0))</f>
        <v>9.9499999999999993</v>
      </c>
      <c r="H990" s="6">
        <f t="shared" si="15"/>
        <v>29.849999999999998</v>
      </c>
    </row>
    <row r="991" spans="1:8" x14ac:dyDescent="0.3">
      <c r="A991" s="1" t="s">
        <v>1900</v>
      </c>
      <c r="B991" s="2">
        <v>43560</v>
      </c>
      <c r="C991" s="3" t="s">
        <v>1901</v>
      </c>
      <c r="D991" s="4" t="s">
        <v>171</v>
      </c>
      <c r="E991" s="3">
        <v>6</v>
      </c>
      <c r="F991" s="5">
        <f>INDEX([1]products!$A$1:$G$49,MATCH([1]orders!$D991,[1]products!$A$1:$A$49,0),MATCH([1]orders!K$1,[1]products!$A$1:$G$1,0))</f>
        <v>2.5</v>
      </c>
      <c r="G991" s="6">
        <f>INDEX([1]products!$A$1:$G$49,MATCH([1]orders!$D991,[1]products!$A$1:$A$49,0),MATCH([1]orders!L$1,[1]products!$A$1:$G$1,0))</f>
        <v>25.874999999999996</v>
      </c>
      <c r="H991" s="6">
        <f t="shared" si="15"/>
        <v>155.24999999999997</v>
      </c>
    </row>
    <row r="992" spans="1:8" x14ac:dyDescent="0.3">
      <c r="A992" s="1" t="s">
        <v>1902</v>
      </c>
      <c r="B992" s="2">
        <v>44718</v>
      </c>
      <c r="C992" s="3" t="s">
        <v>1903</v>
      </c>
      <c r="D992" s="4" t="s">
        <v>51</v>
      </c>
      <c r="E992" s="3">
        <v>5</v>
      </c>
      <c r="F992" s="5">
        <f>INDEX([1]products!$A$1:$G$49,MATCH([1]orders!$D992,[1]products!$A$1:$A$49,0),MATCH([1]orders!K$1,[1]products!$A$1:$G$1,0))</f>
        <v>0.2</v>
      </c>
      <c r="G992" s="6">
        <f>INDEX([1]products!$A$1:$G$49,MATCH([1]orders!$D992,[1]products!$A$1:$A$49,0),MATCH([1]orders!L$1,[1]products!$A$1:$G$1,0))</f>
        <v>3.645</v>
      </c>
      <c r="H992" s="6">
        <f t="shared" si="15"/>
        <v>18.225000000000001</v>
      </c>
    </row>
    <row r="993" spans="1:8" x14ac:dyDescent="0.3">
      <c r="A993" s="1" t="s">
        <v>1902</v>
      </c>
      <c r="B993" s="2">
        <v>44718</v>
      </c>
      <c r="C993" s="3" t="s">
        <v>1903</v>
      </c>
      <c r="D993" s="4" t="s">
        <v>123</v>
      </c>
      <c r="E993" s="3">
        <v>2</v>
      </c>
      <c r="F993" s="5">
        <f>INDEX([1]products!$A$1:$G$49,MATCH([1]orders!$D993,[1]products!$A$1:$A$49,0),MATCH([1]orders!K$1,[1]products!$A$1:$G$1,0))</f>
        <v>0.5</v>
      </c>
      <c r="G993" s="6">
        <f>INDEX([1]products!$A$1:$G$49,MATCH([1]orders!$D993,[1]products!$A$1:$A$49,0),MATCH([1]orders!L$1,[1]products!$A$1:$G$1,0))</f>
        <v>7.77</v>
      </c>
      <c r="H993" s="6">
        <f t="shared" si="15"/>
        <v>15.54</v>
      </c>
    </row>
    <row r="994" spans="1:8" x14ac:dyDescent="0.3">
      <c r="A994" s="1" t="s">
        <v>1904</v>
      </c>
      <c r="B994" s="2">
        <v>44276</v>
      </c>
      <c r="C994" s="3" t="s">
        <v>1905</v>
      </c>
      <c r="D994" s="4" t="s">
        <v>104</v>
      </c>
      <c r="E994" s="3">
        <v>3</v>
      </c>
      <c r="F994" s="5">
        <f>INDEX([1]products!$A$1:$G$49,MATCH([1]orders!$D994,[1]products!$A$1:$A$49,0),MATCH([1]orders!K$1,[1]products!$A$1:$G$1,0))</f>
        <v>2.5</v>
      </c>
      <c r="G994" s="6">
        <f>INDEX([1]products!$A$1:$G$49,MATCH([1]orders!$D994,[1]products!$A$1:$A$49,0),MATCH([1]orders!L$1,[1]products!$A$1:$G$1,0))</f>
        <v>36.454999999999998</v>
      </c>
      <c r="H994" s="6">
        <f t="shared" si="15"/>
        <v>109.36499999999999</v>
      </c>
    </row>
    <row r="995" spans="1:8" x14ac:dyDescent="0.3">
      <c r="A995" s="1" t="s">
        <v>1906</v>
      </c>
      <c r="B995" s="2">
        <v>44549</v>
      </c>
      <c r="C995" s="3" t="s">
        <v>1907</v>
      </c>
      <c r="D995" s="4" t="s">
        <v>6</v>
      </c>
      <c r="E995" s="3">
        <v>6</v>
      </c>
      <c r="F995" s="5">
        <f>INDEX([1]products!$A$1:$G$49,MATCH([1]orders!$D995,[1]products!$A$1:$A$49,0),MATCH([1]orders!K$1,[1]products!$A$1:$G$1,0))</f>
        <v>1</v>
      </c>
      <c r="G995" s="6">
        <f>INDEX([1]products!$A$1:$G$49,MATCH([1]orders!$D995,[1]products!$A$1:$A$49,0),MATCH([1]orders!L$1,[1]products!$A$1:$G$1,0))</f>
        <v>12.95</v>
      </c>
      <c r="H995" s="6">
        <f t="shared" si="15"/>
        <v>77.699999999999989</v>
      </c>
    </row>
    <row r="996" spans="1:8" x14ac:dyDescent="0.3">
      <c r="A996" s="1" t="s">
        <v>1908</v>
      </c>
      <c r="B996" s="2">
        <v>44244</v>
      </c>
      <c r="C996" s="3" t="s">
        <v>1909</v>
      </c>
      <c r="D996" s="4" t="s">
        <v>54</v>
      </c>
      <c r="E996" s="3">
        <v>3</v>
      </c>
      <c r="F996" s="5">
        <f>INDEX([1]products!$A$1:$G$49,MATCH([1]orders!$D996,[1]products!$A$1:$A$49,0),MATCH([1]orders!K$1,[1]products!$A$1:$G$1,0))</f>
        <v>0.2</v>
      </c>
      <c r="G996" s="6">
        <f>INDEX([1]products!$A$1:$G$49,MATCH([1]orders!$D996,[1]products!$A$1:$A$49,0),MATCH([1]orders!L$1,[1]products!$A$1:$G$1,0))</f>
        <v>2.9849999999999999</v>
      </c>
      <c r="H996" s="6">
        <f t="shared" si="15"/>
        <v>8.9550000000000001</v>
      </c>
    </row>
    <row r="997" spans="1:8" x14ac:dyDescent="0.3">
      <c r="A997" s="1" t="s">
        <v>1910</v>
      </c>
      <c r="B997" s="2">
        <v>43836</v>
      </c>
      <c r="C997" s="3" t="s">
        <v>1911</v>
      </c>
      <c r="D997" s="4" t="s">
        <v>10</v>
      </c>
      <c r="E997" s="3">
        <v>1</v>
      </c>
      <c r="F997" s="5">
        <f>INDEX([1]products!$A$1:$G$49,MATCH([1]orders!$D997,[1]products!$A$1:$A$49,0),MATCH([1]orders!K$1,[1]products!$A$1:$G$1,0))</f>
        <v>2.5</v>
      </c>
      <c r="G997" s="6">
        <f>INDEX([1]products!$A$1:$G$49,MATCH([1]orders!$D997,[1]products!$A$1:$A$49,0),MATCH([1]orders!L$1,[1]products!$A$1:$G$1,0))</f>
        <v>27.484999999999996</v>
      </c>
      <c r="H997" s="6">
        <f t="shared" si="15"/>
        <v>27.484999999999996</v>
      </c>
    </row>
    <row r="998" spans="1:8" x14ac:dyDescent="0.3">
      <c r="A998" s="1" t="s">
        <v>1912</v>
      </c>
      <c r="B998" s="2">
        <v>44685</v>
      </c>
      <c r="C998" s="3" t="s">
        <v>1903</v>
      </c>
      <c r="D998" s="4" t="s">
        <v>22</v>
      </c>
      <c r="E998" s="3">
        <v>5</v>
      </c>
      <c r="F998" s="5">
        <f>INDEX([1]products!$A$1:$G$49,MATCH([1]orders!$D998,[1]products!$A$1:$A$49,0),MATCH([1]orders!K$1,[1]products!$A$1:$G$1,0))</f>
        <v>0.5</v>
      </c>
      <c r="G998" s="6">
        <f>INDEX([1]products!$A$1:$G$49,MATCH([1]orders!$D998,[1]products!$A$1:$A$49,0),MATCH([1]orders!L$1,[1]products!$A$1:$G$1,0))</f>
        <v>5.97</v>
      </c>
      <c r="H998" s="6">
        <f t="shared" si="15"/>
        <v>29.849999999999998</v>
      </c>
    </row>
    <row r="999" spans="1:8" x14ac:dyDescent="0.3">
      <c r="A999" s="1" t="s">
        <v>1913</v>
      </c>
      <c r="B999" s="2">
        <v>43749</v>
      </c>
      <c r="C999" s="3" t="s">
        <v>1903</v>
      </c>
      <c r="D999" s="4" t="s">
        <v>67</v>
      </c>
      <c r="E999" s="3">
        <v>4</v>
      </c>
      <c r="F999" s="5">
        <f>INDEX([1]products!$A$1:$G$49,MATCH([1]orders!$D999,[1]products!$A$1:$A$49,0),MATCH([1]orders!K$1,[1]products!$A$1:$G$1,0))</f>
        <v>0.5</v>
      </c>
      <c r="G999" s="6">
        <f>INDEX([1]products!$A$1:$G$49,MATCH([1]orders!$D999,[1]products!$A$1:$A$49,0),MATCH([1]orders!L$1,[1]products!$A$1:$G$1,0))</f>
        <v>6.75</v>
      </c>
      <c r="H999" s="6">
        <f t="shared" si="15"/>
        <v>27</v>
      </c>
    </row>
    <row r="1000" spans="1:8" x14ac:dyDescent="0.3">
      <c r="A1000" s="1" t="s">
        <v>1914</v>
      </c>
      <c r="B1000" s="2">
        <v>44411</v>
      </c>
      <c r="C1000" s="3" t="s">
        <v>1915</v>
      </c>
      <c r="D1000" s="4" t="s">
        <v>27</v>
      </c>
      <c r="E1000" s="3">
        <v>1</v>
      </c>
      <c r="F1000" s="5">
        <f>INDEX([1]products!$A$1:$G$49,MATCH([1]orders!$D1000,[1]products!$A$1:$A$49,0),MATCH([1]orders!K$1,[1]products!$A$1:$G$1,0))</f>
        <v>1</v>
      </c>
      <c r="G1000" s="6">
        <f>INDEX([1]products!$A$1:$G$49,MATCH([1]orders!$D1000,[1]products!$A$1:$A$49,0),MATCH([1]orders!L$1,[1]products!$A$1:$G$1,0))</f>
        <v>9.9499999999999993</v>
      </c>
      <c r="H1000" s="6">
        <f t="shared" si="15"/>
        <v>9.9499999999999993</v>
      </c>
    </row>
    <row r="1001" spans="1:8" x14ac:dyDescent="0.3">
      <c r="A1001" s="7" t="s">
        <v>1916</v>
      </c>
      <c r="B1001" s="8">
        <v>44119</v>
      </c>
      <c r="C1001" s="9" t="s">
        <v>1917</v>
      </c>
      <c r="D1001" s="10" t="s">
        <v>64</v>
      </c>
      <c r="E1001" s="9">
        <v>3</v>
      </c>
      <c r="F1001" s="11">
        <f>INDEX([1]products!$A$1:$G$49,MATCH([1]orders!$D1001,[1]products!$A$1:$A$49,0),MATCH([1]orders!K$1,[1]products!$A$1:$G$1,0))</f>
        <v>0.2</v>
      </c>
      <c r="G1001" s="12">
        <f>INDEX([1]products!$A$1:$G$49,MATCH([1]orders!$D1001,[1]products!$A$1:$A$49,0),MATCH([1]orders!L$1,[1]products!$A$1:$G$1,0))</f>
        <v>4.125</v>
      </c>
      <c r="H1001" s="12">
        <f t="shared" si="15"/>
        <v>12.375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1"/>
  <sheetViews>
    <sheetView workbookViewId="0">
      <selection sqref="A1:I1"/>
    </sheetView>
  </sheetViews>
  <sheetFormatPr defaultRowHeight="14.4" x14ac:dyDescent="0.3"/>
  <cols>
    <col min="1" max="1" width="15.88671875" bestFit="1" customWidth="1"/>
    <col min="8" max="8" width="8.44140625" bestFit="1" customWidth="1"/>
    <col min="9" max="9" width="11" bestFit="1" customWidth="1"/>
  </cols>
  <sheetData>
    <row r="1" spans="1:9" x14ac:dyDescent="0.3">
      <c r="A1" s="13" t="s">
        <v>1920</v>
      </c>
      <c r="B1" s="14" t="s">
        <v>1923</v>
      </c>
      <c r="C1" s="15" t="s">
        <v>1924</v>
      </c>
      <c r="D1" s="15" t="s">
        <v>1931</v>
      </c>
      <c r="E1" s="15" t="s">
        <v>1932</v>
      </c>
      <c r="F1" s="16" t="s">
        <v>1933</v>
      </c>
      <c r="G1" s="15" t="s">
        <v>1925</v>
      </c>
      <c r="H1" s="15" t="s">
        <v>1934</v>
      </c>
      <c r="I1" s="13" t="s">
        <v>1935</v>
      </c>
    </row>
    <row r="2" spans="1:9" x14ac:dyDescent="0.3">
      <c r="A2" s="17" t="s">
        <v>1</v>
      </c>
      <c r="B2" s="17" t="s">
        <v>1936</v>
      </c>
      <c r="C2" s="17" t="s">
        <v>1937</v>
      </c>
      <c r="D2" s="17" t="s">
        <v>1938</v>
      </c>
      <c r="E2" s="17" t="s">
        <v>1939</v>
      </c>
      <c r="F2" s="17" t="s">
        <v>1940</v>
      </c>
      <c r="G2" s="17" t="s">
        <v>1941</v>
      </c>
      <c r="H2" s="17">
        <v>7505</v>
      </c>
      <c r="I2" t="s">
        <v>1942</v>
      </c>
    </row>
    <row r="3" spans="1:9" x14ac:dyDescent="0.3">
      <c r="A3" s="17" t="s">
        <v>1943</v>
      </c>
      <c r="B3" s="17" t="s">
        <v>1944</v>
      </c>
      <c r="C3" s="17" t="s">
        <v>1945</v>
      </c>
      <c r="D3" s="17" t="s">
        <v>1946</v>
      </c>
      <c r="E3" s="17" t="s">
        <v>1947</v>
      </c>
      <c r="F3" s="17" t="s">
        <v>1948</v>
      </c>
      <c r="G3" s="17" t="s">
        <v>1949</v>
      </c>
      <c r="H3" s="17" t="s">
        <v>1950</v>
      </c>
      <c r="I3" t="s">
        <v>1951</v>
      </c>
    </row>
    <row r="4" spans="1:9" x14ac:dyDescent="0.3">
      <c r="A4" s="17" t="s">
        <v>5</v>
      </c>
      <c r="B4" s="17" t="s">
        <v>1952</v>
      </c>
      <c r="C4" s="17" t="s">
        <v>1953</v>
      </c>
      <c r="D4" s="17" t="s">
        <v>1954</v>
      </c>
      <c r="E4" s="17" t="s">
        <v>1955</v>
      </c>
      <c r="F4" s="17" t="s">
        <v>1956</v>
      </c>
      <c r="G4" s="17" t="s">
        <v>1941</v>
      </c>
      <c r="H4" s="17">
        <v>78205</v>
      </c>
      <c r="I4" t="s">
        <v>1942</v>
      </c>
    </row>
    <row r="5" spans="1:9" x14ac:dyDescent="0.3">
      <c r="A5" s="17" t="s">
        <v>1957</v>
      </c>
      <c r="B5" s="17" t="s">
        <v>1958</v>
      </c>
      <c r="C5" s="17" t="s">
        <v>1959</v>
      </c>
      <c r="D5" s="17" t="s">
        <v>1960</v>
      </c>
      <c r="E5" s="17" t="s">
        <v>1961</v>
      </c>
      <c r="F5" s="17" t="s">
        <v>1962</v>
      </c>
      <c r="G5" s="17" t="s">
        <v>1941</v>
      </c>
      <c r="H5" s="17">
        <v>62711</v>
      </c>
      <c r="I5" t="s">
        <v>1942</v>
      </c>
    </row>
    <row r="6" spans="1:9" x14ac:dyDescent="0.3">
      <c r="A6" s="17" t="s">
        <v>8</v>
      </c>
      <c r="B6" s="17" t="s">
        <v>1963</v>
      </c>
      <c r="C6" s="17"/>
      <c r="D6" s="17" t="s">
        <v>1964</v>
      </c>
      <c r="E6" s="17" t="s">
        <v>1965</v>
      </c>
      <c r="F6" s="17" t="s">
        <v>1966</v>
      </c>
      <c r="G6" s="17" t="s">
        <v>1949</v>
      </c>
      <c r="H6" s="17" t="s">
        <v>1967</v>
      </c>
      <c r="I6" t="s">
        <v>1951</v>
      </c>
    </row>
    <row r="7" spans="1:9" x14ac:dyDescent="0.3">
      <c r="A7" s="17" t="s">
        <v>12</v>
      </c>
      <c r="B7" s="17" t="s">
        <v>1968</v>
      </c>
      <c r="C7" s="17"/>
      <c r="D7" s="17" t="s">
        <v>1969</v>
      </c>
      <c r="E7" s="17" t="s">
        <v>1970</v>
      </c>
      <c r="F7" s="17" t="s">
        <v>1971</v>
      </c>
      <c r="G7" s="17" t="s">
        <v>1941</v>
      </c>
      <c r="H7" s="17">
        <v>18505</v>
      </c>
      <c r="I7" t="s">
        <v>1951</v>
      </c>
    </row>
    <row r="8" spans="1:9" x14ac:dyDescent="0.3">
      <c r="A8" s="17" t="s">
        <v>15</v>
      </c>
      <c r="B8" s="17" t="s">
        <v>1972</v>
      </c>
      <c r="C8" s="17" t="s">
        <v>1973</v>
      </c>
      <c r="D8" s="17" t="s">
        <v>1974</v>
      </c>
      <c r="E8" s="17" t="s">
        <v>1975</v>
      </c>
      <c r="F8" s="17" t="s">
        <v>1976</v>
      </c>
      <c r="G8" s="17" t="s">
        <v>1941</v>
      </c>
      <c r="H8" s="17">
        <v>45440</v>
      </c>
      <c r="I8" t="s">
        <v>1942</v>
      </c>
    </row>
    <row r="9" spans="1:9" x14ac:dyDescent="0.3">
      <c r="A9" s="17" t="s">
        <v>18</v>
      </c>
      <c r="B9" s="17" t="s">
        <v>1977</v>
      </c>
      <c r="C9" s="17"/>
      <c r="D9" s="17" t="s">
        <v>1978</v>
      </c>
      <c r="E9" s="17" t="s">
        <v>1979</v>
      </c>
      <c r="F9" s="17" t="s">
        <v>1980</v>
      </c>
      <c r="G9" s="17" t="s">
        <v>1949</v>
      </c>
      <c r="H9" s="17" t="s">
        <v>1981</v>
      </c>
      <c r="I9" t="s">
        <v>1942</v>
      </c>
    </row>
    <row r="10" spans="1:9" x14ac:dyDescent="0.3">
      <c r="A10" s="17" t="s">
        <v>21</v>
      </c>
      <c r="B10" s="17" t="s">
        <v>1982</v>
      </c>
      <c r="C10" s="17" t="s">
        <v>1983</v>
      </c>
      <c r="D10" s="17" t="s">
        <v>1984</v>
      </c>
      <c r="E10" s="17" t="s">
        <v>1985</v>
      </c>
      <c r="F10" s="17" t="s">
        <v>1986</v>
      </c>
      <c r="G10" s="17" t="s">
        <v>1941</v>
      </c>
      <c r="H10" s="17">
        <v>90045</v>
      </c>
      <c r="I10" t="s">
        <v>1951</v>
      </c>
    </row>
    <row r="11" spans="1:9" x14ac:dyDescent="0.3">
      <c r="A11" s="17" t="s">
        <v>24</v>
      </c>
      <c r="B11" s="17" t="s">
        <v>1987</v>
      </c>
      <c r="C11" s="17" t="s">
        <v>1988</v>
      </c>
      <c r="D11" s="17" t="s">
        <v>1989</v>
      </c>
      <c r="E11" s="17" t="s">
        <v>1990</v>
      </c>
      <c r="F11" s="17" t="s">
        <v>1986</v>
      </c>
      <c r="G11" s="17" t="s">
        <v>1941</v>
      </c>
      <c r="H11" s="17">
        <v>90065</v>
      </c>
      <c r="I11" t="s">
        <v>1951</v>
      </c>
    </row>
    <row r="12" spans="1:9" x14ac:dyDescent="0.3">
      <c r="A12" s="17" t="s">
        <v>26</v>
      </c>
      <c r="B12" s="17" t="s">
        <v>1991</v>
      </c>
      <c r="C12" s="17" t="s">
        <v>1992</v>
      </c>
      <c r="D12" s="17" t="s">
        <v>1993</v>
      </c>
      <c r="E12" s="17" t="s">
        <v>1994</v>
      </c>
      <c r="F12" s="17" t="s">
        <v>1995</v>
      </c>
      <c r="G12" s="17" t="s">
        <v>1941</v>
      </c>
      <c r="H12" s="17">
        <v>95160</v>
      </c>
      <c r="I12" t="s">
        <v>1951</v>
      </c>
    </row>
    <row r="13" spans="1:9" x14ac:dyDescent="0.3">
      <c r="A13" s="17" t="s">
        <v>29</v>
      </c>
      <c r="B13" s="17" t="s">
        <v>1996</v>
      </c>
      <c r="C13" s="17" t="s">
        <v>1997</v>
      </c>
      <c r="D13" s="17" t="s">
        <v>1998</v>
      </c>
      <c r="E13" s="17" t="s">
        <v>1999</v>
      </c>
      <c r="F13" s="17" t="s">
        <v>1995</v>
      </c>
      <c r="G13" s="17" t="s">
        <v>1941</v>
      </c>
      <c r="H13" s="17">
        <v>95194</v>
      </c>
      <c r="I13" t="s">
        <v>1942</v>
      </c>
    </row>
    <row r="14" spans="1:9" x14ac:dyDescent="0.3">
      <c r="A14" s="17" t="s">
        <v>32</v>
      </c>
      <c r="B14" s="17" t="s">
        <v>2000</v>
      </c>
      <c r="C14" s="17" t="s">
        <v>2001</v>
      </c>
      <c r="D14" s="17" t="s">
        <v>2002</v>
      </c>
      <c r="E14" s="17" t="s">
        <v>2003</v>
      </c>
      <c r="F14" s="17" t="s">
        <v>2004</v>
      </c>
      <c r="G14" s="17" t="s">
        <v>1941</v>
      </c>
      <c r="H14" s="17">
        <v>23285</v>
      </c>
      <c r="I14" t="s">
        <v>1951</v>
      </c>
    </row>
    <row r="15" spans="1:9" x14ac:dyDescent="0.3">
      <c r="A15" s="17" t="s">
        <v>34</v>
      </c>
      <c r="B15" s="17" t="s">
        <v>2005</v>
      </c>
      <c r="C15" s="17" t="s">
        <v>2006</v>
      </c>
      <c r="D15" s="17"/>
      <c r="E15" s="17" t="s">
        <v>2007</v>
      </c>
      <c r="F15" s="17" t="s">
        <v>2008</v>
      </c>
      <c r="G15" s="17" t="s">
        <v>1941</v>
      </c>
      <c r="H15" s="17">
        <v>41905</v>
      </c>
      <c r="I15" t="s">
        <v>1951</v>
      </c>
    </row>
    <row r="16" spans="1:9" x14ac:dyDescent="0.3">
      <c r="A16" s="17" t="s">
        <v>37</v>
      </c>
      <c r="B16" s="17" t="s">
        <v>2009</v>
      </c>
      <c r="C16" s="17" t="s">
        <v>2010</v>
      </c>
      <c r="D16" s="17" t="s">
        <v>2011</v>
      </c>
      <c r="E16" s="17" t="s">
        <v>2012</v>
      </c>
      <c r="F16" s="17" t="s">
        <v>2013</v>
      </c>
      <c r="G16" s="17" t="s">
        <v>1941</v>
      </c>
      <c r="H16" s="17">
        <v>63131</v>
      </c>
      <c r="I16" t="s">
        <v>1942</v>
      </c>
    </row>
    <row r="17" spans="1:9" x14ac:dyDescent="0.3">
      <c r="A17" s="17" t="s">
        <v>40</v>
      </c>
      <c r="B17" s="17" t="s">
        <v>2014</v>
      </c>
      <c r="C17" s="17" t="s">
        <v>2015</v>
      </c>
      <c r="D17" s="17"/>
      <c r="E17" s="17" t="s">
        <v>2016</v>
      </c>
      <c r="F17" s="17" t="s">
        <v>2017</v>
      </c>
      <c r="G17" s="17" t="s">
        <v>1941</v>
      </c>
      <c r="H17" s="17">
        <v>19172</v>
      </c>
      <c r="I17" t="s">
        <v>1951</v>
      </c>
    </row>
    <row r="18" spans="1:9" x14ac:dyDescent="0.3">
      <c r="A18" s="17" t="s">
        <v>43</v>
      </c>
      <c r="B18" s="17" t="s">
        <v>2018</v>
      </c>
      <c r="C18" s="17" t="s">
        <v>2019</v>
      </c>
      <c r="D18" s="17" t="s">
        <v>2020</v>
      </c>
      <c r="E18" s="17" t="s">
        <v>2021</v>
      </c>
      <c r="F18" s="17" t="s">
        <v>2022</v>
      </c>
      <c r="G18" s="17" t="s">
        <v>1941</v>
      </c>
      <c r="H18" s="17">
        <v>97271</v>
      </c>
      <c r="I18" t="s">
        <v>1951</v>
      </c>
    </row>
    <row r="19" spans="1:9" x14ac:dyDescent="0.3">
      <c r="A19" s="17" t="s">
        <v>46</v>
      </c>
      <c r="B19" s="17" t="s">
        <v>2023</v>
      </c>
      <c r="C19" s="17" t="s">
        <v>2024</v>
      </c>
      <c r="D19" s="17" t="s">
        <v>2025</v>
      </c>
      <c r="E19" s="17" t="s">
        <v>2026</v>
      </c>
      <c r="F19" s="17" t="s">
        <v>2027</v>
      </c>
      <c r="G19" s="17" t="s">
        <v>1941</v>
      </c>
      <c r="H19" s="17">
        <v>77240</v>
      </c>
      <c r="I19" t="s">
        <v>1951</v>
      </c>
    </row>
    <row r="20" spans="1:9" x14ac:dyDescent="0.3">
      <c r="A20" s="17" t="s">
        <v>48</v>
      </c>
      <c r="B20" s="17" t="s">
        <v>2028</v>
      </c>
      <c r="C20" s="17" t="s">
        <v>2029</v>
      </c>
      <c r="D20" s="17"/>
      <c r="E20" s="17" t="s">
        <v>2030</v>
      </c>
      <c r="F20" s="17" t="s">
        <v>2031</v>
      </c>
      <c r="G20" s="17" t="s">
        <v>1949</v>
      </c>
      <c r="H20" s="17" t="s">
        <v>2032</v>
      </c>
      <c r="I20" t="s">
        <v>1942</v>
      </c>
    </row>
    <row r="21" spans="1:9" x14ac:dyDescent="0.3">
      <c r="A21" s="17" t="s">
        <v>50</v>
      </c>
      <c r="B21" s="17" t="s">
        <v>2033</v>
      </c>
      <c r="C21" s="17" t="s">
        <v>2034</v>
      </c>
      <c r="D21" s="17" t="s">
        <v>2035</v>
      </c>
      <c r="E21" s="17" t="s">
        <v>2036</v>
      </c>
      <c r="F21" s="17" t="s">
        <v>2037</v>
      </c>
      <c r="G21" s="17" t="s">
        <v>1941</v>
      </c>
      <c r="H21" s="17">
        <v>10060</v>
      </c>
      <c r="I21" t="s">
        <v>1942</v>
      </c>
    </row>
    <row r="22" spans="1:9" x14ac:dyDescent="0.3">
      <c r="A22" s="17" t="s">
        <v>2038</v>
      </c>
      <c r="B22" s="17" t="s">
        <v>2039</v>
      </c>
      <c r="C22" s="17"/>
      <c r="D22" s="17" t="s">
        <v>2040</v>
      </c>
      <c r="E22" s="17" t="s">
        <v>2041</v>
      </c>
      <c r="F22" s="17" t="s">
        <v>2042</v>
      </c>
      <c r="G22" s="17" t="s">
        <v>1949</v>
      </c>
      <c r="H22" s="17" t="s">
        <v>2043</v>
      </c>
      <c r="I22" t="s">
        <v>1942</v>
      </c>
    </row>
    <row r="23" spans="1:9" x14ac:dyDescent="0.3">
      <c r="A23" s="17" t="s">
        <v>53</v>
      </c>
      <c r="B23" s="17" t="s">
        <v>2044</v>
      </c>
      <c r="C23" s="17" t="s">
        <v>2045</v>
      </c>
      <c r="D23" s="17" t="s">
        <v>2046</v>
      </c>
      <c r="E23" s="17" t="s">
        <v>2047</v>
      </c>
      <c r="F23" s="17" t="s">
        <v>2048</v>
      </c>
      <c r="G23" s="17" t="s">
        <v>1941</v>
      </c>
      <c r="H23" s="17">
        <v>49560</v>
      </c>
      <c r="I23" t="s">
        <v>1951</v>
      </c>
    </row>
    <row r="24" spans="1:9" x14ac:dyDescent="0.3">
      <c r="A24" s="17" t="s">
        <v>56</v>
      </c>
      <c r="B24" s="17" t="s">
        <v>2049</v>
      </c>
      <c r="C24" s="17" t="s">
        <v>2050</v>
      </c>
      <c r="D24" s="17" t="s">
        <v>2051</v>
      </c>
      <c r="E24" s="17" t="s">
        <v>2052</v>
      </c>
      <c r="F24" s="17" t="s">
        <v>2053</v>
      </c>
      <c r="G24" s="17" t="s">
        <v>1941</v>
      </c>
      <c r="H24" s="17">
        <v>33982</v>
      </c>
      <c r="I24" t="s">
        <v>1942</v>
      </c>
    </row>
    <row r="25" spans="1:9" x14ac:dyDescent="0.3">
      <c r="A25" s="17" t="s">
        <v>58</v>
      </c>
      <c r="B25" s="17" t="s">
        <v>2054</v>
      </c>
      <c r="C25" s="17" t="s">
        <v>2055</v>
      </c>
      <c r="D25" s="17" t="s">
        <v>2056</v>
      </c>
      <c r="E25" s="17" t="s">
        <v>2057</v>
      </c>
      <c r="F25" s="17" t="s">
        <v>2058</v>
      </c>
      <c r="G25" s="17" t="s">
        <v>1941</v>
      </c>
      <c r="H25" s="17">
        <v>98682</v>
      </c>
      <c r="I25" t="s">
        <v>1942</v>
      </c>
    </row>
    <row r="26" spans="1:9" x14ac:dyDescent="0.3">
      <c r="A26" s="17" t="s">
        <v>60</v>
      </c>
      <c r="B26" s="17" t="s">
        <v>2059</v>
      </c>
      <c r="C26" s="17" t="s">
        <v>2060</v>
      </c>
      <c r="D26" s="17" t="s">
        <v>2061</v>
      </c>
      <c r="E26" s="17" t="s">
        <v>2062</v>
      </c>
      <c r="F26" s="17" t="s">
        <v>2063</v>
      </c>
      <c r="G26" s="17" t="s">
        <v>1941</v>
      </c>
      <c r="H26" s="17">
        <v>80150</v>
      </c>
      <c r="I26" t="s">
        <v>1951</v>
      </c>
    </row>
    <row r="27" spans="1:9" x14ac:dyDescent="0.3">
      <c r="A27" s="17" t="s">
        <v>63</v>
      </c>
      <c r="B27" s="17" t="s">
        <v>2064</v>
      </c>
      <c r="C27" s="17"/>
      <c r="D27" s="17" t="s">
        <v>2065</v>
      </c>
      <c r="E27" s="17" t="s">
        <v>2066</v>
      </c>
      <c r="F27" s="17" t="s">
        <v>2053</v>
      </c>
      <c r="G27" s="17" t="s">
        <v>1941</v>
      </c>
      <c r="H27" s="17">
        <v>33982</v>
      </c>
      <c r="I27" t="s">
        <v>1942</v>
      </c>
    </row>
    <row r="28" spans="1:9" x14ac:dyDescent="0.3">
      <c r="A28" s="17" t="s">
        <v>66</v>
      </c>
      <c r="B28" s="17" t="s">
        <v>2067</v>
      </c>
      <c r="C28" s="17" t="s">
        <v>2068</v>
      </c>
      <c r="D28" s="17" t="s">
        <v>2069</v>
      </c>
      <c r="E28" s="17" t="s">
        <v>2070</v>
      </c>
      <c r="F28" s="17" t="s">
        <v>2071</v>
      </c>
      <c r="G28" s="17" t="s">
        <v>1941</v>
      </c>
      <c r="H28" s="17">
        <v>94975</v>
      </c>
      <c r="I28" t="s">
        <v>1942</v>
      </c>
    </row>
    <row r="29" spans="1:9" x14ac:dyDescent="0.3">
      <c r="A29" s="17" t="s">
        <v>69</v>
      </c>
      <c r="B29" s="17" t="s">
        <v>2072</v>
      </c>
      <c r="C29" s="17" t="s">
        <v>2073</v>
      </c>
      <c r="D29" s="17" t="s">
        <v>2074</v>
      </c>
      <c r="E29" s="17" t="s">
        <v>2075</v>
      </c>
      <c r="F29" s="17" t="s">
        <v>2076</v>
      </c>
      <c r="G29" s="17" t="s">
        <v>1949</v>
      </c>
      <c r="H29" s="17" t="s">
        <v>2077</v>
      </c>
      <c r="I29" t="s">
        <v>1951</v>
      </c>
    </row>
    <row r="30" spans="1:9" x14ac:dyDescent="0.3">
      <c r="A30" s="17" t="s">
        <v>71</v>
      </c>
      <c r="B30" s="17" t="s">
        <v>2078</v>
      </c>
      <c r="C30" s="17" t="s">
        <v>2079</v>
      </c>
      <c r="D30" s="17" t="s">
        <v>2080</v>
      </c>
      <c r="E30" s="17" t="s">
        <v>2081</v>
      </c>
      <c r="F30" s="17" t="s">
        <v>2082</v>
      </c>
      <c r="G30" s="17" t="s">
        <v>1949</v>
      </c>
      <c r="H30" s="17" t="s">
        <v>2083</v>
      </c>
      <c r="I30" t="s">
        <v>1951</v>
      </c>
    </row>
    <row r="31" spans="1:9" x14ac:dyDescent="0.3">
      <c r="A31" s="17" t="s">
        <v>74</v>
      </c>
      <c r="B31" s="17" t="s">
        <v>2084</v>
      </c>
      <c r="C31" s="17" t="s">
        <v>2085</v>
      </c>
      <c r="D31" s="17" t="s">
        <v>2086</v>
      </c>
      <c r="E31" s="17" t="s">
        <v>2087</v>
      </c>
      <c r="F31" s="17" t="s">
        <v>2088</v>
      </c>
      <c r="G31" s="17" t="s">
        <v>1949</v>
      </c>
      <c r="H31" s="17" t="s">
        <v>2089</v>
      </c>
      <c r="I31" t="s">
        <v>1942</v>
      </c>
    </row>
    <row r="32" spans="1:9" x14ac:dyDescent="0.3">
      <c r="A32" s="17" t="s">
        <v>76</v>
      </c>
      <c r="B32" s="17" t="s">
        <v>2090</v>
      </c>
      <c r="C32" s="17"/>
      <c r="D32" s="17" t="s">
        <v>2091</v>
      </c>
      <c r="E32" s="17" t="s">
        <v>2092</v>
      </c>
      <c r="F32" s="17" t="s">
        <v>2093</v>
      </c>
      <c r="G32" s="17" t="s">
        <v>1941</v>
      </c>
      <c r="H32" s="17">
        <v>80044</v>
      </c>
      <c r="I32" t="s">
        <v>1951</v>
      </c>
    </row>
    <row r="33" spans="1:9" x14ac:dyDescent="0.3">
      <c r="A33" s="17" t="s">
        <v>2094</v>
      </c>
      <c r="B33" s="17" t="s">
        <v>2095</v>
      </c>
      <c r="C33" s="17" t="s">
        <v>2096</v>
      </c>
      <c r="D33" s="17" t="s">
        <v>2097</v>
      </c>
      <c r="E33" s="17" t="s">
        <v>2098</v>
      </c>
      <c r="F33" s="17" t="s">
        <v>2099</v>
      </c>
      <c r="G33" s="17" t="s">
        <v>1941</v>
      </c>
      <c r="H33" s="17">
        <v>11407</v>
      </c>
      <c r="I33" t="s">
        <v>1951</v>
      </c>
    </row>
    <row r="34" spans="1:9" x14ac:dyDescent="0.3">
      <c r="A34" s="17" t="s">
        <v>2100</v>
      </c>
      <c r="B34" s="17" t="s">
        <v>2101</v>
      </c>
      <c r="C34" s="17" t="s">
        <v>2102</v>
      </c>
      <c r="D34" s="17" t="s">
        <v>2103</v>
      </c>
      <c r="E34" s="17" t="s">
        <v>2104</v>
      </c>
      <c r="F34" s="17" t="s">
        <v>2105</v>
      </c>
      <c r="G34" s="17" t="s">
        <v>1949</v>
      </c>
      <c r="H34" s="17" t="s">
        <v>2106</v>
      </c>
      <c r="I34" t="s">
        <v>1942</v>
      </c>
    </row>
    <row r="35" spans="1:9" x14ac:dyDescent="0.3">
      <c r="A35" s="17" t="s">
        <v>80</v>
      </c>
      <c r="B35" s="17" t="s">
        <v>2107</v>
      </c>
      <c r="C35" s="17" t="s">
        <v>2108</v>
      </c>
      <c r="D35" s="17"/>
      <c r="E35" s="17" t="s">
        <v>2109</v>
      </c>
      <c r="F35" s="17" t="s">
        <v>2110</v>
      </c>
      <c r="G35" s="17" t="s">
        <v>1941</v>
      </c>
      <c r="H35" s="17">
        <v>58207</v>
      </c>
      <c r="I35" t="s">
        <v>1951</v>
      </c>
    </row>
    <row r="36" spans="1:9" x14ac:dyDescent="0.3">
      <c r="A36" s="17" t="s">
        <v>82</v>
      </c>
      <c r="B36" s="17" t="s">
        <v>2111</v>
      </c>
      <c r="C36" s="17" t="s">
        <v>2112</v>
      </c>
      <c r="D36" s="17" t="s">
        <v>2113</v>
      </c>
      <c r="E36" s="17" t="s">
        <v>2114</v>
      </c>
      <c r="F36" s="17" t="s">
        <v>2115</v>
      </c>
      <c r="G36" s="17" t="s">
        <v>2116</v>
      </c>
      <c r="H36" s="17" t="s">
        <v>2117</v>
      </c>
      <c r="I36" t="s">
        <v>1942</v>
      </c>
    </row>
    <row r="37" spans="1:9" x14ac:dyDescent="0.3">
      <c r="A37" s="17" t="s">
        <v>85</v>
      </c>
      <c r="B37" s="17" t="s">
        <v>2118</v>
      </c>
      <c r="C37" s="17" t="s">
        <v>2119</v>
      </c>
      <c r="D37" s="17" t="s">
        <v>2120</v>
      </c>
      <c r="E37" s="17" t="s">
        <v>2121</v>
      </c>
      <c r="F37" s="17" t="s">
        <v>2122</v>
      </c>
      <c r="G37" s="17" t="s">
        <v>1941</v>
      </c>
      <c r="H37" s="17">
        <v>25362</v>
      </c>
      <c r="I37" t="s">
        <v>1951</v>
      </c>
    </row>
    <row r="38" spans="1:9" x14ac:dyDescent="0.3">
      <c r="A38" s="17" t="s">
        <v>87</v>
      </c>
      <c r="B38" s="17" t="s">
        <v>2123</v>
      </c>
      <c r="C38" s="17" t="s">
        <v>2124</v>
      </c>
      <c r="D38" s="17" t="s">
        <v>2125</v>
      </c>
      <c r="E38" s="17" t="s">
        <v>2126</v>
      </c>
      <c r="F38" s="17" t="s">
        <v>2127</v>
      </c>
      <c r="G38" s="17" t="s">
        <v>1941</v>
      </c>
      <c r="H38" s="17">
        <v>72204</v>
      </c>
      <c r="I38" t="s">
        <v>1951</v>
      </c>
    </row>
    <row r="39" spans="1:9" x14ac:dyDescent="0.3">
      <c r="A39" s="17" t="s">
        <v>89</v>
      </c>
      <c r="B39" s="17" t="s">
        <v>2128</v>
      </c>
      <c r="C39" s="17" t="s">
        <v>2129</v>
      </c>
      <c r="D39" s="17" t="s">
        <v>2130</v>
      </c>
      <c r="E39" s="17" t="s">
        <v>2131</v>
      </c>
      <c r="F39" s="17" t="s">
        <v>2132</v>
      </c>
      <c r="G39" s="17" t="s">
        <v>1941</v>
      </c>
      <c r="H39" s="17">
        <v>80291</v>
      </c>
      <c r="I39" t="s">
        <v>1951</v>
      </c>
    </row>
    <row r="40" spans="1:9" x14ac:dyDescent="0.3">
      <c r="A40" s="17" t="s">
        <v>91</v>
      </c>
      <c r="B40" s="17" t="s">
        <v>2133</v>
      </c>
      <c r="C40" s="17" t="s">
        <v>2134</v>
      </c>
      <c r="D40" s="17" t="s">
        <v>2135</v>
      </c>
      <c r="E40" s="17" t="s">
        <v>2136</v>
      </c>
      <c r="F40" s="17" t="s">
        <v>2137</v>
      </c>
      <c r="G40" s="17" t="s">
        <v>1941</v>
      </c>
      <c r="H40" s="17">
        <v>55458</v>
      </c>
      <c r="I40" t="s">
        <v>1951</v>
      </c>
    </row>
    <row r="41" spans="1:9" x14ac:dyDescent="0.3">
      <c r="A41" s="17" t="s">
        <v>93</v>
      </c>
      <c r="B41" s="17" t="s">
        <v>2138</v>
      </c>
      <c r="C41" s="17"/>
      <c r="D41" s="17"/>
      <c r="E41" s="17" t="s">
        <v>2139</v>
      </c>
      <c r="F41" s="17" t="s">
        <v>2140</v>
      </c>
      <c r="G41" s="17" t="s">
        <v>1941</v>
      </c>
      <c r="H41" s="17">
        <v>85715</v>
      </c>
      <c r="I41" t="s">
        <v>1942</v>
      </c>
    </row>
    <row r="42" spans="1:9" x14ac:dyDescent="0.3">
      <c r="A42" s="17" t="s">
        <v>95</v>
      </c>
      <c r="B42" s="17" t="s">
        <v>2141</v>
      </c>
      <c r="C42" s="17"/>
      <c r="D42" s="17" t="s">
        <v>2142</v>
      </c>
      <c r="E42" s="17" t="s">
        <v>2143</v>
      </c>
      <c r="F42" s="17" t="s">
        <v>2144</v>
      </c>
      <c r="G42" s="17" t="s">
        <v>1941</v>
      </c>
      <c r="H42" s="17">
        <v>70116</v>
      </c>
      <c r="I42" t="s">
        <v>1951</v>
      </c>
    </row>
    <row r="43" spans="1:9" x14ac:dyDescent="0.3">
      <c r="A43" s="17" t="s">
        <v>98</v>
      </c>
      <c r="B43" s="17" t="s">
        <v>2145</v>
      </c>
      <c r="C43" s="17" t="s">
        <v>2146</v>
      </c>
      <c r="D43" s="17" t="s">
        <v>2147</v>
      </c>
      <c r="E43" s="17" t="s">
        <v>2148</v>
      </c>
      <c r="F43" s="17" t="s">
        <v>2149</v>
      </c>
      <c r="G43" s="17" t="s">
        <v>1941</v>
      </c>
      <c r="H43" s="17">
        <v>6183</v>
      </c>
      <c r="I43" t="s">
        <v>1942</v>
      </c>
    </row>
    <row r="44" spans="1:9" x14ac:dyDescent="0.3">
      <c r="A44" s="17" t="s">
        <v>100</v>
      </c>
      <c r="B44" s="17" t="s">
        <v>2150</v>
      </c>
      <c r="C44" s="17" t="s">
        <v>2151</v>
      </c>
      <c r="D44" s="17" t="s">
        <v>2152</v>
      </c>
      <c r="E44" s="17" t="s">
        <v>2153</v>
      </c>
      <c r="F44" s="17" t="s">
        <v>2154</v>
      </c>
      <c r="G44" s="17" t="s">
        <v>1941</v>
      </c>
      <c r="H44" s="17">
        <v>84409</v>
      </c>
      <c r="I44" t="s">
        <v>1942</v>
      </c>
    </row>
    <row r="45" spans="1:9" x14ac:dyDescent="0.3">
      <c r="A45" s="17" t="s">
        <v>103</v>
      </c>
      <c r="B45" s="17" t="s">
        <v>2155</v>
      </c>
      <c r="C45" s="17"/>
      <c r="D45" s="17" t="s">
        <v>2156</v>
      </c>
      <c r="E45" s="17" t="s">
        <v>2157</v>
      </c>
      <c r="F45" s="17" t="s">
        <v>2158</v>
      </c>
      <c r="G45" s="17" t="s">
        <v>1941</v>
      </c>
      <c r="H45" s="17">
        <v>2216</v>
      </c>
      <c r="I45" t="s">
        <v>1951</v>
      </c>
    </row>
    <row r="46" spans="1:9" x14ac:dyDescent="0.3">
      <c r="A46" s="17" t="s">
        <v>106</v>
      </c>
      <c r="B46" s="17" t="s">
        <v>2159</v>
      </c>
      <c r="C46" s="17" t="s">
        <v>2160</v>
      </c>
      <c r="D46" s="17" t="s">
        <v>2161</v>
      </c>
      <c r="E46" s="17" t="s">
        <v>2162</v>
      </c>
      <c r="F46" s="17" t="s">
        <v>2163</v>
      </c>
      <c r="G46" s="17" t="s">
        <v>1941</v>
      </c>
      <c r="H46" s="17">
        <v>14604</v>
      </c>
      <c r="I46" t="s">
        <v>1942</v>
      </c>
    </row>
    <row r="47" spans="1:9" x14ac:dyDescent="0.3">
      <c r="A47" s="17" t="s">
        <v>108</v>
      </c>
      <c r="B47" s="17" t="s">
        <v>2164</v>
      </c>
      <c r="C47" s="17" t="s">
        <v>2165</v>
      </c>
      <c r="D47" s="17" t="s">
        <v>2166</v>
      </c>
      <c r="E47" s="17" t="s">
        <v>2167</v>
      </c>
      <c r="F47" s="17" t="s">
        <v>2168</v>
      </c>
      <c r="G47" s="17" t="s">
        <v>1941</v>
      </c>
      <c r="H47" s="17">
        <v>10469</v>
      </c>
      <c r="I47" t="s">
        <v>1951</v>
      </c>
    </row>
    <row r="48" spans="1:9" x14ac:dyDescent="0.3">
      <c r="A48" s="17" t="s">
        <v>111</v>
      </c>
      <c r="B48" s="17" t="s">
        <v>2169</v>
      </c>
      <c r="C48" s="17"/>
      <c r="D48" s="17" t="s">
        <v>2170</v>
      </c>
      <c r="E48" s="17" t="s">
        <v>2171</v>
      </c>
      <c r="F48" s="17" t="s">
        <v>2172</v>
      </c>
      <c r="G48" s="17" t="s">
        <v>1941</v>
      </c>
      <c r="H48" s="17">
        <v>35205</v>
      </c>
      <c r="I48" t="s">
        <v>1942</v>
      </c>
    </row>
    <row r="49" spans="1:9" x14ac:dyDescent="0.3">
      <c r="A49" s="17" t="s">
        <v>114</v>
      </c>
      <c r="B49" s="17" t="s">
        <v>2173</v>
      </c>
      <c r="C49" s="17" t="s">
        <v>2174</v>
      </c>
      <c r="D49" s="17" t="s">
        <v>2175</v>
      </c>
      <c r="E49" s="17" t="s">
        <v>2176</v>
      </c>
      <c r="F49" s="17" t="s">
        <v>2177</v>
      </c>
      <c r="G49" s="17" t="s">
        <v>1941</v>
      </c>
      <c r="H49" s="17">
        <v>92415</v>
      </c>
      <c r="I49" t="s">
        <v>1942</v>
      </c>
    </row>
    <row r="50" spans="1:9" x14ac:dyDescent="0.3">
      <c r="A50" s="17" t="s">
        <v>117</v>
      </c>
      <c r="B50" s="17" t="s">
        <v>2178</v>
      </c>
      <c r="C50" s="17" t="s">
        <v>2179</v>
      </c>
      <c r="D50" s="17"/>
      <c r="E50" s="17" t="s">
        <v>2180</v>
      </c>
      <c r="F50" s="17" t="s">
        <v>2181</v>
      </c>
      <c r="G50" s="17" t="s">
        <v>1941</v>
      </c>
      <c r="H50" s="17">
        <v>23514</v>
      </c>
      <c r="I50" t="s">
        <v>1951</v>
      </c>
    </row>
    <row r="51" spans="1:9" x14ac:dyDescent="0.3">
      <c r="A51" s="17" t="s">
        <v>120</v>
      </c>
      <c r="B51" s="17" t="s">
        <v>2182</v>
      </c>
      <c r="C51" s="17" t="s">
        <v>2183</v>
      </c>
      <c r="D51" s="17" t="s">
        <v>2184</v>
      </c>
      <c r="E51" s="17" t="s">
        <v>2185</v>
      </c>
      <c r="F51" s="17" t="s">
        <v>2186</v>
      </c>
      <c r="G51" s="17" t="s">
        <v>1941</v>
      </c>
      <c r="H51" s="17">
        <v>20409</v>
      </c>
      <c r="I51" t="s">
        <v>1951</v>
      </c>
    </row>
    <row r="52" spans="1:9" x14ac:dyDescent="0.3">
      <c r="A52" s="17" t="s">
        <v>122</v>
      </c>
      <c r="B52" s="17" t="s">
        <v>2187</v>
      </c>
      <c r="C52" s="17" t="s">
        <v>2188</v>
      </c>
      <c r="D52" s="17" t="s">
        <v>2189</v>
      </c>
      <c r="E52" s="17" t="s">
        <v>2190</v>
      </c>
      <c r="F52" s="17" t="s">
        <v>2191</v>
      </c>
      <c r="G52" s="17" t="s">
        <v>1941</v>
      </c>
      <c r="H52" s="17">
        <v>33355</v>
      </c>
      <c r="I52" t="s">
        <v>1951</v>
      </c>
    </row>
    <row r="53" spans="1:9" x14ac:dyDescent="0.3">
      <c r="A53" s="17" t="s">
        <v>125</v>
      </c>
      <c r="B53" s="17" t="s">
        <v>2192</v>
      </c>
      <c r="C53" s="17" t="s">
        <v>2193</v>
      </c>
      <c r="D53" s="17" t="s">
        <v>2194</v>
      </c>
      <c r="E53" s="17" t="s">
        <v>2195</v>
      </c>
      <c r="F53" s="17" t="s">
        <v>1948</v>
      </c>
      <c r="G53" s="17" t="s">
        <v>1949</v>
      </c>
      <c r="H53" s="17" t="s">
        <v>1950</v>
      </c>
      <c r="I53" t="s">
        <v>1942</v>
      </c>
    </row>
    <row r="54" spans="1:9" x14ac:dyDescent="0.3">
      <c r="A54" s="17" t="s">
        <v>127</v>
      </c>
      <c r="B54" s="17" t="s">
        <v>2196</v>
      </c>
      <c r="C54" s="17" t="s">
        <v>2197</v>
      </c>
      <c r="D54" s="17"/>
      <c r="E54" s="17" t="s">
        <v>2198</v>
      </c>
      <c r="F54" s="17" t="s">
        <v>2199</v>
      </c>
      <c r="G54" s="17" t="s">
        <v>2116</v>
      </c>
      <c r="H54" s="17" t="s">
        <v>2200</v>
      </c>
      <c r="I54" t="s">
        <v>1951</v>
      </c>
    </row>
    <row r="55" spans="1:9" x14ac:dyDescent="0.3">
      <c r="A55" s="17" t="s">
        <v>2201</v>
      </c>
      <c r="B55" s="17" t="s">
        <v>2202</v>
      </c>
      <c r="C55" s="17" t="s">
        <v>2203</v>
      </c>
      <c r="D55" s="17" t="s">
        <v>2204</v>
      </c>
      <c r="E55" s="17" t="s">
        <v>2205</v>
      </c>
      <c r="F55" s="17" t="s">
        <v>2206</v>
      </c>
      <c r="G55" s="17" t="s">
        <v>1941</v>
      </c>
      <c r="H55" s="17">
        <v>84605</v>
      </c>
      <c r="I55" t="s">
        <v>1951</v>
      </c>
    </row>
    <row r="56" spans="1:9" x14ac:dyDescent="0.3">
      <c r="A56" s="17" t="s">
        <v>129</v>
      </c>
      <c r="B56" s="17" t="s">
        <v>2207</v>
      </c>
      <c r="C56" s="17" t="s">
        <v>2208</v>
      </c>
      <c r="D56" s="17" t="s">
        <v>2209</v>
      </c>
      <c r="E56" s="17" t="s">
        <v>2210</v>
      </c>
      <c r="F56" s="17" t="s">
        <v>2211</v>
      </c>
      <c r="G56" s="17" t="s">
        <v>1941</v>
      </c>
      <c r="H56" s="17">
        <v>43666</v>
      </c>
      <c r="I56" t="s">
        <v>1951</v>
      </c>
    </row>
    <row r="57" spans="1:9" x14ac:dyDescent="0.3">
      <c r="A57" s="17" t="s">
        <v>131</v>
      </c>
      <c r="B57" s="17" t="s">
        <v>2212</v>
      </c>
      <c r="C57" s="17"/>
      <c r="D57" s="17" t="s">
        <v>2213</v>
      </c>
      <c r="E57" s="17" t="s">
        <v>2214</v>
      </c>
      <c r="F57" s="17" t="s">
        <v>2215</v>
      </c>
      <c r="G57" s="17" t="s">
        <v>1941</v>
      </c>
      <c r="H57" s="17">
        <v>8650</v>
      </c>
      <c r="I57" t="s">
        <v>1951</v>
      </c>
    </row>
    <row r="58" spans="1:9" x14ac:dyDescent="0.3">
      <c r="A58" s="17" t="s">
        <v>134</v>
      </c>
      <c r="B58" s="17" t="s">
        <v>2216</v>
      </c>
      <c r="C58" s="17" t="s">
        <v>2217</v>
      </c>
      <c r="D58" s="17" t="s">
        <v>2218</v>
      </c>
      <c r="E58" s="17" t="s">
        <v>2219</v>
      </c>
      <c r="F58" s="17" t="s">
        <v>2220</v>
      </c>
      <c r="G58" s="17" t="s">
        <v>1941</v>
      </c>
      <c r="H58" s="17">
        <v>33686</v>
      </c>
      <c r="I58" t="s">
        <v>1942</v>
      </c>
    </row>
    <row r="59" spans="1:9" x14ac:dyDescent="0.3">
      <c r="A59" s="17" t="s">
        <v>136</v>
      </c>
      <c r="B59" s="17" t="s">
        <v>2221</v>
      </c>
      <c r="C59" s="17" t="s">
        <v>2222</v>
      </c>
      <c r="D59" s="17" t="s">
        <v>2223</v>
      </c>
      <c r="E59" s="17" t="s">
        <v>2224</v>
      </c>
      <c r="F59" s="17" t="s">
        <v>2225</v>
      </c>
      <c r="G59" s="17" t="s">
        <v>1941</v>
      </c>
      <c r="H59" s="17">
        <v>32590</v>
      </c>
      <c r="I59" t="s">
        <v>1951</v>
      </c>
    </row>
    <row r="60" spans="1:9" x14ac:dyDescent="0.3">
      <c r="A60" s="17" t="s">
        <v>139</v>
      </c>
      <c r="B60" s="17" t="s">
        <v>2226</v>
      </c>
      <c r="C60" s="17"/>
      <c r="D60" s="17" t="s">
        <v>2227</v>
      </c>
      <c r="E60" s="17" t="s">
        <v>2228</v>
      </c>
      <c r="F60" s="17" t="s">
        <v>2229</v>
      </c>
      <c r="G60" s="17" t="s">
        <v>1941</v>
      </c>
      <c r="H60" s="17">
        <v>33543</v>
      </c>
      <c r="I60" t="s">
        <v>1942</v>
      </c>
    </row>
    <row r="61" spans="1:9" x14ac:dyDescent="0.3">
      <c r="A61" s="17" t="s">
        <v>141</v>
      </c>
      <c r="B61" s="17" t="s">
        <v>2230</v>
      </c>
      <c r="C61" s="17" t="s">
        <v>2231</v>
      </c>
      <c r="D61" s="17"/>
      <c r="E61" s="17" t="s">
        <v>2232</v>
      </c>
      <c r="F61" s="17" t="s">
        <v>2233</v>
      </c>
      <c r="G61" s="17" t="s">
        <v>1941</v>
      </c>
      <c r="H61" s="17">
        <v>55123</v>
      </c>
      <c r="I61" t="s">
        <v>1942</v>
      </c>
    </row>
    <row r="62" spans="1:9" x14ac:dyDescent="0.3">
      <c r="A62" s="17" t="s">
        <v>143</v>
      </c>
      <c r="B62" s="17" t="s">
        <v>2234</v>
      </c>
      <c r="C62" s="17" t="s">
        <v>2235</v>
      </c>
      <c r="D62" s="17" t="s">
        <v>2236</v>
      </c>
      <c r="E62" s="17" t="s">
        <v>2237</v>
      </c>
      <c r="F62" s="17" t="s">
        <v>2238</v>
      </c>
      <c r="G62" s="17" t="s">
        <v>1941</v>
      </c>
      <c r="H62" s="17">
        <v>46862</v>
      </c>
      <c r="I62" t="s">
        <v>1951</v>
      </c>
    </row>
    <row r="63" spans="1:9" x14ac:dyDescent="0.3">
      <c r="A63" s="17" t="s">
        <v>145</v>
      </c>
      <c r="B63" s="17" t="s">
        <v>2239</v>
      </c>
      <c r="C63" s="17"/>
      <c r="D63" s="17" t="s">
        <v>2240</v>
      </c>
      <c r="E63" s="17" t="s">
        <v>2241</v>
      </c>
      <c r="F63" s="17" t="s">
        <v>2242</v>
      </c>
      <c r="G63" s="17" t="s">
        <v>2116</v>
      </c>
      <c r="H63" s="17" t="s">
        <v>2243</v>
      </c>
      <c r="I63" t="s">
        <v>1942</v>
      </c>
    </row>
    <row r="64" spans="1:9" x14ac:dyDescent="0.3">
      <c r="A64" s="17" t="s">
        <v>148</v>
      </c>
      <c r="B64" s="17" t="s">
        <v>2244</v>
      </c>
      <c r="C64" s="17"/>
      <c r="D64" s="17" t="s">
        <v>2245</v>
      </c>
      <c r="E64" s="17" t="s">
        <v>2246</v>
      </c>
      <c r="F64" s="17" t="s">
        <v>2247</v>
      </c>
      <c r="G64" s="17" t="s">
        <v>1941</v>
      </c>
      <c r="H64" s="17">
        <v>34114</v>
      </c>
      <c r="I64" t="s">
        <v>1942</v>
      </c>
    </row>
    <row r="65" spans="1:9" x14ac:dyDescent="0.3">
      <c r="A65" s="17" t="s">
        <v>150</v>
      </c>
      <c r="B65" s="17" t="s">
        <v>2248</v>
      </c>
      <c r="C65" s="17" t="s">
        <v>2249</v>
      </c>
      <c r="D65" s="17" t="s">
        <v>2250</v>
      </c>
      <c r="E65" s="17" t="s">
        <v>2251</v>
      </c>
      <c r="F65" s="17" t="s">
        <v>2252</v>
      </c>
      <c r="G65" s="17" t="s">
        <v>1941</v>
      </c>
      <c r="H65" s="17">
        <v>60681</v>
      </c>
      <c r="I65" t="s">
        <v>1951</v>
      </c>
    </row>
    <row r="66" spans="1:9" x14ac:dyDescent="0.3">
      <c r="A66" s="17" t="s">
        <v>152</v>
      </c>
      <c r="B66" s="17" t="s">
        <v>2253</v>
      </c>
      <c r="C66" s="17"/>
      <c r="D66" s="17" t="s">
        <v>2254</v>
      </c>
      <c r="E66" s="17" t="s">
        <v>2255</v>
      </c>
      <c r="F66" s="17" t="s">
        <v>2256</v>
      </c>
      <c r="G66" s="17" t="s">
        <v>1941</v>
      </c>
      <c r="H66" s="17">
        <v>7104</v>
      </c>
      <c r="I66" t="s">
        <v>1942</v>
      </c>
    </row>
    <row r="67" spans="1:9" x14ac:dyDescent="0.3">
      <c r="A67" s="17" t="s">
        <v>154</v>
      </c>
      <c r="B67" s="17" t="s">
        <v>2257</v>
      </c>
      <c r="C67" s="17" t="s">
        <v>2258</v>
      </c>
      <c r="D67" s="17" t="s">
        <v>2259</v>
      </c>
      <c r="E67" s="17" t="s">
        <v>2260</v>
      </c>
      <c r="F67" s="17" t="s">
        <v>2261</v>
      </c>
      <c r="G67" s="17" t="s">
        <v>1941</v>
      </c>
      <c r="H67" s="17">
        <v>22184</v>
      </c>
      <c r="I67" t="s">
        <v>1942</v>
      </c>
    </row>
    <row r="68" spans="1:9" x14ac:dyDescent="0.3">
      <c r="A68" s="17" t="s">
        <v>156</v>
      </c>
      <c r="B68" s="17" t="s">
        <v>2262</v>
      </c>
      <c r="C68" s="17" t="s">
        <v>2263</v>
      </c>
      <c r="D68" s="17" t="s">
        <v>2264</v>
      </c>
      <c r="E68" s="17" t="s">
        <v>2265</v>
      </c>
      <c r="F68" s="17" t="s">
        <v>2266</v>
      </c>
      <c r="G68" s="17" t="s">
        <v>1941</v>
      </c>
      <c r="H68" s="17">
        <v>76178</v>
      </c>
      <c r="I68" t="s">
        <v>1942</v>
      </c>
    </row>
    <row r="69" spans="1:9" x14ac:dyDescent="0.3">
      <c r="A69" s="17" t="s">
        <v>159</v>
      </c>
      <c r="B69" s="17" t="s">
        <v>2267</v>
      </c>
      <c r="C69" s="17" t="s">
        <v>2268</v>
      </c>
      <c r="D69" s="17" t="s">
        <v>2269</v>
      </c>
      <c r="E69" s="17" t="s">
        <v>2270</v>
      </c>
      <c r="F69" s="17" t="s">
        <v>2271</v>
      </c>
      <c r="G69" s="17" t="s">
        <v>1941</v>
      </c>
      <c r="H69" s="17">
        <v>91505</v>
      </c>
      <c r="I69" t="s">
        <v>1951</v>
      </c>
    </row>
    <row r="70" spans="1:9" x14ac:dyDescent="0.3">
      <c r="A70" s="17" t="s">
        <v>161</v>
      </c>
      <c r="B70" s="17" t="s">
        <v>2272</v>
      </c>
      <c r="C70" s="17" t="s">
        <v>2273</v>
      </c>
      <c r="D70" s="17" t="s">
        <v>2274</v>
      </c>
      <c r="E70" s="17" t="s">
        <v>2275</v>
      </c>
      <c r="F70" s="17" t="s">
        <v>2276</v>
      </c>
      <c r="G70" s="17" t="s">
        <v>1941</v>
      </c>
      <c r="H70" s="17">
        <v>37665</v>
      </c>
      <c r="I70" t="s">
        <v>1951</v>
      </c>
    </row>
    <row r="71" spans="1:9" x14ac:dyDescent="0.3">
      <c r="A71" s="17" t="s">
        <v>164</v>
      </c>
      <c r="B71" s="17" t="s">
        <v>2277</v>
      </c>
      <c r="C71" s="17" t="s">
        <v>2278</v>
      </c>
      <c r="D71" s="17" t="s">
        <v>2279</v>
      </c>
      <c r="E71" s="17" t="s">
        <v>2280</v>
      </c>
      <c r="F71" s="17" t="s">
        <v>2281</v>
      </c>
      <c r="G71" s="17" t="s">
        <v>2116</v>
      </c>
      <c r="H71" s="17" t="s">
        <v>2282</v>
      </c>
      <c r="I71" t="s">
        <v>1942</v>
      </c>
    </row>
    <row r="72" spans="1:9" x14ac:dyDescent="0.3">
      <c r="A72" s="17" t="s">
        <v>166</v>
      </c>
      <c r="B72" s="17" t="s">
        <v>2283</v>
      </c>
      <c r="C72" s="17" t="s">
        <v>2284</v>
      </c>
      <c r="D72" s="17" t="s">
        <v>2285</v>
      </c>
      <c r="E72" s="17" t="s">
        <v>2286</v>
      </c>
      <c r="F72" s="17" t="s">
        <v>2287</v>
      </c>
      <c r="G72" s="17" t="s">
        <v>1941</v>
      </c>
      <c r="H72" s="17">
        <v>43231</v>
      </c>
      <c r="I72" t="s">
        <v>1951</v>
      </c>
    </row>
    <row r="73" spans="1:9" x14ac:dyDescent="0.3">
      <c r="A73" s="17" t="s">
        <v>168</v>
      </c>
      <c r="B73" s="17" t="s">
        <v>2288</v>
      </c>
      <c r="C73" s="17" t="s">
        <v>2289</v>
      </c>
      <c r="D73" s="17" t="s">
        <v>2290</v>
      </c>
      <c r="E73" s="17" t="s">
        <v>2291</v>
      </c>
      <c r="F73" s="17" t="s">
        <v>2292</v>
      </c>
      <c r="G73" s="17" t="s">
        <v>1949</v>
      </c>
      <c r="H73" s="17" t="s">
        <v>2293</v>
      </c>
      <c r="I73" t="s">
        <v>1951</v>
      </c>
    </row>
    <row r="74" spans="1:9" x14ac:dyDescent="0.3">
      <c r="A74" s="17" t="s">
        <v>170</v>
      </c>
      <c r="B74" s="17" t="s">
        <v>2294</v>
      </c>
      <c r="C74" s="17"/>
      <c r="D74" s="17" t="s">
        <v>2295</v>
      </c>
      <c r="E74" s="17" t="s">
        <v>2296</v>
      </c>
      <c r="F74" s="17" t="s">
        <v>2144</v>
      </c>
      <c r="G74" s="17" t="s">
        <v>1941</v>
      </c>
      <c r="H74" s="17">
        <v>70183</v>
      </c>
      <c r="I74" t="s">
        <v>1951</v>
      </c>
    </row>
    <row r="75" spans="1:9" x14ac:dyDescent="0.3">
      <c r="A75" s="17" t="s">
        <v>173</v>
      </c>
      <c r="B75" s="17" t="s">
        <v>2297</v>
      </c>
      <c r="C75" s="17"/>
      <c r="D75" s="17" t="s">
        <v>2298</v>
      </c>
      <c r="E75" s="17" t="s">
        <v>2299</v>
      </c>
      <c r="F75" s="17" t="s">
        <v>2300</v>
      </c>
      <c r="G75" s="17" t="s">
        <v>1941</v>
      </c>
      <c r="H75" s="17">
        <v>28230</v>
      </c>
      <c r="I75" t="s">
        <v>1942</v>
      </c>
    </row>
    <row r="76" spans="1:9" x14ac:dyDescent="0.3">
      <c r="A76" s="17" t="s">
        <v>175</v>
      </c>
      <c r="B76" s="17" t="s">
        <v>2301</v>
      </c>
      <c r="C76" s="17" t="s">
        <v>2302</v>
      </c>
      <c r="D76" s="17" t="s">
        <v>2303</v>
      </c>
      <c r="E76" s="17" t="s">
        <v>2304</v>
      </c>
      <c r="F76" s="17" t="s">
        <v>1962</v>
      </c>
      <c r="G76" s="17" t="s">
        <v>1941</v>
      </c>
      <c r="H76" s="17">
        <v>1114</v>
      </c>
      <c r="I76" t="s">
        <v>1942</v>
      </c>
    </row>
    <row r="77" spans="1:9" x14ac:dyDescent="0.3">
      <c r="A77" s="17" t="s">
        <v>178</v>
      </c>
      <c r="B77" s="17" t="s">
        <v>2305</v>
      </c>
      <c r="C77" s="17" t="s">
        <v>2306</v>
      </c>
      <c r="D77" s="17" t="s">
        <v>2307</v>
      </c>
      <c r="E77" s="17" t="s">
        <v>2308</v>
      </c>
      <c r="F77" s="17" t="s">
        <v>2309</v>
      </c>
      <c r="G77" s="17" t="s">
        <v>1949</v>
      </c>
      <c r="H77" s="17" t="s">
        <v>2310</v>
      </c>
      <c r="I77" t="s">
        <v>1942</v>
      </c>
    </row>
    <row r="78" spans="1:9" x14ac:dyDescent="0.3">
      <c r="A78" s="17" t="s">
        <v>181</v>
      </c>
      <c r="B78" s="17" t="s">
        <v>2311</v>
      </c>
      <c r="C78" s="17"/>
      <c r="D78" s="17" t="s">
        <v>2312</v>
      </c>
      <c r="E78" s="17" t="s">
        <v>2313</v>
      </c>
      <c r="F78" s="17" t="s">
        <v>2314</v>
      </c>
      <c r="G78" s="17" t="s">
        <v>1949</v>
      </c>
      <c r="H78" s="17" t="s">
        <v>2315</v>
      </c>
      <c r="I78" t="s">
        <v>1942</v>
      </c>
    </row>
    <row r="79" spans="1:9" x14ac:dyDescent="0.3">
      <c r="A79" s="17" t="s">
        <v>184</v>
      </c>
      <c r="B79" s="17" t="s">
        <v>2316</v>
      </c>
      <c r="C79" s="17" t="s">
        <v>2317</v>
      </c>
      <c r="D79" s="17" t="s">
        <v>2318</v>
      </c>
      <c r="E79" s="17" t="s">
        <v>2319</v>
      </c>
      <c r="F79" s="17" t="s">
        <v>2320</v>
      </c>
      <c r="G79" s="17" t="s">
        <v>1941</v>
      </c>
      <c r="H79" s="17">
        <v>79705</v>
      </c>
      <c r="I79" t="s">
        <v>1951</v>
      </c>
    </row>
    <row r="80" spans="1:9" x14ac:dyDescent="0.3">
      <c r="A80" s="17" t="s">
        <v>186</v>
      </c>
      <c r="B80" s="17" t="s">
        <v>2321</v>
      </c>
      <c r="C80" s="17" t="s">
        <v>2322</v>
      </c>
      <c r="D80" s="17" t="s">
        <v>2323</v>
      </c>
      <c r="E80" s="17" t="s">
        <v>2324</v>
      </c>
      <c r="F80" s="17" t="s">
        <v>2325</v>
      </c>
      <c r="G80" s="17" t="s">
        <v>1941</v>
      </c>
      <c r="H80" s="17">
        <v>75323</v>
      </c>
      <c r="I80" t="s">
        <v>1942</v>
      </c>
    </row>
    <row r="81" spans="1:9" x14ac:dyDescent="0.3">
      <c r="A81" s="17" t="s">
        <v>188</v>
      </c>
      <c r="B81" s="17" t="s">
        <v>2326</v>
      </c>
      <c r="C81" s="17" t="s">
        <v>2327</v>
      </c>
      <c r="D81" s="17" t="s">
        <v>2328</v>
      </c>
      <c r="E81" s="17" t="s">
        <v>2329</v>
      </c>
      <c r="F81" s="17" t="s">
        <v>2330</v>
      </c>
      <c r="G81" s="17" t="s">
        <v>1941</v>
      </c>
      <c r="H81" s="17">
        <v>20189</v>
      </c>
      <c r="I81" t="s">
        <v>1951</v>
      </c>
    </row>
    <row r="82" spans="1:9" x14ac:dyDescent="0.3">
      <c r="A82" s="17" t="s">
        <v>191</v>
      </c>
      <c r="B82" s="17" t="s">
        <v>2331</v>
      </c>
      <c r="C82" s="17" t="s">
        <v>2332</v>
      </c>
      <c r="D82" s="17" t="s">
        <v>2333</v>
      </c>
      <c r="E82" s="17" t="s">
        <v>2334</v>
      </c>
      <c r="F82" s="17" t="s">
        <v>2335</v>
      </c>
      <c r="G82" s="17" t="s">
        <v>1941</v>
      </c>
      <c r="H82" s="17">
        <v>94627</v>
      </c>
      <c r="I82" t="s">
        <v>1942</v>
      </c>
    </row>
    <row r="83" spans="1:9" x14ac:dyDescent="0.3">
      <c r="A83" s="17" t="s">
        <v>194</v>
      </c>
      <c r="B83" s="17" t="s">
        <v>2336</v>
      </c>
      <c r="C83" s="17" t="s">
        <v>2337</v>
      </c>
      <c r="D83" s="17" t="s">
        <v>2338</v>
      </c>
      <c r="E83" s="17" t="s">
        <v>2339</v>
      </c>
      <c r="F83" s="17" t="s">
        <v>2340</v>
      </c>
      <c r="G83" s="17" t="s">
        <v>1941</v>
      </c>
      <c r="H83" s="17">
        <v>80930</v>
      </c>
      <c r="I83" t="s">
        <v>1942</v>
      </c>
    </row>
    <row r="84" spans="1:9" x14ac:dyDescent="0.3">
      <c r="A84" s="17" t="s">
        <v>196</v>
      </c>
      <c r="B84" s="17" t="s">
        <v>2341</v>
      </c>
      <c r="C84" s="17" t="s">
        <v>2342</v>
      </c>
      <c r="D84" s="17" t="s">
        <v>2343</v>
      </c>
      <c r="E84" s="17" t="s">
        <v>2344</v>
      </c>
      <c r="F84" s="17" t="s">
        <v>2345</v>
      </c>
      <c r="G84" s="17" t="s">
        <v>1949</v>
      </c>
      <c r="H84" s="17" t="s">
        <v>2346</v>
      </c>
      <c r="I84" t="s">
        <v>1942</v>
      </c>
    </row>
    <row r="85" spans="1:9" x14ac:dyDescent="0.3">
      <c r="A85" s="17" t="s">
        <v>199</v>
      </c>
      <c r="B85" s="17" t="s">
        <v>2347</v>
      </c>
      <c r="C85" s="17"/>
      <c r="D85" s="17" t="s">
        <v>2348</v>
      </c>
      <c r="E85" s="17" t="s">
        <v>2349</v>
      </c>
      <c r="F85" s="17" t="s">
        <v>2350</v>
      </c>
      <c r="G85" s="17" t="s">
        <v>1941</v>
      </c>
      <c r="H85" s="17">
        <v>14205</v>
      </c>
      <c r="I85" t="s">
        <v>1942</v>
      </c>
    </row>
    <row r="86" spans="1:9" x14ac:dyDescent="0.3">
      <c r="A86" s="17" t="s">
        <v>201</v>
      </c>
      <c r="B86" s="17" t="s">
        <v>2351</v>
      </c>
      <c r="C86" s="17" t="s">
        <v>2352</v>
      </c>
      <c r="D86" s="17" t="s">
        <v>2353</v>
      </c>
      <c r="E86" s="17" t="s">
        <v>2354</v>
      </c>
      <c r="F86" s="17" t="s">
        <v>2355</v>
      </c>
      <c r="G86" s="17" t="s">
        <v>1941</v>
      </c>
      <c r="H86" s="17">
        <v>93715</v>
      </c>
      <c r="I86" t="s">
        <v>1951</v>
      </c>
    </row>
    <row r="87" spans="1:9" x14ac:dyDescent="0.3">
      <c r="A87" s="17" t="s">
        <v>203</v>
      </c>
      <c r="B87" s="17" t="s">
        <v>2356</v>
      </c>
      <c r="C87" s="17" t="s">
        <v>2357</v>
      </c>
      <c r="D87" s="17"/>
      <c r="E87" s="17" t="s">
        <v>2358</v>
      </c>
      <c r="F87" s="17" t="s">
        <v>2266</v>
      </c>
      <c r="G87" s="17" t="s">
        <v>1941</v>
      </c>
      <c r="H87" s="17">
        <v>76121</v>
      </c>
      <c r="I87" t="s">
        <v>1951</v>
      </c>
    </row>
    <row r="88" spans="1:9" x14ac:dyDescent="0.3">
      <c r="A88" s="17" t="s">
        <v>300</v>
      </c>
      <c r="B88" s="17" t="s">
        <v>2359</v>
      </c>
      <c r="C88" s="17" t="s">
        <v>2360</v>
      </c>
      <c r="D88" s="17"/>
      <c r="E88" s="17" t="s">
        <v>2361</v>
      </c>
      <c r="F88" s="17" t="s">
        <v>2362</v>
      </c>
      <c r="G88" s="17" t="s">
        <v>1941</v>
      </c>
      <c r="H88" s="17">
        <v>73179</v>
      </c>
      <c r="I88" t="s">
        <v>1942</v>
      </c>
    </row>
    <row r="89" spans="1:9" x14ac:dyDescent="0.3">
      <c r="A89" s="17" t="s">
        <v>206</v>
      </c>
      <c r="B89" s="17" t="s">
        <v>2363</v>
      </c>
      <c r="C89" s="17" t="s">
        <v>2364</v>
      </c>
      <c r="D89" s="17"/>
      <c r="E89" s="17" t="s">
        <v>2365</v>
      </c>
      <c r="F89" s="17" t="s">
        <v>2366</v>
      </c>
      <c r="G89" s="17" t="s">
        <v>1941</v>
      </c>
      <c r="H89" s="17">
        <v>77705</v>
      </c>
      <c r="I89" t="s">
        <v>1951</v>
      </c>
    </row>
    <row r="90" spans="1:9" x14ac:dyDescent="0.3">
      <c r="A90" s="17" t="s">
        <v>208</v>
      </c>
      <c r="B90" s="17" t="s">
        <v>2367</v>
      </c>
      <c r="C90" s="17" t="s">
        <v>2368</v>
      </c>
      <c r="D90" s="17"/>
      <c r="E90" s="17" t="s">
        <v>2369</v>
      </c>
      <c r="F90" s="17" t="s">
        <v>2370</v>
      </c>
      <c r="G90" s="17" t="s">
        <v>1941</v>
      </c>
      <c r="H90" s="17">
        <v>89519</v>
      </c>
      <c r="I90" t="s">
        <v>1951</v>
      </c>
    </row>
    <row r="91" spans="1:9" x14ac:dyDescent="0.3">
      <c r="A91" s="17" t="s">
        <v>210</v>
      </c>
      <c r="B91" s="17" t="s">
        <v>2371</v>
      </c>
      <c r="C91" s="17" t="s">
        <v>2372</v>
      </c>
      <c r="D91" s="17" t="s">
        <v>2373</v>
      </c>
      <c r="E91" s="17" t="s">
        <v>2374</v>
      </c>
      <c r="F91" s="17" t="s">
        <v>2375</v>
      </c>
      <c r="G91" s="17" t="s">
        <v>1941</v>
      </c>
      <c r="H91" s="17">
        <v>64136</v>
      </c>
      <c r="I91" t="s">
        <v>1951</v>
      </c>
    </row>
    <row r="92" spans="1:9" x14ac:dyDescent="0.3">
      <c r="A92" s="17" t="s">
        <v>212</v>
      </c>
      <c r="B92" s="17" t="s">
        <v>2376</v>
      </c>
      <c r="C92" s="17"/>
      <c r="D92" s="17" t="s">
        <v>2377</v>
      </c>
      <c r="E92" s="17" t="s">
        <v>2378</v>
      </c>
      <c r="F92" s="17" t="s">
        <v>1948</v>
      </c>
      <c r="G92" s="17" t="s">
        <v>1949</v>
      </c>
      <c r="H92" s="17" t="s">
        <v>1950</v>
      </c>
      <c r="I92" t="s">
        <v>1942</v>
      </c>
    </row>
    <row r="93" spans="1:9" x14ac:dyDescent="0.3">
      <c r="A93" s="17" t="s">
        <v>214</v>
      </c>
      <c r="B93" s="17" t="s">
        <v>2379</v>
      </c>
      <c r="C93" s="17" t="s">
        <v>2380</v>
      </c>
      <c r="D93" s="17" t="s">
        <v>2381</v>
      </c>
      <c r="E93" s="17" t="s">
        <v>2382</v>
      </c>
      <c r="F93" s="17" t="s">
        <v>2383</v>
      </c>
      <c r="G93" s="17" t="s">
        <v>1941</v>
      </c>
      <c r="H93" s="17">
        <v>92878</v>
      </c>
      <c r="I93" t="s">
        <v>1951</v>
      </c>
    </row>
    <row r="94" spans="1:9" x14ac:dyDescent="0.3">
      <c r="A94" s="17" t="s">
        <v>216</v>
      </c>
      <c r="B94" s="17" t="s">
        <v>2384</v>
      </c>
      <c r="C94" s="17"/>
      <c r="D94" s="17" t="s">
        <v>2385</v>
      </c>
      <c r="E94" s="17" t="s">
        <v>2386</v>
      </c>
      <c r="F94" s="17" t="s">
        <v>2387</v>
      </c>
      <c r="G94" s="17" t="s">
        <v>1941</v>
      </c>
      <c r="H94" s="17">
        <v>78759</v>
      </c>
      <c r="I94" t="s">
        <v>1942</v>
      </c>
    </row>
    <row r="95" spans="1:9" x14ac:dyDescent="0.3">
      <c r="A95" s="17" t="s">
        <v>218</v>
      </c>
      <c r="B95" s="17" t="s">
        <v>2388</v>
      </c>
      <c r="C95" s="17" t="s">
        <v>2389</v>
      </c>
      <c r="D95" s="17" t="s">
        <v>2390</v>
      </c>
      <c r="E95" s="17" t="s">
        <v>2391</v>
      </c>
      <c r="F95" s="17" t="s">
        <v>2392</v>
      </c>
      <c r="G95" s="17" t="s">
        <v>2116</v>
      </c>
      <c r="H95" s="17" t="s">
        <v>2393</v>
      </c>
      <c r="I95" t="s">
        <v>1942</v>
      </c>
    </row>
    <row r="96" spans="1:9" x14ac:dyDescent="0.3">
      <c r="A96" s="17" t="s">
        <v>220</v>
      </c>
      <c r="B96" s="17" t="s">
        <v>2394</v>
      </c>
      <c r="C96" s="17"/>
      <c r="D96" s="17"/>
      <c r="E96" s="17" t="s">
        <v>2395</v>
      </c>
      <c r="F96" s="17" t="s">
        <v>2396</v>
      </c>
      <c r="G96" s="17" t="s">
        <v>1949</v>
      </c>
      <c r="H96" s="17" t="s">
        <v>2397</v>
      </c>
      <c r="I96" t="s">
        <v>1942</v>
      </c>
    </row>
    <row r="97" spans="1:9" x14ac:dyDescent="0.3">
      <c r="A97" s="17" t="s">
        <v>222</v>
      </c>
      <c r="B97" s="17" t="s">
        <v>2398</v>
      </c>
      <c r="C97" s="17" t="s">
        <v>2399</v>
      </c>
      <c r="D97" s="17"/>
      <c r="E97" s="17" t="s">
        <v>2400</v>
      </c>
      <c r="F97" s="17" t="s">
        <v>2355</v>
      </c>
      <c r="G97" s="17" t="s">
        <v>1941</v>
      </c>
      <c r="H97" s="17">
        <v>93762</v>
      </c>
      <c r="I97" t="s">
        <v>1951</v>
      </c>
    </row>
    <row r="98" spans="1:9" x14ac:dyDescent="0.3">
      <c r="A98" s="17" t="s">
        <v>224</v>
      </c>
      <c r="B98" s="17" t="s">
        <v>2401</v>
      </c>
      <c r="C98" s="17" t="s">
        <v>2402</v>
      </c>
      <c r="D98" s="17"/>
      <c r="E98" s="17" t="s">
        <v>2403</v>
      </c>
      <c r="F98" s="17" t="s">
        <v>2013</v>
      </c>
      <c r="G98" s="17" t="s">
        <v>1941</v>
      </c>
      <c r="H98" s="17">
        <v>63150</v>
      </c>
      <c r="I98" t="s">
        <v>1951</v>
      </c>
    </row>
    <row r="99" spans="1:9" x14ac:dyDescent="0.3">
      <c r="A99" s="17" t="s">
        <v>226</v>
      </c>
      <c r="B99" s="17" t="s">
        <v>2404</v>
      </c>
      <c r="C99" s="17" t="s">
        <v>2405</v>
      </c>
      <c r="D99" s="17" t="s">
        <v>2406</v>
      </c>
      <c r="E99" s="17" t="s">
        <v>2407</v>
      </c>
      <c r="F99" s="17" t="s">
        <v>2355</v>
      </c>
      <c r="G99" s="17" t="s">
        <v>1941</v>
      </c>
      <c r="H99" s="17">
        <v>93726</v>
      </c>
      <c r="I99" t="s">
        <v>1951</v>
      </c>
    </row>
    <row r="100" spans="1:9" x14ac:dyDescent="0.3">
      <c r="A100" s="17" t="s">
        <v>228</v>
      </c>
      <c r="B100" s="17" t="s">
        <v>2408</v>
      </c>
      <c r="C100" s="17"/>
      <c r="D100" s="17" t="s">
        <v>2409</v>
      </c>
      <c r="E100" s="17" t="s">
        <v>2410</v>
      </c>
      <c r="F100" s="17" t="s">
        <v>2411</v>
      </c>
      <c r="G100" s="17" t="s">
        <v>1949</v>
      </c>
      <c r="H100" s="17" t="s">
        <v>2412</v>
      </c>
      <c r="I100" t="s">
        <v>1951</v>
      </c>
    </row>
    <row r="101" spans="1:9" x14ac:dyDescent="0.3">
      <c r="A101" s="17" t="s">
        <v>230</v>
      </c>
      <c r="B101" s="17" t="s">
        <v>2413</v>
      </c>
      <c r="C101" s="17"/>
      <c r="D101" s="17" t="s">
        <v>2414</v>
      </c>
      <c r="E101" s="17" t="s">
        <v>2415</v>
      </c>
      <c r="F101" s="17" t="s">
        <v>2287</v>
      </c>
      <c r="G101" s="17" t="s">
        <v>1941</v>
      </c>
      <c r="H101" s="17">
        <v>43210</v>
      </c>
      <c r="I101" t="s">
        <v>1942</v>
      </c>
    </row>
    <row r="102" spans="1:9" x14ac:dyDescent="0.3">
      <c r="A102" s="17" t="s">
        <v>232</v>
      </c>
      <c r="B102" s="17" t="s">
        <v>2416</v>
      </c>
      <c r="C102" s="17"/>
      <c r="D102" s="17" t="s">
        <v>2417</v>
      </c>
      <c r="E102" s="17" t="s">
        <v>2418</v>
      </c>
      <c r="F102" s="17" t="s">
        <v>2419</v>
      </c>
      <c r="G102" s="17" t="s">
        <v>1941</v>
      </c>
      <c r="H102" s="17">
        <v>95205</v>
      </c>
      <c r="I102" t="s">
        <v>1942</v>
      </c>
    </row>
    <row r="103" spans="1:9" x14ac:dyDescent="0.3">
      <c r="A103" s="17" t="s">
        <v>234</v>
      </c>
      <c r="B103" s="17" t="s">
        <v>2420</v>
      </c>
      <c r="C103" s="17" t="s">
        <v>2421</v>
      </c>
      <c r="D103" s="17" t="s">
        <v>2422</v>
      </c>
      <c r="E103" s="17" t="s">
        <v>2423</v>
      </c>
      <c r="F103" s="17" t="s">
        <v>2424</v>
      </c>
      <c r="G103" s="17" t="s">
        <v>1949</v>
      </c>
      <c r="H103" s="17" t="s">
        <v>2425</v>
      </c>
      <c r="I103" t="s">
        <v>1942</v>
      </c>
    </row>
    <row r="104" spans="1:9" x14ac:dyDescent="0.3">
      <c r="A104" s="17" t="s">
        <v>236</v>
      </c>
      <c r="B104" s="17" t="s">
        <v>2426</v>
      </c>
      <c r="C104" s="17" t="s">
        <v>2427</v>
      </c>
      <c r="D104" s="17" t="s">
        <v>2428</v>
      </c>
      <c r="E104" s="17" t="s">
        <v>2429</v>
      </c>
      <c r="F104" s="17" t="s">
        <v>2430</v>
      </c>
      <c r="G104" s="17" t="s">
        <v>1949</v>
      </c>
      <c r="H104" s="17" t="s">
        <v>2412</v>
      </c>
      <c r="I104" t="s">
        <v>1942</v>
      </c>
    </row>
    <row r="105" spans="1:9" x14ac:dyDescent="0.3">
      <c r="A105" s="17" t="s">
        <v>238</v>
      </c>
      <c r="B105" s="17" t="s">
        <v>2431</v>
      </c>
      <c r="C105" s="17" t="s">
        <v>2432</v>
      </c>
      <c r="D105" s="17" t="s">
        <v>2433</v>
      </c>
      <c r="E105" s="17" t="s">
        <v>2434</v>
      </c>
      <c r="F105" s="17" t="s">
        <v>2163</v>
      </c>
      <c r="G105" s="17" t="s">
        <v>1941</v>
      </c>
      <c r="H105" s="17">
        <v>14652</v>
      </c>
      <c r="I105" t="s">
        <v>1951</v>
      </c>
    </row>
    <row r="106" spans="1:9" x14ac:dyDescent="0.3">
      <c r="A106" s="17" t="s">
        <v>240</v>
      </c>
      <c r="B106" s="17" t="s">
        <v>2435</v>
      </c>
      <c r="C106" s="17" t="s">
        <v>2436</v>
      </c>
      <c r="D106" s="17" t="s">
        <v>2437</v>
      </c>
      <c r="E106" s="17" t="s">
        <v>2438</v>
      </c>
      <c r="F106" s="17" t="s">
        <v>2439</v>
      </c>
      <c r="G106" s="17" t="s">
        <v>1941</v>
      </c>
      <c r="H106" s="17">
        <v>35487</v>
      </c>
      <c r="I106" t="s">
        <v>1951</v>
      </c>
    </row>
    <row r="107" spans="1:9" x14ac:dyDescent="0.3">
      <c r="A107" s="17" t="s">
        <v>242</v>
      </c>
      <c r="B107" s="17" t="s">
        <v>2440</v>
      </c>
      <c r="C107" s="17" t="s">
        <v>2441</v>
      </c>
      <c r="D107" s="17" t="s">
        <v>2442</v>
      </c>
      <c r="E107" s="17" t="s">
        <v>2443</v>
      </c>
      <c r="F107" s="17" t="s">
        <v>2027</v>
      </c>
      <c r="G107" s="17" t="s">
        <v>1941</v>
      </c>
      <c r="H107" s="17">
        <v>77260</v>
      </c>
      <c r="I107" t="s">
        <v>1942</v>
      </c>
    </row>
    <row r="108" spans="1:9" x14ac:dyDescent="0.3">
      <c r="A108" s="17" t="s">
        <v>244</v>
      </c>
      <c r="B108" s="17" t="s">
        <v>2444</v>
      </c>
      <c r="C108" s="17" t="s">
        <v>2445</v>
      </c>
      <c r="D108" s="17" t="s">
        <v>2446</v>
      </c>
      <c r="E108" s="17" t="s">
        <v>2447</v>
      </c>
      <c r="F108" s="17" t="s">
        <v>2448</v>
      </c>
      <c r="G108" s="17" t="s">
        <v>1941</v>
      </c>
      <c r="H108" s="17">
        <v>88514</v>
      </c>
      <c r="I108" t="s">
        <v>1951</v>
      </c>
    </row>
    <row r="109" spans="1:9" x14ac:dyDescent="0.3">
      <c r="A109" s="17" t="s">
        <v>247</v>
      </c>
      <c r="B109" s="17" t="s">
        <v>2449</v>
      </c>
      <c r="C109" s="17" t="s">
        <v>2450</v>
      </c>
      <c r="D109" s="17" t="s">
        <v>2451</v>
      </c>
      <c r="E109" s="17" t="s">
        <v>2452</v>
      </c>
      <c r="F109" s="17" t="s">
        <v>2340</v>
      </c>
      <c r="G109" s="17" t="s">
        <v>1941</v>
      </c>
      <c r="H109" s="17">
        <v>80935</v>
      </c>
      <c r="I109" t="s">
        <v>1942</v>
      </c>
    </row>
    <row r="110" spans="1:9" x14ac:dyDescent="0.3">
      <c r="A110" s="17" t="s">
        <v>249</v>
      </c>
      <c r="B110" s="17" t="s">
        <v>2453</v>
      </c>
      <c r="C110" s="17"/>
      <c r="D110" s="17" t="s">
        <v>2454</v>
      </c>
      <c r="E110" s="17" t="s">
        <v>2455</v>
      </c>
      <c r="F110" s="17" t="s">
        <v>2238</v>
      </c>
      <c r="G110" s="17" t="s">
        <v>1941</v>
      </c>
      <c r="H110" s="17">
        <v>46862</v>
      </c>
      <c r="I110" t="s">
        <v>1951</v>
      </c>
    </row>
    <row r="111" spans="1:9" x14ac:dyDescent="0.3">
      <c r="A111" s="17" t="s">
        <v>251</v>
      </c>
      <c r="B111" s="17" t="s">
        <v>2456</v>
      </c>
      <c r="C111" s="17" t="s">
        <v>2457</v>
      </c>
      <c r="D111" s="17" t="s">
        <v>2458</v>
      </c>
      <c r="E111" s="17" t="s">
        <v>2459</v>
      </c>
      <c r="F111" s="17" t="s">
        <v>2460</v>
      </c>
      <c r="G111" s="17" t="s">
        <v>1941</v>
      </c>
      <c r="H111" s="17">
        <v>11054</v>
      </c>
      <c r="I111" t="s">
        <v>1942</v>
      </c>
    </row>
    <row r="112" spans="1:9" x14ac:dyDescent="0.3">
      <c r="A112" s="17" t="s">
        <v>253</v>
      </c>
      <c r="B112" s="17" t="s">
        <v>2461</v>
      </c>
      <c r="C112" s="17" t="s">
        <v>2462</v>
      </c>
      <c r="D112" s="17" t="s">
        <v>2463</v>
      </c>
      <c r="E112" s="17" t="s">
        <v>2464</v>
      </c>
      <c r="F112" s="17" t="s">
        <v>1962</v>
      </c>
      <c r="G112" s="17" t="s">
        <v>1941</v>
      </c>
      <c r="H112" s="17">
        <v>1105</v>
      </c>
      <c r="I112" t="s">
        <v>1942</v>
      </c>
    </row>
    <row r="113" spans="1:9" x14ac:dyDescent="0.3">
      <c r="A113" s="17" t="s">
        <v>256</v>
      </c>
      <c r="B113" s="17" t="s">
        <v>2465</v>
      </c>
      <c r="C113" s="17" t="s">
        <v>2466</v>
      </c>
      <c r="D113" s="17"/>
      <c r="E113" s="17" t="s">
        <v>2467</v>
      </c>
      <c r="F113" s="17" t="s">
        <v>2225</v>
      </c>
      <c r="G113" s="17" t="s">
        <v>1941</v>
      </c>
      <c r="H113" s="17">
        <v>32575</v>
      </c>
      <c r="I113" t="s">
        <v>1951</v>
      </c>
    </row>
    <row r="114" spans="1:9" x14ac:dyDescent="0.3">
      <c r="A114" s="17" t="s">
        <v>258</v>
      </c>
      <c r="B114" s="17" t="s">
        <v>2468</v>
      </c>
      <c r="C114" s="17" t="s">
        <v>2469</v>
      </c>
      <c r="D114" s="17" t="s">
        <v>2470</v>
      </c>
      <c r="E114" s="17" t="s">
        <v>2471</v>
      </c>
      <c r="F114" s="17" t="s">
        <v>2004</v>
      </c>
      <c r="G114" s="17" t="s">
        <v>1941</v>
      </c>
      <c r="H114" s="17">
        <v>23242</v>
      </c>
      <c r="I114" t="s">
        <v>1951</v>
      </c>
    </row>
    <row r="115" spans="1:9" x14ac:dyDescent="0.3">
      <c r="A115" s="17" t="s">
        <v>260</v>
      </c>
      <c r="B115" s="17" t="s">
        <v>2472</v>
      </c>
      <c r="C115" s="17" t="s">
        <v>2473</v>
      </c>
      <c r="D115" s="17" t="s">
        <v>2474</v>
      </c>
      <c r="E115" s="17" t="s">
        <v>2475</v>
      </c>
      <c r="F115" s="17" t="s">
        <v>2476</v>
      </c>
      <c r="G115" s="17" t="s">
        <v>1949</v>
      </c>
      <c r="H115" s="17" t="s">
        <v>2477</v>
      </c>
      <c r="I115" t="s">
        <v>1951</v>
      </c>
    </row>
    <row r="116" spans="1:9" x14ac:dyDescent="0.3">
      <c r="A116" s="17" t="s">
        <v>262</v>
      </c>
      <c r="B116" s="17" t="s">
        <v>2478</v>
      </c>
      <c r="C116" s="17"/>
      <c r="D116" s="17" t="s">
        <v>2479</v>
      </c>
      <c r="E116" s="17" t="s">
        <v>2480</v>
      </c>
      <c r="F116" s="17" t="s">
        <v>2481</v>
      </c>
      <c r="G116" s="17" t="s">
        <v>1941</v>
      </c>
      <c r="H116" s="17">
        <v>25705</v>
      </c>
      <c r="I116" t="s">
        <v>1951</v>
      </c>
    </row>
    <row r="117" spans="1:9" x14ac:dyDescent="0.3">
      <c r="A117" s="17" t="s">
        <v>264</v>
      </c>
      <c r="B117" s="17" t="s">
        <v>2482</v>
      </c>
      <c r="C117" s="17" t="s">
        <v>2483</v>
      </c>
      <c r="D117" s="17" t="s">
        <v>2484</v>
      </c>
      <c r="E117" s="17" t="s">
        <v>2485</v>
      </c>
      <c r="F117" s="17" t="s">
        <v>2172</v>
      </c>
      <c r="G117" s="17" t="s">
        <v>2116</v>
      </c>
      <c r="H117" s="17" t="s">
        <v>2486</v>
      </c>
      <c r="I117" t="s">
        <v>1951</v>
      </c>
    </row>
    <row r="118" spans="1:9" x14ac:dyDescent="0.3">
      <c r="A118" s="17" t="s">
        <v>266</v>
      </c>
      <c r="B118" s="17" t="s">
        <v>2487</v>
      </c>
      <c r="C118" s="17" t="s">
        <v>2488</v>
      </c>
      <c r="D118" s="17" t="s">
        <v>2489</v>
      </c>
      <c r="E118" s="17" t="s">
        <v>2490</v>
      </c>
      <c r="F118" s="17" t="s">
        <v>2491</v>
      </c>
      <c r="G118" s="17" t="s">
        <v>1949</v>
      </c>
      <c r="H118" s="17" t="s">
        <v>2492</v>
      </c>
      <c r="I118" t="s">
        <v>1942</v>
      </c>
    </row>
    <row r="119" spans="1:9" x14ac:dyDescent="0.3">
      <c r="A119" s="17" t="s">
        <v>268</v>
      </c>
      <c r="B119" s="17" t="s">
        <v>2493</v>
      </c>
      <c r="C119" s="17" t="s">
        <v>2494</v>
      </c>
      <c r="D119" s="17" t="s">
        <v>2495</v>
      </c>
      <c r="E119" s="17" t="s">
        <v>2496</v>
      </c>
      <c r="F119" s="17" t="s">
        <v>1976</v>
      </c>
      <c r="G119" s="17" t="s">
        <v>1941</v>
      </c>
      <c r="H119" s="17">
        <v>45432</v>
      </c>
      <c r="I119" t="s">
        <v>1951</v>
      </c>
    </row>
    <row r="120" spans="1:9" x14ac:dyDescent="0.3">
      <c r="A120" s="17" t="s">
        <v>270</v>
      </c>
      <c r="B120" s="17" t="s">
        <v>2497</v>
      </c>
      <c r="C120" s="17" t="s">
        <v>2498</v>
      </c>
      <c r="D120" s="17" t="s">
        <v>2499</v>
      </c>
      <c r="E120" s="17" t="s">
        <v>2500</v>
      </c>
      <c r="F120" s="17" t="s">
        <v>2501</v>
      </c>
      <c r="G120" s="17" t="s">
        <v>1941</v>
      </c>
      <c r="H120" s="17">
        <v>99507</v>
      </c>
      <c r="I120" t="s">
        <v>1942</v>
      </c>
    </row>
    <row r="121" spans="1:9" x14ac:dyDescent="0.3">
      <c r="A121" s="17" t="s">
        <v>272</v>
      </c>
      <c r="B121" s="17" t="s">
        <v>2502</v>
      </c>
      <c r="C121" s="17" t="s">
        <v>2503</v>
      </c>
      <c r="D121" s="17" t="s">
        <v>2504</v>
      </c>
      <c r="E121" s="17" t="s">
        <v>2505</v>
      </c>
      <c r="F121" s="17" t="s">
        <v>2506</v>
      </c>
      <c r="G121" s="17" t="s">
        <v>1941</v>
      </c>
      <c r="H121" s="17">
        <v>37215</v>
      </c>
      <c r="I121" t="s">
        <v>1951</v>
      </c>
    </row>
    <row r="122" spans="1:9" x14ac:dyDescent="0.3">
      <c r="A122" s="17" t="s">
        <v>2507</v>
      </c>
      <c r="B122" s="17" t="s">
        <v>2508</v>
      </c>
      <c r="C122" s="17" t="s">
        <v>2509</v>
      </c>
      <c r="D122" s="17" t="s">
        <v>2510</v>
      </c>
      <c r="E122" s="17" t="s">
        <v>2511</v>
      </c>
      <c r="F122" s="17" t="s">
        <v>1986</v>
      </c>
      <c r="G122" s="17" t="s">
        <v>1941</v>
      </c>
      <c r="H122" s="17">
        <v>90040</v>
      </c>
      <c r="I122" t="s">
        <v>1942</v>
      </c>
    </row>
    <row r="123" spans="1:9" x14ac:dyDescent="0.3">
      <c r="A123" s="17" t="s">
        <v>2512</v>
      </c>
      <c r="B123" s="17" t="s">
        <v>2513</v>
      </c>
      <c r="C123" s="17" t="s">
        <v>2514</v>
      </c>
      <c r="D123" s="17" t="s">
        <v>2515</v>
      </c>
      <c r="E123" s="17" t="s">
        <v>2516</v>
      </c>
      <c r="F123" s="17" t="s">
        <v>2300</v>
      </c>
      <c r="G123" s="17" t="s">
        <v>1941</v>
      </c>
      <c r="H123" s="17">
        <v>28289</v>
      </c>
      <c r="I123" t="s">
        <v>1951</v>
      </c>
    </row>
    <row r="124" spans="1:9" x14ac:dyDescent="0.3">
      <c r="A124" s="17" t="s">
        <v>274</v>
      </c>
      <c r="B124" s="17" t="s">
        <v>2517</v>
      </c>
      <c r="C124" s="17" t="s">
        <v>2518</v>
      </c>
      <c r="D124" s="17" t="s">
        <v>2519</v>
      </c>
      <c r="E124" s="17" t="s">
        <v>2520</v>
      </c>
      <c r="F124" s="17" t="s">
        <v>2132</v>
      </c>
      <c r="G124" s="17" t="s">
        <v>1941</v>
      </c>
      <c r="H124" s="17">
        <v>80217</v>
      </c>
      <c r="I124" t="s">
        <v>1942</v>
      </c>
    </row>
    <row r="125" spans="1:9" x14ac:dyDescent="0.3">
      <c r="A125" s="17" t="s">
        <v>276</v>
      </c>
      <c r="B125" s="17" t="s">
        <v>2521</v>
      </c>
      <c r="C125" s="17" t="s">
        <v>2522</v>
      </c>
      <c r="D125" s="17" t="s">
        <v>2523</v>
      </c>
      <c r="E125" s="17" t="s">
        <v>2524</v>
      </c>
      <c r="F125" s="17" t="s">
        <v>2525</v>
      </c>
      <c r="G125" s="17" t="s">
        <v>1941</v>
      </c>
      <c r="H125" s="17">
        <v>6912</v>
      </c>
      <c r="I125" t="s">
        <v>1951</v>
      </c>
    </row>
    <row r="126" spans="1:9" x14ac:dyDescent="0.3">
      <c r="A126" s="17" t="s">
        <v>278</v>
      </c>
      <c r="B126" s="17" t="s">
        <v>2526</v>
      </c>
      <c r="C126" s="17" t="s">
        <v>2527</v>
      </c>
      <c r="D126" s="17" t="s">
        <v>2528</v>
      </c>
      <c r="E126" s="17" t="s">
        <v>2529</v>
      </c>
      <c r="F126" s="17" t="s">
        <v>2530</v>
      </c>
      <c r="G126" s="17" t="s">
        <v>1941</v>
      </c>
      <c r="H126" s="17">
        <v>23605</v>
      </c>
      <c r="I126" t="s">
        <v>1942</v>
      </c>
    </row>
    <row r="127" spans="1:9" x14ac:dyDescent="0.3">
      <c r="A127" s="17" t="s">
        <v>280</v>
      </c>
      <c r="B127" s="17" t="s">
        <v>2531</v>
      </c>
      <c r="C127" s="17" t="s">
        <v>2532</v>
      </c>
      <c r="D127" s="17" t="s">
        <v>2533</v>
      </c>
      <c r="E127" s="17" t="s">
        <v>2534</v>
      </c>
      <c r="F127" s="17" t="s">
        <v>2535</v>
      </c>
      <c r="G127" s="17" t="s">
        <v>1949</v>
      </c>
      <c r="H127" s="17" t="s">
        <v>2536</v>
      </c>
      <c r="I127" t="s">
        <v>1942</v>
      </c>
    </row>
    <row r="128" spans="1:9" x14ac:dyDescent="0.3">
      <c r="A128" s="17" t="s">
        <v>282</v>
      </c>
      <c r="B128" s="17" t="s">
        <v>2537</v>
      </c>
      <c r="C128" s="17" t="s">
        <v>2538</v>
      </c>
      <c r="D128" s="17" t="s">
        <v>2539</v>
      </c>
      <c r="E128" s="17" t="s">
        <v>2540</v>
      </c>
      <c r="F128" s="17" t="s">
        <v>2501</v>
      </c>
      <c r="G128" s="17" t="s">
        <v>1941</v>
      </c>
      <c r="H128" s="17">
        <v>99599</v>
      </c>
      <c r="I128" t="s">
        <v>1951</v>
      </c>
    </row>
    <row r="129" spans="1:9" x14ac:dyDescent="0.3">
      <c r="A129" s="17" t="s">
        <v>284</v>
      </c>
      <c r="B129" s="17" t="s">
        <v>2541</v>
      </c>
      <c r="C129" s="17" t="s">
        <v>2542</v>
      </c>
      <c r="D129" s="17" t="s">
        <v>2543</v>
      </c>
      <c r="E129" s="17" t="s">
        <v>2544</v>
      </c>
      <c r="F129" s="17" t="s">
        <v>2366</v>
      </c>
      <c r="G129" s="17" t="s">
        <v>1949</v>
      </c>
      <c r="H129" s="17" t="s">
        <v>2545</v>
      </c>
      <c r="I129" t="s">
        <v>1951</v>
      </c>
    </row>
    <row r="130" spans="1:9" x14ac:dyDescent="0.3">
      <c r="A130" s="17" t="s">
        <v>286</v>
      </c>
      <c r="B130" s="17" t="s">
        <v>2546</v>
      </c>
      <c r="C130" s="17" t="s">
        <v>2547</v>
      </c>
      <c r="D130" s="17" t="s">
        <v>2548</v>
      </c>
      <c r="E130" s="17" t="s">
        <v>2549</v>
      </c>
      <c r="F130" s="17" t="s">
        <v>2550</v>
      </c>
      <c r="G130" s="17" t="s">
        <v>1941</v>
      </c>
      <c r="H130" s="17">
        <v>58122</v>
      </c>
      <c r="I130" t="s">
        <v>1951</v>
      </c>
    </row>
    <row r="131" spans="1:9" x14ac:dyDescent="0.3">
      <c r="A131" s="17" t="s">
        <v>288</v>
      </c>
      <c r="B131" s="17" t="s">
        <v>2551</v>
      </c>
      <c r="C131" s="17" t="s">
        <v>2552</v>
      </c>
      <c r="D131" s="17" t="s">
        <v>2553</v>
      </c>
      <c r="E131" s="17" t="s">
        <v>2554</v>
      </c>
      <c r="F131" s="17" t="s">
        <v>2555</v>
      </c>
      <c r="G131" s="17" t="s">
        <v>1941</v>
      </c>
      <c r="H131" s="17">
        <v>47737</v>
      </c>
      <c r="I131" t="s">
        <v>1942</v>
      </c>
    </row>
    <row r="132" spans="1:9" x14ac:dyDescent="0.3">
      <c r="A132" s="17" t="s">
        <v>290</v>
      </c>
      <c r="B132" s="17" t="s">
        <v>2556</v>
      </c>
      <c r="C132" s="17"/>
      <c r="D132" s="17" t="s">
        <v>2557</v>
      </c>
      <c r="E132" s="17" t="s">
        <v>2558</v>
      </c>
      <c r="F132" s="17" t="s">
        <v>2476</v>
      </c>
      <c r="G132" s="17" t="s">
        <v>1949</v>
      </c>
      <c r="H132" s="17" t="s">
        <v>2477</v>
      </c>
      <c r="I132" t="s">
        <v>1942</v>
      </c>
    </row>
    <row r="133" spans="1:9" x14ac:dyDescent="0.3">
      <c r="A133" s="17" t="s">
        <v>292</v>
      </c>
      <c r="B133" s="17" t="s">
        <v>2559</v>
      </c>
      <c r="C133" s="17" t="s">
        <v>2560</v>
      </c>
      <c r="D133" s="17" t="s">
        <v>2561</v>
      </c>
      <c r="E133" s="17" t="s">
        <v>2562</v>
      </c>
      <c r="F133" s="17" t="s">
        <v>2300</v>
      </c>
      <c r="G133" s="17" t="s">
        <v>1941</v>
      </c>
      <c r="H133" s="17">
        <v>28210</v>
      </c>
      <c r="I133" t="s">
        <v>1942</v>
      </c>
    </row>
    <row r="134" spans="1:9" x14ac:dyDescent="0.3">
      <c r="A134" s="17" t="s">
        <v>294</v>
      </c>
      <c r="B134" s="17" t="s">
        <v>2563</v>
      </c>
      <c r="C134" s="17" t="s">
        <v>2564</v>
      </c>
      <c r="D134" s="17" t="s">
        <v>2565</v>
      </c>
      <c r="E134" s="17" t="s">
        <v>2566</v>
      </c>
      <c r="F134" s="17" t="s">
        <v>2567</v>
      </c>
      <c r="G134" s="17" t="s">
        <v>1941</v>
      </c>
      <c r="H134" s="17">
        <v>35815</v>
      </c>
      <c r="I134" t="s">
        <v>1942</v>
      </c>
    </row>
    <row r="135" spans="1:9" x14ac:dyDescent="0.3">
      <c r="A135" s="17" t="s">
        <v>296</v>
      </c>
      <c r="B135" s="17" t="s">
        <v>2568</v>
      </c>
      <c r="C135" s="17" t="s">
        <v>2569</v>
      </c>
      <c r="D135" s="17" t="s">
        <v>2570</v>
      </c>
      <c r="E135" s="17" t="s">
        <v>2571</v>
      </c>
      <c r="F135" s="17" t="s">
        <v>2572</v>
      </c>
      <c r="G135" s="17" t="s">
        <v>1941</v>
      </c>
      <c r="H135" s="17">
        <v>92725</v>
      </c>
      <c r="I135" t="s">
        <v>1951</v>
      </c>
    </row>
    <row r="136" spans="1:9" x14ac:dyDescent="0.3">
      <c r="A136" s="17" t="s">
        <v>298</v>
      </c>
      <c r="B136" s="17" t="s">
        <v>2573</v>
      </c>
      <c r="C136" s="17"/>
      <c r="D136" s="17"/>
      <c r="E136" s="17" t="s">
        <v>2574</v>
      </c>
      <c r="F136" s="17" t="s">
        <v>2186</v>
      </c>
      <c r="G136" s="17" t="s">
        <v>1941</v>
      </c>
      <c r="H136" s="17">
        <v>20520</v>
      </c>
      <c r="I136" t="s">
        <v>1942</v>
      </c>
    </row>
    <row r="137" spans="1:9" x14ac:dyDescent="0.3">
      <c r="A137" s="17" t="s">
        <v>2575</v>
      </c>
      <c r="B137" s="17" t="s">
        <v>2576</v>
      </c>
      <c r="C137" s="17" t="s">
        <v>2577</v>
      </c>
      <c r="D137" s="17" t="s">
        <v>2578</v>
      </c>
      <c r="E137" s="17" t="s">
        <v>2579</v>
      </c>
      <c r="F137" s="17" t="s">
        <v>2580</v>
      </c>
      <c r="G137" s="17" t="s">
        <v>1949</v>
      </c>
      <c r="H137" s="17" t="s">
        <v>2581</v>
      </c>
      <c r="I137" t="s">
        <v>1951</v>
      </c>
    </row>
    <row r="138" spans="1:9" x14ac:dyDescent="0.3">
      <c r="A138" s="17" t="s">
        <v>302</v>
      </c>
      <c r="B138" s="17" t="s">
        <v>2582</v>
      </c>
      <c r="C138" s="17" t="s">
        <v>2583</v>
      </c>
      <c r="D138" s="17" t="s">
        <v>2584</v>
      </c>
      <c r="E138" s="17" t="s">
        <v>2585</v>
      </c>
      <c r="F138" s="17" t="s">
        <v>2013</v>
      </c>
      <c r="G138" s="17" t="s">
        <v>1941</v>
      </c>
      <c r="H138" s="17">
        <v>63131</v>
      </c>
      <c r="I138" t="s">
        <v>1951</v>
      </c>
    </row>
    <row r="139" spans="1:9" x14ac:dyDescent="0.3">
      <c r="A139" s="17" t="s">
        <v>304</v>
      </c>
      <c r="B139" s="17" t="s">
        <v>2586</v>
      </c>
      <c r="C139" s="17"/>
      <c r="D139" s="17" t="s">
        <v>2587</v>
      </c>
      <c r="E139" s="17" t="s">
        <v>2588</v>
      </c>
      <c r="F139" s="17" t="s">
        <v>2105</v>
      </c>
      <c r="G139" s="17" t="s">
        <v>1949</v>
      </c>
      <c r="H139" s="17" t="s">
        <v>2106</v>
      </c>
      <c r="I139" t="s">
        <v>1951</v>
      </c>
    </row>
    <row r="140" spans="1:9" x14ac:dyDescent="0.3">
      <c r="A140" s="17" t="s">
        <v>306</v>
      </c>
      <c r="B140" s="17" t="s">
        <v>2589</v>
      </c>
      <c r="C140" s="17"/>
      <c r="D140" s="17" t="s">
        <v>2590</v>
      </c>
      <c r="E140" s="17" t="s">
        <v>2591</v>
      </c>
      <c r="F140" s="17" t="s">
        <v>2592</v>
      </c>
      <c r="G140" s="17" t="s">
        <v>1941</v>
      </c>
      <c r="H140" s="17">
        <v>96805</v>
      </c>
      <c r="I140" t="s">
        <v>1951</v>
      </c>
    </row>
    <row r="141" spans="1:9" x14ac:dyDescent="0.3">
      <c r="A141" s="17" t="s">
        <v>308</v>
      </c>
      <c r="B141" s="17" t="s">
        <v>2593</v>
      </c>
      <c r="C141" s="17"/>
      <c r="D141" s="17" t="s">
        <v>2594</v>
      </c>
      <c r="E141" s="17" t="s">
        <v>2595</v>
      </c>
      <c r="F141" s="17" t="s">
        <v>2383</v>
      </c>
      <c r="G141" s="17" t="s">
        <v>1941</v>
      </c>
      <c r="H141" s="17">
        <v>92878</v>
      </c>
      <c r="I141" t="s">
        <v>1942</v>
      </c>
    </row>
    <row r="142" spans="1:9" x14ac:dyDescent="0.3">
      <c r="A142" s="17" t="s">
        <v>310</v>
      </c>
      <c r="B142" s="17" t="s">
        <v>2596</v>
      </c>
      <c r="C142" s="17" t="s">
        <v>2597</v>
      </c>
      <c r="D142" s="17" t="s">
        <v>2598</v>
      </c>
      <c r="E142" s="17" t="s">
        <v>2599</v>
      </c>
      <c r="F142" s="17" t="s">
        <v>2600</v>
      </c>
      <c r="G142" s="17" t="s">
        <v>1949</v>
      </c>
      <c r="H142" s="17" t="s">
        <v>2545</v>
      </c>
      <c r="I142" t="s">
        <v>1942</v>
      </c>
    </row>
    <row r="143" spans="1:9" x14ac:dyDescent="0.3">
      <c r="A143" s="17" t="s">
        <v>312</v>
      </c>
      <c r="B143" s="17" t="s">
        <v>2601</v>
      </c>
      <c r="C143" s="17" t="s">
        <v>2602</v>
      </c>
      <c r="D143" s="17" t="s">
        <v>2603</v>
      </c>
      <c r="E143" s="17" t="s">
        <v>2604</v>
      </c>
      <c r="F143" s="17" t="s">
        <v>2186</v>
      </c>
      <c r="G143" s="17" t="s">
        <v>1941</v>
      </c>
      <c r="H143" s="17">
        <v>20520</v>
      </c>
      <c r="I143" t="s">
        <v>1942</v>
      </c>
    </row>
    <row r="144" spans="1:9" x14ac:dyDescent="0.3">
      <c r="A144" s="17" t="s">
        <v>314</v>
      </c>
      <c r="B144" s="17" t="s">
        <v>2605</v>
      </c>
      <c r="C144" s="17"/>
      <c r="D144" s="17"/>
      <c r="E144" s="17" t="s">
        <v>2606</v>
      </c>
      <c r="F144" s="17" t="s">
        <v>2607</v>
      </c>
      <c r="G144" s="17" t="s">
        <v>1949</v>
      </c>
      <c r="H144" s="17" t="s">
        <v>2310</v>
      </c>
      <c r="I144" t="s">
        <v>1942</v>
      </c>
    </row>
    <row r="145" spans="1:9" x14ac:dyDescent="0.3">
      <c r="A145" s="17" t="s">
        <v>316</v>
      </c>
      <c r="B145" s="17" t="s">
        <v>2608</v>
      </c>
      <c r="C145" s="17" t="s">
        <v>2609</v>
      </c>
      <c r="D145" s="17" t="s">
        <v>2610</v>
      </c>
      <c r="E145" s="17" t="s">
        <v>2611</v>
      </c>
      <c r="F145" s="17" t="s">
        <v>2027</v>
      </c>
      <c r="G145" s="17" t="s">
        <v>1941</v>
      </c>
      <c r="H145" s="17">
        <v>77281</v>
      </c>
      <c r="I145" t="s">
        <v>1951</v>
      </c>
    </row>
    <row r="146" spans="1:9" x14ac:dyDescent="0.3">
      <c r="A146" s="17" t="s">
        <v>318</v>
      </c>
      <c r="B146" s="17" t="s">
        <v>2612</v>
      </c>
      <c r="C146" s="17" t="s">
        <v>2613</v>
      </c>
      <c r="D146" s="17" t="s">
        <v>2614</v>
      </c>
      <c r="E146" s="17" t="s">
        <v>2615</v>
      </c>
      <c r="F146" s="17" t="s">
        <v>2616</v>
      </c>
      <c r="G146" s="17" t="s">
        <v>1941</v>
      </c>
      <c r="H146" s="17">
        <v>92668</v>
      </c>
      <c r="I146" t="s">
        <v>1942</v>
      </c>
    </row>
    <row r="147" spans="1:9" x14ac:dyDescent="0.3">
      <c r="A147" s="17" t="s">
        <v>320</v>
      </c>
      <c r="B147" s="17" t="s">
        <v>2617</v>
      </c>
      <c r="C147" s="17" t="s">
        <v>2618</v>
      </c>
      <c r="D147" s="17" t="s">
        <v>2619</v>
      </c>
      <c r="E147" s="17" t="s">
        <v>2620</v>
      </c>
      <c r="F147" s="17" t="s">
        <v>2448</v>
      </c>
      <c r="G147" s="17" t="s">
        <v>1941</v>
      </c>
      <c r="H147" s="17">
        <v>88553</v>
      </c>
      <c r="I147" t="s">
        <v>1951</v>
      </c>
    </row>
    <row r="148" spans="1:9" x14ac:dyDescent="0.3">
      <c r="A148" s="17" t="s">
        <v>322</v>
      </c>
      <c r="B148" s="17" t="s">
        <v>2621</v>
      </c>
      <c r="C148" s="17" t="s">
        <v>2622</v>
      </c>
      <c r="D148" s="17" t="s">
        <v>2623</v>
      </c>
      <c r="E148" s="17" t="s">
        <v>2624</v>
      </c>
      <c r="F148" s="17" t="s">
        <v>2625</v>
      </c>
      <c r="G148" s="17" t="s">
        <v>1941</v>
      </c>
      <c r="H148" s="17">
        <v>89714</v>
      </c>
      <c r="I148" t="s">
        <v>1951</v>
      </c>
    </row>
    <row r="149" spans="1:9" x14ac:dyDescent="0.3">
      <c r="A149" s="17" t="s">
        <v>2626</v>
      </c>
      <c r="B149" s="17" t="s">
        <v>2627</v>
      </c>
      <c r="C149" s="17" t="s">
        <v>2628</v>
      </c>
      <c r="D149" s="17" t="s">
        <v>2629</v>
      </c>
      <c r="E149" s="17" t="s">
        <v>2630</v>
      </c>
      <c r="F149" s="17" t="s">
        <v>2266</v>
      </c>
      <c r="G149" s="17" t="s">
        <v>1941</v>
      </c>
      <c r="H149" s="17">
        <v>76105</v>
      </c>
      <c r="I149" t="s">
        <v>1942</v>
      </c>
    </row>
    <row r="150" spans="1:9" x14ac:dyDescent="0.3">
      <c r="A150" s="17" t="s">
        <v>324</v>
      </c>
      <c r="B150" s="17" t="s">
        <v>2631</v>
      </c>
      <c r="C150" s="17" t="s">
        <v>2632</v>
      </c>
      <c r="D150" s="17" t="s">
        <v>2633</v>
      </c>
      <c r="E150" s="17" t="s">
        <v>2634</v>
      </c>
      <c r="F150" s="17" t="s">
        <v>2206</v>
      </c>
      <c r="G150" s="17" t="s">
        <v>1941</v>
      </c>
      <c r="H150" s="17">
        <v>84605</v>
      </c>
      <c r="I150" t="s">
        <v>1942</v>
      </c>
    </row>
    <row r="151" spans="1:9" x14ac:dyDescent="0.3">
      <c r="A151" s="17" t="s">
        <v>326</v>
      </c>
      <c r="B151" s="17" t="s">
        <v>2635</v>
      </c>
      <c r="C151" s="17"/>
      <c r="D151" s="17" t="s">
        <v>2636</v>
      </c>
      <c r="E151" s="17" t="s">
        <v>2637</v>
      </c>
      <c r="F151" s="17" t="s">
        <v>2638</v>
      </c>
      <c r="G151" s="17" t="s">
        <v>1941</v>
      </c>
      <c r="H151" s="17">
        <v>33487</v>
      </c>
      <c r="I151" t="s">
        <v>1942</v>
      </c>
    </row>
    <row r="152" spans="1:9" x14ac:dyDescent="0.3">
      <c r="A152" s="17" t="s">
        <v>328</v>
      </c>
      <c r="B152" s="17" t="s">
        <v>2639</v>
      </c>
      <c r="C152" s="17" t="s">
        <v>2640</v>
      </c>
      <c r="D152" s="17" t="s">
        <v>2641</v>
      </c>
      <c r="E152" s="17" t="s">
        <v>2642</v>
      </c>
      <c r="F152" s="17" t="s">
        <v>2643</v>
      </c>
      <c r="G152" s="17" t="s">
        <v>1941</v>
      </c>
      <c r="H152" s="17">
        <v>24040</v>
      </c>
      <c r="I152" t="s">
        <v>1942</v>
      </c>
    </row>
    <row r="153" spans="1:9" x14ac:dyDescent="0.3">
      <c r="A153" s="17" t="s">
        <v>330</v>
      </c>
      <c r="B153" s="17" t="s">
        <v>2644</v>
      </c>
      <c r="C153" s="17"/>
      <c r="D153" s="17" t="s">
        <v>2645</v>
      </c>
      <c r="E153" s="17" t="s">
        <v>2646</v>
      </c>
      <c r="F153" s="17" t="s">
        <v>2647</v>
      </c>
      <c r="G153" s="17" t="s">
        <v>1941</v>
      </c>
      <c r="H153" s="17">
        <v>50369</v>
      </c>
      <c r="I153" t="s">
        <v>1942</v>
      </c>
    </row>
    <row r="154" spans="1:9" x14ac:dyDescent="0.3">
      <c r="A154" s="17" t="s">
        <v>332</v>
      </c>
      <c r="B154" s="17" t="s">
        <v>2648</v>
      </c>
      <c r="C154" s="17" t="s">
        <v>2649</v>
      </c>
      <c r="D154" s="17" t="s">
        <v>2650</v>
      </c>
      <c r="E154" s="17" t="s">
        <v>2651</v>
      </c>
      <c r="F154" s="17" t="s">
        <v>2592</v>
      </c>
      <c r="G154" s="17" t="s">
        <v>1941</v>
      </c>
      <c r="H154" s="17">
        <v>96805</v>
      </c>
      <c r="I154" t="s">
        <v>1942</v>
      </c>
    </row>
    <row r="155" spans="1:9" x14ac:dyDescent="0.3">
      <c r="A155" s="17" t="s">
        <v>334</v>
      </c>
      <c r="B155" s="17" t="s">
        <v>2652</v>
      </c>
      <c r="C155" s="17"/>
      <c r="D155" s="17" t="s">
        <v>2653</v>
      </c>
      <c r="E155" s="17" t="s">
        <v>2654</v>
      </c>
      <c r="F155" s="17" t="s">
        <v>2191</v>
      </c>
      <c r="G155" s="17" t="s">
        <v>1941</v>
      </c>
      <c r="H155" s="17">
        <v>33345</v>
      </c>
      <c r="I155" t="s">
        <v>1951</v>
      </c>
    </row>
    <row r="156" spans="1:9" x14ac:dyDescent="0.3">
      <c r="A156" s="17" t="s">
        <v>336</v>
      </c>
      <c r="B156" s="17" t="s">
        <v>2655</v>
      </c>
      <c r="C156" s="17" t="s">
        <v>2656</v>
      </c>
      <c r="D156" s="17" t="s">
        <v>2657</v>
      </c>
      <c r="E156" s="17" t="s">
        <v>2658</v>
      </c>
      <c r="F156" s="17" t="s">
        <v>2017</v>
      </c>
      <c r="G156" s="17" t="s">
        <v>1941</v>
      </c>
      <c r="H156" s="17">
        <v>19172</v>
      </c>
      <c r="I156" t="s">
        <v>1951</v>
      </c>
    </row>
    <row r="157" spans="1:9" x14ac:dyDescent="0.3">
      <c r="A157" s="17" t="s">
        <v>338</v>
      </c>
      <c r="B157" s="17" t="s">
        <v>2659</v>
      </c>
      <c r="C157" s="17" t="s">
        <v>2660</v>
      </c>
      <c r="D157" s="17" t="s">
        <v>2661</v>
      </c>
      <c r="E157" s="17" t="s">
        <v>2662</v>
      </c>
      <c r="F157" s="17" t="s">
        <v>2663</v>
      </c>
      <c r="G157" s="17" t="s">
        <v>1941</v>
      </c>
      <c r="H157" s="17">
        <v>6854</v>
      </c>
      <c r="I157" t="s">
        <v>1942</v>
      </c>
    </row>
    <row r="158" spans="1:9" x14ac:dyDescent="0.3">
      <c r="A158" s="17" t="s">
        <v>340</v>
      </c>
      <c r="B158" s="17" t="s">
        <v>2664</v>
      </c>
      <c r="C158" s="17" t="s">
        <v>2665</v>
      </c>
      <c r="D158" s="17" t="s">
        <v>2666</v>
      </c>
      <c r="E158" s="17" t="s">
        <v>2667</v>
      </c>
      <c r="F158" s="17" t="s">
        <v>2668</v>
      </c>
      <c r="G158" s="17" t="s">
        <v>1941</v>
      </c>
      <c r="H158" s="17">
        <v>76011</v>
      </c>
      <c r="I158" t="s">
        <v>1942</v>
      </c>
    </row>
    <row r="159" spans="1:9" x14ac:dyDescent="0.3">
      <c r="A159" s="17" t="s">
        <v>342</v>
      </c>
      <c r="B159" s="17" t="s">
        <v>2669</v>
      </c>
      <c r="C159" s="17" t="s">
        <v>2670</v>
      </c>
      <c r="D159" s="17" t="s">
        <v>2671</v>
      </c>
      <c r="E159" s="17" t="s">
        <v>2672</v>
      </c>
      <c r="F159" s="17" t="s">
        <v>2673</v>
      </c>
      <c r="G159" s="17" t="s">
        <v>1949</v>
      </c>
      <c r="H159" s="17" t="s">
        <v>2674</v>
      </c>
      <c r="I159" t="s">
        <v>1951</v>
      </c>
    </row>
    <row r="160" spans="1:9" x14ac:dyDescent="0.3">
      <c r="A160" s="17" t="s">
        <v>344</v>
      </c>
      <c r="B160" s="17" t="s">
        <v>2675</v>
      </c>
      <c r="C160" s="17"/>
      <c r="D160" s="17" t="s">
        <v>2676</v>
      </c>
      <c r="E160" s="17" t="s">
        <v>2677</v>
      </c>
      <c r="F160" s="17" t="s">
        <v>2678</v>
      </c>
      <c r="G160" s="17" t="s">
        <v>1941</v>
      </c>
      <c r="H160" s="17">
        <v>37416</v>
      </c>
      <c r="I160" t="s">
        <v>1942</v>
      </c>
    </row>
    <row r="161" spans="1:9" x14ac:dyDescent="0.3">
      <c r="A161" s="17" t="s">
        <v>346</v>
      </c>
      <c r="B161" s="17" t="s">
        <v>2679</v>
      </c>
      <c r="C161" s="17"/>
      <c r="D161" s="17" t="s">
        <v>2680</v>
      </c>
      <c r="E161" s="17" t="s">
        <v>2681</v>
      </c>
      <c r="F161" s="17" t="s">
        <v>2022</v>
      </c>
      <c r="G161" s="17" t="s">
        <v>1941</v>
      </c>
      <c r="H161" s="17">
        <v>97296</v>
      </c>
      <c r="I161" t="s">
        <v>1951</v>
      </c>
    </row>
    <row r="162" spans="1:9" x14ac:dyDescent="0.3">
      <c r="A162" s="17" t="s">
        <v>348</v>
      </c>
      <c r="B162" s="17" t="s">
        <v>2682</v>
      </c>
      <c r="C162" s="17" t="s">
        <v>2683</v>
      </c>
      <c r="D162" s="17" t="s">
        <v>2684</v>
      </c>
      <c r="E162" s="17" t="s">
        <v>2685</v>
      </c>
      <c r="F162" s="17" t="s">
        <v>2362</v>
      </c>
      <c r="G162" s="17" t="s">
        <v>1941</v>
      </c>
      <c r="H162" s="17">
        <v>73135</v>
      </c>
      <c r="I162" t="s">
        <v>1951</v>
      </c>
    </row>
    <row r="163" spans="1:9" x14ac:dyDescent="0.3">
      <c r="A163" s="17" t="s">
        <v>350</v>
      </c>
      <c r="B163" s="17" t="s">
        <v>2686</v>
      </c>
      <c r="C163" s="17" t="s">
        <v>2687</v>
      </c>
      <c r="D163" s="17" t="s">
        <v>2688</v>
      </c>
      <c r="E163" s="17" t="s">
        <v>2689</v>
      </c>
      <c r="F163" s="17" t="s">
        <v>2186</v>
      </c>
      <c r="G163" s="17" t="s">
        <v>1941</v>
      </c>
      <c r="H163" s="17">
        <v>20520</v>
      </c>
      <c r="I163" t="s">
        <v>1951</v>
      </c>
    </row>
    <row r="164" spans="1:9" x14ac:dyDescent="0.3">
      <c r="A164" s="17" t="s">
        <v>352</v>
      </c>
      <c r="B164" s="17" t="s">
        <v>2690</v>
      </c>
      <c r="C164" s="17" t="s">
        <v>2691</v>
      </c>
      <c r="D164" s="17" t="s">
        <v>2692</v>
      </c>
      <c r="E164" s="17" t="s">
        <v>2693</v>
      </c>
      <c r="F164" s="17" t="s">
        <v>2694</v>
      </c>
      <c r="G164" s="17" t="s">
        <v>1941</v>
      </c>
      <c r="H164" s="17">
        <v>27415</v>
      </c>
      <c r="I164" t="s">
        <v>1942</v>
      </c>
    </row>
    <row r="165" spans="1:9" x14ac:dyDescent="0.3">
      <c r="A165" s="17" t="s">
        <v>354</v>
      </c>
      <c r="B165" s="17" t="s">
        <v>2695</v>
      </c>
      <c r="C165" s="17" t="s">
        <v>2696</v>
      </c>
      <c r="D165" s="17" t="s">
        <v>2697</v>
      </c>
      <c r="E165" s="17" t="s">
        <v>2698</v>
      </c>
      <c r="F165" s="17" t="s">
        <v>2699</v>
      </c>
      <c r="G165" s="17" t="s">
        <v>1941</v>
      </c>
      <c r="H165" s="17">
        <v>22313</v>
      </c>
      <c r="I165" t="s">
        <v>1951</v>
      </c>
    </row>
    <row r="166" spans="1:9" x14ac:dyDescent="0.3">
      <c r="A166" s="17" t="s">
        <v>356</v>
      </c>
      <c r="B166" s="17" t="s">
        <v>2700</v>
      </c>
      <c r="C166" s="17" t="s">
        <v>2701</v>
      </c>
      <c r="D166" s="17" t="s">
        <v>2702</v>
      </c>
      <c r="E166" s="17" t="s">
        <v>2703</v>
      </c>
      <c r="F166" s="17" t="s">
        <v>2704</v>
      </c>
      <c r="G166" s="17" t="s">
        <v>1949</v>
      </c>
      <c r="H166" s="17" t="s">
        <v>2705</v>
      </c>
      <c r="I166" t="s">
        <v>1951</v>
      </c>
    </row>
    <row r="167" spans="1:9" x14ac:dyDescent="0.3">
      <c r="A167" s="17" t="s">
        <v>358</v>
      </c>
      <c r="B167" s="17" t="s">
        <v>2706</v>
      </c>
      <c r="C167" s="17"/>
      <c r="D167" s="17" t="s">
        <v>2707</v>
      </c>
      <c r="E167" s="17" t="s">
        <v>2708</v>
      </c>
      <c r="F167" s="17" t="s">
        <v>2709</v>
      </c>
      <c r="G167" s="17" t="s">
        <v>1941</v>
      </c>
      <c r="H167" s="17">
        <v>53405</v>
      </c>
      <c r="I167" t="s">
        <v>1942</v>
      </c>
    </row>
    <row r="168" spans="1:9" x14ac:dyDescent="0.3">
      <c r="A168" s="17" t="s">
        <v>360</v>
      </c>
      <c r="B168" s="17" t="s">
        <v>2710</v>
      </c>
      <c r="C168" s="17"/>
      <c r="D168" s="17" t="s">
        <v>2711</v>
      </c>
      <c r="E168" s="17" t="s">
        <v>2712</v>
      </c>
      <c r="F168" s="17" t="s">
        <v>2713</v>
      </c>
      <c r="G168" s="17" t="s">
        <v>1941</v>
      </c>
      <c r="H168" s="17">
        <v>34629</v>
      </c>
      <c r="I168" t="s">
        <v>1942</v>
      </c>
    </row>
    <row r="169" spans="1:9" x14ac:dyDescent="0.3">
      <c r="A169" s="17" t="s">
        <v>362</v>
      </c>
      <c r="B169" s="17" t="s">
        <v>2714</v>
      </c>
      <c r="C169" s="17" t="s">
        <v>2715</v>
      </c>
      <c r="D169" s="17" t="s">
        <v>2716</v>
      </c>
      <c r="E169" s="17" t="s">
        <v>2717</v>
      </c>
      <c r="F169" s="17" t="s">
        <v>2709</v>
      </c>
      <c r="G169" s="17" t="s">
        <v>1941</v>
      </c>
      <c r="H169" s="17">
        <v>53405</v>
      </c>
      <c r="I169" t="s">
        <v>1942</v>
      </c>
    </row>
    <row r="170" spans="1:9" x14ac:dyDescent="0.3">
      <c r="A170" s="17" t="s">
        <v>364</v>
      </c>
      <c r="B170" s="17" t="s">
        <v>2718</v>
      </c>
      <c r="C170" s="17"/>
      <c r="D170" s="17" t="s">
        <v>2719</v>
      </c>
      <c r="E170" s="17" t="s">
        <v>2720</v>
      </c>
      <c r="F170" s="17" t="s">
        <v>2704</v>
      </c>
      <c r="G170" s="17" t="s">
        <v>1949</v>
      </c>
      <c r="H170" s="17" t="s">
        <v>2705</v>
      </c>
      <c r="I170" t="s">
        <v>1951</v>
      </c>
    </row>
    <row r="171" spans="1:9" x14ac:dyDescent="0.3">
      <c r="A171" s="17" t="s">
        <v>366</v>
      </c>
      <c r="B171" s="17" t="s">
        <v>2721</v>
      </c>
      <c r="C171" s="17" t="s">
        <v>2722</v>
      </c>
      <c r="D171" s="17" t="s">
        <v>2723</v>
      </c>
      <c r="E171" s="17" t="s">
        <v>2724</v>
      </c>
      <c r="F171" s="17" t="s">
        <v>2725</v>
      </c>
      <c r="G171" s="17" t="s">
        <v>1949</v>
      </c>
      <c r="H171" s="17" t="s">
        <v>2726</v>
      </c>
      <c r="I171" t="s">
        <v>1951</v>
      </c>
    </row>
    <row r="172" spans="1:9" x14ac:dyDescent="0.3">
      <c r="A172" s="17" t="s">
        <v>368</v>
      </c>
      <c r="B172" s="17" t="s">
        <v>2727</v>
      </c>
      <c r="C172" s="17" t="s">
        <v>2728</v>
      </c>
      <c r="D172" s="17"/>
      <c r="E172" s="17" t="s">
        <v>2729</v>
      </c>
      <c r="F172" s="17" t="s">
        <v>2730</v>
      </c>
      <c r="G172" s="17" t="s">
        <v>2116</v>
      </c>
      <c r="H172" s="17" t="s">
        <v>2731</v>
      </c>
      <c r="I172" t="s">
        <v>1951</v>
      </c>
    </row>
    <row r="173" spans="1:9" x14ac:dyDescent="0.3">
      <c r="A173" s="17" t="s">
        <v>370</v>
      </c>
      <c r="B173" s="17" t="s">
        <v>2732</v>
      </c>
      <c r="C173" s="17" t="s">
        <v>2733</v>
      </c>
      <c r="D173" s="17" t="s">
        <v>2734</v>
      </c>
      <c r="E173" s="17" t="s">
        <v>2735</v>
      </c>
      <c r="F173" s="17" t="s">
        <v>2220</v>
      </c>
      <c r="G173" s="17" t="s">
        <v>1941</v>
      </c>
      <c r="H173" s="17">
        <v>33686</v>
      </c>
      <c r="I173" t="s">
        <v>1942</v>
      </c>
    </row>
    <row r="174" spans="1:9" x14ac:dyDescent="0.3">
      <c r="A174" s="17" t="s">
        <v>372</v>
      </c>
      <c r="B174" s="17" t="s">
        <v>2736</v>
      </c>
      <c r="C174" s="17" t="s">
        <v>2737</v>
      </c>
      <c r="D174" s="17"/>
      <c r="E174" s="17" t="s">
        <v>2738</v>
      </c>
      <c r="F174" s="17" t="s">
        <v>2739</v>
      </c>
      <c r="G174" s="17" t="s">
        <v>1949</v>
      </c>
      <c r="H174" s="17" t="s">
        <v>2412</v>
      </c>
      <c r="I174" t="s">
        <v>1951</v>
      </c>
    </row>
    <row r="175" spans="1:9" x14ac:dyDescent="0.3">
      <c r="A175" s="17" t="s">
        <v>374</v>
      </c>
      <c r="B175" s="17" t="s">
        <v>2740</v>
      </c>
      <c r="C175" s="17" t="s">
        <v>2741</v>
      </c>
      <c r="D175" s="17" t="s">
        <v>2742</v>
      </c>
      <c r="E175" s="17" t="s">
        <v>2743</v>
      </c>
      <c r="F175" s="17" t="s">
        <v>2744</v>
      </c>
      <c r="G175" s="17" t="s">
        <v>1941</v>
      </c>
      <c r="H175" s="17">
        <v>36195</v>
      </c>
      <c r="I175" t="s">
        <v>1951</v>
      </c>
    </row>
    <row r="176" spans="1:9" x14ac:dyDescent="0.3">
      <c r="A176" s="17" t="s">
        <v>376</v>
      </c>
      <c r="B176" s="17" t="s">
        <v>2745</v>
      </c>
      <c r="C176" s="17"/>
      <c r="D176" s="17" t="s">
        <v>2746</v>
      </c>
      <c r="E176" s="17" t="s">
        <v>2747</v>
      </c>
      <c r="F176" s="17" t="s">
        <v>2748</v>
      </c>
      <c r="G176" s="17" t="s">
        <v>1941</v>
      </c>
      <c r="H176" s="17">
        <v>89436</v>
      </c>
      <c r="I176" t="s">
        <v>1942</v>
      </c>
    </row>
    <row r="177" spans="1:9" x14ac:dyDescent="0.3">
      <c r="A177" s="17" t="s">
        <v>378</v>
      </c>
      <c r="B177" s="17" t="s">
        <v>2749</v>
      </c>
      <c r="C177" s="17" t="s">
        <v>2750</v>
      </c>
      <c r="D177" s="17" t="s">
        <v>2751</v>
      </c>
      <c r="E177" s="17" t="s">
        <v>2752</v>
      </c>
      <c r="F177" s="17" t="s">
        <v>2753</v>
      </c>
      <c r="G177" s="17" t="s">
        <v>1941</v>
      </c>
      <c r="H177" s="17">
        <v>31205</v>
      </c>
      <c r="I177" t="s">
        <v>1942</v>
      </c>
    </row>
    <row r="178" spans="1:9" x14ac:dyDescent="0.3">
      <c r="A178" s="17" t="s">
        <v>380</v>
      </c>
      <c r="B178" s="17" t="s">
        <v>2754</v>
      </c>
      <c r="C178" s="17" t="s">
        <v>2755</v>
      </c>
      <c r="D178" s="17" t="s">
        <v>2756</v>
      </c>
      <c r="E178" s="17" t="s">
        <v>2757</v>
      </c>
      <c r="F178" s="17" t="s">
        <v>2758</v>
      </c>
      <c r="G178" s="17" t="s">
        <v>1941</v>
      </c>
      <c r="H178" s="17">
        <v>90605</v>
      </c>
      <c r="I178" t="s">
        <v>1942</v>
      </c>
    </row>
    <row r="179" spans="1:9" x14ac:dyDescent="0.3">
      <c r="A179" s="17" t="s">
        <v>382</v>
      </c>
      <c r="B179" s="17" t="s">
        <v>2759</v>
      </c>
      <c r="C179" s="17" t="s">
        <v>2760</v>
      </c>
      <c r="D179" s="17"/>
      <c r="E179" s="17" t="s">
        <v>2761</v>
      </c>
      <c r="F179" s="17" t="s">
        <v>2762</v>
      </c>
      <c r="G179" s="17" t="s">
        <v>1941</v>
      </c>
      <c r="H179" s="17">
        <v>37605</v>
      </c>
      <c r="I179" t="s">
        <v>1942</v>
      </c>
    </row>
    <row r="180" spans="1:9" x14ac:dyDescent="0.3">
      <c r="A180" s="17" t="s">
        <v>384</v>
      </c>
      <c r="B180" s="17" t="s">
        <v>2763</v>
      </c>
      <c r="C180" s="17" t="s">
        <v>2764</v>
      </c>
      <c r="D180" s="17" t="s">
        <v>2765</v>
      </c>
      <c r="E180" s="17" t="s">
        <v>2766</v>
      </c>
      <c r="F180" s="17" t="s">
        <v>2163</v>
      </c>
      <c r="G180" s="17" t="s">
        <v>1941</v>
      </c>
      <c r="H180" s="17">
        <v>14614</v>
      </c>
      <c r="I180" t="s">
        <v>1951</v>
      </c>
    </row>
    <row r="181" spans="1:9" x14ac:dyDescent="0.3">
      <c r="A181" s="17" t="s">
        <v>386</v>
      </c>
      <c r="B181" s="17" t="s">
        <v>2767</v>
      </c>
      <c r="C181" s="17"/>
      <c r="D181" s="17" t="s">
        <v>2768</v>
      </c>
      <c r="E181" s="17" t="s">
        <v>2769</v>
      </c>
      <c r="F181" s="17" t="s">
        <v>2770</v>
      </c>
      <c r="G181" s="17" t="s">
        <v>1949</v>
      </c>
      <c r="H181" s="17" t="s">
        <v>2771</v>
      </c>
      <c r="I181" t="s">
        <v>1951</v>
      </c>
    </row>
    <row r="182" spans="1:9" x14ac:dyDescent="0.3">
      <c r="A182" s="17" t="s">
        <v>388</v>
      </c>
      <c r="B182" s="17" t="s">
        <v>2772</v>
      </c>
      <c r="C182" s="17" t="s">
        <v>2773</v>
      </c>
      <c r="D182" s="17" t="s">
        <v>2774</v>
      </c>
      <c r="E182" s="17" t="s">
        <v>2775</v>
      </c>
      <c r="F182" s="17" t="s">
        <v>2776</v>
      </c>
      <c r="G182" s="17" t="s">
        <v>1941</v>
      </c>
      <c r="H182" s="17">
        <v>11254</v>
      </c>
      <c r="I182" t="s">
        <v>1951</v>
      </c>
    </row>
    <row r="183" spans="1:9" x14ac:dyDescent="0.3">
      <c r="A183" s="17" t="s">
        <v>2777</v>
      </c>
      <c r="B183" s="17" t="s">
        <v>2778</v>
      </c>
      <c r="C183" s="17" t="s">
        <v>2779</v>
      </c>
      <c r="D183" s="17" t="s">
        <v>2780</v>
      </c>
      <c r="E183" s="17" t="s">
        <v>2781</v>
      </c>
      <c r="F183" s="17" t="s">
        <v>1962</v>
      </c>
      <c r="G183" s="17" t="s">
        <v>1941</v>
      </c>
      <c r="H183" s="17">
        <v>1114</v>
      </c>
      <c r="I183" t="s">
        <v>1951</v>
      </c>
    </row>
    <row r="184" spans="1:9" x14ac:dyDescent="0.3">
      <c r="A184" s="17" t="s">
        <v>390</v>
      </c>
      <c r="B184" s="17" t="s">
        <v>2782</v>
      </c>
      <c r="C184" s="17" t="s">
        <v>2783</v>
      </c>
      <c r="D184" s="17" t="s">
        <v>2784</v>
      </c>
      <c r="E184" s="17" t="s">
        <v>2785</v>
      </c>
      <c r="F184" s="17" t="s">
        <v>2786</v>
      </c>
      <c r="G184" s="17" t="s">
        <v>1941</v>
      </c>
      <c r="H184" s="17">
        <v>22908</v>
      </c>
      <c r="I184" t="s">
        <v>1951</v>
      </c>
    </row>
    <row r="185" spans="1:9" x14ac:dyDescent="0.3">
      <c r="A185" s="17" t="s">
        <v>392</v>
      </c>
      <c r="B185" s="17" t="s">
        <v>2787</v>
      </c>
      <c r="C185" s="17" t="s">
        <v>2788</v>
      </c>
      <c r="D185" s="17" t="s">
        <v>2789</v>
      </c>
      <c r="E185" s="17" t="s">
        <v>2790</v>
      </c>
      <c r="F185" s="17" t="s">
        <v>2791</v>
      </c>
      <c r="G185" s="17" t="s">
        <v>1941</v>
      </c>
      <c r="H185" s="17">
        <v>75044</v>
      </c>
      <c r="I185" t="s">
        <v>1951</v>
      </c>
    </row>
    <row r="186" spans="1:9" x14ac:dyDescent="0.3">
      <c r="A186" s="17" t="s">
        <v>394</v>
      </c>
      <c r="B186" s="17" t="s">
        <v>2792</v>
      </c>
      <c r="C186" s="17" t="s">
        <v>2793</v>
      </c>
      <c r="D186" s="17" t="s">
        <v>2794</v>
      </c>
      <c r="E186" s="17" t="s">
        <v>2795</v>
      </c>
      <c r="F186" s="17" t="s">
        <v>2137</v>
      </c>
      <c r="G186" s="17" t="s">
        <v>1941</v>
      </c>
      <c r="H186" s="17">
        <v>55448</v>
      </c>
      <c r="I186" t="s">
        <v>1951</v>
      </c>
    </row>
    <row r="187" spans="1:9" x14ac:dyDescent="0.3">
      <c r="A187" s="17" t="s">
        <v>396</v>
      </c>
      <c r="B187" s="17" t="s">
        <v>2796</v>
      </c>
      <c r="C187" s="17" t="s">
        <v>2797</v>
      </c>
      <c r="D187" s="17" t="s">
        <v>2798</v>
      </c>
      <c r="E187" s="17" t="s">
        <v>2799</v>
      </c>
      <c r="F187" s="17" t="s">
        <v>2800</v>
      </c>
      <c r="G187" s="17" t="s">
        <v>1941</v>
      </c>
      <c r="H187" s="17">
        <v>48919</v>
      </c>
      <c r="I187" t="s">
        <v>1942</v>
      </c>
    </row>
    <row r="188" spans="1:9" x14ac:dyDescent="0.3">
      <c r="A188" s="17" t="s">
        <v>398</v>
      </c>
      <c r="B188" s="17" t="s">
        <v>2801</v>
      </c>
      <c r="C188" s="17" t="s">
        <v>2802</v>
      </c>
      <c r="D188" s="17" t="s">
        <v>2803</v>
      </c>
      <c r="E188" s="17" t="s">
        <v>2804</v>
      </c>
      <c r="F188" s="17" t="s">
        <v>2110</v>
      </c>
      <c r="G188" s="17" t="s">
        <v>1941</v>
      </c>
      <c r="H188" s="17">
        <v>58207</v>
      </c>
      <c r="I188" t="s">
        <v>1951</v>
      </c>
    </row>
    <row r="189" spans="1:9" x14ac:dyDescent="0.3">
      <c r="A189" s="17" t="s">
        <v>400</v>
      </c>
      <c r="B189" s="17" t="s">
        <v>2805</v>
      </c>
      <c r="C189" s="17" t="s">
        <v>2806</v>
      </c>
      <c r="D189" s="17"/>
      <c r="E189" s="17" t="s">
        <v>2807</v>
      </c>
      <c r="F189" s="17" t="s">
        <v>2501</v>
      </c>
      <c r="G189" s="17" t="s">
        <v>1941</v>
      </c>
      <c r="H189" s="17">
        <v>99522</v>
      </c>
      <c r="I189" t="s">
        <v>1942</v>
      </c>
    </row>
    <row r="190" spans="1:9" x14ac:dyDescent="0.3">
      <c r="A190" s="17" t="s">
        <v>402</v>
      </c>
      <c r="B190" s="17" t="s">
        <v>2808</v>
      </c>
      <c r="C190" s="17" t="s">
        <v>2809</v>
      </c>
      <c r="D190" s="17" t="s">
        <v>2810</v>
      </c>
      <c r="E190" s="17" t="s">
        <v>2811</v>
      </c>
      <c r="F190" s="17" t="s">
        <v>2362</v>
      </c>
      <c r="G190" s="17" t="s">
        <v>1941</v>
      </c>
      <c r="H190" s="17">
        <v>73129</v>
      </c>
      <c r="I190" t="s">
        <v>1942</v>
      </c>
    </row>
    <row r="191" spans="1:9" x14ac:dyDescent="0.3">
      <c r="A191" s="17" t="s">
        <v>404</v>
      </c>
      <c r="B191" s="17" t="s">
        <v>2812</v>
      </c>
      <c r="C191" s="17" t="s">
        <v>2813</v>
      </c>
      <c r="D191" s="17" t="s">
        <v>2814</v>
      </c>
      <c r="E191" s="17" t="s">
        <v>2815</v>
      </c>
      <c r="F191" s="17" t="s">
        <v>2816</v>
      </c>
      <c r="G191" s="17" t="s">
        <v>1941</v>
      </c>
      <c r="H191" s="17">
        <v>74103</v>
      </c>
      <c r="I191" t="s">
        <v>1942</v>
      </c>
    </row>
    <row r="192" spans="1:9" x14ac:dyDescent="0.3">
      <c r="A192" s="17" t="s">
        <v>406</v>
      </c>
      <c r="B192" s="17" t="s">
        <v>2817</v>
      </c>
      <c r="C192" s="17" t="s">
        <v>2818</v>
      </c>
      <c r="D192" s="17" t="s">
        <v>2819</v>
      </c>
      <c r="E192" s="17" t="s">
        <v>2820</v>
      </c>
      <c r="F192" s="17" t="s">
        <v>2821</v>
      </c>
      <c r="G192" s="17" t="s">
        <v>1941</v>
      </c>
      <c r="H192" s="17">
        <v>48211</v>
      </c>
      <c r="I192" t="s">
        <v>1942</v>
      </c>
    </row>
    <row r="193" spans="1:9" x14ac:dyDescent="0.3">
      <c r="A193" s="17" t="s">
        <v>408</v>
      </c>
      <c r="B193" s="17" t="s">
        <v>2822</v>
      </c>
      <c r="C193" s="17" t="s">
        <v>2823</v>
      </c>
      <c r="D193" s="17" t="s">
        <v>2824</v>
      </c>
      <c r="E193" s="17" t="s">
        <v>2825</v>
      </c>
      <c r="F193" s="17" t="s">
        <v>2186</v>
      </c>
      <c r="G193" s="17" t="s">
        <v>1941</v>
      </c>
      <c r="H193" s="17">
        <v>20436</v>
      </c>
      <c r="I193" t="s">
        <v>1942</v>
      </c>
    </row>
    <row r="194" spans="1:9" x14ac:dyDescent="0.3">
      <c r="A194" s="17" t="s">
        <v>410</v>
      </c>
      <c r="B194" s="17" t="s">
        <v>2826</v>
      </c>
      <c r="C194" s="17" t="s">
        <v>2827</v>
      </c>
      <c r="D194" s="17" t="s">
        <v>2828</v>
      </c>
      <c r="E194" s="17" t="s">
        <v>2829</v>
      </c>
      <c r="F194" s="17" t="s">
        <v>2830</v>
      </c>
      <c r="G194" s="17" t="s">
        <v>1949</v>
      </c>
      <c r="H194" s="17" t="s">
        <v>2831</v>
      </c>
      <c r="I194" t="s">
        <v>1942</v>
      </c>
    </row>
    <row r="195" spans="1:9" x14ac:dyDescent="0.3">
      <c r="A195" s="17" t="s">
        <v>412</v>
      </c>
      <c r="B195" s="17" t="s">
        <v>2832</v>
      </c>
      <c r="C195" s="17"/>
      <c r="D195" s="17" t="s">
        <v>2833</v>
      </c>
      <c r="E195" s="17" t="s">
        <v>2834</v>
      </c>
      <c r="F195" s="17" t="s">
        <v>2835</v>
      </c>
      <c r="G195" s="17" t="s">
        <v>1941</v>
      </c>
      <c r="H195" s="17">
        <v>85215</v>
      </c>
      <c r="I195" t="s">
        <v>1951</v>
      </c>
    </row>
    <row r="196" spans="1:9" x14ac:dyDescent="0.3">
      <c r="A196" s="17" t="s">
        <v>414</v>
      </c>
      <c r="B196" s="17" t="s">
        <v>2836</v>
      </c>
      <c r="C196" s="17" t="s">
        <v>2837</v>
      </c>
      <c r="D196" s="17" t="s">
        <v>2838</v>
      </c>
      <c r="E196" s="17" t="s">
        <v>2839</v>
      </c>
      <c r="F196" s="17" t="s">
        <v>2840</v>
      </c>
      <c r="G196" s="17" t="s">
        <v>1941</v>
      </c>
      <c r="H196" s="17">
        <v>44485</v>
      </c>
      <c r="I196" t="s">
        <v>1951</v>
      </c>
    </row>
    <row r="197" spans="1:9" x14ac:dyDescent="0.3">
      <c r="A197" s="17" t="s">
        <v>416</v>
      </c>
      <c r="B197" s="17" t="s">
        <v>2841</v>
      </c>
      <c r="C197" s="17" t="s">
        <v>2842</v>
      </c>
      <c r="D197" s="17" t="s">
        <v>2843</v>
      </c>
      <c r="E197" s="17" t="s">
        <v>2844</v>
      </c>
      <c r="F197" s="17" t="s">
        <v>2845</v>
      </c>
      <c r="G197" s="17" t="s">
        <v>1941</v>
      </c>
      <c r="H197" s="17">
        <v>38150</v>
      </c>
      <c r="I197" t="s">
        <v>1951</v>
      </c>
    </row>
    <row r="198" spans="1:9" x14ac:dyDescent="0.3">
      <c r="A198" s="17" t="s">
        <v>418</v>
      </c>
      <c r="B198" s="17" t="s">
        <v>2846</v>
      </c>
      <c r="C198" s="17" t="s">
        <v>2847</v>
      </c>
      <c r="D198" s="17"/>
      <c r="E198" s="17" t="s">
        <v>2848</v>
      </c>
      <c r="F198" s="17" t="s">
        <v>2186</v>
      </c>
      <c r="G198" s="17" t="s">
        <v>1941</v>
      </c>
      <c r="H198" s="17">
        <v>20535</v>
      </c>
      <c r="I198" t="s">
        <v>1951</v>
      </c>
    </row>
    <row r="199" spans="1:9" x14ac:dyDescent="0.3">
      <c r="A199" s="17" t="s">
        <v>2849</v>
      </c>
      <c r="B199" s="17" t="s">
        <v>2850</v>
      </c>
      <c r="C199" s="17" t="s">
        <v>2851</v>
      </c>
      <c r="D199" s="17" t="s">
        <v>2852</v>
      </c>
      <c r="E199" s="17" t="s">
        <v>2853</v>
      </c>
      <c r="F199" s="17" t="s">
        <v>2854</v>
      </c>
      <c r="G199" s="17" t="s">
        <v>1949</v>
      </c>
      <c r="H199" s="17" t="s">
        <v>2855</v>
      </c>
      <c r="I199" t="s">
        <v>1942</v>
      </c>
    </row>
    <row r="200" spans="1:9" x14ac:dyDescent="0.3">
      <c r="A200" s="17" t="s">
        <v>2856</v>
      </c>
      <c r="B200" s="17" t="s">
        <v>2857</v>
      </c>
      <c r="C200" s="17" t="s">
        <v>2858</v>
      </c>
      <c r="D200" s="17" t="s">
        <v>2859</v>
      </c>
      <c r="E200" s="17" t="s">
        <v>2860</v>
      </c>
      <c r="F200" s="17" t="s">
        <v>2861</v>
      </c>
      <c r="G200" s="17" t="s">
        <v>1941</v>
      </c>
      <c r="H200" s="17">
        <v>33064</v>
      </c>
      <c r="I200" t="s">
        <v>1951</v>
      </c>
    </row>
    <row r="201" spans="1:9" x14ac:dyDescent="0.3">
      <c r="A201" s="17" t="s">
        <v>2862</v>
      </c>
      <c r="B201" s="17" t="s">
        <v>2863</v>
      </c>
      <c r="C201" s="17" t="s">
        <v>2864</v>
      </c>
      <c r="D201" s="17" t="s">
        <v>2865</v>
      </c>
      <c r="E201" s="17" t="s">
        <v>2866</v>
      </c>
      <c r="F201" s="17" t="s">
        <v>2252</v>
      </c>
      <c r="G201" s="17" t="s">
        <v>1941</v>
      </c>
      <c r="H201" s="17">
        <v>60604</v>
      </c>
      <c r="I201" t="s">
        <v>1951</v>
      </c>
    </row>
    <row r="202" spans="1:9" x14ac:dyDescent="0.3">
      <c r="A202" s="17" t="s">
        <v>2867</v>
      </c>
      <c r="B202" s="17" t="s">
        <v>2868</v>
      </c>
      <c r="C202" s="17" t="s">
        <v>2869</v>
      </c>
      <c r="D202" s="17" t="s">
        <v>2870</v>
      </c>
      <c r="E202" s="17" t="s">
        <v>2871</v>
      </c>
      <c r="F202" s="17" t="s">
        <v>2872</v>
      </c>
      <c r="G202" s="17" t="s">
        <v>2116</v>
      </c>
      <c r="H202" s="17" t="s">
        <v>2873</v>
      </c>
      <c r="I202" t="s">
        <v>1951</v>
      </c>
    </row>
    <row r="203" spans="1:9" x14ac:dyDescent="0.3">
      <c r="A203" s="17" t="s">
        <v>420</v>
      </c>
      <c r="B203" s="17" t="s">
        <v>2874</v>
      </c>
      <c r="C203" s="17"/>
      <c r="D203" s="17" t="s">
        <v>2875</v>
      </c>
      <c r="E203" s="17" t="s">
        <v>2876</v>
      </c>
      <c r="F203" s="17" t="s">
        <v>2154</v>
      </c>
      <c r="G203" s="17" t="s">
        <v>1941</v>
      </c>
      <c r="H203" s="17">
        <v>84409</v>
      </c>
      <c r="I203" t="s">
        <v>1951</v>
      </c>
    </row>
    <row r="204" spans="1:9" x14ac:dyDescent="0.3">
      <c r="A204" s="17" t="s">
        <v>422</v>
      </c>
      <c r="B204" s="17" t="s">
        <v>2877</v>
      </c>
      <c r="C204" s="17" t="s">
        <v>2878</v>
      </c>
      <c r="D204" s="17" t="s">
        <v>2879</v>
      </c>
      <c r="E204" s="17" t="s">
        <v>2880</v>
      </c>
      <c r="F204" s="17" t="s">
        <v>2881</v>
      </c>
      <c r="G204" s="17" t="s">
        <v>1941</v>
      </c>
      <c r="H204" s="17">
        <v>12205</v>
      </c>
      <c r="I204" t="s">
        <v>1942</v>
      </c>
    </row>
    <row r="205" spans="1:9" x14ac:dyDescent="0.3">
      <c r="A205" s="17" t="s">
        <v>424</v>
      </c>
      <c r="B205" s="17" t="s">
        <v>2882</v>
      </c>
      <c r="C205" s="17" t="s">
        <v>2883</v>
      </c>
      <c r="D205" s="17" t="s">
        <v>2884</v>
      </c>
      <c r="E205" s="17" t="s">
        <v>2885</v>
      </c>
      <c r="F205" s="17" t="s">
        <v>2886</v>
      </c>
      <c r="G205" s="17" t="s">
        <v>1941</v>
      </c>
      <c r="H205" s="17">
        <v>29305</v>
      </c>
      <c r="I205" t="s">
        <v>1951</v>
      </c>
    </row>
    <row r="206" spans="1:9" x14ac:dyDescent="0.3">
      <c r="A206" s="17" t="s">
        <v>426</v>
      </c>
      <c r="B206" s="17" t="s">
        <v>2887</v>
      </c>
      <c r="C206" s="17"/>
      <c r="D206" s="17" t="s">
        <v>2888</v>
      </c>
      <c r="E206" s="17" t="s">
        <v>2889</v>
      </c>
      <c r="F206" s="17" t="s">
        <v>2890</v>
      </c>
      <c r="G206" s="17" t="s">
        <v>1941</v>
      </c>
      <c r="H206" s="17">
        <v>10310</v>
      </c>
      <c r="I206" t="s">
        <v>1951</v>
      </c>
    </row>
    <row r="207" spans="1:9" x14ac:dyDescent="0.3">
      <c r="A207" s="17" t="s">
        <v>428</v>
      </c>
      <c r="B207" s="17" t="s">
        <v>2891</v>
      </c>
      <c r="C207" s="17"/>
      <c r="D207" s="17" t="s">
        <v>2892</v>
      </c>
      <c r="E207" s="17" t="s">
        <v>2893</v>
      </c>
      <c r="F207" s="17" t="s">
        <v>2186</v>
      </c>
      <c r="G207" s="17" t="s">
        <v>1941</v>
      </c>
      <c r="H207" s="17">
        <v>20337</v>
      </c>
      <c r="I207" t="s">
        <v>1942</v>
      </c>
    </row>
    <row r="208" spans="1:9" x14ac:dyDescent="0.3">
      <c r="A208" s="17" t="s">
        <v>430</v>
      </c>
      <c r="B208" s="17" t="s">
        <v>2894</v>
      </c>
      <c r="C208" s="17" t="s">
        <v>2895</v>
      </c>
      <c r="D208" s="17"/>
      <c r="E208" s="17" t="s">
        <v>2896</v>
      </c>
      <c r="F208" s="17" t="s">
        <v>2300</v>
      </c>
      <c r="G208" s="17" t="s">
        <v>1941</v>
      </c>
      <c r="H208" s="17">
        <v>28225</v>
      </c>
      <c r="I208" t="s">
        <v>1951</v>
      </c>
    </row>
    <row r="209" spans="1:9" x14ac:dyDescent="0.3">
      <c r="A209" s="17" t="s">
        <v>432</v>
      </c>
      <c r="B209" s="17" t="s">
        <v>2897</v>
      </c>
      <c r="C209" s="17" t="s">
        <v>2898</v>
      </c>
      <c r="D209" s="17" t="s">
        <v>2899</v>
      </c>
      <c r="E209" s="17" t="s">
        <v>2900</v>
      </c>
      <c r="F209" s="17" t="s">
        <v>2901</v>
      </c>
      <c r="G209" s="17" t="s">
        <v>1941</v>
      </c>
      <c r="H209" s="17">
        <v>79491</v>
      </c>
      <c r="I209" t="s">
        <v>1942</v>
      </c>
    </row>
    <row r="210" spans="1:9" x14ac:dyDescent="0.3">
      <c r="A210" s="17" t="s">
        <v>434</v>
      </c>
      <c r="B210" s="17" t="s">
        <v>2902</v>
      </c>
      <c r="C210" s="17" t="s">
        <v>2903</v>
      </c>
      <c r="D210" s="17" t="s">
        <v>2904</v>
      </c>
      <c r="E210" s="17" t="s">
        <v>2905</v>
      </c>
      <c r="F210" s="17" t="s">
        <v>2906</v>
      </c>
      <c r="G210" s="17" t="s">
        <v>1949</v>
      </c>
      <c r="H210" s="17" t="s">
        <v>2907</v>
      </c>
      <c r="I210" t="s">
        <v>1942</v>
      </c>
    </row>
    <row r="211" spans="1:9" x14ac:dyDescent="0.3">
      <c r="A211" s="17" t="s">
        <v>436</v>
      </c>
      <c r="B211" s="17" t="s">
        <v>2908</v>
      </c>
      <c r="C211" s="17" t="s">
        <v>2909</v>
      </c>
      <c r="D211" s="17" t="s">
        <v>2910</v>
      </c>
      <c r="E211" s="17" t="s">
        <v>2911</v>
      </c>
      <c r="F211" s="17" t="s">
        <v>2912</v>
      </c>
      <c r="G211" s="17" t="s">
        <v>2116</v>
      </c>
      <c r="H211" s="17" t="s">
        <v>2913</v>
      </c>
      <c r="I211" t="s">
        <v>1951</v>
      </c>
    </row>
    <row r="212" spans="1:9" x14ac:dyDescent="0.3">
      <c r="A212" s="17" t="s">
        <v>438</v>
      </c>
      <c r="B212" s="17" t="s">
        <v>2914</v>
      </c>
      <c r="C212" s="17" t="s">
        <v>2915</v>
      </c>
      <c r="D212" s="17" t="s">
        <v>2916</v>
      </c>
      <c r="E212" s="17" t="s">
        <v>2917</v>
      </c>
      <c r="F212" s="17" t="s">
        <v>2786</v>
      </c>
      <c r="G212" s="17" t="s">
        <v>1941</v>
      </c>
      <c r="H212" s="17">
        <v>22908</v>
      </c>
      <c r="I212" t="s">
        <v>1942</v>
      </c>
    </row>
    <row r="213" spans="1:9" x14ac:dyDescent="0.3">
      <c r="A213" s="17" t="s">
        <v>440</v>
      </c>
      <c r="B213" s="17" t="s">
        <v>2918</v>
      </c>
      <c r="C213" s="17" t="s">
        <v>2919</v>
      </c>
      <c r="D213" s="17"/>
      <c r="E213" s="17" t="s">
        <v>2920</v>
      </c>
      <c r="F213" s="17" t="s">
        <v>2037</v>
      </c>
      <c r="G213" s="17" t="s">
        <v>1941</v>
      </c>
      <c r="H213" s="17">
        <v>10105</v>
      </c>
      <c r="I213" t="s">
        <v>1951</v>
      </c>
    </row>
    <row r="214" spans="1:9" x14ac:dyDescent="0.3">
      <c r="A214" s="17" t="s">
        <v>442</v>
      </c>
      <c r="B214" s="17" t="s">
        <v>2921</v>
      </c>
      <c r="C214" s="17" t="s">
        <v>2922</v>
      </c>
      <c r="D214" s="17" t="s">
        <v>2923</v>
      </c>
      <c r="E214" s="17" t="s">
        <v>2924</v>
      </c>
      <c r="F214" s="17" t="s">
        <v>2643</v>
      </c>
      <c r="G214" s="17" t="s">
        <v>1941</v>
      </c>
      <c r="H214" s="17">
        <v>24009</v>
      </c>
      <c r="I214" t="s">
        <v>1942</v>
      </c>
    </row>
    <row r="215" spans="1:9" x14ac:dyDescent="0.3">
      <c r="A215" s="17" t="s">
        <v>444</v>
      </c>
      <c r="B215" s="17" t="s">
        <v>2925</v>
      </c>
      <c r="C215" s="17" t="s">
        <v>2926</v>
      </c>
      <c r="D215" s="17" t="s">
        <v>2927</v>
      </c>
      <c r="E215" s="17" t="s">
        <v>2928</v>
      </c>
      <c r="F215" s="17" t="s">
        <v>2037</v>
      </c>
      <c r="G215" s="17" t="s">
        <v>1941</v>
      </c>
      <c r="H215" s="17">
        <v>10009</v>
      </c>
      <c r="I215" t="s">
        <v>1951</v>
      </c>
    </row>
    <row r="216" spans="1:9" x14ac:dyDescent="0.3">
      <c r="A216" s="17" t="s">
        <v>446</v>
      </c>
      <c r="B216" s="17" t="s">
        <v>2929</v>
      </c>
      <c r="C216" s="17" t="s">
        <v>2930</v>
      </c>
      <c r="D216" s="17" t="s">
        <v>2931</v>
      </c>
      <c r="E216" s="17" t="s">
        <v>2932</v>
      </c>
      <c r="F216" s="17" t="s">
        <v>2933</v>
      </c>
      <c r="G216" s="17" t="s">
        <v>1949</v>
      </c>
      <c r="H216" s="17" t="s">
        <v>2083</v>
      </c>
      <c r="I216" t="s">
        <v>1951</v>
      </c>
    </row>
    <row r="217" spans="1:9" x14ac:dyDescent="0.3">
      <c r="A217" s="17" t="s">
        <v>448</v>
      </c>
      <c r="B217" s="17" t="s">
        <v>2934</v>
      </c>
      <c r="C217" s="17" t="s">
        <v>2935</v>
      </c>
      <c r="D217" s="17" t="s">
        <v>2936</v>
      </c>
      <c r="E217" s="17" t="s">
        <v>2937</v>
      </c>
      <c r="F217" s="17" t="s">
        <v>2938</v>
      </c>
      <c r="G217" s="17" t="s">
        <v>1941</v>
      </c>
      <c r="H217" s="17">
        <v>84120</v>
      </c>
      <c r="I217" t="s">
        <v>1951</v>
      </c>
    </row>
    <row r="218" spans="1:9" x14ac:dyDescent="0.3">
      <c r="A218" s="17" t="s">
        <v>450</v>
      </c>
      <c r="B218" s="17" t="s">
        <v>2939</v>
      </c>
      <c r="C218" s="17" t="s">
        <v>2940</v>
      </c>
      <c r="D218" s="17" t="s">
        <v>2941</v>
      </c>
      <c r="E218" s="17" t="s">
        <v>2942</v>
      </c>
      <c r="F218" s="17" t="s">
        <v>2211</v>
      </c>
      <c r="G218" s="17" t="s">
        <v>1941</v>
      </c>
      <c r="H218" s="17">
        <v>43635</v>
      </c>
      <c r="I218" t="s">
        <v>1942</v>
      </c>
    </row>
    <row r="219" spans="1:9" x14ac:dyDescent="0.3">
      <c r="A219" s="17" t="s">
        <v>452</v>
      </c>
      <c r="B219" s="17" t="s">
        <v>2943</v>
      </c>
      <c r="C219" s="17" t="s">
        <v>2944</v>
      </c>
      <c r="D219" s="17" t="s">
        <v>2945</v>
      </c>
      <c r="E219" s="17" t="s">
        <v>2946</v>
      </c>
      <c r="F219" s="17" t="s">
        <v>2947</v>
      </c>
      <c r="G219" s="17" t="s">
        <v>1941</v>
      </c>
      <c r="H219" s="17">
        <v>91131</v>
      </c>
      <c r="I219" t="s">
        <v>1951</v>
      </c>
    </row>
    <row r="220" spans="1:9" x14ac:dyDescent="0.3">
      <c r="A220" s="17" t="s">
        <v>454</v>
      </c>
      <c r="B220" s="17" t="s">
        <v>2948</v>
      </c>
      <c r="C220" s="17" t="s">
        <v>2949</v>
      </c>
      <c r="D220" s="17" t="s">
        <v>2950</v>
      </c>
      <c r="E220" s="17" t="s">
        <v>2951</v>
      </c>
      <c r="F220" s="17" t="s">
        <v>2952</v>
      </c>
      <c r="G220" s="17" t="s">
        <v>1949</v>
      </c>
      <c r="H220" s="17" t="s">
        <v>2293</v>
      </c>
      <c r="I220" t="s">
        <v>1942</v>
      </c>
    </row>
    <row r="221" spans="1:9" x14ac:dyDescent="0.3">
      <c r="A221" s="17" t="s">
        <v>456</v>
      </c>
      <c r="B221" s="17" t="s">
        <v>2953</v>
      </c>
      <c r="C221" s="17" t="s">
        <v>2954</v>
      </c>
      <c r="D221" s="17" t="s">
        <v>2955</v>
      </c>
      <c r="E221" s="17" t="s">
        <v>2956</v>
      </c>
      <c r="F221" s="17" t="s">
        <v>2957</v>
      </c>
      <c r="G221" s="17" t="s">
        <v>1941</v>
      </c>
      <c r="H221" s="17">
        <v>64082</v>
      </c>
      <c r="I221" t="s">
        <v>1951</v>
      </c>
    </row>
    <row r="222" spans="1:9" x14ac:dyDescent="0.3">
      <c r="A222" s="17" t="s">
        <v>2958</v>
      </c>
      <c r="B222" s="17" t="s">
        <v>2959</v>
      </c>
      <c r="C222" s="17" t="s">
        <v>2960</v>
      </c>
      <c r="D222" s="17" t="s">
        <v>2961</v>
      </c>
      <c r="E222" s="17" t="s">
        <v>2962</v>
      </c>
      <c r="F222" s="17" t="s">
        <v>2266</v>
      </c>
      <c r="G222" s="17" t="s">
        <v>1941</v>
      </c>
      <c r="H222" s="17">
        <v>76121</v>
      </c>
      <c r="I222" t="s">
        <v>1951</v>
      </c>
    </row>
    <row r="223" spans="1:9" x14ac:dyDescent="0.3">
      <c r="A223" s="17" t="s">
        <v>458</v>
      </c>
      <c r="B223" s="17" t="s">
        <v>2963</v>
      </c>
      <c r="C223" s="17" t="s">
        <v>2964</v>
      </c>
      <c r="D223" s="17" t="s">
        <v>2965</v>
      </c>
      <c r="E223" s="17" t="s">
        <v>2966</v>
      </c>
      <c r="F223" s="17" t="s">
        <v>2967</v>
      </c>
      <c r="G223" s="17" t="s">
        <v>1941</v>
      </c>
      <c r="H223" s="17">
        <v>92619</v>
      </c>
      <c r="I223" t="s">
        <v>1942</v>
      </c>
    </row>
    <row r="224" spans="1:9" x14ac:dyDescent="0.3">
      <c r="A224" s="17" t="s">
        <v>460</v>
      </c>
      <c r="B224" s="17" t="s">
        <v>2968</v>
      </c>
      <c r="C224" s="17" t="s">
        <v>2969</v>
      </c>
      <c r="D224" s="17" t="s">
        <v>2970</v>
      </c>
      <c r="E224" s="17" t="s">
        <v>2971</v>
      </c>
      <c r="F224" s="17" t="s">
        <v>2972</v>
      </c>
      <c r="G224" s="17" t="s">
        <v>1941</v>
      </c>
      <c r="H224" s="17">
        <v>11854</v>
      </c>
      <c r="I224" t="s">
        <v>1951</v>
      </c>
    </row>
    <row r="225" spans="1:9" x14ac:dyDescent="0.3">
      <c r="A225" s="17" t="s">
        <v>462</v>
      </c>
      <c r="B225" s="17" t="s">
        <v>2973</v>
      </c>
      <c r="C225" s="17"/>
      <c r="D225" s="17" t="s">
        <v>2974</v>
      </c>
      <c r="E225" s="17" t="s">
        <v>2975</v>
      </c>
      <c r="F225" s="17" t="s">
        <v>2186</v>
      </c>
      <c r="G225" s="17" t="s">
        <v>1941</v>
      </c>
      <c r="H225" s="17">
        <v>20546</v>
      </c>
      <c r="I225" t="s">
        <v>1942</v>
      </c>
    </row>
    <row r="226" spans="1:9" x14ac:dyDescent="0.3">
      <c r="A226" s="17" t="s">
        <v>464</v>
      </c>
      <c r="B226" s="17" t="s">
        <v>2976</v>
      </c>
      <c r="C226" s="17" t="s">
        <v>2977</v>
      </c>
      <c r="D226" s="17" t="s">
        <v>2978</v>
      </c>
      <c r="E226" s="17" t="s">
        <v>2979</v>
      </c>
      <c r="F226" s="17" t="s">
        <v>2037</v>
      </c>
      <c r="G226" s="17" t="s">
        <v>1941</v>
      </c>
      <c r="H226" s="17">
        <v>10060</v>
      </c>
      <c r="I226" t="s">
        <v>1942</v>
      </c>
    </row>
    <row r="227" spans="1:9" x14ac:dyDescent="0.3">
      <c r="A227" s="17" t="s">
        <v>466</v>
      </c>
      <c r="B227" s="17" t="s">
        <v>2980</v>
      </c>
      <c r="C227" s="17" t="s">
        <v>2981</v>
      </c>
      <c r="D227" s="17" t="s">
        <v>2982</v>
      </c>
      <c r="E227" s="17" t="s">
        <v>2983</v>
      </c>
      <c r="F227" s="17" t="s">
        <v>2292</v>
      </c>
      <c r="G227" s="17" t="s">
        <v>1949</v>
      </c>
      <c r="H227" s="17" t="s">
        <v>2293</v>
      </c>
      <c r="I227" t="s">
        <v>1951</v>
      </c>
    </row>
    <row r="228" spans="1:9" x14ac:dyDescent="0.3">
      <c r="A228" s="17" t="s">
        <v>468</v>
      </c>
      <c r="B228" s="17" t="s">
        <v>2984</v>
      </c>
      <c r="C228" s="17" t="s">
        <v>2985</v>
      </c>
      <c r="D228" s="17" t="s">
        <v>2986</v>
      </c>
      <c r="E228" s="17" t="s">
        <v>2987</v>
      </c>
      <c r="F228" s="17" t="s">
        <v>2988</v>
      </c>
      <c r="G228" s="17" t="s">
        <v>1941</v>
      </c>
      <c r="H228" s="17">
        <v>66276</v>
      </c>
      <c r="I228" t="s">
        <v>1951</v>
      </c>
    </row>
    <row r="229" spans="1:9" x14ac:dyDescent="0.3">
      <c r="A229" s="17" t="s">
        <v>470</v>
      </c>
      <c r="B229" s="17" t="s">
        <v>2989</v>
      </c>
      <c r="C229" s="17" t="s">
        <v>2990</v>
      </c>
      <c r="D229" s="17" t="s">
        <v>2991</v>
      </c>
      <c r="E229" s="17" t="s">
        <v>2992</v>
      </c>
      <c r="F229" s="17" t="s">
        <v>2993</v>
      </c>
      <c r="G229" s="17" t="s">
        <v>2116</v>
      </c>
      <c r="H229" s="17" t="s">
        <v>2994</v>
      </c>
      <c r="I229" t="s">
        <v>1942</v>
      </c>
    </row>
    <row r="230" spans="1:9" x14ac:dyDescent="0.3">
      <c r="A230" s="17" t="s">
        <v>472</v>
      </c>
      <c r="B230" s="17" t="s">
        <v>2995</v>
      </c>
      <c r="C230" s="17" t="s">
        <v>2996</v>
      </c>
      <c r="D230" s="17" t="s">
        <v>2997</v>
      </c>
      <c r="E230" s="17" t="s">
        <v>2998</v>
      </c>
      <c r="F230" s="17" t="s">
        <v>2999</v>
      </c>
      <c r="G230" s="17" t="s">
        <v>1941</v>
      </c>
      <c r="H230" s="17">
        <v>94291</v>
      </c>
      <c r="I230" t="s">
        <v>1951</v>
      </c>
    </row>
    <row r="231" spans="1:9" x14ac:dyDescent="0.3">
      <c r="A231" s="17" t="s">
        <v>474</v>
      </c>
      <c r="B231" s="17" t="s">
        <v>3000</v>
      </c>
      <c r="C231" s="17" t="s">
        <v>3001</v>
      </c>
      <c r="D231" s="17" t="s">
        <v>3002</v>
      </c>
      <c r="E231" s="17" t="s">
        <v>3003</v>
      </c>
      <c r="F231" s="17" t="s">
        <v>3004</v>
      </c>
      <c r="G231" s="17" t="s">
        <v>1941</v>
      </c>
      <c r="H231" s="17">
        <v>18706</v>
      </c>
      <c r="I231" t="s">
        <v>1951</v>
      </c>
    </row>
    <row r="232" spans="1:9" x14ac:dyDescent="0.3">
      <c r="A232" s="17" t="s">
        <v>476</v>
      </c>
      <c r="B232" s="17" t="s">
        <v>3005</v>
      </c>
      <c r="C232" s="17" t="s">
        <v>3006</v>
      </c>
      <c r="D232" s="17" t="s">
        <v>3007</v>
      </c>
      <c r="E232" s="17" t="s">
        <v>3008</v>
      </c>
      <c r="F232" s="17" t="s">
        <v>2694</v>
      </c>
      <c r="G232" s="17" t="s">
        <v>1941</v>
      </c>
      <c r="H232" s="17">
        <v>27499</v>
      </c>
      <c r="I232" t="s">
        <v>1951</v>
      </c>
    </row>
    <row r="233" spans="1:9" x14ac:dyDescent="0.3">
      <c r="A233" s="17" t="s">
        <v>478</v>
      </c>
      <c r="B233" s="17" t="s">
        <v>3009</v>
      </c>
      <c r="C233" s="17"/>
      <c r="D233" s="17" t="s">
        <v>3010</v>
      </c>
      <c r="E233" s="17" t="s">
        <v>3011</v>
      </c>
      <c r="F233" s="17" t="s">
        <v>2256</v>
      </c>
      <c r="G233" s="17" t="s">
        <v>1941</v>
      </c>
      <c r="H233" s="17">
        <v>19725</v>
      </c>
      <c r="I233" t="s">
        <v>1942</v>
      </c>
    </row>
    <row r="234" spans="1:9" x14ac:dyDescent="0.3">
      <c r="A234" s="17" t="s">
        <v>480</v>
      </c>
      <c r="B234" s="17" t="s">
        <v>3012</v>
      </c>
      <c r="C234" s="17" t="s">
        <v>3013</v>
      </c>
      <c r="D234" s="17" t="s">
        <v>3014</v>
      </c>
      <c r="E234" s="17" t="s">
        <v>3015</v>
      </c>
      <c r="F234" s="17" t="s">
        <v>2199</v>
      </c>
      <c r="G234" s="17" t="s">
        <v>2116</v>
      </c>
      <c r="H234" s="17" t="s">
        <v>2200</v>
      </c>
      <c r="I234" t="s">
        <v>1951</v>
      </c>
    </row>
    <row r="235" spans="1:9" x14ac:dyDescent="0.3">
      <c r="A235" s="17" t="s">
        <v>482</v>
      </c>
      <c r="B235" s="17" t="s">
        <v>3016</v>
      </c>
      <c r="C235" s="17" t="s">
        <v>3017</v>
      </c>
      <c r="D235" s="17" t="s">
        <v>3018</v>
      </c>
      <c r="E235" s="17" t="s">
        <v>3019</v>
      </c>
      <c r="F235" s="17" t="s">
        <v>2592</v>
      </c>
      <c r="G235" s="17" t="s">
        <v>1941</v>
      </c>
      <c r="H235" s="17">
        <v>96825</v>
      </c>
      <c r="I235" t="s">
        <v>1951</v>
      </c>
    </row>
    <row r="236" spans="1:9" x14ac:dyDescent="0.3">
      <c r="A236" s="17" t="s">
        <v>484</v>
      </c>
      <c r="B236" s="17" t="s">
        <v>3020</v>
      </c>
      <c r="C236" s="17" t="s">
        <v>3021</v>
      </c>
      <c r="D236" s="17" t="s">
        <v>3022</v>
      </c>
      <c r="E236" s="17" t="s">
        <v>3023</v>
      </c>
      <c r="F236" s="17" t="s">
        <v>2037</v>
      </c>
      <c r="G236" s="17" t="s">
        <v>1941</v>
      </c>
      <c r="H236" s="17">
        <v>10150</v>
      </c>
      <c r="I236" t="s">
        <v>1951</v>
      </c>
    </row>
    <row r="237" spans="1:9" x14ac:dyDescent="0.3">
      <c r="A237" s="17" t="s">
        <v>486</v>
      </c>
      <c r="B237" s="17" t="s">
        <v>3024</v>
      </c>
      <c r="C237" s="17"/>
      <c r="D237" s="17"/>
      <c r="E237" s="17" t="s">
        <v>3025</v>
      </c>
      <c r="F237" s="17" t="s">
        <v>3026</v>
      </c>
      <c r="G237" s="17" t="s">
        <v>1949</v>
      </c>
      <c r="H237" s="17" t="s">
        <v>3027</v>
      </c>
      <c r="I237" t="s">
        <v>1951</v>
      </c>
    </row>
    <row r="238" spans="1:9" x14ac:dyDescent="0.3">
      <c r="A238" s="17" t="s">
        <v>488</v>
      </c>
      <c r="B238" s="17" t="s">
        <v>3028</v>
      </c>
      <c r="C238" s="17" t="s">
        <v>3029</v>
      </c>
      <c r="D238" s="17" t="s">
        <v>3030</v>
      </c>
      <c r="E238" s="17" t="s">
        <v>3031</v>
      </c>
      <c r="F238" s="17" t="s">
        <v>3032</v>
      </c>
      <c r="G238" s="17" t="s">
        <v>1949</v>
      </c>
      <c r="H238" s="17" t="s">
        <v>3033</v>
      </c>
      <c r="I238" t="s">
        <v>1951</v>
      </c>
    </row>
    <row r="239" spans="1:9" x14ac:dyDescent="0.3">
      <c r="A239" s="17" t="s">
        <v>490</v>
      </c>
      <c r="B239" s="17" t="s">
        <v>3034</v>
      </c>
      <c r="C239" s="17"/>
      <c r="D239" s="17" t="s">
        <v>3035</v>
      </c>
      <c r="E239" s="17" t="s">
        <v>3036</v>
      </c>
      <c r="F239" s="17" t="s">
        <v>3037</v>
      </c>
      <c r="G239" s="17" t="s">
        <v>1941</v>
      </c>
      <c r="H239" s="17">
        <v>45218</v>
      </c>
      <c r="I239" t="s">
        <v>1942</v>
      </c>
    </row>
    <row r="240" spans="1:9" x14ac:dyDescent="0.3">
      <c r="A240" s="17" t="s">
        <v>492</v>
      </c>
      <c r="B240" s="17" t="s">
        <v>3038</v>
      </c>
      <c r="C240" s="17" t="s">
        <v>3039</v>
      </c>
      <c r="D240" s="17" t="s">
        <v>3040</v>
      </c>
      <c r="E240" s="17" t="s">
        <v>3041</v>
      </c>
      <c r="F240" s="17" t="s">
        <v>2320</v>
      </c>
      <c r="G240" s="17" t="s">
        <v>1941</v>
      </c>
      <c r="H240" s="17">
        <v>48670</v>
      </c>
      <c r="I240" t="s">
        <v>1942</v>
      </c>
    </row>
    <row r="241" spans="1:9" x14ac:dyDescent="0.3">
      <c r="A241" s="17" t="s">
        <v>494</v>
      </c>
      <c r="B241" s="17" t="s">
        <v>3042</v>
      </c>
      <c r="C241" s="17" t="s">
        <v>3043</v>
      </c>
      <c r="D241" s="17" t="s">
        <v>3044</v>
      </c>
      <c r="E241" s="17" t="s">
        <v>3045</v>
      </c>
      <c r="F241" s="17" t="s">
        <v>3046</v>
      </c>
      <c r="G241" s="17" t="s">
        <v>1941</v>
      </c>
      <c r="H241" s="17">
        <v>82007</v>
      </c>
      <c r="I241" t="s">
        <v>1951</v>
      </c>
    </row>
    <row r="242" spans="1:9" x14ac:dyDescent="0.3">
      <c r="A242" s="17" t="s">
        <v>496</v>
      </c>
      <c r="B242" s="17" t="s">
        <v>3047</v>
      </c>
      <c r="C242" s="17"/>
      <c r="D242" s="17"/>
      <c r="E242" s="17" t="s">
        <v>3048</v>
      </c>
      <c r="F242" s="17" t="s">
        <v>3049</v>
      </c>
      <c r="G242" s="17" t="s">
        <v>1941</v>
      </c>
      <c r="H242" s="17">
        <v>31119</v>
      </c>
      <c r="I242" t="s">
        <v>1942</v>
      </c>
    </row>
    <row r="243" spans="1:9" x14ac:dyDescent="0.3">
      <c r="A243" s="17" t="s">
        <v>498</v>
      </c>
      <c r="B243" s="17" t="s">
        <v>3050</v>
      </c>
      <c r="C243" s="17"/>
      <c r="D243" s="17" t="s">
        <v>3051</v>
      </c>
      <c r="E243" s="17" t="s">
        <v>3052</v>
      </c>
      <c r="F243" s="17" t="s">
        <v>3053</v>
      </c>
      <c r="G243" s="17" t="s">
        <v>1941</v>
      </c>
      <c r="H243" s="17">
        <v>30096</v>
      </c>
      <c r="I243" t="s">
        <v>1951</v>
      </c>
    </row>
    <row r="244" spans="1:9" x14ac:dyDescent="0.3">
      <c r="A244" s="17" t="s">
        <v>500</v>
      </c>
      <c r="B244" s="17" t="s">
        <v>3054</v>
      </c>
      <c r="C244" s="17" t="s">
        <v>3055</v>
      </c>
      <c r="D244" s="17" t="s">
        <v>3056</v>
      </c>
      <c r="E244" s="17" t="s">
        <v>3057</v>
      </c>
      <c r="F244" s="17" t="s">
        <v>2999</v>
      </c>
      <c r="G244" s="17" t="s">
        <v>1941</v>
      </c>
      <c r="H244" s="17">
        <v>94250</v>
      </c>
      <c r="I244" t="s">
        <v>1942</v>
      </c>
    </row>
    <row r="245" spans="1:9" x14ac:dyDescent="0.3">
      <c r="A245" s="17" t="s">
        <v>502</v>
      </c>
      <c r="B245" s="17" t="s">
        <v>3058</v>
      </c>
      <c r="C245" s="17" t="s">
        <v>3059</v>
      </c>
      <c r="D245" s="17" t="s">
        <v>3060</v>
      </c>
      <c r="E245" s="17" t="s">
        <v>3061</v>
      </c>
      <c r="F245" s="17" t="s">
        <v>2220</v>
      </c>
      <c r="G245" s="17" t="s">
        <v>1941</v>
      </c>
      <c r="H245" s="17">
        <v>33661</v>
      </c>
      <c r="I245" t="s">
        <v>1942</v>
      </c>
    </row>
    <row r="246" spans="1:9" x14ac:dyDescent="0.3">
      <c r="A246" s="17" t="s">
        <v>504</v>
      </c>
      <c r="B246" s="17" t="s">
        <v>3062</v>
      </c>
      <c r="C246" s="17" t="s">
        <v>3063</v>
      </c>
      <c r="D246" s="17" t="s">
        <v>3064</v>
      </c>
      <c r="E246" s="17" t="s">
        <v>3065</v>
      </c>
      <c r="F246" s="17" t="s">
        <v>2592</v>
      </c>
      <c r="G246" s="17" t="s">
        <v>1941</v>
      </c>
      <c r="H246" s="17">
        <v>96805</v>
      </c>
      <c r="I246" t="s">
        <v>1951</v>
      </c>
    </row>
    <row r="247" spans="1:9" x14ac:dyDescent="0.3">
      <c r="A247" s="17" t="s">
        <v>506</v>
      </c>
      <c r="B247" s="17" t="s">
        <v>3066</v>
      </c>
      <c r="C247" s="17" t="s">
        <v>3067</v>
      </c>
      <c r="D247" s="17" t="s">
        <v>3068</v>
      </c>
      <c r="E247" s="17" t="s">
        <v>3069</v>
      </c>
      <c r="F247" s="17" t="s">
        <v>3070</v>
      </c>
      <c r="G247" s="17" t="s">
        <v>1941</v>
      </c>
      <c r="H247" s="17">
        <v>70820</v>
      </c>
      <c r="I247" t="s">
        <v>1942</v>
      </c>
    </row>
    <row r="248" spans="1:9" x14ac:dyDescent="0.3">
      <c r="A248" s="17" t="s">
        <v>508</v>
      </c>
      <c r="B248" s="17" t="s">
        <v>3071</v>
      </c>
      <c r="C248" s="17" t="s">
        <v>3072</v>
      </c>
      <c r="D248" s="17" t="s">
        <v>3073</v>
      </c>
      <c r="E248" s="17" t="s">
        <v>3074</v>
      </c>
      <c r="F248" s="17" t="s">
        <v>3075</v>
      </c>
      <c r="G248" s="17" t="s">
        <v>2116</v>
      </c>
      <c r="H248" s="17" t="s">
        <v>3076</v>
      </c>
      <c r="I248" t="s">
        <v>1951</v>
      </c>
    </row>
    <row r="249" spans="1:9" x14ac:dyDescent="0.3">
      <c r="A249" s="17" t="s">
        <v>510</v>
      </c>
      <c r="B249" s="17" t="s">
        <v>3077</v>
      </c>
      <c r="C249" s="17"/>
      <c r="D249" s="17" t="s">
        <v>3078</v>
      </c>
      <c r="E249" s="17" t="s">
        <v>3079</v>
      </c>
      <c r="F249" s="17" t="s">
        <v>3080</v>
      </c>
      <c r="G249" s="17" t="s">
        <v>1949</v>
      </c>
      <c r="H249" s="17" t="s">
        <v>3081</v>
      </c>
      <c r="I249" t="s">
        <v>1942</v>
      </c>
    </row>
    <row r="250" spans="1:9" x14ac:dyDescent="0.3">
      <c r="A250" s="17" t="s">
        <v>512</v>
      </c>
      <c r="B250" s="17" t="s">
        <v>3082</v>
      </c>
      <c r="C250" s="17" t="s">
        <v>3083</v>
      </c>
      <c r="D250" s="17" t="s">
        <v>3084</v>
      </c>
      <c r="E250" s="17" t="s">
        <v>3085</v>
      </c>
      <c r="F250" s="17" t="s">
        <v>2137</v>
      </c>
      <c r="G250" s="17" t="s">
        <v>1941</v>
      </c>
      <c r="H250" s="17">
        <v>55458</v>
      </c>
      <c r="I250" t="s">
        <v>1942</v>
      </c>
    </row>
    <row r="251" spans="1:9" x14ac:dyDescent="0.3">
      <c r="A251" s="17" t="s">
        <v>3086</v>
      </c>
      <c r="B251" s="17" t="s">
        <v>3087</v>
      </c>
      <c r="C251" s="17"/>
      <c r="D251" s="17" t="s">
        <v>3088</v>
      </c>
      <c r="E251" s="17" t="s">
        <v>3089</v>
      </c>
      <c r="F251" s="17" t="s">
        <v>3090</v>
      </c>
      <c r="G251" s="17" t="s">
        <v>1941</v>
      </c>
      <c r="H251" s="17">
        <v>94159</v>
      </c>
      <c r="I251" t="s">
        <v>1951</v>
      </c>
    </row>
    <row r="252" spans="1:9" x14ac:dyDescent="0.3">
      <c r="A252" s="17" t="s">
        <v>516</v>
      </c>
      <c r="B252" s="17" t="s">
        <v>3091</v>
      </c>
      <c r="C252" s="17" t="s">
        <v>3092</v>
      </c>
      <c r="D252" s="17" t="s">
        <v>3093</v>
      </c>
      <c r="E252" s="17" t="s">
        <v>3094</v>
      </c>
      <c r="F252" s="17" t="s">
        <v>2300</v>
      </c>
      <c r="G252" s="17" t="s">
        <v>1941</v>
      </c>
      <c r="H252" s="17">
        <v>28225</v>
      </c>
      <c r="I252" t="s">
        <v>1942</v>
      </c>
    </row>
    <row r="253" spans="1:9" x14ac:dyDescent="0.3">
      <c r="A253" s="17" t="s">
        <v>518</v>
      </c>
      <c r="B253" s="17" t="s">
        <v>3095</v>
      </c>
      <c r="C253" s="17" t="s">
        <v>3096</v>
      </c>
      <c r="D253" s="17" t="s">
        <v>3097</v>
      </c>
      <c r="E253" s="17" t="s">
        <v>3098</v>
      </c>
      <c r="F253" s="17" t="s">
        <v>3099</v>
      </c>
      <c r="G253" s="17" t="s">
        <v>1941</v>
      </c>
      <c r="H253" s="17">
        <v>85099</v>
      </c>
      <c r="I253" t="s">
        <v>1942</v>
      </c>
    </row>
    <row r="254" spans="1:9" x14ac:dyDescent="0.3">
      <c r="A254" s="17" t="s">
        <v>520</v>
      </c>
      <c r="B254" s="17" t="s">
        <v>3100</v>
      </c>
      <c r="C254" s="17"/>
      <c r="D254" s="17" t="s">
        <v>3101</v>
      </c>
      <c r="E254" s="17" t="s">
        <v>3102</v>
      </c>
      <c r="F254" s="17" t="s">
        <v>2099</v>
      </c>
      <c r="G254" s="17" t="s">
        <v>1941</v>
      </c>
      <c r="H254" s="17">
        <v>11407</v>
      </c>
      <c r="I254" t="s">
        <v>1951</v>
      </c>
    </row>
    <row r="255" spans="1:9" x14ac:dyDescent="0.3">
      <c r="A255" s="17" t="s">
        <v>522</v>
      </c>
      <c r="B255" s="17" t="s">
        <v>3103</v>
      </c>
      <c r="C255" s="17" t="s">
        <v>3104</v>
      </c>
      <c r="D255" s="17" t="s">
        <v>3105</v>
      </c>
      <c r="E255" s="17" t="s">
        <v>3106</v>
      </c>
      <c r="F255" s="17" t="s">
        <v>3107</v>
      </c>
      <c r="G255" s="17" t="s">
        <v>1941</v>
      </c>
      <c r="H255" s="17">
        <v>61825</v>
      </c>
      <c r="I255" t="s">
        <v>1951</v>
      </c>
    </row>
    <row r="256" spans="1:9" x14ac:dyDescent="0.3">
      <c r="A256" s="17" t="s">
        <v>524</v>
      </c>
      <c r="B256" s="17" t="s">
        <v>3108</v>
      </c>
      <c r="C256" s="17" t="s">
        <v>3109</v>
      </c>
      <c r="D256" s="17"/>
      <c r="E256" s="17" t="s">
        <v>3110</v>
      </c>
      <c r="F256" s="17" t="s">
        <v>3111</v>
      </c>
      <c r="G256" s="17" t="s">
        <v>2116</v>
      </c>
      <c r="H256" s="17" t="s">
        <v>3112</v>
      </c>
      <c r="I256" t="s">
        <v>1951</v>
      </c>
    </row>
    <row r="257" spans="1:9" x14ac:dyDescent="0.3">
      <c r="A257" s="17" t="s">
        <v>526</v>
      </c>
      <c r="B257" s="17" t="s">
        <v>3113</v>
      </c>
      <c r="C257" s="17" t="s">
        <v>3114</v>
      </c>
      <c r="D257" s="17" t="s">
        <v>3115</v>
      </c>
      <c r="E257" s="17" t="s">
        <v>3116</v>
      </c>
      <c r="F257" s="17" t="s">
        <v>2140</v>
      </c>
      <c r="G257" s="17" t="s">
        <v>1941</v>
      </c>
      <c r="H257" s="17">
        <v>85715</v>
      </c>
      <c r="I257" t="s">
        <v>1951</v>
      </c>
    </row>
    <row r="258" spans="1:9" x14ac:dyDescent="0.3">
      <c r="A258" s="17" t="s">
        <v>514</v>
      </c>
      <c r="B258" s="17" t="s">
        <v>3117</v>
      </c>
      <c r="C258" s="17" t="s">
        <v>3118</v>
      </c>
      <c r="D258" s="17" t="s">
        <v>3119</v>
      </c>
      <c r="E258" s="17" t="s">
        <v>3120</v>
      </c>
      <c r="F258" s="17" t="s">
        <v>3121</v>
      </c>
      <c r="G258" s="17" t="s">
        <v>1941</v>
      </c>
      <c r="H258" s="17">
        <v>53205</v>
      </c>
      <c r="I258" t="s">
        <v>1942</v>
      </c>
    </row>
    <row r="259" spans="1:9" x14ac:dyDescent="0.3">
      <c r="A259" s="17" t="s">
        <v>529</v>
      </c>
      <c r="B259" s="17" t="s">
        <v>3122</v>
      </c>
      <c r="C259" s="17" t="s">
        <v>3123</v>
      </c>
      <c r="D259" s="17" t="s">
        <v>3124</v>
      </c>
      <c r="E259" s="17" t="s">
        <v>3125</v>
      </c>
      <c r="F259" s="17" t="s">
        <v>2861</v>
      </c>
      <c r="G259" s="17" t="s">
        <v>1941</v>
      </c>
      <c r="H259" s="17">
        <v>33064</v>
      </c>
      <c r="I259" t="s">
        <v>1942</v>
      </c>
    </row>
    <row r="260" spans="1:9" x14ac:dyDescent="0.3">
      <c r="A260" s="17" t="s">
        <v>532</v>
      </c>
      <c r="B260" s="17" t="s">
        <v>3126</v>
      </c>
      <c r="C260" s="17" t="s">
        <v>3127</v>
      </c>
      <c r="D260" s="17" t="s">
        <v>3128</v>
      </c>
      <c r="E260" s="17" t="s">
        <v>3129</v>
      </c>
      <c r="F260" s="17" t="s">
        <v>2758</v>
      </c>
      <c r="G260" s="17" t="s">
        <v>1941</v>
      </c>
      <c r="H260" s="17">
        <v>90610</v>
      </c>
      <c r="I260" t="s">
        <v>1951</v>
      </c>
    </row>
    <row r="261" spans="1:9" x14ac:dyDescent="0.3">
      <c r="A261" s="17" t="s">
        <v>534</v>
      </c>
      <c r="B261" s="17" t="s">
        <v>3130</v>
      </c>
      <c r="C261" s="17" t="s">
        <v>3131</v>
      </c>
      <c r="D261" s="17" t="s">
        <v>3132</v>
      </c>
      <c r="E261" s="17" t="s">
        <v>3133</v>
      </c>
      <c r="F261" s="17" t="s">
        <v>3134</v>
      </c>
      <c r="G261" s="17" t="s">
        <v>2116</v>
      </c>
      <c r="H261" s="17" t="s">
        <v>3135</v>
      </c>
      <c r="I261" t="s">
        <v>1951</v>
      </c>
    </row>
    <row r="262" spans="1:9" x14ac:dyDescent="0.3">
      <c r="A262" s="17" t="s">
        <v>536</v>
      </c>
      <c r="B262" s="17" t="s">
        <v>3136</v>
      </c>
      <c r="C262" s="17" t="s">
        <v>3137</v>
      </c>
      <c r="D262" s="17"/>
      <c r="E262" s="17" t="s">
        <v>3138</v>
      </c>
      <c r="F262" s="17" t="s">
        <v>2013</v>
      </c>
      <c r="G262" s="17" t="s">
        <v>1941</v>
      </c>
      <c r="H262" s="17">
        <v>63180</v>
      </c>
      <c r="I262" t="s">
        <v>1942</v>
      </c>
    </row>
    <row r="263" spans="1:9" x14ac:dyDescent="0.3">
      <c r="A263" s="17" t="s">
        <v>538</v>
      </c>
      <c r="B263" s="17" t="s">
        <v>3139</v>
      </c>
      <c r="C263" s="17" t="s">
        <v>3140</v>
      </c>
      <c r="D263" s="17" t="s">
        <v>3141</v>
      </c>
      <c r="E263" s="17" t="s">
        <v>3142</v>
      </c>
      <c r="F263" s="17" t="s">
        <v>3143</v>
      </c>
      <c r="G263" s="17" t="s">
        <v>1941</v>
      </c>
      <c r="H263" s="17">
        <v>16522</v>
      </c>
      <c r="I263" t="s">
        <v>1942</v>
      </c>
    </row>
    <row r="264" spans="1:9" x14ac:dyDescent="0.3">
      <c r="A264" s="17" t="s">
        <v>540</v>
      </c>
      <c r="B264" s="17" t="s">
        <v>3144</v>
      </c>
      <c r="C264" s="17" t="s">
        <v>3145</v>
      </c>
      <c r="D264" s="17" t="s">
        <v>3146</v>
      </c>
      <c r="E264" s="17" t="s">
        <v>3147</v>
      </c>
      <c r="F264" s="17" t="s">
        <v>3148</v>
      </c>
      <c r="G264" s="17" t="s">
        <v>1941</v>
      </c>
      <c r="H264" s="17">
        <v>98464</v>
      </c>
      <c r="I264" t="s">
        <v>1951</v>
      </c>
    </row>
    <row r="265" spans="1:9" x14ac:dyDescent="0.3">
      <c r="A265" s="17" t="s">
        <v>542</v>
      </c>
      <c r="B265" s="17" t="s">
        <v>3149</v>
      </c>
      <c r="C265" s="17"/>
      <c r="D265" s="17" t="s">
        <v>3150</v>
      </c>
      <c r="E265" s="17" t="s">
        <v>3151</v>
      </c>
      <c r="F265" s="17" t="s">
        <v>2004</v>
      </c>
      <c r="G265" s="17" t="s">
        <v>1941</v>
      </c>
      <c r="H265" s="17">
        <v>23277</v>
      </c>
      <c r="I265" t="s">
        <v>1951</v>
      </c>
    </row>
    <row r="266" spans="1:9" x14ac:dyDescent="0.3">
      <c r="A266" s="17" t="s">
        <v>544</v>
      </c>
      <c r="B266" s="17" t="s">
        <v>3152</v>
      </c>
      <c r="C266" s="17"/>
      <c r="D266" s="17" t="s">
        <v>3153</v>
      </c>
      <c r="E266" s="17" t="s">
        <v>3154</v>
      </c>
      <c r="F266" s="17" t="s">
        <v>3155</v>
      </c>
      <c r="G266" s="17" t="s">
        <v>1949</v>
      </c>
      <c r="H266" s="17" t="s">
        <v>2545</v>
      </c>
      <c r="I266" t="s">
        <v>1942</v>
      </c>
    </row>
    <row r="267" spans="1:9" x14ac:dyDescent="0.3">
      <c r="A267" s="17" t="s">
        <v>546</v>
      </c>
      <c r="B267" s="17" t="s">
        <v>3156</v>
      </c>
      <c r="C267" s="17" t="s">
        <v>3157</v>
      </c>
      <c r="D267" s="17" t="s">
        <v>3158</v>
      </c>
      <c r="E267" s="17" t="s">
        <v>3159</v>
      </c>
      <c r="F267" s="17" t="s">
        <v>2127</v>
      </c>
      <c r="G267" s="17" t="s">
        <v>1941</v>
      </c>
      <c r="H267" s="17">
        <v>72204</v>
      </c>
      <c r="I267" t="s">
        <v>1942</v>
      </c>
    </row>
    <row r="268" spans="1:9" x14ac:dyDescent="0.3">
      <c r="A268" s="17" t="s">
        <v>548</v>
      </c>
      <c r="B268" s="17" t="s">
        <v>3160</v>
      </c>
      <c r="C268" s="17" t="s">
        <v>3161</v>
      </c>
      <c r="D268" s="17" t="s">
        <v>3162</v>
      </c>
      <c r="E268" s="17" t="s">
        <v>3163</v>
      </c>
      <c r="F268" s="17" t="s">
        <v>3164</v>
      </c>
      <c r="G268" s="17" t="s">
        <v>2116</v>
      </c>
      <c r="H268" s="17" t="s">
        <v>3165</v>
      </c>
      <c r="I268" t="s">
        <v>1951</v>
      </c>
    </row>
    <row r="269" spans="1:9" x14ac:dyDescent="0.3">
      <c r="A269" s="17" t="s">
        <v>550</v>
      </c>
      <c r="B269" s="17" t="s">
        <v>3166</v>
      </c>
      <c r="C269" s="17" t="s">
        <v>3167</v>
      </c>
      <c r="D269" s="17" t="s">
        <v>3168</v>
      </c>
      <c r="E269" s="17" t="s">
        <v>3169</v>
      </c>
      <c r="F269" s="17" t="s">
        <v>2748</v>
      </c>
      <c r="G269" s="17" t="s">
        <v>1941</v>
      </c>
      <c r="H269" s="17">
        <v>89436</v>
      </c>
      <c r="I269" t="s">
        <v>1942</v>
      </c>
    </row>
    <row r="270" spans="1:9" x14ac:dyDescent="0.3">
      <c r="A270" s="17" t="s">
        <v>3170</v>
      </c>
      <c r="B270" s="17" t="s">
        <v>3171</v>
      </c>
      <c r="C270" s="17"/>
      <c r="D270" s="17" t="s">
        <v>3172</v>
      </c>
      <c r="E270" s="17" t="s">
        <v>3173</v>
      </c>
      <c r="F270" s="17" t="s">
        <v>3174</v>
      </c>
      <c r="G270" s="17" t="s">
        <v>1941</v>
      </c>
      <c r="H270" s="17">
        <v>77806</v>
      </c>
      <c r="I270" t="s">
        <v>1942</v>
      </c>
    </row>
    <row r="271" spans="1:9" x14ac:dyDescent="0.3">
      <c r="A271" s="17" t="s">
        <v>553</v>
      </c>
      <c r="B271" s="17" t="s">
        <v>3175</v>
      </c>
      <c r="C271" s="17" t="s">
        <v>3176</v>
      </c>
      <c r="D271" s="17" t="s">
        <v>3177</v>
      </c>
      <c r="E271" s="17" t="s">
        <v>3178</v>
      </c>
      <c r="F271" s="17" t="s">
        <v>3179</v>
      </c>
      <c r="G271" s="17" t="s">
        <v>1941</v>
      </c>
      <c r="H271" s="17">
        <v>76210</v>
      </c>
      <c r="I271" t="s">
        <v>1951</v>
      </c>
    </row>
    <row r="272" spans="1:9" x14ac:dyDescent="0.3">
      <c r="A272" s="17" t="s">
        <v>555</v>
      </c>
      <c r="B272" s="17" t="s">
        <v>3180</v>
      </c>
      <c r="C272" s="17"/>
      <c r="D272" s="17"/>
      <c r="E272" s="17" t="s">
        <v>3181</v>
      </c>
      <c r="F272" s="17" t="s">
        <v>3182</v>
      </c>
      <c r="G272" s="17" t="s">
        <v>1949</v>
      </c>
      <c r="H272" s="17" t="s">
        <v>3183</v>
      </c>
      <c r="I272" t="s">
        <v>1942</v>
      </c>
    </row>
    <row r="273" spans="1:9" x14ac:dyDescent="0.3">
      <c r="A273" s="17" t="s">
        <v>557</v>
      </c>
      <c r="B273" s="17" t="s">
        <v>3184</v>
      </c>
      <c r="C273" s="17" t="s">
        <v>3185</v>
      </c>
      <c r="D273" s="17" t="s">
        <v>3186</v>
      </c>
      <c r="E273" s="17" t="s">
        <v>3187</v>
      </c>
      <c r="F273" s="17" t="s">
        <v>3188</v>
      </c>
      <c r="G273" s="17" t="s">
        <v>1941</v>
      </c>
      <c r="H273" s="17">
        <v>27635</v>
      </c>
      <c r="I273" t="s">
        <v>1942</v>
      </c>
    </row>
    <row r="274" spans="1:9" x14ac:dyDescent="0.3">
      <c r="A274" s="17" t="s">
        <v>559</v>
      </c>
      <c r="B274" s="17" t="s">
        <v>3189</v>
      </c>
      <c r="C274" s="17" t="s">
        <v>3190</v>
      </c>
      <c r="D274" s="17" t="s">
        <v>3191</v>
      </c>
      <c r="E274" s="17" t="s">
        <v>3192</v>
      </c>
      <c r="F274" s="17" t="s">
        <v>3193</v>
      </c>
      <c r="G274" s="17" t="s">
        <v>1949</v>
      </c>
      <c r="H274" s="17" t="s">
        <v>3194</v>
      </c>
      <c r="I274" t="s">
        <v>1942</v>
      </c>
    </row>
    <row r="275" spans="1:9" x14ac:dyDescent="0.3">
      <c r="A275" s="17" t="s">
        <v>561</v>
      </c>
      <c r="B275" s="17" t="s">
        <v>3195</v>
      </c>
      <c r="C275" s="17" t="s">
        <v>3196</v>
      </c>
      <c r="D275" s="17" t="s">
        <v>3197</v>
      </c>
      <c r="E275" s="17" t="s">
        <v>3198</v>
      </c>
      <c r="F275" s="17" t="s">
        <v>2037</v>
      </c>
      <c r="G275" s="17" t="s">
        <v>1941</v>
      </c>
      <c r="H275" s="17">
        <v>10105</v>
      </c>
      <c r="I275" t="s">
        <v>1951</v>
      </c>
    </row>
    <row r="276" spans="1:9" x14ac:dyDescent="0.3">
      <c r="A276" s="17" t="s">
        <v>563</v>
      </c>
      <c r="B276" s="17" t="s">
        <v>3199</v>
      </c>
      <c r="C276" s="17" t="s">
        <v>3200</v>
      </c>
      <c r="D276" s="17" t="s">
        <v>3201</v>
      </c>
      <c r="E276" s="17" t="s">
        <v>3202</v>
      </c>
      <c r="F276" s="17" t="s">
        <v>2525</v>
      </c>
      <c r="G276" s="17" t="s">
        <v>1941</v>
      </c>
      <c r="H276" s="17">
        <v>6905</v>
      </c>
      <c r="I276" t="s">
        <v>1951</v>
      </c>
    </row>
    <row r="277" spans="1:9" x14ac:dyDescent="0.3">
      <c r="A277" s="17" t="s">
        <v>565</v>
      </c>
      <c r="B277" s="17" t="s">
        <v>3203</v>
      </c>
      <c r="C277" s="17" t="s">
        <v>3204</v>
      </c>
      <c r="D277" s="17" t="s">
        <v>3205</v>
      </c>
      <c r="E277" s="17" t="s">
        <v>3206</v>
      </c>
      <c r="F277" s="17" t="s">
        <v>2211</v>
      </c>
      <c r="G277" s="17" t="s">
        <v>1941</v>
      </c>
      <c r="H277" s="17">
        <v>43666</v>
      </c>
      <c r="I277" t="s">
        <v>1951</v>
      </c>
    </row>
    <row r="278" spans="1:9" x14ac:dyDescent="0.3">
      <c r="A278" s="17" t="s">
        <v>567</v>
      </c>
      <c r="B278" s="17" t="s">
        <v>3207</v>
      </c>
      <c r="C278" s="17" t="s">
        <v>3208</v>
      </c>
      <c r="D278" s="17" t="s">
        <v>3209</v>
      </c>
      <c r="E278" s="17" t="s">
        <v>3210</v>
      </c>
      <c r="F278" s="17" t="s">
        <v>3211</v>
      </c>
      <c r="G278" s="17" t="s">
        <v>1949</v>
      </c>
      <c r="H278" s="17" t="s">
        <v>3212</v>
      </c>
      <c r="I278" t="s">
        <v>1942</v>
      </c>
    </row>
    <row r="279" spans="1:9" x14ac:dyDescent="0.3">
      <c r="A279" s="17" t="s">
        <v>569</v>
      </c>
      <c r="B279" s="17" t="s">
        <v>3213</v>
      </c>
      <c r="C279" s="17" t="s">
        <v>3214</v>
      </c>
      <c r="D279" s="17" t="s">
        <v>3215</v>
      </c>
      <c r="E279" s="17" t="s">
        <v>3216</v>
      </c>
      <c r="F279" s="17" t="s">
        <v>3217</v>
      </c>
      <c r="G279" s="17" t="s">
        <v>1941</v>
      </c>
      <c r="H279" s="17">
        <v>65211</v>
      </c>
      <c r="I279" t="s">
        <v>1951</v>
      </c>
    </row>
    <row r="280" spans="1:9" x14ac:dyDescent="0.3">
      <c r="A280" s="17" t="s">
        <v>571</v>
      </c>
      <c r="B280" s="17" t="s">
        <v>3218</v>
      </c>
      <c r="C280" s="17" t="s">
        <v>3219</v>
      </c>
      <c r="D280" s="17" t="s">
        <v>3220</v>
      </c>
      <c r="E280" s="17" t="s">
        <v>3221</v>
      </c>
      <c r="F280" s="17" t="s">
        <v>2238</v>
      </c>
      <c r="G280" s="17" t="s">
        <v>1941</v>
      </c>
      <c r="H280" s="17">
        <v>46852</v>
      </c>
      <c r="I280" t="s">
        <v>1942</v>
      </c>
    </row>
    <row r="281" spans="1:9" x14ac:dyDescent="0.3">
      <c r="A281" s="17" t="s">
        <v>573</v>
      </c>
      <c r="B281" s="17" t="s">
        <v>3222</v>
      </c>
      <c r="C281" s="17" t="s">
        <v>3223</v>
      </c>
      <c r="D281" s="17" t="s">
        <v>3224</v>
      </c>
      <c r="E281" s="17" t="s">
        <v>3225</v>
      </c>
      <c r="F281" s="17" t="s">
        <v>2013</v>
      </c>
      <c r="G281" s="17" t="s">
        <v>1941</v>
      </c>
      <c r="H281" s="17">
        <v>63143</v>
      </c>
      <c r="I281" t="s">
        <v>1942</v>
      </c>
    </row>
    <row r="282" spans="1:9" x14ac:dyDescent="0.3">
      <c r="A282" s="17" t="s">
        <v>575</v>
      </c>
      <c r="B282" s="17" t="s">
        <v>3226</v>
      </c>
      <c r="C282" s="17"/>
      <c r="D282" s="17" t="s">
        <v>3227</v>
      </c>
      <c r="E282" s="17" t="s">
        <v>3228</v>
      </c>
      <c r="F282" s="17" t="s">
        <v>2022</v>
      </c>
      <c r="G282" s="17" t="s">
        <v>1941</v>
      </c>
      <c r="H282" s="17">
        <v>97211</v>
      </c>
      <c r="I282" t="s">
        <v>1942</v>
      </c>
    </row>
    <row r="283" spans="1:9" x14ac:dyDescent="0.3">
      <c r="A283" s="17" t="s">
        <v>577</v>
      </c>
      <c r="B283" s="17" t="s">
        <v>3229</v>
      </c>
      <c r="C283" s="17" t="s">
        <v>3230</v>
      </c>
      <c r="D283" s="17" t="s">
        <v>3231</v>
      </c>
      <c r="E283" s="17" t="s">
        <v>3232</v>
      </c>
      <c r="F283" s="17" t="s">
        <v>3233</v>
      </c>
      <c r="G283" s="17" t="s">
        <v>1941</v>
      </c>
      <c r="H283" s="17">
        <v>80305</v>
      </c>
      <c r="I283" t="s">
        <v>1942</v>
      </c>
    </row>
    <row r="284" spans="1:9" x14ac:dyDescent="0.3">
      <c r="A284" s="17" t="s">
        <v>579</v>
      </c>
      <c r="B284" s="17" t="s">
        <v>3234</v>
      </c>
      <c r="C284" s="17" t="s">
        <v>3235</v>
      </c>
      <c r="D284" s="17" t="s">
        <v>3236</v>
      </c>
      <c r="E284" s="17" t="s">
        <v>3237</v>
      </c>
      <c r="F284" s="17" t="s">
        <v>3238</v>
      </c>
      <c r="G284" s="17" t="s">
        <v>2116</v>
      </c>
      <c r="H284" s="17" t="s">
        <v>3239</v>
      </c>
      <c r="I284" t="s">
        <v>1951</v>
      </c>
    </row>
    <row r="285" spans="1:9" x14ac:dyDescent="0.3">
      <c r="A285" s="17" t="s">
        <v>581</v>
      </c>
      <c r="B285" s="17" t="s">
        <v>3240</v>
      </c>
      <c r="C285" s="17" t="s">
        <v>3241</v>
      </c>
      <c r="D285" s="17" t="s">
        <v>3242</v>
      </c>
      <c r="E285" s="17" t="s">
        <v>3243</v>
      </c>
      <c r="F285" s="17" t="s">
        <v>3134</v>
      </c>
      <c r="G285" s="17" t="s">
        <v>2116</v>
      </c>
      <c r="H285" s="17" t="s">
        <v>3135</v>
      </c>
      <c r="I285" t="s">
        <v>1942</v>
      </c>
    </row>
    <row r="286" spans="1:9" x14ac:dyDescent="0.3">
      <c r="A286" s="17" t="s">
        <v>583</v>
      </c>
      <c r="B286" s="17" t="s">
        <v>3244</v>
      </c>
      <c r="C286" s="17"/>
      <c r="D286" s="17" t="s">
        <v>3245</v>
      </c>
      <c r="E286" s="17" t="s">
        <v>3246</v>
      </c>
      <c r="F286" s="17" t="s">
        <v>3247</v>
      </c>
      <c r="G286" s="17" t="s">
        <v>1941</v>
      </c>
      <c r="H286" s="17">
        <v>40298</v>
      </c>
      <c r="I286" t="s">
        <v>1951</v>
      </c>
    </row>
    <row r="287" spans="1:9" x14ac:dyDescent="0.3">
      <c r="A287" s="17" t="s">
        <v>585</v>
      </c>
      <c r="B287" s="17" t="s">
        <v>3248</v>
      </c>
      <c r="C287" s="17"/>
      <c r="D287" s="17" t="s">
        <v>3249</v>
      </c>
      <c r="E287" s="17" t="s">
        <v>3250</v>
      </c>
      <c r="F287" s="17" t="s">
        <v>2350</v>
      </c>
      <c r="G287" s="17" t="s">
        <v>1941</v>
      </c>
      <c r="H287" s="17">
        <v>14276</v>
      </c>
      <c r="I287" t="s">
        <v>1951</v>
      </c>
    </row>
    <row r="288" spans="1:9" x14ac:dyDescent="0.3">
      <c r="A288" s="17" t="s">
        <v>587</v>
      </c>
      <c r="B288" s="17" t="s">
        <v>3251</v>
      </c>
      <c r="C288" s="17" t="s">
        <v>3252</v>
      </c>
      <c r="D288" s="17"/>
      <c r="E288" s="17" t="s">
        <v>3253</v>
      </c>
      <c r="F288" s="17" t="s">
        <v>3254</v>
      </c>
      <c r="G288" s="17" t="s">
        <v>1941</v>
      </c>
      <c r="H288" s="17">
        <v>44710</v>
      </c>
      <c r="I288" t="s">
        <v>1942</v>
      </c>
    </row>
    <row r="289" spans="1:9" x14ac:dyDescent="0.3">
      <c r="A289" s="17" t="s">
        <v>589</v>
      </c>
      <c r="B289" s="17" t="s">
        <v>3255</v>
      </c>
      <c r="C289" s="17" t="s">
        <v>3256</v>
      </c>
      <c r="D289" s="17" t="s">
        <v>3257</v>
      </c>
      <c r="E289" s="17" t="s">
        <v>3258</v>
      </c>
      <c r="F289" s="17" t="s">
        <v>2158</v>
      </c>
      <c r="G289" s="17" t="s">
        <v>1941</v>
      </c>
      <c r="H289" s="17">
        <v>2114</v>
      </c>
      <c r="I289" t="s">
        <v>1951</v>
      </c>
    </row>
    <row r="290" spans="1:9" x14ac:dyDescent="0.3">
      <c r="A290" s="17" t="s">
        <v>591</v>
      </c>
      <c r="B290" s="17" t="s">
        <v>3259</v>
      </c>
      <c r="C290" s="17"/>
      <c r="D290" s="17" t="s">
        <v>3260</v>
      </c>
      <c r="E290" s="17" t="s">
        <v>3261</v>
      </c>
      <c r="F290" s="17" t="s">
        <v>3262</v>
      </c>
      <c r="G290" s="17" t="s">
        <v>1949</v>
      </c>
      <c r="H290" s="17" t="s">
        <v>3263</v>
      </c>
      <c r="I290" t="s">
        <v>1942</v>
      </c>
    </row>
    <row r="291" spans="1:9" x14ac:dyDescent="0.3">
      <c r="A291" s="17" t="s">
        <v>593</v>
      </c>
      <c r="B291" s="17" t="s">
        <v>3264</v>
      </c>
      <c r="C291" s="17"/>
      <c r="D291" s="17"/>
      <c r="E291" s="17" t="s">
        <v>3265</v>
      </c>
      <c r="F291" s="17" t="s">
        <v>3266</v>
      </c>
      <c r="G291" s="17" t="s">
        <v>1941</v>
      </c>
      <c r="H291" s="17">
        <v>24515</v>
      </c>
      <c r="I291" t="s">
        <v>1942</v>
      </c>
    </row>
    <row r="292" spans="1:9" x14ac:dyDescent="0.3">
      <c r="A292" s="17" t="s">
        <v>595</v>
      </c>
      <c r="B292" s="17" t="s">
        <v>3267</v>
      </c>
      <c r="C292" s="17" t="s">
        <v>3268</v>
      </c>
      <c r="D292" s="17" t="s">
        <v>3269</v>
      </c>
      <c r="E292" s="17" t="s">
        <v>3270</v>
      </c>
      <c r="F292" s="17" t="s">
        <v>1986</v>
      </c>
      <c r="G292" s="17" t="s">
        <v>1941</v>
      </c>
      <c r="H292" s="17">
        <v>90071</v>
      </c>
      <c r="I292" t="s">
        <v>1951</v>
      </c>
    </row>
    <row r="293" spans="1:9" x14ac:dyDescent="0.3">
      <c r="A293" s="17" t="s">
        <v>597</v>
      </c>
      <c r="B293" s="17" t="s">
        <v>3271</v>
      </c>
      <c r="C293" s="17"/>
      <c r="D293" s="17"/>
      <c r="E293" s="17" t="s">
        <v>3272</v>
      </c>
      <c r="F293" s="17" t="s">
        <v>2535</v>
      </c>
      <c r="G293" s="17" t="s">
        <v>1949</v>
      </c>
      <c r="H293" s="17" t="s">
        <v>2536</v>
      </c>
      <c r="I293" t="s">
        <v>1951</v>
      </c>
    </row>
    <row r="294" spans="1:9" x14ac:dyDescent="0.3">
      <c r="A294" s="17" t="s">
        <v>599</v>
      </c>
      <c r="B294" s="17" t="s">
        <v>3273</v>
      </c>
      <c r="C294" s="17" t="s">
        <v>3274</v>
      </c>
      <c r="D294" s="17"/>
      <c r="E294" s="17" t="s">
        <v>3275</v>
      </c>
      <c r="F294" s="17" t="s">
        <v>2172</v>
      </c>
      <c r="G294" s="17" t="s">
        <v>1941</v>
      </c>
      <c r="H294" s="17">
        <v>35236</v>
      </c>
      <c r="I294" t="s">
        <v>1951</v>
      </c>
    </row>
    <row r="295" spans="1:9" x14ac:dyDescent="0.3">
      <c r="A295" s="17" t="s">
        <v>601</v>
      </c>
      <c r="B295" s="17" t="s">
        <v>3276</v>
      </c>
      <c r="C295" s="17" t="s">
        <v>3277</v>
      </c>
      <c r="D295" s="17" t="s">
        <v>3278</v>
      </c>
      <c r="E295" s="17" t="s">
        <v>3279</v>
      </c>
      <c r="F295" s="17" t="s">
        <v>2699</v>
      </c>
      <c r="G295" s="17" t="s">
        <v>1941</v>
      </c>
      <c r="H295" s="17">
        <v>22309</v>
      </c>
      <c r="I295" t="s">
        <v>1951</v>
      </c>
    </row>
    <row r="296" spans="1:9" x14ac:dyDescent="0.3">
      <c r="A296" s="17" t="s">
        <v>603</v>
      </c>
      <c r="B296" s="17" t="s">
        <v>3280</v>
      </c>
      <c r="C296" s="17"/>
      <c r="D296" s="17" t="s">
        <v>3281</v>
      </c>
      <c r="E296" s="17" t="s">
        <v>3282</v>
      </c>
      <c r="F296" s="17" t="s">
        <v>3283</v>
      </c>
      <c r="G296" s="17" t="s">
        <v>1941</v>
      </c>
      <c r="H296" s="17">
        <v>6816</v>
      </c>
      <c r="I296" t="s">
        <v>1951</v>
      </c>
    </row>
    <row r="297" spans="1:9" x14ac:dyDescent="0.3">
      <c r="A297" s="17" t="s">
        <v>605</v>
      </c>
      <c r="B297" s="17" t="s">
        <v>3284</v>
      </c>
      <c r="C297" s="17"/>
      <c r="D297" s="17"/>
      <c r="E297" s="17" t="s">
        <v>3285</v>
      </c>
      <c r="F297" s="17" t="s">
        <v>2881</v>
      </c>
      <c r="G297" s="17" t="s">
        <v>1941</v>
      </c>
      <c r="H297" s="17">
        <v>12205</v>
      </c>
      <c r="I297" t="s">
        <v>1951</v>
      </c>
    </row>
    <row r="298" spans="1:9" x14ac:dyDescent="0.3">
      <c r="A298" s="17" t="s">
        <v>607</v>
      </c>
      <c r="B298" s="17" t="s">
        <v>3286</v>
      </c>
      <c r="C298" s="17" t="s">
        <v>3287</v>
      </c>
      <c r="D298" s="17" t="s">
        <v>3288</v>
      </c>
      <c r="E298" s="17" t="s">
        <v>3289</v>
      </c>
      <c r="F298" s="17" t="s">
        <v>2247</v>
      </c>
      <c r="G298" s="17" t="s">
        <v>1941</v>
      </c>
      <c r="H298" s="17">
        <v>34108</v>
      </c>
      <c r="I298" t="s">
        <v>1942</v>
      </c>
    </row>
    <row r="299" spans="1:9" x14ac:dyDescent="0.3">
      <c r="A299" s="17" t="s">
        <v>609</v>
      </c>
      <c r="B299" s="17" t="s">
        <v>3290</v>
      </c>
      <c r="C299" s="17" t="s">
        <v>3291</v>
      </c>
      <c r="D299" s="17" t="s">
        <v>3292</v>
      </c>
      <c r="E299" s="17" t="s">
        <v>3293</v>
      </c>
      <c r="F299" s="17" t="s">
        <v>3294</v>
      </c>
      <c r="G299" s="17" t="s">
        <v>1941</v>
      </c>
      <c r="H299" s="17">
        <v>33141</v>
      </c>
      <c r="I299" t="s">
        <v>1942</v>
      </c>
    </row>
    <row r="300" spans="1:9" x14ac:dyDescent="0.3">
      <c r="A300" s="17" t="s">
        <v>611</v>
      </c>
      <c r="B300" s="17" t="s">
        <v>3295</v>
      </c>
      <c r="C300" s="17" t="s">
        <v>3296</v>
      </c>
      <c r="D300" s="17" t="s">
        <v>3297</v>
      </c>
      <c r="E300" s="17" t="s">
        <v>3298</v>
      </c>
      <c r="F300" s="17" t="s">
        <v>3049</v>
      </c>
      <c r="G300" s="17" t="s">
        <v>1941</v>
      </c>
      <c r="H300" s="17">
        <v>30358</v>
      </c>
      <c r="I300" t="s">
        <v>1942</v>
      </c>
    </row>
    <row r="301" spans="1:9" x14ac:dyDescent="0.3">
      <c r="A301" s="17" t="s">
        <v>613</v>
      </c>
      <c r="B301" s="17" t="s">
        <v>3299</v>
      </c>
      <c r="C301" s="17" t="s">
        <v>3300</v>
      </c>
      <c r="D301" s="17" t="s">
        <v>3301</v>
      </c>
      <c r="E301" s="17" t="s">
        <v>3302</v>
      </c>
      <c r="F301" s="17" t="s">
        <v>3303</v>
      </c>
      <c r="G301" s="17" t="s">
        <v>1941</v>
      </c>
      <c r="H301" s="17">
        <v>78405</v>
      </c>
      <c r="I301" t="s">
        <v>1942</v>
      </c>
    </row>
    <row r="302" spans="1:9" x14ac:dyDescent="0.3">
      <c r="A302" s="17" t="s">
        <v>615</v>
      </c>
      <c r="B302" s="17" t="s">
        <v>3304</v>
      </c>
      <c r="C302" s="17" t="s">
        <v>3305</v>
      </c>
      <c r="D302" s="17" t="s">
        <v>3306</v>
      </c>
      <c r="E302" s="17" t="s">
        <v>3307</v>
      </c>
      <c r="F302" s="17" t="s">
        <v>2592</v>
      </c>
      <c r="G302" s="17" t="s">
        <v>1941</v>
      </c>
      <c r="H302" s="17">
        <v>96835</v>
      </c>
      <c r="I302" t="s">
        <v>1942</v>
      </c>
    </row>
    <row r="303" spans="1:9" x14ac:dyDescent="0.3">
      <c r="A303" s="17" t="s">
        <v>617</v>
      </c>
      <c r="B303" s="17" t="s">
        <v>3308</v>
      </c>
      <c r="C303" s="17" t="s">
        <v>3309</v>
      </c>
      <c r="D303" s="17" t="s">
        <v>3310</v>
      </c>
      <c r="E303" s="17" t="s">
        <v>3311</v>
      </c>
      <c r="F303" s="17" t="s">
        <v>2387</v>
      </c>
      <c r="G303" s="17" t="s">
        <v>1941</v>
      </c>
      <c r="H303" s="17">
        <v>78737</v>
      </c>
      <c r="I303" t="s">
        <v>1942</v>
      </c>
    </row>
    <row r="304" spans="1:9" x14ac:dyDescent="0.3">
      <c r="A304" s="17" t="s">
        <v>619</v>
      </c>
      <c r="B304" s="17" t="s">
        <v>3312</v>
      </c>
      <c r="C304" s="17" t="s">
        <v>3313</v>
      </c>
      <c r="D304" s="17" t="s">
        <v>3314</v>
      </c>
      <c r="E304" s="17" t="s">
        <v>3315</v>
      </c>
      <c r="F304" s="17" t="s">
        <v>3316</v>
      </c>
      <c r="G304" s="17" t="s">
        <v>1941</v>
      </c>
      <c r="H304" s="17">
        <v>21290</v>
      </c>
      <c r="I304" t="s">
        <v>1951</v>
      </c>
    </row>
    <row r="305" spans="1:9" x14ac:dyDescent="0.3">
      <c r="A305" s="17" t="s">
        <v>621</v>
      </c>
      <c r="B305" s="17" t="s">
        <v>3317</v>
      </c>
      <c r="C305" s="17" t="s">
        <v>3318</v>
      </c>
      <c r="D305" s="17"/>
      <c r="E305" s="17" t="s">
        <v>3319</v>
      </c>
      <c r="F305" s="17" t="s">
        <v>3320</v>
      </c>
      <c r="G305" s="17" t="s">
        <v>1941</v>
      </c>
      <c r="H305" s="17">
        <v>40596</v>
      </c>
      <c r="I305" t="s">
        <v>1942</v>
      </c>
    </row>
    <row r="306" spans="1:9" x14ac:dyDescent="0.3">
      <c r="A306" s="17" t="s">
        <v>3321</v>
      </c>
      <c r="B306" s="17" t="s">
        <v>3322</v>
      </c>
      <c r="C306" s="17" t="s">
        <v>3323</v>
      </c>
      <c r="D306" s="17"/>
      <c r="E306" s="17" t="s">
        <v>3324</v>
      </c>
      <c r="F306" s="17" t="s">
        <v>3325</v>
      </c>
      <c r="G306" s="17" t="s">
        <v>1941</v>
      </c>
      <c r="H306" s="17">
        <v>60435</v>
      </c>
      <c r="I306" t="s">
        <v>1942</v>
      </c>
    </row>
    <row r="307" spans="1:9" x14ac:dyDescent="0.3">
      <c r="A307" s="17" t="s">
        <v>625</v>
      </c>
      <c r="B307" s="17" t="s">
        <v>3326</v>
      </c>
      <c r="C307" s="17" t="s">
        <v>3327</v>
      </c>
      <c r="D307" s="17" t="s">
        <v>3328</v>
      </c>
      <c r="E307" s="17" t="s">
        <v>3329</v>
      </c>
      <c r="F307" s="17" t="s">
        <v>3330</v>
      </c>
      <c r="G307" s="17" t="s">
        <v>2116</v>
      </c>
      <c r="H307" s="17" t="s">
        <v>3331</v>
      </c>
      <c r="I307" t="s">
        <v>1951</v>
      </c>
    </row>
    <row r="308" spans="1:9" x14ac:dyDescent="0.3">
      <c r="A308" s="17" t="s">
        <v>627</v>
      </c>
      <c r="B308" s="17" t="s">
        <v>3332</v>
      </c>
      <c r="C308" s="17" t="s">
        <v>3333</v>
      </c>
      <c r="D308" s="17" t="s">
        <v>3334</v>
      </c>
      <c r="E308" s="17" t="s">
        <v>3335</v>
      </c>
      <c r="F308" s="17" t="s">
        <v>3336</v>
      </c>
      <c r="G308" s="17" t="s">
        <v>1941</v>
      </c>
      <c r="H308" s="17">
        <v>68505</v>
      </c>
      <c r="I308" t="s">
        <v>1951</v>
      </c>
    </row>
    <row r="309" spans="1:9" x14ac:dyDescent="0.3">
      <c r="A309" s="17" t="s">
        <v>629</v>
      </c>
      <c r="B309" s="17" t="s">
        <v>3337</v>
      </c>
      <c r="C309" s="17" t="s">
        <v>3338</v>
      </c>
      <c r="D309" s="17" t="s">
        <v>3339</v>
      </c>
      <c r="E309" s="17" t="s">
        <v>3340</v>
      </c>
      <c r="F309" s="17" t="s">
        <v>3037</v>
      </c>
      <c r="G309" s="17" t="s">
        <v>1941</v>
      </c>
      <c r="H309" s="17">
        <v>45254</v>
      </c>
      <c r="I309" t="s">
        <v>1942</v>
      </c>
    </row>
    <row r="310" spans="1:9" x14ac:dyDescent="0.3">
      <c r="A310" s="17" t="s">
        <v>631</v>
      </c>
      <c r="B310" s="17" t="s">
        <v>3341</v>
      </c>
      <c r="C310" s="17" t="s">
        <v>3342</v>
      </c>
      <c r="D310" s="17"/>
      <c r="E310" s="17" t="s">
        <v>3343</v>
      </c>
      <c r="F310" s="17" t="s">
        <v>3134</v>
      </c>
      <c r="G310" s="17" t="s">
        <v>2116</v>
      </c>
      <c r="H310" s="17" t="s">
        <v>3135</v>
      </c>
      <c r="I310" t="s">
        <v>1951</v>
      </c>
    </row>
    <row r="311" spans="1:9" x14ac:dyDescent="0.3">
      <c r="A311" s="17" t="s">
        <v>633</v>
      </c>
      <c r="B311" s="17" t="s">
        <v>3344</v>
      </c>
      <c r="C311" s="17" t="s">
        <v>3345</v>
      </c>
      <c r="D311" s="17" t="s">
        <v>3346</v>
      </c>
      <c r="E311" s="17" t="s">
        <v>3347</v>
      </c>
      <c r="F311" s="17" t="s">
        <v>3348</v>
      </c>
      <c r="G311" s="17" t="s">
        <v>1941</v>
      </c>
      <c r="H311" s="17">
        <v>6127</v>
      </c>
      <c r="I311" t="s">
        <v>1942</v>
      </c>
    </row>
    <row r="312" spans="1:9" x14ac:dyDescent="0.3">
      <c r="A312" s="17" t="s">
        <v>635</v>
      </c>
      <c r="B312" s="17" t="s">
        <v>3349</v>
      </c>
      <c r="C312" s="17" t="s">
        <v>3350</v>
      </c>
      <c r="D312" s="17" t="s">
        <v>3351</v>
      </c>
      <c r="E312" s="17" t="s">
        <v>3352</v>
      </c>
      <c r="F312" s="17" t="s">
        <v>2309</v>
      </c>
      <c r="G312" s="17" t="s">
        <v>1949</v>
      </c>
      <c r="H312" s="17" t="s">
        <v>2310</v>
      </c>
      <c r="I312" t="s">
        <v>1951</v>
      </c>
    </row>
    <row r="313" spans="1:9" x14ac:dyDescent="0.3">
      <c r="A313" s="17" t="s">
        <v>623</v>
      </c>
      <c r="B313" s="17" t="s">
        <v>3353</v>
      </c>
      <c r="C313" s="17" t="s">
        <v>3354</v>
      </c>
      <c r="D313" s="17" t="s">
        <v>3355</v>
      </c>
      <c r="E313" s="17" t="s">
        <v>3356</v>
      </c>
      <c r="F313" s="17" t="s">
        <v>2300</v>
      </c>
      <c r="G313" s="17" t="s">
        <v>1941</v>
      </c>
      <c r="H313" s="17">
        <v>28299</v>
      </c>
      <c r="I313" t="s">
        <v>1942</v>
      </c>
    </row>
    <row r="314" spans="1:9" x14ac:dyDescent="0.3">
      <c r="A314" s="17" t="s">
        <v>638</v>
      </c>
      <c r="B314" s="17" t="s">
        <v>3357</v>
      </c>
      <c r="C314" s="17" t="s">
        <v>3358</v>
      </c>
      <c r="D314" s="17" t="s">
        <v>3359</v>
      </c>
      <c r="E314" s="17" t="s">
        <v>3360</v>
      </c>
      <c r="F314" s="17" t="s">
        <v>2699</v>
      </c>
      <c r="G314" s="17" t="s">
        <v>1941</v>
      </c>
      <c r="H314" s="17">
        <v>71307</v>
      </c>
      <c r="I314" t="s">
        <v>1942</v>
      </c>
    </row>
    <row r="315" spans="1:9" x14ac:dyDescent="0.3">
      <c r="A315" s="17" t="s">
        <v>640</v>
      </c>
      <c r="B315" s="17" t="s">
        <v>3361</v>
      </c>
      <c r="C315" s="17" t="s">
        <v>3362</v>
      </c>
      <c r="D315" s="17" t="s">
        <v>3363</v>
      </c>
      <c r="E315" s="17" t="s">
        <v>3364</v>
      </c>
      <c r="F315" s="17" t="s">
        <v>3365</v>
      </c>
      <c r="G315" s="17" t="s">
        <v>2116</v>
      </c>
      <c r="H315" s="17" t="s">
        <v>3366</v>
      </c>
      <c r="I315" t="s">
        <v>1942</v>
      </c>
    </row>
    <row r="316" spans="1:9" x14ac:dyDescent="0.3">
      <c r="A316" s="17" t="s">
        <v>642</v>
      </c>
      <c r="B316" s="17" t="s">
        <v>3367</v>
      </c>
      <c r="C316" s="17"/>
      <c r="D316" s="17" t="s">
        <v>3368</v>
      </c>
      <c r="E316" s="17" t="s">
        <v>3369</v>
      </c>
      <c r="F316" s="17" t="s">
        <v>3370</v>
      </c>
      <c r="G316" s="17" t="s">
        <v>1941</v>
      </c>
      <c r="H316" s="17">
        <v>89115</v>
      </c>
      <c r="I316" t="s">
        <v>1951</v>
      </c>
    </row>
    <row r="317" spans="1:9" x14ac:dyDescent="0.3">
      <c r="A317" s="17" t="s">
        <v>644</v>
      </c>
      <c r="B317" s="17" t="s">
        <v>3371</v>
      </c>
      <c r="C317" s="17" t="s">
        <v>3372</v>
      </c>
      <c r="D317" s="17" t="s">
        <v>3373</v>
      </c>
      <c r="E317" s="17" t="s">
        <v>3374</v>
      </c>
      <c r="F317" s="17" t="s">
        <v>2647</v>
      </c>
      <c r="G317" s="17" t="s">
        <v>1941</v>
      </c>
      <c r="H317" s="17">
        <v>50369</v>
      </c>
      <c r="I317" t="s">
        <v>1942</v>
      </c>
    </row>
    <row r="318" spans="1:9" x14ac:dyDescent="0.3">
      <c r="A318" s="17" t="s">
        <v>646</v>
      </c>
      <c r="B318" s="17" t="s">
        <v>3375</v>
      </c>
      <c r="C318" s="17" t="s">
        <v>3376</v>
      </c>
      <c r="D318" s="17" t="s">
        <v>3377</v>
      </c>
      <c r="E318" s="17" t="s">
        <v>3378</v>
      </c>
      <c r="F318" s="17" t="s">
        <v>2600</v>
      </c>
      <c r="G318" s="17" t="s">
        <v>1949</v>
      </c>
      <c r="H318" s="17" t="s">
        <v>2545</v>
      </c>
      <c r="I318" t="s">
        <v>1951</v>
      </c>
    </row>
    <row r="319" spans="1:9" x14ac:dyDescent="0.3">
      <c r="A319" s="17" t="s">
        <v>648</v>
      </c>
      <c r="B319" s="17" t="s">
        <v>3379</v>
      </c>
      <c r="C319" s="17" t="s">
        <v>3380</v>
      </c>
      <c r="D319" s="17" t="s">
        <v>3381</v>
      </c>
      <c r="E319" s="17" t="s">
        <v>3382</v>
      </c>
      <c r="F319" s="17" t="s">
        <v>3383</v>
      </c>
      <c r="G319" s="17" t="s">
        <v>1941</v>
      </c>
      <c r="H319" s="17">
        <v>44315</v>
      </c>
      <c r="I319" t="s">
        <v>1951</v>
      </c>
    </row>
    <row r="320" spans="1:9" x14ac:dyDescent="0.3">
      <c r="A320" s="17" t="s">
        <v>650</v>
      </c>
      <c r="B320" s="17" t="s">
        <v>3384</v>
      </c>
      <c r="C320" s="17" t="s">
        <v>3385</v>
      </c>
      <c r="D320" s="17" t="s">
        <v>3386</v>
      </c>
      <c r="E320" s="17" t="s">
        <v>3387</v>
      </c>
      <c r="F320" s="17" t="s">
        <v>3388</v>
      </c>
      <c r="G320" s="17" t="s">
        <v>1941</v>
      </c>
      <c r="H320" s="17">
        <v>33405</v>
      </c>
      <c r="I320" t="s">
        <v>1942</v>
      </c>
    </row>
    <row r="321" spans="1:9" x14ac:dyDescent="0.3">
      <c r="A321" s="17" t="s">
        <v>652</v>
      </c>
      <c r="B321" s="17" t="s">
        <v>3389</v>
      </c>
      <c r="C321" s="17" t="s">
        <v>3390</v>
      </c>
      <c r="D321" s="17"/>
      <c r="E321" s="17" t="s">
        <v>3391</v>
      </c>
      <c r="F321" s="17" t="s">
        <v>2355</v>
      </c>
      <c r="G321" s="17" t="s">
        <v>1941</v>
      </c>
      <c r="H321" s="17">
        <v>93715</v>
      </c>
      <c r="I321" t="s">
        <v>1942</v>
      </c>
    </row>
    <row r="322" spans="1:9" x14ac:dyDescent="0.3">
      <c r="A322" s="17" t="s">
        <v>3392</v>
      </c>
      <c r="B322" s="17" t="s">
        <v>3393</v>
      </c>
      <c r="C322" s="17" t="s">
        <v>3394</v>
      </c>
      <c r="D322" s="17" t="s">
        <v>3395</v>
      </c>
      <c r="E322" s="17" t="s">
        <v>3396</v>
      </c>
      <c r="F322" s="17" t="s">
        <v>3397</v>
      </c>
      <c r="G322" s="17" t="s">
        <v>1941</v>
      </c>
      <c r="H322" s="17">
        <v>52245</v>
      </c>
      <c r="I322" t="s">
        <v>1942</v>
      </c>
    </row>
    <row r="323" spans="1:9" x14ac:dyDescent="0.3">
      <c r="A323" s="17" t="s">
        <v>654</v>
      </c>
      <c r="B323" s="17" t="s">
        <v>3398</v>
      </c>
      <c r="C323" s="17" t="s">
        <v>3399</v>
      </c>
      <c r="D323" s="17" t="s">
        <v>3400</v>
      </c>
      <c r="E323" s="17" t="s">
        <v>3401</v>
      </c>
      <c r="F323" s="17" t="s">
        <v>3402</v>
      </c>
      <c r="G323" s="17" t="s">
        <v>1949</v>
      </c>
      <c r="H323" s="17" t="s">
        <v>2083</v>
      </c>
      <c r="I323" t="s">
        <v>1942</v>
      </c>
    </row>
    <row r="324" spans="1:9" x14ac:dyDescent="0.3">
      <c r="A324" s="17" t="s">
        <v>656</v>
      </c>
      <c r="B324" s="17" t="s">
        <v>3403</v>
      </c>
      <c r="C324" s="17" t="s">
        <v>3404</v>
      </c>
      <c r="D324" s="17" t="s">
        <v>3405</v>
      </c>
      <c r="E324" s="17" t="s">
        <v>3406</v>
      </c>
      <c r="F324" s="17" t="s">
        <v>3407</v>
      </c>
      <c r="G324" s="17" t="s">
        <v>1949</v>
      </c>
      <c r="H324" s="17" t="s">
        <v>2083</v>
      </c>
      <c r="I324" t="s">
        <v>1951</v>
      </c>
    </row>
    <row r="325" spans="1:9" x14ac:dyDescent="0.3">
      <c r="A325" s="17" t="s">
        <v>658</v>
      </c>
      <c r="B325" s="17" t="s">
        <v>3408</v>
      </c>
      <c r="C325" s="17" t="s">
        <v>3409</v>
      </c>
      <c r="D325" s="17" t="s">
        <v>3410</v>
      </c>
      <c r="E325" s="17" t="s">
        <v>3411</v>
      </c>
      <c r="F325" s="17" t="s">
        <v>3412</v>
      </c>
      <c r="G325" s="17" t="s">
        <v>1941</v>
      </c>
      <c r="H325" s="17">
        <v>37924</v>
      </c>
      <c r="I325" t="s">
        <v>1942</v>
      </c>
    </row>
    <row r="326" spans="1:9" x14ac:dyDescent="0.3">
      <c r="A326" s="17" t="s">
        <v>660</v>
      </c>
      <c r="B326" s="17" t="s">
        <v>3413</v>
      </c>
      <c r="C326" s="17"/>
      <c r="D326" s="17" t="s">
        <v>3414</v>
      </c>
      <c r="E326" s="17" t="s">
        <v>3415</v>
      </c>
      <c r="F326" s="17" t="s">
        <v>2988</v>
      </c>
      <c r="G326" s="17" t="s">
        <v>1941</v>
      </c>
      <c r="H326" s="17">
        <v>66276</v>
      </c>
      <c r="I326" t="s">
        <v>1951</v>
      </c>
    </row>
    <row r="327" spans="1:9" x14ac:dyDescent="0.3">
      <c r="A327" s="17" t="s">
        <v>662</v>
      </c>
      <c r="B327" s="17" t="s">
        <v>3416</v>
      </c>
      <c r="C327" s="17" t="s">
        <v>3417</v>
      </c>
      <c r="D327" s="17" t="s">
        <v>3418</v>
      </c>
      <c r="E327" s="17" t="s">
        <v>3419</v>
      </c>
      <c r="F327" s="17" t="s">
        <v>3090</v>
      </c>
      <c r="G327" s="17" t="s">
        <v>1941</v>
      </c>
      <c r="H327" s="17">
        <v>94132</v>
      </c>
      <c r="I327" t="s">
        <v>1942</v>
      </c>
    </row>
    <row r="328" spans="1:9" x14ac:dyDescent="0.3">
      <c r="A328" s="17" t="s">
        <v>664</v>
      </c>
      <c r="B328" s="17" t="s">
        <v>3420</v>
      </c>
      <c r="C328" s="17"/>
      <c r="D328" s="17" t="s">
        <v>3421</v>
      </c>
      <c r="E328" s="17" t="s">
        <v>3422</v>
      </c>
      <c r="F328" s="17" t="s">
        <v>2172</v>
      </c>
      <c r="G328" s="17" t="s">
        <v>1941</v>
      </c>
      <c r="H328" s="17">
        <v>35244</v>
      </c>
      <c r="I328" t="s">
        <v>1951</v>
      </c>
    </row>
    <row r="329" spans="1:9" x14ac:dyDescent="0.3">
      <c r="A329" s="17" t="s">
        <v>666</v>
      </c>
      <c r="B329" s="17" t="s">
        <v>3423</v>
      </c>
      <c r="C329" s="17" t="s">
        <v>3424</v>
      </c>
      <c r="D329" s="17" t="s">
        <v>3425</v>
      </c>
      <c r="E329" s="17" t="s">
        <v>3426</v>
      </c>
      <c r="F329" s="17" t="s">
        <v>2776</v>
      </c>
      <c r="G329" s="17" t="s">
        <v>1941</v>
      </c>
      <c r="H329" s="17">
        <v>11215</v>
      </c>
      <c r="I329" t="s">
        <v>1942</v>
      </c>
    </row>
    <row r="330" spans="1:9" x14ac:dyDescent="0.3">
      <c r="A330" s="17" t="s">
        <v>668</v>
      </c>
      <c r="B330" s="17" t="s">
        <v>3427</v>
      </c>
      <c r="C330" s="17"/>
      <c r="D330" s="17" t="s">
        <v>3428</v>
      </c>
      <c r="E330" s="17" t="s">
        <v>3429</v>
      </c>
      <c r="F330" s="17" t="s">
        <v>2448</v>
      </c>
      <c r="G330" s="17" t="s">
        <v>1941</v>
      </c>
      <c r="H330" s="17">
        <v>79934</v>
      </c>
      <c r="I330" t="s">
        <v>1942</v>
      </c>
    </row>
    <row r="331" spans="1:9" x14ac:dyDescent="0.3">
      <c r="A331" s="17" t="s">
        <v>670</v>
      </c>
      <c r="B331" s="17" t="s">
        <v>3430</v>
      </c>
      <c r="C331" s="17" t="s">
        <v>3431</v>
      </c>
      <c r="D331" s="17"/>
      <c r="E331" s="17" t="s">
        <v>3432</v>
      </c>
      <c r="F331" s="17" t="s">
        <v>2999</v>
      </c>
      <c r="G331" s="17" t="s">
        <v>1941</v>
      </c>
      <c r="H331" s="17">
        <v>94250</v>
      </c>
      <c r="I331" t="s">
        <v>1942</v>
      </c>
    </row>
    <row r="332" spans="1:9" x14ac:dyDescent="0.3">
      <c r="A332" s="17" t="s">
        <v>3433</v>
      </c>
      <c r="B332" s="17" t="s">
        <v>3434</v>
      </c>
      <c r="C332" s="17" t="s">
        <v>3435</v>
      </c>
      <c r="D332" s="17" t="s">
        <v>3436</v>
      </c>
      <c r="E332" s="17" t="s">
        <v>3437</v>
      </c>
      <c r="F332" s="17" t="s">
        <v>2186</v>
      </c>
      <c r="G332" s="17" t="s">
        <v>1941</v>
      </c>
      <c r="H332" s="17">
        <v>20220</v>
      </c>
      <c r="I332" t="s">
        <v>1951</v>
      </c>
    </row>
    <row r="333" spans="1:9" x14ac:dyDescent="0.3">
      <c r="A333" s="17" t="s">
        <v>673</v>
      </c>
      <c r="B333" s="17" t="s">
        <v>3438</v>
      </c>
      <c r="C333" s="17" t="s">
        <v>3439</v>
      </c>
      <c r="D333" s="17" t="s">
        <v>3440</v>
      </c>
      <c r="E333" s="17" t="s">
        <v>3441</v>
      </c>
      <c r="F333" s="17" t="s">
        <v>3442</v>
      </c>
      <c r="G333" s="17" t="s">
        <v>1941</v>
      </c>
      <c r="H333" s="17">
        <v>33436</v>
      </c>
      <c r="I333" t="s">
        <v>1942</v>
      </c>
    </row>
    <row r="334" spans="1:9" x14ac:dyDescent="0.3">
      <c r="A334" s="17" t="s">
        <v>675</v>
      </c>
      <c r="B334" s="17" t="s">
        <v>3443</v>
      </c>
      <c r="C334" s="17" t="s">
        <v>3444</v>
      </c>
      <c r="D334" s="17" t="s">
        <v>3445</v>
      </c>
      <c r="E334" s="17" t="s">
        <v>3446</v>
      </c>
      <c r="F334" s="17" t="s">
        <v>1986</v>
      </c>
      <c r="G334" s="17" t="s">
        <v>1941</v>
      </c>
      <c r="H334" s="17">
        <v>90094</v>
      </c>
      <c r="I334" t="s">
        <v>1942</v>
      </c>
    </row>
    <row r="335" spans="1:9" x14ac:dyDescent="0.3">
      <c r="A335" s="17" t="s">
        <v>677</v>
      </c>
      <c r="B335" s="17" t="s">
        <v>3447</v>
      </c>
      <c r="C335" s="17" t="s">
        <v>3448</v>
      </c>
      <c r="D335" s="17" t="s">
        <v>3449</v>
      </c>
      <c r="E335" s="17" t="s">
        <v>3450</v>
      </c>
      <c r="F335" s="17" t="s">
        <v>3316</v>
      </c>
      <c r="G335" s="17" t="s">
        <v>1941</v>
      </c>
      <c r="H335" s="17">
        <v>21275</v>
      </c>
      <c r="I335" t="s">
        <v>1942</v>
      </c>
    </row>
    <row r="336" spans="1:9" x14ac:dyDescent="0.3">
      <c r="A336" s="17" t="s">
        <v>679</v>
      </c>
      <c r="B336" s="17" t="s">
        <v>3451</v>
      </c>
      <c r="C336" s="17"/>
      <c r="D336" s="17"/>
      <c r="E336" s="17" t="s">
        <v>3452</v>
      </c>
      <c r="F336" s="17" t="s">
        <v>2938</v>
      </c>
      <c r="G336" s="17" t="s">
        <v>1941</v>
      </c>
      <c r="H336" s="17">
        <v>84125</v>
      </c>
      <c r="I336" t="s">
        <v>1951</v>
      </c>
    </row>
    <row r="337" spans="1:9" x14ac:dyDescent="0.3">
      <c r="A337" s="17" t="s">
        <v>681</v>
      </c>
      <c r="B337" s="17" t="s">
        <v>3453</v>
      </c>
      <c r="C337" s="17" t="s">
        <v>3454</v>
      </c>
      <c r="D337" s="17" t="s">
        <v>3455</v>
      </c>
      <c r="E337" s="17" t="s">
        <v>3456</v>
      </c>
      <c r="F337" s="17" t="s">
        <v>2791</v>
      </c>
      <c r="G337" s="17" t="s">
        <v>1941</v>
      </c>
      <c r="H337" s="17">
        <v>75049</v>
      </c>
      <c r="I337" t="s">
        <v>1942</v>
      </c>
    </row>
    <row r="338" spans="1:9" x14ac:dyDescent="0.3">
      <c r="A338" s="17" t="s">
        <v>683</v>
      </c>
      <c r="B338" s="17" t="s">
        <v>3457</v>
      </c>
      <c r="C338" s="17" t="s">
        <v>3458</v>
      </c>
      <c r="D338" s="17" t="s">
        <v>3459</v>
      </c>
      <c r="E338" s="17" t="s">
        <v>3460</v>
      </c>
      <c r="F338" s="17" t="s">
        <v>3461</v>
      </c>
      <c r="G338" s="17" t="s">
        <v>2116</v>
      </c>
      <c r="H338" s="17" t="s">
        <v>3462</v>
      </c>
      <c r="I338" t="s">
        <v>1951</v>
      </c>
    </row>
    <row r="339" spans="1:9" x14ac:dyDescent="0.3">
      <c r="A339" s="17" t="s">
        <v>3463</v>
      </c>
      <c r="B339" s="17" t="s">
        <v>3464</v>
      </c>
      <c r="C339" s="17"/>
      <c r="D339" s="17" t="s">
        <v>3465</v>
      </c>
      <c r="E339" s="17" t="s">
        <v>3466</v>
      </c>
      <c r="F339" s="17" t="s">
        <v>2287</v>
      </c>
      <c r="G339" s="17" t="s">
        <v>1941</v>
      </c>
      <c r="H339" s="17">
        <v>43240</v>
      </c>
      <c r="I339" t="s">
        <v>1951</v>
      </c>
    </row>
    <row r="340" spans="1:9" x14ac:dyDescent="0.3">
      <c r="A340" s="17" t="s">
        <v>686</v>
      </c>
      <c r="B340" s="17" t="s">
        <v>3467</v>
      </c>
      <c r="C340" s="17" t="s">
        <v>3468</v>
      </c>
      <c r="D340" s="17" t="s">
        <v>3469</v>
      </c>
      <c r="E340" s="17" t="s">
        <v>3470</v>
      </c>
      <c r="F340" s="17" t="s">
        <v>2037</v>
      </c>
      <c r="G340" s="17" t="s">
        <v>1941</v>
      </c>
      <c r="H340" s="17">
        <v>10184</v>
      </c>
      <c r="I340" t="s">
        <v>1951</v>
      </c>
    </row>
    <row r="341" spans="1:9" x14ac:dyDescent="0.3">
      <c r="A341" s="17" t="s">
        <v>688</v>
      </c>
      <c r="B341" s="17" t="s">
        <v>3471</v>
      </c>
      <c r="C341" s="17" t="s">
        <v>3472</v>
      </c>
      <c r="D341" s="17" t="s">
        <v>3473</v>
      </c>
      <c r="E341" s="17" t="s">
        <v>3474</v>
      </c>
      <c r="F341" s="17" t="s">
        <v>2158</v>
      </c>
      <c r="G341" s="17" t="s">
        <v>1941</v>
      </c>
      <c r="H341" s="17">
        <v>2216</v>
      </c>
      <c r="I341" t="s">
        <v>1942</v>
      </c>
    </row>
    <row r="342" spans="1:9" x14ac:dyDescent="0.3">
      <c r="A342" s="17" t="s">
        <v>690</v>
      </c>
      <c r="B342" s="17" t="s">
        <v>3475</v>
      </c>
      <c r="C342" s="17" t="s">
        <v>3476</v>
      </c>
      <c r="D342" s="17" t="s">
        <v>3477</v>
      </c>
      <c r="E342" s="17" t="s">
        <v>3478</v>
      </c>
      <c r="F342" s="17" t="s">
        <v>3090</v>
      </c>
      <c r="G342" s="17" t="s">
        <v>1941</v>
      </c>
      <c r="H342" s="17">
        <v>94132</v>
      </c>
      <c r="I342" t="s">
        <v>1942</v>
      </c>
    </row>
    <row r="343" spans="1:9" x14ac:dyDescent="0.3">
      <c r="A343" s="17" t="s">
        <v>692</v>
      </c>
      <c r="B343" s="17" t="s">
        <v>3479</v>
      </c>
      <c r="C343" s="17" t="s">
        <v>3480</v>
      </c>
      <c r="D343" s="17" t="s">
        <v>3481</v>
      </c>
      <c r="E343" s="17" t="s">
        <v>3482</v>
      </c>
      <c r="F343" s="17" t="s">
        <v>3483</v>
      </c>
      <c r="G343" s="17" t="s">
        <v>1941</v>
      </c>
      <c r="H343" s="17">
        <v>46295</v>
      </c>
      <c r="I343" t="s">
        <v>1951</v>
      </c>
    </row>
    <row r="344" spans="1:9" x14ac:dyDescent="0.3">
      <c r="A344" s="17" t="s">
        <v>3484</v>
      </c>
      <c r="B344" s="17" t="s">
        <v>3485</v>
      </c>
      <c r="C344" s="17" t="s">
        <v>3486</v>
      </c>
      <c r="D344" s="17"/>
      <c r="E344" s="17" t="s">
        <v>3487</v>
      </c>
      <c r="F344" s="17" t="s">
        <v>3488</v>
      </c>
      <c r="G344" s="17" t="s">
        <v>1941</v>
      </c>
      <c r="H344" s="17">
        <v>32209</v>
      </c>
      <c r="I344" t="s">
        <v>1951</v>
      </c>
    </row>
    <row r="345" spans="1:9" x14ac:dyDescent="0.3">
      <c r="A345" s="17" t="s">
        <v>694</v>
      </c>
      <c r="B345" s="17" t="s">
        <v>3489</v>
      </c>
      <c r="C345" s="17" t="s">
        <v>3490</v>
      </c>
      <c r="D345" s="17"/>
      <c r="E345" s="17" t="s">
        <v>3491</v>
      </c>
      <c r="F345" s="17" t="s">
        <v>3492</v>
      </c>
      <c r="G345" s="17" t="s">
        <v>1941</v>
      </c>
      <c r="H345" s="17">
        <v>98148</v>
      </c>
      <c r="I345" t="s">
        <v>1951</v>
      </c>
    </row>
    <row r="346" spans="1:9" x14ac:dyDescent="0.3">
      <c r="A346" s="17" t="s">
        <v>696</v>
      </c>
      <c r="B346" s="17" t="s">
        <v>3493</v>
      </c>
      <c r="C346" s="17"/>
      <c r="D346" s="17" t="s">
        <v>3494</v>
      </c>
      <c r="E346" s="17" t="s">
        <v>3495</v>
      </c>
      <c r="F346" s="17" t="s">
        <v>3496</v>
      </c>
      <c r="G346" s="17" t="s">
        <v>1949</v>
      </c>
      <c r="H346" s="17" t="s">
        <v>3497</v>
      </c>
      <c r="I346" t="s">
        <v>1942</v>
      </c>
    </row>
    <row r="347" spans="1:9" x14ac:dyDescent="0.3">
      <c r="A347" s="17" t="s">
        <v>698</v>
      </c>
      <c r="B347" s="17" t="s">
        <v>3498</v>
      </c>
      <c r="C347" s="17" t="s">
        <v>3499</v>
      </c>
      <c r="D347" s="17" t="s">
        <v>3500</v>
      </c>
      <c r="E347" s="17" t="s">
        <v>3501</v>
      </c>
      <c r="F347" s="17" t="s">
        <v>2744</v>
      </c>
      <c r="G347" s="17" t="s">
        <v>1941</v>
      </c>
      <c r="H347" s="17">
        <v>36109</v>
      </c>
      <c r="I347" t="s">
        <v>1951</v>
      </c>
    </row>
    <row r="348" spans="1:9" x14ac:dyDescent="0.3">
      <c r="A348" s="17" t="s">
        <v>700</v>
      </c>
      <c r="B348" s="17" t="s">
        <v>3502</v>
      </c>
      <c r="C348" s="17" t="s">
        <v>3503</v>
      </c>
      <c r="D348" s="17" t="s">
        <v>3504</v>
      </c>
      <c r="E348" s="17" t="s">
        <v>3505</v>
      </c>
      <c r="F348" s="17" t="s">
        <v>2325</v>
      </c>
      <c r="G348" s="17" t="s">
        <v>1941</v>
      </c>
      <c r="H348" s="17">
        <v>75372</v>
      </c>
      <c r="I348" t="s">
        <v>1942</v>
      </c>
    </row>
    <row r="349" spans="1:9" x14ac:dyDescent="0.3">
      <c r="A349" s="17" t="s">
        <v>702</v>
      </c>
      <c r="B349" s="17" t="s">
        <v>3506</v>
      </c>
      <c r="C349" s="17" t="s">
        <v>3507</v>
      </c>
      <c r="D349" s="17" t="s">
        <v>3508</v>
      </c>
      <c r="E349" s="17" t="s">
        <v>3509</v>
      </c>
      <c r="F349" s="17" t="s">
        <v>3510</v>
      </c>
      <c r="G349" s="17" t="s">
        <v>1941</v>
      </c>
      <c r="H349" s="17">
        <v>66622</v>
      </c>
      <c r="I349" t="s">
        <v>1951</v>
      </c>
    </row>
    <row r="350" spans="1:9" x14ac:dyDescent="0.3">
      <c r="A350" s="17" t="s">
        <v>704</v>
      </c>
      <c r="B350" s="17" t="s">
        <v>3511</v>
      </c>
      <c r="C350" s="17" t="s">
        <v>3512</v>
      </c>
      <c r="D350" s="17" t="s">
        <v>3513</v>
      </c>
      <c r="E350" s="17" t="s">
        <v>3514</v>
      </c>
      <c r="F350" s="17" t="s">
        <v>3515</v>
      </c>
      <c r="G350" s="17" t="s">
        <v>1941</v>
      </c>
      <c r="H350" s="17">
        <v>75799</v>
      </c>
      <c r="I350" t="s">
        <v>1951</v>
      </c>
    </row>
    <row r="351" spans="1:9" x14ac:dyDescent="0.3">
      <c r="A351" s="17" t="s">
        <v>706</v>
      </c>
      <c r="B351" s="17" t="s">
        <v>3516</v>
      </c>
      <c r="C351" s="17" t="s">
        <v>3517</v>
      </c>
      <c r="D351" s="17" t="s">
        <v>3518</v>
      </c>
      <c r="E351" s="17" t="s">
        <v>3519</v>
      </c>
      <c r="F351" s="17" t="s">
        <v>1986</v>
      </c>
      <c r="G351" s="17" t="s">
        <v>1941</v>
      </c>
      <c r="H351" s="17">
        <v>90065</v>
      </c>
      <c r="I351" t="s">
        <v>1951</v>
      </c>
    </row>
    <row r="352" spans="1:9" x14ac:dyDescent="0.3">
      <c r="A352" s="17" t="s">
        <v>708</v>
      </c>
      <c r="B352" s="17" t="s">
        <v>3520</v>
      </c>
      <c r="C352" s="17" t="s">
        <v>3521</v>
      </c>
      <c r="D352" s="17" t="s">
        <v>3522</v>
      </c>
      <c r="E352" s="17" t="s">
        <v>3523</v>
      </c>
      <c r="F352" s="17" t="s">
        <v>3524</v>
      </c>
      <c r="G352" s="17" t="s">
        <v>1941</v>
      </c>
      <c r="H352" s="17">
        <v>71137</v>
      </c>
      <c r="I352" t="s">
        <v>1951</v>
      </c>
    </row>
    <row r="353" spans="1:9" x14ac:dyDescent="0.3">
      <c r="A353" s="17" t="s">
        <v>710</v>
      </c>
      <c r="B353" s="17" t="s">
        <v>3525</v>
      </c>
      <c r="C353" s="17" t="s">
        <v>3526</v>
      </c>
      <c r="D353" s="17" t="s">
        <v>3527</v>
      </c>
      <c r="E353" s="17" t="s">
        <v>3528</v>
      </c>
      <c r="F353" s="17" t="s">
        <v>3529</v>
      </c>
      <c r="G353" s="17" t="s">
        <v>1941</v>
      </c>
      <c r="H353" s="17">
        <v>83722</v>
      </c>
      <c r="I353" t="s">
        <v>1951</v>
      </c>
    </row>
    <row r="354" spans="1:9" x14ac:dyDescent="0.3">
      <c r="A354" s="17" t="s">
        <v>3530</v>
      </c>
      <c r="B354" s="17" t="s">
        <v>3531</v>
      </c>
      <c r="C354" s="17" t="s">
        <v>3532</v>
      </c>
      <c r="D354" s="17" t="s">
        <v>3533</v>
      </c>
      <c r="E354" s="17" t="s">
        <v>3534</v>
      </c>
      <c r="F354" s="17" t="s">
        <v>2177</v>
      </c>
      <c r="G354" s="17" t="s">
        <v>1941</v>
      </c>
      <c r="H354" s="17">
        <v>92415</v>
      </c>
      <c r="I354" t="s">
        <v>1951</v>
      </c>
    </row>
    <row r="355" spans="1:9" x14ac:dyDescent="0.3">
      <c r="A355" s="17" t="s">
        <v>713</v>
      </c>
      <c r="B355" s="17" t="s">
        <v>3535</v>
      </c>
      <c r="C355" s="17"/>
      <c r="D355" s="17" t="s">
        <v>3536</v>
      </c>
      <c r="E355" s="17" t="s">
        <v>3537</v>
      </c>
      <c r="F355" s="17" t="s">
        <v>2744</v>
      </c>
      <c r="G355" s="17" t="s">
        <v>1941</v>
      </c>
      <c r="H355" s="17">
        <v>36177</v>
      </c>
      <c r="I355" t="s">
        <v>1942</v>
      </c>
    </row>
    <row r="356" spans="1:9" x14ac:dyDescent="0.3">
      <c r="A356" s="17" t="s">
        <v>715</v>
      </c>
      <c r="B356" s="17" t="s">
        <v>3538</v>
      </c>
      <c r="C356" s="17" t="s">
        <v>3539</v>
      </c>
      <c r="D356" s="17"/>
      <c r="E356" s="17" t="s">
        <v>3540</v>
      </c>
      <c r="F356" s="17" t="s">
        <v>3541</v>
      </c>
      <c r="G356" s="17" t="s">
        <v>1941</v>
      </c>
      <c r="H356" s="17">
        <v>34981</v>
      </c>
      <c r="I356" t="s">
        <v>1951</v>
      </c>
    </row>
    <row r="357" spans="1:9" x14ac:dyDescent="0.3">
      <c r="A357" s="17" t="s">
        <v>717</v>
      </c>
      <c r="B357" s="17" t="s">
        <v>3542</v>
      </c>
      <c r="C357" s="17" t="s">
        <v>3543</v>
      </c>
      <c r="D357" s="17" t="s">
        <v>3544</v>
      </c>
      <c r="E357" s="17" t="s">
        <v>3545</v>
      </c>
      <c r="F357" s="17" t="s">
        <v>2694</v>
      </c>
      <c r="G357" s="17" t="s">
        <v>1941</v>
      </c>
      <c r="H357" s="17">
        <v>27415</v>
      </c>
      <c r="I357" t="s">
        <v>1942</v>
      </c>
    </row>
    <row r="358" spans="1:9" x14ac:dyDescent="0.3">
      <c r="A358" s="17" t="s">
        <v>719</v>
      </c>
      <c r="B358" s="17" t="s">
        <v>3546</v>
      </c>
      <c r="C358" s="17" t="s">
        <v>3547</v>
      </c>
      <c r="D358" s="17" t="s">
        <v>3548</v>
      </c>
      <c r="E358" s="17" t="s">
        <v>3549</v>
      </c>
      <c r="F358" s="17" t="s">
        <v>2999</v>
      </c>
      <c r="G358" s="17" t="s">
        <v>1941</v>
      </c>
      <c r="H358" s="17">
        <v>94237</v>
      </c>
      <c r="I358" t="s">
        <v>1942</v>
      </c>
    </row>
    <row r="359" spans="1:9" x14ac:dyDescent="0.3">
      <c r="A359" s="17" t="s">
        <v>721</v>
      </c>
      <c r="B359" s="17" t="s">
        <v>3550</v>
      </c>
      <c r="C359" s="17"/>
      <c r="D359" s="17" t="s">
        <v>3551</v>
      </c>
      <c r="E359" s="17" t="s">
        <v>3552</v>
      </c>
      <c r="F359" s="17" t="s">
        <v>3553</v>
      </c>
      <c r="G359" s="17" t="s">
        <v>1941</v>
      </c>
      <c r="H359" s="17">
        <v>78682</v>
      </c>
      <c r="I359" t="s">
        <v>1951</v>
      </c>
    </row>
    <row r="360" spans="1:9" x14ac:dyDescent="0.3">
      <c r="A360" s="17" t="s">
        <v>723</v>
      </c>
      <c r="B360" s="17" t="s">
        <v>3554</v>
      </c>
      <c r="C360" s="17" t="s">
        <v>3555</v>
      </c>
      <c r="D360" s="17" t="s">
        <v>3556</v>
      </c>
      <c r="E360" s="17" t="s">
        <v>3557</v>
      </c>
      <c r="F360" s="17" t="s">
        <v>3558</v>
      </c>
      <c r="G360" s="17" t="s">
        <v>1941</v>
      </c>
      <c r="H360" s="17">
        <v>22096</v>
      </c>
      <c r="I360" t="s">
        <v>1951</v>
      </c>
    </row>
    <row r="361" spans="1:9" x14ac:dyDescent="0.3">
      <c r="A361" s="17" t="s">
        <v>725</v>
      </c>
      <c r="B361" s="17" t="s">
        <v>3559</v>
      </c>
      <c r="C361" s="17" t="s">
        <v>3560</v>
      </c>
      <c r="D361" s="17" t="s">
        <v>3561</v>
      </c>
      <c r="E361" s="17" t="s">
        <v>3562</v>
      </c>
      <c r="F361" s="17" t="s">
        <v>3563</v>
      </c>
      <c r="G361" s="17" t="s">
        <v>2116</v>
      </c>
      <c r="H361" s="17" t="s">
        <v>3564</v>
      </c>
      <c r="I361" t="s">
        <v>1951</v>
      </c>
    </row>
    <row r="362" spans="1:9" x14ac:dyDescent="0.3">
      <c r="A362" s="17" t="s">
        <v>727</v>
      </c>
      <c r="B362" s="17" t="s">
        <v>3565</v>
      </c>
      <c r="C362" s="17" t="s">
        <v>3566</v>
      </c>
      <c r="D362" s="17" t="s">
        <v>3567</v>
      </c>
      <c r="E362" s="17" t="s">
        <v>3568</v>
      </c>
      <c r="F362" s="17" t="s">
        <v>3217</v>
      </c>
      <c r="G362" s="17" t="s">
        <v>1941</v>
      </c>
      <c r="H362" s="17">
        <v>29220</v>
      </c>
      <c r="I362" t="s">
        <v>1951</v>
      </c>
    </row>
    <row r="363" spans="1:9" x14ac:dyDescent="0.3">
      <c r="A363" s="17" t="s">
        <v>3569</v>
      </c>
      <c r="B363" s="17" t="s">
        <v>3570</v>
      </c>
      <c r="C363" s="17" t="s">
        <v>3571</v>
      </c>
      <c r="D363" s="17" t="s">
        <v>3572</v>
      </c>
      <c r="E363" s="17" t="s">
        <v>3573</v>
      </c>
      <c r="F363" s="17" t="s">
        <v>2506</v>
      </c>
      <c r="G363" s="17" t="s">
        <v>1941</v>
      </c>
      <c r="H363" s="17">
        <v>37215</v>
      </c>
      <c r="I363" t="s">
        <v>1942</v>
      </c>
    </row>
    <row r="364" spans="1:9" x14ac:dyDescent="0.3">
      <c r="A364" s="17" t="s">
        <v>729</v>
      </c>
      <c r="B364" s="17" t="s">
        <v>3574</v>
      </c>
      <c r="C364" s="17" t="s">
        <v>3575</v>
      </c>
      <c r="D364" s="17" t="s">
        <v>3576</v>
      </c>
      <c r="E364" s="17" t="s">
        <v>3577</v>
      </c>
      <c r="F364" s="17" t="s">
        <v>3099</v>
      </c>
      <c r="G364" s="17" t="s">
        <v>1941</v>
      </c>
      <c r="H364" s="17">
        <v>85025</v>
      </c>
      <c r="I364" t="s">
        <v>1942</v>
      </c>
    </row>
    <row r="365" spans="1:9" x14ac:dyDescent="0.3">
      <c r="A365" s="17" t="s">
        <v>731</v>
      </c>
      <c r="B365" s="17" t="s">
        <v>3578</v>
      </c>
      <c r="C365" s="17" t="s">
        <v>3579</v>
      </c>
      <c r="D365" s="17"/>
      <c r="E365" s="17" t="s">
        <v>3580</v>
      </c>
      <c r="F365" s="17" t="s">
        <v>3581</v>
      </c>
      <c r="G365" s="17" t="s">
        <v>1941</v>
      </c>
      <c r="H365" s="17">
        <v>33233</v>
      </c>
      <c r="I365" t="s">
        <v>1951</v>
      </c>
    </row>
    <row r="366" spans="1:9" x14ac:dyDescent="0.3">
      <c r="A366" s="17" t="s">
        <v>733</v>
      </c>
      <c r="B366" s="17" t="s">
        <v>3582</v>
      </c>
      <c r="C366" s="17" t="s">
        <v>3583</v>
      </c>
      <c r="D366" s="17" t="s">
        <v>3584</v>
      </c>
      <c r="E366" s="17" t="s">
        <v>3585</v>
      </c>
      <c r="F366" s="17" t="s">
        <v>2355</v>
      </c>
      <c r="G366" s="17" t="s">
        <v>1941</v>
      </c>
      <c r="H366" s="17">
        <v>93762</v>
      </c>
      <c r="I366" t="s">
        <v>1942</v>
      </c>
    </row>
    <row r="367" spans="1:9" x14ac:dyDescent="0.3">
      <c r="A367" s="17" t="s">
        <v>735</v>
      </c>
      <c r="B367" s="17" t="s">
        <v>3586</v>
      </c>
      <c r="C367" s="17" t="s">
        <v>3587</v>
      </c>
      <c r="D367" s="17"/>
      <c r="E367" s="17" t="s">
        <v>3588</v>
      </c>
      <c r="F367" s="17" t="s">
        <v>3589</v>
      </c>
      <c r="G367" s="17" t="s">
        <v>1941</v>
      </c>
      <c r="H367" s="17">
        <v>92825</v>
      </c>
      <c r="I367" t="s">
        <v>1951</v>
      </c>
    </row>
    <row r="368" spans="1:9" x14ac:dyDescent="0.3">
      <c r="A368" s="17" t="s">
        <v>737</v>
      </c>
      <c r="B368" s="17" t="s">
        <v>3590</v>
      </c>
      <c r="C368" s="17"/>
      <c r="D368" s="17" t="s">
        <v>3591</v>
      </c>
      <c r="E368" s="17" t="s">
        <v>3592</v>
      </c>
      <c r="F368" s="17" t="s">
        <v>2530</v>
      </c>
      <c r="G368" s="17" t="s">
        <v>1941</v>
      </c>
      <c r="H368" s="17">
        <v>23605</v>
      </c>
      <c r="I368" t="s">
        <v>1951</v>
      </c>
    </row>
    <row r="369" spans="1:9" x14ac:dyDescent="0.3">
      <c r="A369" s="17" t="s">
        <v>739</v>
      </c>
      <c r="B369" s="17" t="s">
        <v>3593</v>
      </c>
      <c r="C369" s="17"/>
      <c r="D369" s="17"/>
      <c r="E369" s="17" t="s">
        <v>3594</v>
      </c>
      <c r="F369" s="17" t="s">
        <v>2886</v>
      </c>
      <c r="G369" s="17" t="s">
        <v>1941</v>
      </c>
      <c r="H369" s="17">
        <v>29305</v>
      </c>
      <c r="I369" t="s">
        <v>1942</v>
      </c>
    </row>
    <row r="370" spans="1:9" x14ac:dyDescent="0.3">
      <c r="A370" s="17" t="s">
        <v>741</v>
      </c>
      <c r="B370" s="17" t="s">
        <v>3595</v>
      </c>
      <c r="C370" s="17" t="s">
        <v>3596</v>
      </c>
      <c r="D370" s="17" t="s">
        <v>3597</v>
      </c>
      <c r="E370" s="17" t="s">
        <v>3598</v>
      </c>
      <c r="F370" s="17" t="s">
        <v>2890</v>
      </c>
      <c r="G370" s="17" t="s">
        <v>1941</v>
      </c>
      <c r="H370" s="17">
        <v>10305</v>
      </c>
      <c r="I370" t="s">
        <v>1951</v>
      </c>
    </row>
    <row r="371" spans="1:9" x14ac:dyDescent="0.3">
      <c r="A371" s="17" t="s">
        <v>743</v>
      </c>
      <c r="B371" s="17" t="s">
        <v>3599</v>
      </c>
      <c r="C371" s="17"/>
      <c r="D371" s="17"/>
      <c r="E371" s="17" t="s">
        <v>3600</v>
      </c>
      <c r="F371" s="17" t="s">
        <v>3370</v>
      </c>
      <c r="G371" s="17" t="s">
        <v>1941</v>
      </c>
      <c r="H371" s="17">
        <v>89115</v>
      </c>
      <c r="I371" t="s">
        <v>1942</v>
      </c>
    </row>
    <row r="372" spans="1:9" x14ac:dyDescent="0.3">
      <c r="A372" s="17" t="s">
        <v>745</v>
      </c>
      <c r="B372" s="17" t="s">
        <v>3601</v>
      </c>
      <c r="C372" s="17" t="s">
        <v>3602</v>
      </c>
      <c r="D372" s="17" t="s">
        <v>3603</v>
      </c>
      <c r="E372" s="17" t="s">
        <v>3604</v>
      </c>
      <c r="F372" s="17" t="s">
        <v>2938</v>
      </c>
      <c r="G372" s="17" t="s">
        <v>1941</v>
      </c>
      <c r="H372" s="17">
        <v>84105</v>
      </c>
      <c r="I372" t="s">
        <v>1942</v>
      </c>
    </row>
    <row r="373" spans="1:9" x14ac:dyDescent="0.3">
      <c r="A373" s="17" t="s">
        <v>747</v>
      </c>
      <c r="B373" s="17" t="s">
        <v>3605</v>
      </c>
      <c r="C373" s="17" t="s">
        <v>3606</v>
      </c>
      <c r="D373" s="17" t="s">
        <v>3607</v>
      </c>
      <c r="E373" s="17" t="s">
        <v>3608</v>
      </c>
      <c r="F373" s="17" t="s">
        <v>3492</v>
      </c>
      <c r="G373" s="17" t="s">
        <v>1941</v>
      </c>
      <c r="H373" s="17">
        <v>98109</v>
      </c>
      <c r="I373" t="s">
        <v>1942</v>
      </c>
    </row>
    <row r="374" spans="1:9" x14ac:dyDescent="0.3">
      <c r="A374" s="17" t="s">
        <v>749</v>
      </c>
      <c r="B374" s="17" t="s">
        <v>3609</v>
      </c>
      <c r="C374" s="17" t="s">
        <v>3610</v>
      </c>
      <c r="D374" s="17" t="s">
        <v>3611</v>
      </c>
      <c r="E374" s="17" t="s">
        <v>3612</v>
      </c>
      <c r="F374" s="17" t="s">
        <v>3613</v>
      </c>
      <c r="G374" s="17" t="s">
        <v>1941</v>
      </c>
      <c r="H374" s="17">
        <v>79764</v>
      </c>
      <c r="I374" t="s">
        <v>1951</v>
      </c>
    </row>
    <row r="375" spans="1:9" x14ac:dyDescent="0.3">
      <c r="A375" s="17" t="s">
        <v>751</v>
      </c>
      <c r="B375" s="17" t="s">
        <v>3614</v>
      </c>
      <c r="C375" s="17"/>
      <c r="D375" s="17" t="s">
        <v>3615</v>
      </c>
      <c r="E375" s="17" t="s">
        <v>3616</v>
      </c>
      <c r="F375" s="17" t="s">
        <v>3617</v>
      </c>
      <c r="G375" s="17" t="s">
        <v>1949</v>
      </c>
      <c r="H375" s="17" t="s">
        <v>3618</v>
      </c>
      <c r="I375" t="s">
        <v>1942</v>
      </c>
    </row>
    <row r="376" spans="1:9" x14ac:dyDescent="0.3">
      <c r="A376" s="17" t="s">
        <v>753</v>
      </c>
      <c r="B376" s="17" t="s">
        <v>3619</v>
      </c>
      <c r="C376" s="17" t="s">
        <v>3620</v>
      </c>
      <c r="D376" s="17" t="s">
        <v>3621</v>
      </c>
      <c r="E376" s="17" t="s">
        <v>3622</v>
      </c>
      <c r="F376" s="17" t="s">
        <v>3623</v>
      </c>
      <c r="G376" s="17" t="s">
        <v>1941</v>
      </c>
      <c r="H376" s="17">
        <v>75037</v>
      </c>
      <c r="I376" t="s">
        <v>1942</v>
      </c>
    </row>
    <row r="377" spans="1:9" x14ac:dyDescent="0.3">
      <c r="A377" s="17" t="s">
        <v>755</v>
      </c>
      <c r="B377" s="17" t="s">
        <v>3624</v>
      </c>
      <c r="C377" s="17" t="s">
        <v>3625</v>
      </c>
      <c r="D377" s="17" t="s">
        <v>3626</v>
      </c>
      <c r="E377" s="17" t="s">
        <v>3627</v>
      </c>
      <c r="F377" s="17" t="s">
        <v>1976</v>
      </c>
      <c r="G377" s="17" t="s">
        <v>1941</v>
      </c>
      <c r="H377" s="17">
        <v>45426</v>
      </c>
      <c r="I377" t="s">
        <v>1942</v>
      </c>
    </row>
    <row r="378" spans="1:9" x14ac:dyDescent="0.3">
      <c r="A378" s="17" t="s">
        <v>757</v>
      </c>
      <c r="B378" s="17" t="s">
        <v>3628</v>
      </c>
      <c r="C378" s="17" t="s">
        <v>3629</v>
      </c>
      <c r="D378" s="17" t="s">
        <v>3630</v>
      </c>
      <c r="E378" s="17" t="s">
        <v>3631</v>
      </c>
      <c r="F378" s="17" t="s">
        <v>2048</v>
      </c>
      <c r="G378" s="17" t="s">
        <v>1941</v>
      </c>
      <c r="H378" s="17">
        <v>49560</v>
      </c>
      <c r="I378" t="s">
        <v>1942</v>
      </c>
    </row>
    <row r="379" spans="1:9" x14ac:dyDescent="0.3">
      <c r="A379" s="17" t="s">
        <v>759</v>
      </c>
      <c r="B379" s="17" t="s">
        <v>3632</v>
      </c>
      <c r="C379" s="17" t="s">
        <v>3633</v>
      </c>
      <c r="D379" s="17" t="s">
        <v>3634</v>
      </c>
      <c r="E379" s="17" t="s">
        <v>3635</v>
      </c>
      <c r="F379" s="17" t="s">
        <v>2933</v>
      </c>
      <c r="G379" s="17" t="s">
        <v>1949</v>
      </c>
      <c r="H379" s="17" t="s">
        <v>2083</v>
      </c>
      <c r="I379" t="s">
        <v>1951</v>
      </c>
    </row>
    <row r="380" spans="1:9" x14ac:dyDescent="0.3">
      <c r="A380" s="17" t="s">
        <v>761</v>
      </c>
      <c r="B380" s="17" t="s">
        <v>3636</v>
      </c>
      <c r="C380" s="17" t="s">
        <v>3637</v>
      </c>
      <c r="D380" s="17" t="s">
        <v>3638</v>
      </c>
      <c r="E380" s="17" t="s">
        <v>3639</v>
      </c>
      <c r="F380" s="17" t="s">
        <v>3640</v>
      </c>
      <c r="G380" s="17" t="s">
        <v>1949</v>
      </c>
      <c r="H380" s="17" t="s">
        <v>2425</v>
      </c>
      <c r="I380" t="s">
        <v>1942</v>
      </c>
    </row>
    <row r="381" spans="1:9" x14ac:dyDescent="0.3">
      <c r="A381" s="17" t="s">
        <v>763</v>
      </c>
      <c r="B381" s="17" t="s">
        <v>3641</v>
      </c>
      <c r="C381" s="17" t="s">
        <v>3642</v>
      </c>
      <c r="D381" s="17"/>
      <c r="E381" s="17" t="s">
        <v>3643</v>
      </c>
      <c r="F381" s="17" t="s">
        <v>3644</v>
      </c>
      <c r="G381" s="17" t="s">
        <v>2116</v>
      </c>
      <c r="H381" s="17" t="s">
        <v>3645</v>
      </c>
      <c r="I381" t="s">
        <v>1942</v>
      </c>
    </row>
    <row r="382" spans="1:9" x14ac:dyDescent="0.3">
      <c r="A382" s="17" t="s">
        <v>3646</v>
      </c>
      <c r="B382" s="17" t="s">
        <v>3647</v>
      </c>
      <c r="C382" s="17" t="s">
        <v>3648</v>
      </c>
      <c r="D382" s="17" t="s">
        <v>3649</v>
      </c>
      <c r="E382" s="17" t="s">
        <v>3650</v>
      </c>
      <c r="F382" s="17" t="s">
        <v>1962</v>
      </c>
      <c r="G382" s="17" t="s">
        <v>1941</v>
      </c>
      <c r="H382" s="17">
        <v>62756</v>
      </c>
      <c r="I382" t="s">
        <v>1951</v>
      </c>
    </row>
    <row r="383" spans="1:9" x14ac:dyDescent="0.3">
      <c r="A383" s="17" t="s">
        <v>766</v>
      </c>
      <c r="B383" s="17" t="s">
        <v>3651</v>
      </c>
      <c r="C383" s="17" t="s">
        <v>3652</v>
      </c>
      <c r="D383" s="17" t="s">
        <v>3653</v>
      </c>
      <c r="E383" s="17" t="s">
        <v>3654</v>
      </c>
      <c r="F383" s="17" t="s">
        <v>1986</v>
      </c>
      <c r="G383" s="17" t="s">
        <v>1941</v>
      </c>
      <c r="H383" s="17">
        <v>90010</v>
      </c>
      <c r="I383" t="s">
        <v>1942</v>
      </c>
    </row>
    <row r="384" spans="1:9" x14ac:dyDescent="0.3">
      <c r="A384" s="17" t="s">
        <v>768</v>
      </c>
      <c r="B384" s="17" t="s">
        <v>3655</v>
      </c>
      <c r="C384" s="17" t="s">
        <v>3656</v>
      </c>
      <c r="D384" s="17" t="s">
        <v>3657</v>
      </c>
      <c r="E384" s="17" t="s">
        <v>3658</v>
      </c>
      <c r="F384" s="17" t="s">
        <v>3316</v>
      </c>
      <c r="G384" s="17" t="s">
        <v>1941</v>
      </c>
      <c r="H384" s="17">
        <v>21239</v>
      </c>
      <c r="I384" t="s">
        <v>1951</v>
      </c>
    </row>
    <row r="385" spans="1:9" x14ac:dyDescent="0.3">
      <c r="A385" s="17" t="s">
        <v>770</v>
      </c>
      <c r="B385" s="17" t="s">
        <v>3659</v>
      </c>
      <c r="C385" s="17"/>
      <c r="D385" s="17" t="s">
        <v>3660</v>
      </c>
      <c r="E385" s="17" t="s">
        <v>3661</v>
      </c>
      <c r="F385" s="17" t="s">
        <v>3662</v>
      </c>
      <c r="G385" s="17" t="s">
        <v>1941</v>
      </c>
      <c r="H385" s="17">
        <v>17126</v>
      </c>
      <c r="I385" t="s">
        <v>1942</v>
      </c>
    </row>
    <row r="386" spans="1:9" x14ac:dyDescent="0.3">
      <c r="A386" s="17" t="s">
        <v>772</v>
      </c>
      <c r="B386" s="17" t="s">
        <v>3663</v>
      </c>
      <c r="C386" s="17"/>
      <c r="D386" s="17" t="s">
        <v>3664</v>
      </c>
      <c r="E386" s="17" t="s">
        <v>3665</v>
      </c>
      <c r="F386" s="17" t="s">
        <v>2325</v>
      </c>
      <c r="G386" s="17" t="s">
        <v>1941</v>
      </c>
      <c r="H386" s="17">
        <v>75216</v>
      </c>
      <c r="I386" t="s">
        <v>1951</v>
      </c>
    </row>
    <row r="387" spans="1:9" x14ac:dyDescent="0.3">
      <c r="A387" s="17" t="s">
        <v>774</v>
      </c>
      <c r="B387" s="17" t="s">
        <v>3666</v>
      </c>
      <c r="C387" s="17" t="s">
        <v>3667</v>
      </c>
      <c r="D387" s="17" t="s">
        <v>3668</v>
      </c>
      <c r="E387" s="17" t="s">
        <v>3669</v>
      </c>
      <c r="F387" s="17" t="s">
        <v>2375</v>
      </c>
      <c r="G387" s="17" t="s">
        <v>1941</v>
      </c>
      <c r="H387" s="17">
        <v>64125</v>
      </c>
      <c r="I387" t="s">
        <v>1942</v>
      </c>
    </row>
    <row r="388" spans="1:9" x14ac:dyDescent="0.3">
      <c r="A388" s="17" t="s">
        <v>776</v>
      </c>
      <c r="B388" s="17" t="s">
        <v>3670</v>
      </c>
      <c r="C388" s="17"/>
      <c r="D388" s="17" t="s">
        <v>3671</v>
      </c>
      <c r="E388" s="17" t="s">
        <v>3672</v>
      </c>
      <c r="F388" s="17" t="s">
        <v>1962</v>
      </c>
      <c r="G388" s="17" t="s">
        <v>1941</v>
      </c>
      <c r="H388" s="17">
        <v>62723</v>
      </c>
      <c r="I388" t="s">
        <v>1942</v>
      </c>
    </row>
    <row r="389" spans="1:9" x14ac:dyDescent="0.3">
      <c r="A389" s="17" t="s">
        <v>778</v>
      </c>
      <c r="B389" s="17" t="s">
        <v>3673</v>
      </c>
      <c r="C389" s="17" t="s">
        <v>3674</v>
      </c>
      <c r="D389" s="17" t="s">
        <v>3675</v>
      </c>
      <c r="E389" s="17" t="s">
        <v>3676</v>
      </c>
      <c r="F389" s="17" t="s">
        <v>3677</v>
      </c>
      <c r="G389" s="17" t="s">
        <v>1941</v>
      </c>
      <c r="H389" s="17">
        <v>6510</v>
      </c>
      <c r="I389" t="s">
        <v>1942</v>
      </c>
    </row>
    <row r="390" spans="1:9" x14ac:dyDescent="0.3">
      <c r="A390" s="17" t="s">
        <v>780</v>
      </c>
      <c r="B390" s="17" t="s">
        <v>3678</v>
      </c>
      <c r="C390" s="17" t="s">
        <v>3679</v>
      </c>
      <c r="D390" s="17" t="s">
        <v>3680</v>
      </c>
      <c r="E390" s="17" t="s">
        <v>3681</v>
      </c>
      <c r="F390" s="17" t="s">
        <v>3682</v>
      </c>
      <c r="G390" s="17" t="s">
        <v>1941</v>
      </c>
      <c r="H390" s="17">
        <v>30045</v>
      </c>
      <c r="I390" t="s">
        <v>1942</v>
      </c>
    </row>
    <row r="391" spans="1:9" x14ac:dyDescent="0.3">
      <c r="A391" s="17" t="s">
        <v>782</v>
      </c>
      <c r="B391" s="17" t="s">
        <v>3683</v>
      </c>
      <c r="C391" s="17" t="s">
        <v>3684</v>
      </c>
      <c r="D391" s="17" t="s">
        <v>3685</v>
      </c>
      <c r="E391" s="17" t="s">
        <v>3686</v>
      </c>
      <c r="F391" s="17" t="s">
        <v>3687</v>
      </c>
      <c r="G391" s="17" t="s">
        <v>1941</v>
      </c>
      <c r="H391" s="17">
        <v>28805</v>
      </c>
      <c r="I391" t="s">
        <v>1942</v>
      </c>
    </row>
    <row r="392" spans="1:9" x14ac:dyDescent="0.3">
      <c r="A392" s="17" t="s">
        <v>784</v>
      </c>
      <c r="B392" s="17" t="s">
        <v>3688</v>
      </c>
      <c r="C392" s="17" t="s">
        <v>3689</v>
      </c>
      <c r="D392" s="17"/>
      <c r="E392" s="17" t="s">
        <v>3690</v>
      </c>
      <c r="F392" s="17" t="s">
        <v>2233</v>
      </c>
      <c r="G392" s="17" t="s">
        <v>1941</v>
      </c>
      <c r="H392" s="17">
        <v>55123</v>
      </c>
      <c r="I392" t="s">
        <v>1942</v>
      </c>
    </row>
    <row r="393" spans="1:9" x14ac:dyDescent="0.3">
      <c r="A393" s="17" t="s">
        <v>786</v>
      </c>
      <c r="B393" s="17" t="s">
        <v>3691</v>
      </c>
      <c r="C393" s="17" t="s">
        <v>3692</v>
      </c>
      <c r="D393" s="17"/>
      <c r="E393" s="17" t="s">
        <v>3693</v>
      </c>
      <c r="F393" s="17" t="s">
        <v>2137</v>
      </c>
      <c r="G393" s="17" t="s">
        <v>1941</v>
      </c>
      <c r="H393" s="17">
        <v>55458</v>
      </c>
      <c r="I393" t="s">
        <v>1951</v>
      </c>
    </row>
    <row r="394" spans="1:9" x14ac:dyDescent="0.3">
      <c r="A394" s="17" t="s">
        <v>788</v>
      </c>
      <c r="B394" s="17" t="s">
        <v>3694</v>
      </c>
      <c r="C394" s="17" t="s">
        <v>3695</v>
      </c>
      <c r="D394" s="17" t="s">
        <v>3696</v>
      </c>
      <c r="E394" s="17" t="s">
        <v>3697</v>
      </c>
      <c r="F394" s="17" t="s">
        <v>2572</v>
      </c>
      <c r="G394" s="17" t="s">
        <v>1941</v>
      </c>
      <c r="H394" s="17">
        <v>92725</v>
      </c>
      <c r="I394" t="s">
        <v>1951</v>
      </c>
    </row>
    <row r="395" spans="1:9" x14ac:dyDescent="0.3">
      <c r="A395" s="17" t="s">
        <v>3698</v>
      </c>
      <c r="B395" s="17" t="s">
        <v>3699</v>
      </c>
      <c r="C395" s="17" t="s">
        <v>3700</v>
      </c>
      <c r="D395" s="17" t="s">
        <v>3701</v>
      </c>
      <c r="E395" s="17" t="s">
        <v>3702</v>
      </c>
      <c r="F395" s="17" t="s">
        <v>3703</v>
      </c>
      <c r="G395" s="17" t="s">
        <v>1941</v>
      </c>
      <c r="H395" s="17">
        <v>21747</v>
      </c>
      <c r="I395" t="s">
        <v>1942</v>
      </c>
    </row>
    <row r="396" spans="1:9" x14ac:dyDescent="0.3">
      <c r="A396" s="17" t="s">
        <v>790</v>
      </c>
      <c r="B396" s="17" t="s">
        <v>3704</v>
      </c>
      <c r="C396" s="17" t="s">
        <v>3705</v>
      </c>
      <c r="D396" s="17" t="s">
        <v>3706</v>
      </c>
      <c r="E396" s="17" t="s">
        <v>3707</v>
      </c>
      <c r="F396" s="17" t="s">
        <v>2137</v>
      </c>
      <c r="G396" s="17" t="s">
        <v>1941</v>
      </c>
      <c r="H396" s="17">
        <v>55458</v>
      </c>
      <c r="I396" t="s">
        <v>1951</v>
      </c>
    </row>
    <row r="397" spans="1:9" x14ac:dyDescent="0.3">
      <c r="A397" s="17" t="s">
        <v>792</v>
      </c>
      <c r="B397" s="17" t="s">
        <v>3708</v>
      </c>
      <c r="C397" s="17" t="s">
        <v>3709</v>
      </c>
      <c r="D397" s="17"/>
      <c r="E397" s="17" t="s">
        <v>3710</v>
      </c>
      <c r="F397" s="17" t="s">
        <v>2186</v>
      </c>
      <c r="G397" s="17" t="s">
        <v>1941</v>
      </c>
      <c r="H397" s="17">
        <v>20420</v>
      </c>
      <c r="I397" t="s">
        <v>1942</v>
      </c>
    </row>
    <row r="398" spans="1:9" x14ac:dyDescent="0.3">
      <c r="A398" s="17" t="s">
        <v>794</v>
      </c>
      <c r="B398" s="17" t="s">
        <v>3711</v>
      </c>
      <c r="C398" s="17" t="s">
        <v>3712</v>
      </c>
      <c r="D398" s="17" t="s">
        <v>3713</v>
      </c>
      <c r="E398" s="17" t="s">
        <v>3714</v>
      </c>
      <c r="F398" s="17" t="s">
        <v>2177</v>
      </c>
      <c r="G398" s="17" t="s">
        <v>1941</v>
      </c>
      <c r="H398" s="17">
        <v>92415</v>
      </c>
      <c r="I398" t="s">
        <v>1951</v>
      </c>
    </row>
    <row r="399" spans="1:9" x14ac:dyDescent="0.3">
      <c r="A399" s="17" t="s">
        <v>796</v>
      </c>
      <c r="B399" s="17" t="s">
        <v>3715</v>
      </c>
      <c r="C399" s="17" t="s">
        <v>3716</v>
      </c>
      <c r="D399" s="17" t="s">
        <v>3717</v>
      </c>
      <c r="E399" s="17" t="s">
        <v>3718</v>
      </c>
      <c r="F399" s="17" t="s">
        <v>2163</v>
      </c>
      <c r="G399" s="17" t="s">
        <v>1941</v>
      </c>
      <c r="H399" s="17">
        <v>14609</v>
      </c>
      <c r="I399" t="s">
        <v>1942</v>
      </c>
    </row>
    <row r="400" spans="1:9" x14ac:dyDescent="0.3">
      <c r="A400" s="17" t="s">
        <v>798</v>
      </c>
      <c r="B400" s="17" t="s">
        <v>3719</v>
      </c>
      <c r="C400" s="17" t="s">
        <v>3720</v>
      </c>
      <c r="D400" s="17" t="s">
        <v>3721</v>
      </c>
      <c r="E400" s="17" t="s">
        <v>3722</v>
      </c>
      <c r="F400" s="17" t="s">
        <v>2058</v>
      </c>
      <c r="G400" s="17" t="s">
        <v>1941</v>
      </c>
      <c r="H400" s="17">
        <v>98664</v>
      </c>
      <c r="I400" t="s">
        <v>1942</v>
      </c>
    </row>
    <row r="401" spans="1:9" x14ac:dyDescent="0.3">
      <c r="A401" s="17" t="s">
        <v>800</v>
      </c>
      <c r="B401" s="17" t="s">
        <v>3723</v>
      </c>
      <c r="C401" s="17" t="s">
        <v>3724</v>
      </c>
      <c r="D401" s="17" t="s">
        <v>3725</v>
      </c>
      <c r="E401" s="17" t="s">
        <v>3726</v>
      </c>
      <c r="F401" s="17" t="s">
        <v>3727</v>
      </c>
      <c r="G401" s="17" t="s">
        <v>2116</v>
      </c>
      <c r="H401" s="17" t="s">
        <v>3728</v>
      </c>
      <c r="I401" t="s">
        <v>1951</v>
      </c>
    </row>
    <row r="402" spans="1:9" x14ac:dyDescent="0.3">
      <c r="A402" s="17" t="s">
        <v>802</v>
      </c>
      <c r="B402" s="17" t="s">
        <v>3729</v>
      </c>
      <c r="C402" s="17" t="s">
        <v>3730</v>
      </c>
      <c r="D402" s="17" t="s">
        <v>3731</v>
      </c>
      <c r="E402" s="17" t="s">
        <v>3732</v>
      </c>
      <c r="F402" s="17" t="s">
        <v>2186</v>
      </c>
      <c r="G402" s="17" t="s">
        <v>1941</v>
      </c>
      <c r="H402" s="17">
        <v>20057</v>
      </c>
      <c r="I402" t="s">
        <v>1951</v>
      </c>
    </row>
    <row r="403" spans="1:9" x14ac:dyDescent="0.3">
      <c r="A403" s="17" t="s">
        <v>804</v>
      </c>
      <c r="B403" s="17" t="s">
        <v>3733</v>
      </c>
      <c r="C403" s="17" t="s">
        <v>3734</v>
      </c>
      <c r="D403" s="17" t="s">
        <v>3735</v>
      </c>
      <c r="E403" s="17" t="s">
        <v>3736</v>
      </c>
      <c r="F403" s="17" t="s">
        <v>3412</v>
      </c>
      <c r="G403" s="17" t="s">
        <v>1941</v>
      </c>
      <c r="H403" s="17">
        <v>37924</v>
      </c>
      <c r="I403" t="s">
        <v>1942</v>
      </c>
    </row>
    <row r="404" spans="1:9" x14ac:dyDescent="0.3">
      <c r="A404" s="17" t="s">
        <v>806</v>
      </c>
      <c r="B404" s="17" t="s">
        <v>3737</v>
      </c>
      <c r="C404" s="17" t="s">
        <v>3738</v>
      </c>
      <c r="D404" s="17" t="s">
        <v>3739</v>
      </c>
      <c r="E404" s="17" t="s">
        <v>3740</v>
      </c>
      <c r="F404" s="17" t="s">
        <v>2122</v>
      </c>
      <c r="G404" s="17" t="s">
        <v>1941</v>
      </c>
      <c r="H404" s="17">
        <v>25336</v>
      </c>
      <c r="I404" t="s">
        <v>1942</v>
      </c>
    </row>
    <row r="405" spans="1:9" x14ac:dyDescent="0.3">
      <c r="A405" s="17" t="s">
        <v>808</v>
      </c>
      <c r="B405" s="17" t="s">
        <v>3741</v>
      </c>
      <c r="C405" s="17" t="s">
        <v>3742</v>
      </c>
      <c r="D405" s="17" t="s">
        <v>3743</v>
      </c>
      <c r="E405" s="17" t="s">
        <v>3744</v>
      </c>
      <c r="F405" s="17" t="s">
        <v>2325</v>
      </c>
      <c r="G405" s="17" t="s">
        <v>1941</v>
      </c>
      <c r="H405" s="17">
        <v>75372</v>
      </c>
      <c r="I405" t="s">
        <v>1951</v>
      </c>
    </row>
    <row r="406" spans="1:9" x14ac:dyDescent="0.3">
      <c r="A406" s="17" t="s">
        <v>810</v>
      </c>
      <c r="B406" s="17" t="s">
        <v>3745</v>
      </c>
      <c r="C406" s="17" t="s">
        <v>3746</v>
      </c>
      <c r="D406" s="17" t="s">
        <v>3747</v>
      </c>
      <c r="E406" s="17" t="s">
        <v>3748</v>
      </c>
      <c r="F406" s="17" t="s">
        <v>3749</v>
      </c>
      <c r="G406" s="17" t="s">
        <v>1949</v>
      </c>
      <c r="H406" s="17" t="s">
        <v>3750</v>
      </c>
      <c r="I406" t="s">
        <v>1951</v>
      </c>
    </row>
    <row r="407" spans="1:9" x14ac:dyDescent="0.3">
      <c r="A407" s="17" t="s">
        <v>812</v>
      </c>
      <c r="B407" s="17" t="s">
        <v>3751</v>
      </c>
      <c r="C407" s="17" t="s">
        <v>3752</v>
      </c>
      <c r="D407" s="17" t="s">
        <v>3753</v>
      </c>
      <c r="E407" s="17" t="s">
        <v>3754</v>
      </c>
      <c r="F407" s="17" t="s">
        <v>3755</v>
      </c>
      <c r="G407" s="17" t="s">
        <v>1941</v>
      </c>
      <c r="H407" s="17">
        <v>95973</v>
      </c>
      <c r="I407" t="s">
        <v>1942</v>
      </c>
    </row>
    <row r="408" spans="1:9" x14ac:dyDescent="0.3">
      <c r="A408" s="17" t="s">
        <v>814</v>
      </c>
      <c r="B408" s="17" t="s">
        <v>3756</v>
      </c>
      <c r="C408" s="17" t="s">
        <v>3757</v>
      </c>
      <c r="D408" s="17" t="s">
        <v>3758</v>
      </c>
      <c r="E408" s="17" t="s">
        <v>3759</v>
      </c>
      <c r="F408" s="17" t="s">
        <v>2127</v>
      </c>
      <c r="G408" s="17" t="s">
        <v>1941</v>
      </c>
      <c r="H408" s="17">
        <v>72215</v>
      </c>
      <c r="I408" t="s">
        <v>1942</v>
      </c>
    </row>
    <row r="409" spans="1:9" x14ac:dyDescent="0.3">
      <c r="A409" s="17" t="s">
        <v>816</v>
      </c>
      <c r="B409" s="17" t="s">
        <v>3760</v>
      </c>
      <c r="C409" s="17"/>
      <c r="D409" s="17" t="s">
        <v>3761</v>
      </c>
      <c r="E409" s="17" t="s">
        <v>3762</v>
      </c>
      <c r="F409" s="17" t="s">
        <v>3763</v>
      </c>
      <c r="G409" s="17" t="s">
        <v>1949</v>
      </c>
      <c r="H409" s="17" t="s">
        <v>3764</v>
      </c>
      <c r="I409" t="s">
        <v>1951</v>
      </c>
    </row>
    <row r="410" spans="1:9" x14ac:dyDescent="0.3">
      <c r="A410" s="17" t="s">
        <v>818</v>
      </c>
      <c r="B410" s="17" t="s">
        <v>3765</v>
      </c>
      <c r="C410" s="17" t="s">
        <v>3766</v>
      </c>
      <c r="D410" s="17" t="s">
        <v>3767</v>
      </c>
      <c r="E410" s="17" t="s">
        <v>3768</v>
      </c>
      <c r="F410" s="17" t="s">
        <v>3769</v>
      </c>
      <c r="G410" s="17" t="s">
        <v>1941</v>
      </c>
      <c r="H410" s="17">
        <v>8922</v>
      </c>
      <c r="I410" t="s">
        <v>1942</v>
      </c>
    </row>
    <row r="411" spans="1:9" x14ac:dyDescent="0.3">
      <c r="A411" s="17" t="s">
        <v>820</v>
      </c>
      <c r="B411" s="17" t="s">
        <v>3770</v>
      </c>
      <c r="C411" s="17"/>
      <c r="D411" s="17" t="s">
        <v>3771</v>
      </c>
      <c r="E411" s="17" t="s">
        <v>3772</v>
      </c>
      <c r="F411" s="17" t="s">
        <v>3773</v>
      </c>
      <c r="G411" s="17" t="s">
        <v>1949</v>
      </c>
      <c r="H411" s="17" t="s">
        <v>3774</v>
      </c>
      <c r="I411" t="s">
        <v>1942</v>
      </c>
    </row>
    <row r="412" spans="1:9" x14ac:dyDescent="0.3">
      <c r="A412" s="17" t="s">
        <v>822</v>
      </c>
      <c r="B412" s="17" t="s">
        <v>3775</v>
      </c>
      <c r="C412" s="17"/>
      <c r="D412" s="17" t="s">
        <v>3776</v>
      </c>
      <c r="E412" s="17" t="s">
        <v>3777</v>
      </c>
      <c r="F412" s="17" t="s">
        <v>3090</v>
      </c>
      <c r="G412" s="17" t="s">
        <v>1941</v>
      </c>
      <c r="H412" s="17">
        <v>94132</v>
      </c>
      <c r="I412" t="s">
        <v>1951</v>
      </c>
    </row>
    <row r="413" spans="1:9" x14ac:dyDescent="0.3">
      <c r="A413" s="17" t="s">
        <v>824</v>
      </c>
      <c r="B413" s="17" t="s">
        <v>3778</v>
      </c>
      <c r="C413" s="17"/>
      <c r="D413" s="17" t="s">
        <v>3779</v>
      </c>
      <c r="E413" s="17" t="s">
        <v>3780</v>
      </c>
      <c r="F413" s="17" t="s">
        <v>3781</v>
      </c>
      <c r="G413" s="17" t="s">
        <v>1941</v>
      </c>
      <c r="H413" s="17">
        <v>70505</v>
      </c>
      <c r="I413" t="s">
        <v>1942</v>
      </c>
    </row>
    <row r="414" spans="1:9" x14ac:dyDescent="0.3">
      <c r="A414" s="17" t="s">
        <v>826</v>
      </c>
      <c r="B414" s="17" t="s">
        <v>3782</v>
      </c>
      <c r="C414" s="17"/>
      <c r="D414" s="17" t="s">
        <v>3783</v>
      </c>
      <c r="E414" s="17" t="s">
        <v>3784</v>
      </c>
      <c r="F414" s="17" t="s">
        <v>3785</v>
      </c>
      <c r="G414" s="17" t="s">
        <v>1941</v>
      </c>
      <c r="H414" s="17">
        <v>92191</v>
      </c>
      <c r="I414" t="s">
        <v>1942</v>
      </c>
    </row>
    <row r="415" spans="1:9" x14ac:dyDescent="0.3">
      <c r="A415" s="17" t="s">
        <v>828</v>
      </c>
      <c r="B415" s="17" t="s">
        <v>3786</v>
      </c>
      <c r="C415" s="17" t="s">
        <v>3787</v>
      </c>
      <c r="D415" s="17" t="s">
        <v>3788</v>
      </c>
      <c r="E415" s="17" t="s">
        <v>3789</v>
      </c>
      <c r="F415" s="17" t="s">
        <v>3790</v>
      </c>
      <c r="G415" s="17" t="s">
        <v>1941</v>
      </c>
      <c r="H415" s="17">
        <v>91841</v>
      </c>
      <c r="I415" t="s">
        <v>1942</v>
      </c>
    </row>
    <row r="416" spans="1:9" x14ac:dyDescent="0.3">
      <c r="A416" s="17" t="s">
        <v>830</v>
      </c>
      <c r="B416" s="17" t="s">
        <v>3791</v>
      </c>
      <c r="C416" s="17"/>
      <c r="D416" s="17" t="s">
        <v>3792</v>
      </c>
      <c r="E416" s="17" t="s">
        <v>3793</v>
      </c>
      <c r="F416" s="17" t="s">
        <v>3515</v>
      </c>
      <c r="G416" s="17" t="s">
        <v>1941</v>
      </c>
      <c r="H416" s="17">
        <v>75799</v>
      </c>
      <c r="I416" t="s">
        <v>1942</v>
      </c>
    </row>
    <row r="417" spans="1:9" x14ac:dyDescent="0.3">
      <c r="A417" s="17" t="s">
        <v>832</v>
      </c>
      <c r="B417" s="17" t="s">
        <v>3794</v>
      </c>
      <c r="C417" s="17" t="s">
        <v>3795</v>
      </c>
      <c r="D417" s="17"/>
      <c r="E417" s="17" t="s">
        <v>3796</v>
      </c>
      <c r="F417" s="17" t="s">
        <v>3781</v>
      </c>
      <c r="G417" s="17" t="s">
        <v>1941</v>
      </c>
      <c r="H417" s="17">
        <v>70593</v>
      </c>
      <c r="I417" t="s">
        <v>1951</v>
      </c>
    </row>
    <row r="418" spans="1:9" x14ac:dyDescent="0.3">
      <c r="A418" s="17" t="s">
        <v>834</v>
      </c>
      <c r="B418" s="17" t="s">
        <v>3797</v>
      </c>
      <c r="C418" s="17"/>
      <c r="D418" s="17" t="s">
        <v>3798</v>
      </c>
      <c r="E418" s="17" t="s">
        <v>3799</v>
      </c>
      <c r="F418" s="17" t="s">
        <v>1976</v>
      </c>
      <c r="G418" s="17" t="s">
        <v>1941</v>
      </c>
      <c r="H418" s="17">
        <v>45426</v>
      </c>
      <c r="I418" t="s">
        <v>1942</v>
      </c>
    </row>
    <row r="419" spans="1:9" x14ac:dyDescent="0.3">
      <c r="A419" s="17" t="s">
        <v>836</v>
      </c>
      <c r="B419" s="17" t="s">
        <v>3800</v>
      </c>
      <c r="C419" s="17"/>
      <c r="D419" s="17" t="s">
        <v>3801</v>
      </c>
      <c r="E419" s="17" t="s">
        <v>3802</v>
      </c>
      <c r="F419" s="17" t="s">
        <v>3099</v>
      </c>
      <c r="G419" s="17" t="s">
        <v>1941</v>
      </c>
      <c r="H419" s="17">
        <v>85072</v>
      </c>
      <c r="I419" t="s">
        <v>1942</v>
      </c>
    </row>
    <row r="420" spans="1:9" x14ac:dyDescent="0.3">
      <c r="A420" s="17" t="s">
        <v>838</v>
      </c>
      <c r="B420" s="17" t="s">
        <v>3803</v>
      </c>
      <c r="C420" s="17" t="s">
        <v>3804</v>
      </c>
      <c r="D420" s="17"/>
      <c r="E420" s="17" t="s">
        <v>3805</v>
      </c>
      <c r="F420" s="17" t="s">
        <v>2999</v>
      </c>
      <c r="G420" s="17" t="s">
        <v>1941</v>
      </c>
      <c r="H420" s="17">
        <v>94263</v>
      </c>
      <c r="I420" t="s">
        <v>1942</v>
      </c>
    </row>
    <row r="421" spans="1:9" x14ac:dyDescent="0.3">
      <c r="A421" s="17" t="s">
        <v>840</v>
      </c>
      <c r="B421" s="17" t="s">
        <v>3806</v>
      </c>
      <c r="C421" s="17" t="s">
        <v>3807</v>
      </c>
      <c r="D421" s="17" t="s">
        <v>3808</v>
      </c>
      <c r="E421" s="17" t="s">
        <v>3809</v>
      </c>
      <c r="F421" s="17" t="s">
        <v>3336</v>
      </c>
      <c r="G421" s="17" t="s">
        <v>1941</v>
      </c>
      <c r="H421" s="17">
        <v>68505</v>
      </c>
      <c r="I421" t="s">
        <v>1942</v>
      </c>
    </row>
    <row r="422" spans="1:9" x14ac:dyDescent="0.3">
      <c r="A422" s="17" t="s">
        <v>3810</v>
      </c>
      <c r="B422" s="17" t="s">
        <v>3811</v>
      </c>
      <c r="C422" s="17" t="s">
        <v>3812</v>
      </c>
      <c r="D422" s="17" t="s">
        <v>3813</v>
      </c>
      <c r="E422" s="17" t="s">
        <v>3814</v>
      </c>
      <c r="F422" s="17" t="s">
        <v>3662</v>
      </c>
      <c r="G422" s="17" t="s">
        <v>1941</v>
      </c>
      <c r="H422" s="17">
        <v>17126</v>
      </c>
      <c r="I422" t="s">
        <v>1951</v>
      </c>
    </row>
    <row r="423" spans="1:9" x14ac:dyDescent="0.3">
      <c r="A423" s="17" t="s">
        <v>3815</v>
      </c>
      <c r="B423" s="17" t="s">
        <v>3816</v>
      </c>
      <c r="C423" s="17" t="s">
        <v>3817</v>
      </c>
      <c r="D423" s="17" t="s">
        <v>3818</v>
      </c>
      <c r="E423" s="17" t="s">
        <v>3819</v>
      </c>
      <c r="F423" s="17" t="s">
        <v>2144</v>
      </c>
      <c r="G423" s="17" t="s">
        <v>1941</v>
      </c>
      <c r="H423" s="17">
        <v>70174</v>
      </c>
      <c r="I423" t="s">
        <v>1942</v>
      </c>
    </row>
    <row r="424" spans="1:9" x14ac:dyDescent="0.3">
      <c r="A424" s="17" t="s">
        <v>843</v>
      </c>
      <c r="B424" s="17" t="s">
        <v>3820</v>
      </c>
      <c r="C424" s="17"/>
      <c r="D424" s="17" t="s">
        <v>3821</v>
      </c>
      <c r="E424" s="17" t="s">
        <v>3822</v>
      </c>
      <c r="F424" s="17" t="s">
        <v>3823</v>
      </c>
      <c r="G424" s="17" t="s">
        <v>1941</v>
      </c>
      <c r="H424" s="17">
        <v>53726</v>
      </c>
      <c r="I424" t="s">
        <v>1951</v>
      </c>
    </row>
    <row r="425" spans="1:9" x14ac:dyDescent="0.3">
      <c r="A425" s="17" t="s">
        <v>845</v>
      </c>
      <c r="B425" s="17" t="s">
        <v>3824</v>
      </c>
      <c r="C425" s="17"/>
      <c r="D425" s="17" t="s">
        <v>3825</v>
      </c>
      <c r="E425" s="17" t="s">
        <v>3826</v>
      </c>
      <c r="F425" s="17" t="s">
        <v>2122</v>
      </c>
      <c r="G425" s="17" t="s">
        <v>1941</v>
      </c>
      <c r="H425" s="17">
        <v>25336</v>
      </c>
      <c r="I425" t="s">
        <v>1951</v>
      </c>
    </row>
    <row r="426" spans="1:9" x14ac:dyDescent="0.3">
      <c r="A426" s="17" t="s">
        <v>847</v>
      </c>
      <c r="B426" s="17" t="s">
        <v>3827</v>
      </c>
      <c r="C426" s="17" t="s">
        <v>3828</v>
      </c>
      <c r="D426" s="17" t="s">
        <v>3829</v>
      </c>
      <c r="E426" s="17" t="s">
        <v>3830</v>
      </c>
      <c r="F426" s="17" t="s">
        <v>2127</v>
      </c>
      <c r="G426" s="17" t="s">
        <v>1941</v>
      </c>
      <c r="H426" s="17">
        <v>72204</v>
      </c>
      <c r="I426" t="s">
        <v>1942</v>
      </c>
    </row>
    <row r="427" spans="1:9" x14ac:dyDescent="0.3">
      <c r="A427" s="17" t="s">
        <v>849</v>
      </c>
      <c r="B427" s="17" t="s">
        <v>3831</v>
      </c>
      <c r="C427" s="17" t="s">
        <v>3832</v>
      </c>
      <c r="D427" s="17" t="s">
        <v>3833</v>
      </c>
      <c r="E427" s="17" t="s">
        <v>3834</v>
      </c>
      <c r="F427" s="17" t="s">
        <v>2501</v>
      </c>
      <c r="G427" s="17" t="s">
        <v>1941</v>
      </c>
      <c r="H427" s="17">
        <v>99507</v>
      </c>
      <c r="I427" t="s">
        <v>1951</v>
      </c>
    </row>
    <row r="428" spans="1:9" x14ac:dyDescent="0.3">
      <c r="A428" s="17" t="s">
        <v>851</v>
      </c>
      <c r="B428" s="17" t="s">
        <v>3835</v>
      </c>
      <c r="C428" s="17" t="s">
        <v>3836</v>
      </c>
      <c r="D428" s="17" t="s">
        <v>3837</v>
      </c>
      <c r="E428" s="17" t="s">
        <v>3838</v>
      </c>
      <c r="F428" s="17" t="s">
        <v>3839</v>
      </c>
      <c r="G428" s="17" t="s">
        <v>1949</v>
      </c>
      <c r="H428" s="17" t="s">
        <v>3840</v>
      </c>
      <c r="I428" t="s">
        <v>1942</v>
      </c>
    </row>
    <row r="429" spans="1:9" x14ac:dyDescent="0.3">
      <c r="A429" s="17" t="s">
        <v>853</v>
      </c>
      <c r="B429" s="17" t="s">
        <v>3841</v>
      </c>
      <c r="C429" s="17"/>
      <c r="D429" s="17" t="s">
        <v>3842</v>
      </c>
      <c r="E429" s="17" t="s">
        <v>3843</v>
      </c>
      <c r="F429" s="17" t="s">
        <v>3090</v>
      </c>
      <c r="G429" s="17" t="s">
        <v>1941</v>
      </c>
      <c r="H429" s="17">
        <v>94110</v>
      </c>
      <c r="I429" t="s">
        <v>1942</v>
      </c>
    </row>
    <row r="430" spans="1:9" x14ac:dyDescent="0.3">
      <c r="A430" s="17" t="s">
        <v>855</v>
      </c>
      <c r="B430" s="17" t="s">
        <v>3844</v>
      </c>
      <c r="C430" s="17" t="s">
        <v>3845</v>
      </c>
      <c r="D430" s="17" t="s">
        <v>3846</v>
      </c>
      <c r="E430" s="17" t="s">
        <v>3847</v>
      </c>
      <c r="F430" s="17" t="s">
        <v>2840</v>
      </c>
      <c r="G430" s="17" t="s">
        <v>1941</v>
      </c>
      <c r="H430" s="17">
        <v>44485</v>
      </c>
      <c r="I430" t="s">
        <v>1951</v>
      </c>
    </row>
    <row r="431" spans="1:9" x14ac:dyDescent="0.3">
      <c r="A431" s="17" t="s">
        <v>3848</v>
      </c>
      <c r="B431" s="17" t="s">
        <v>3849</v>
      </c>
      <c r="C431" s="17" t="s">
        <v>3850</v>
      </c>
      <c r="D431" s="17" t="s">
        <v>3851</v>
      </c>
      <c r="E431" s="17" t="s">
        <v>3852</v>
      </c>
      <c r="F431" s="17" t="s">
        <v>3853</v>
      </c>
      <c r="G431" s="17" t="s">
        <v>1941</v>
      </c>
      <c r="H431" s="17">
        <v>23324</v>
      </c>
      <c r="I431" t="s">
        <v>1951</v>
      </c>
    </row>
    <row r="432" spans="1:9" x14ac:dyDescent="0.3">
      <c r="A432" s="17" t="s">
        <v>858</v>
      </c>
      <c r="B432" s="17" t="s">
        <v>3854</v>
      </c>
      <c r="C432" s="17" t="s">
        <v>3855</v>
      </c>
      <c r="D432" s="17" t="s">
        <v>3856</v>
      </c>
      <c r="E432" s="17" t="s">
        <v>3857</v>
      </c>
      <c r="F432" s="17" t="s">
        <v>3858</v>
      </c>
      <c r="G432" s="17" t="s">
        <v>1941</v>
      </c>
      <c r="H432" s="17">
        <v>39236</v>
      </c>
      <c r="I432" t="s">
        <v>1942</v>
      </c>
    </row>
    <row r="433" spans="1:9" x14ac:dyDescent="0.3">
      <c r="A433" s="17" t="s">
        <v>860</v>
      </c>
      <c r="B433" s="17" t="s">
        <v>3859</v>
      </c>
      <c r="C433" s="17" t="s">
        <v>3860</v>
      </c>
      <c r="D433" s="17" t="s">
        <v>3861</v>
      </c>
      <c r="E433" s="17" t="s">
        <v>3862</v>
      </c>
      <c r="F433" s="17" t="s">
        <v>3863</v>
      </c>
      <c r="G433" s="17" t="s">
        <v>1949</v>
      </c>
      <c r="H433" s="17" t="s">
        <v>3864</v>
      </c>
      <c r="I433" t="s">
        <v>1942</v>
      </c>
    </row>
    <row r="434" spans="1:9" x14ac:dyDescent="0.3">
      <c r="A434" s="17" t="s">
        <v>862</v>
      </c>
      <c r="B434" s="17" t="s">
        <v>3865</v>
      </c>
      <c r="C434" s="17"/>
      <c r="D434" s="17" t="s">
        <v>3866</v>
      </c>
      <c r="E434" s="17" t="s">
        <v>3867</v>
      </c>
      <c r="F434" s="17" t="s">
        <v>3121</v>
      </c>
      <c r="G434" s="17" t="s">
        <v>1941</v>
      </c>
      <c r="H434" s="17">
        <v>53277</v>
      </c>
      <c r="I434" t="s">
        <v>1951</v>
      </c>
    </row>
    <row r="435" spans="1:9" x14ac:dyDescent="0.3">
      <c r="A435" s="17" t="s">
        <v>864</v>
      </c>
      <c r="B435" s="17" t="s">
        <v>3868</v>
      </c>
      <c r="C435" s="17" t="s">
        <v>3869</v>
      </c>
      <c r="D435" s="17" t="s">
        <v>3870</v>
      </c>
      <c r="E435" s="17" t="s">
        <v>3871</v>
      </c>
      <c r="F435" s="17" t="s">
        <v>2999</v>
      </c>
      <c r="G435" s="17" t="s">
        <v>1941</v>
      </c>
      <c r="H435" s="17">
        <v>94250</v>
      </c>
      <c r="I435" t="s">
        <v>1942</v>
      </c>
    </row>
    <row r="436" spans="1:9" x14ac:dyDescent="0.3">
      <c r="A436" s="17" t="s">
        <v>866</v>
      </c>
      <c r="B436" s="17" t="s">
        <v>3872</v>
      </c>
      <c r="C436" s="17"/>
      <c r="D436" s="17" t="s">
        <v>3873</v>
      </c>
      <c r="E436" s="17" t="s">
        <v>3874</v>
      </c>
      <c r="F436" s="17" t="s">
        <v>2158</v>
      </c>
      <c r="G436" s="17" t="s">
        <v>1941</v>
      </c>
      <c r="H436" s="17">
        <v>2298</v>
      </c>
      <c r="I436" t="s">
        <v>1951</v>
      </c>
    </row>
    <row r="437" spans="1:9" x14ac:dyDescent="0.3">
      <c r="A437" s="17" t="s">
        <v>868</v>
      </c>
      <c r="B437" s="17" t="s">
        <v>3875</v>
      </c>
      <c r="C437" s="17" t="s">
        <v>3876</v>
      </c>
      <c r="D437" s="17" t="s">
        <v>3877</v>
      </c>
      <c r="E437" s="17" t="s">
        <v>3878</v>
      </c>
      <c r="F437" s="17" t="s">
        <v>3510</v>
      </c>
      <c r="G437" s="17" t="s">
        <v>1941</v>
      </c>
      <c r="H437" s="17">
        <v>66622</v>
      </c>
      <c r="I437" t="s">
        <v>1951</v>
      </c>
    </row>
    <row r="438" spans="1:9" x14ac:dyDescent="0.3">
      <c r="A438" s="17" t="s">
        <v>870</v>
      </c>
      <c r="B438" s="17" t="s">
        <v>3879</v>
      </c>
      <c r="C438" s="17" t="s">
        <v>3880</v>
      </c>
      <c r="D438" s="17" t="s">
        <v>3881</v>
      </c>
      <c r="E438" s="17" t="s">
        <v>3882</v>
      </c>
      <c r="F438" s="17" t="s">
        <v>2550</v>
      </c>
      <c r="G438" s="17" t="s">
        <v>1941</v>
      </c>
      <c r="H438" s="17">
        <v>58122</v>
      </c>
      <c r="I438" t="s">
        <v>1942</v>
      </c>
    </row>
    <row r="439" spans="1:9" x14ac:dyDescent="0.3">
      <c r="A439" s="17" t="s">
        <v>872</v>
      </c>
      <c r="B439" s="17" t="s">
        <v>3883</v>
      </c>
      <c r="C439" s="17"/>
      <c r="D439" s="17" t="s">
        <v>3884</v>
      </c>
      <c r="E439" s="17" t="s">
        <v>3885</v>
      </c>
      <c r="F439" s="17" t="s">
        <v>2027</v>
      </c>
      <c r="G439" s="17" t="s">
        <v>1941</v>
      </c>
      <c r="H439" s="17">
        <v>77095</v>
      </c>
      <c r="I439" t="s">
        <v>1951</v>
      </c>
    </row>
    <row r="440" spans="1:9" x14ac:dyDescent="0.3">
      <c r="A440" s="17" t="s">
        <v>3886</v>
      </c>
      <c r="B440" s="17" t="s">
        <v>3887</v>
      </c>
      <c r="C440" s="17" t="s">
        <v>3888</v>
      </c>
      <c r="D440" s="17" t="s">
        <v>3889</v>
      </c>
      <c r="E440" s="17" t="s">
        <v>3890</v>
      </c>
      <c r="F440" s="17" t="s">
        <v>2362</v>
      </c>
      <c r="G440" s="17" t="s">
        <v>1941</v>
      </c>
      <c r="H440" s="17">
        <v>73190</v>
      </c>
      <c r="I440" t="s">
        <v>1951</v>
      </c>
    </row>
    <row r="441" spans="1:9" x14ac:dyDescent="0.3">
      <c r="A441" s="17" t="s">
        <v>876</v>
      </c>
      <c r="B441" s="17" t="s">
        <v>3891</v>
      </c>
      <c r="C441" s="17" t="s">
        <v>3892</v>
      </c>
      <c r="D441" s="17" t="s">
        <v>3893</v>
      </c>
      <c r="E441" s="17" t="s">
        <v>3894</v>
      </c>
      <c r="F441" s="17" t="s">
        <v>2031</v>
      </c>
      <c r="G441" s="17" t="s">
        <v>1949</v>
      </c>
      <c r="H441" s="17" t="s">
        <v>2032</v>
      </c>
      <c r="I441" t="s">
        <v>1951</v>
      </c>
    </row>
    <row r="442" spans="1:9" x14ac:dyDescent="0.3">
      <c r="A442" s="17" t="s">
        <v>878</v>
      </c>
      <c r="B442" s="17" t="s">
        <v>3895</v>
      </c>
      <c r="C442" s="17" t="s">
        <v>3896</v>
      </c>
      <c r="D442" s="17" t="s">
        <v>3897</v>
      </c>
      <c r="E442" s="17" t="s">
        <v>3898</v>
      </c>
      <c r="F442" s="17" t="s">
        <v>2350</v>
      </c>
      <c r="G442" s="17" t="s">
        <v>1941</v>
      </c>
      <c r="H442" s="17">
        <v>14205</v>
      </c>
      <c r="I442" t="s">
        <v>1942</v>
      </c>
    </row>
    <row r="443" spans="1:9" x14ac:dyDescent="0.3">
      <c r="A443" s="17" t="s">
        <v>880</v>
      </c>
      <c r="B443" s="17" t="s">
        <v>3899</v>
      </c>
      <c r="C443" s="17" t="s">
        <v>3900</v>
      </c>
      <c r="D443" s="17" t="s">
        <v>3901</v>
      </c>
      <c r="E443" s="17" t="s">
        <v>3902</v>
      </c>
      <c r="F443" s="17" t="s">
        <v>3193</v>
      </c>
      <c r="G443" s="17" t="s">
        <v>1949</v>
      </c>
      <c r="H443" s="17" t="s">
        <v>3194</v>
      </c>
      <c r="I443" t="s">
        <v>1942</v>
      </c>
    </row>
    <row r="444" spans="1:9" x14ac:dyDescent="0.3">
      <c r="A444" s="17" t="s">
        <v>882</v>
      </c>
      <c r="B444" s="17" t="s">
        <v>3903</v>
      </c>
      <c r="C444" s="17" t="s">
        <v>3904</v>
      </c>
      <c r="D444" s="17" t="s">
        <v>3905</v>
      </c>
      <c r="E444" s="17" t="s">
        <v>3906</v>
      </c>
      <c r="F444" s="17" t="s">
        <v>3907</v>
      </c>
      <c r="G444" s="17" t="s">
        <v>1941</v>
      </c>
      <c r="H444" s="17">
        <v>18018</v>
      </c>
      <c r="I444" t="s">
        <v>1951</v>
      </c>
    </row>
    <row r="445" spans="1:9" x14ac:dyDescent="0.3">
      <c r="A445" s="17" t="s">
        <v>884</v>
      </c>
      <c r="B445" s="17" t="s">
        <v>3908</v>
      </c>
      <c r="C445" s="17" t="s">
        <v>3909</v>
      </c>
      <c r="D445" s="17" t="s">
        <v>3910</v>
      </c>
      <c r="E445" s="17" t="s">
        <v>3911</v>
      </c>
      <c r="F445" s="17" t="s">
        <v>3912</v>
      </c>
      <c r="G445" s="17" t="s">
        <v>1949</v>
      </c>
      <c r="H445" s="17" t="s">
        <v>3913</v>
      </c>
      <c r="I445" t="s">
        <v>1942</v>
      </c>
    </row>
    <row r="446" spans="1:9" x14ac:dyDescent="0.3">
      <c r="A446" s="17" t="s">
        <v>886</v>
      </c>
      <c r="B446" s="17" t="s">
        <v>3914</v>
      </c>
      <c r="C446" s="17" t="s">
        <v>3915</v>
      </c>
      <c r="D446" s="17" t="s">
        <v>3916</v>
      </c>
      <c r="E446" s="17" t="s">
        <v>3917</v>
      </c>
      <c r="F446" s="17" t="s">
        <v>3918</v>
      </c>
      <c r="G446" s="17" t="s">
        <v>1949</v>
      </c>
      <c r="H446" s="17" t="s">
        <v>3919</v>
      </c>
      <c r="I446" t="s">
        <v>1951</v>
      </c>
    </row>
    <row r="447" spans="1:9" x14ac:dyDescent="0.3">
      <c r="A447" s="17" t="s">
        <v>888</v>
      </c>
      <c r="B447" s="17" t="s">
        <v>3920</v>
      </c>
      <c r="C447" s="17" t="s">
        <v>3921</v>
      </c>
      <c r="D447" s="17"/>
      <c r="E447" s="17" t="s">
        <v>3922</v>
      </c>
      <c r="F447" s="17" t="s">
        <v>3402</v>
      </c>
      <c r="G447" s="17" t="s">
        <v>1949</v>
      </c>
      <c r="H447" s="17" t="s">
        <v>2083</v>
      </c>
      <c r="I447" t="s">
        <v>1942</v>
      </c>
    </row>
    <row r="448" spans="1:9" x14ac:dyDescent="0.3">
      <c r="A448" s="17" t="s">
        <v>890</v>
      </c>
      <c r="B448" s="17" t="s">
        <v>3923</v>
      </c>
      <c r="C448" s="17" t="s">
        <v>3924</v>
      </c>
      <c r="D448" s="17" t="s">
        <v>3925</v>
      </c>
      <c r="E448" s="17" t="s">
        <v>3926</v>
      </c>
      <c r="F448" s="17" t="s">
        <v>2172</v>
      </c>
      <c r="G448" s="17" t="s">
        <v>2116</v>
      </c>
      <c r="H448" s="17" t="s">
        <v>3927</v>
      </c>
      <c r="I448" t="s">
        <v>1942</v>
      </c>
    </row>
    <row r="449" spans="1:9" x14ac:dyDescent="0.3">
      <c r="A449" s="17" t="s">
        <v>892</v>
      </c>
      <c r="B449" s="17" t="s">
        <v>3928</v>
      </c>
      <c r="C449" s="17" t="s">
        <v>3929</v>
      </c>
      <c r="D449" s="17"/>
      <c r="E449" s="17" t="s">
        <v>3930</v>
      </c>
      <c r="F449" s="17" t="s">
        <v>3099</v>
      </c>
      <c r="G449" s="17" t="s">
        <v>1941</v>
      </c>
      <c r="H449" s="17">
        <v>85099</v>
      </c>
      <c r="I449" t="s">
        <v>1951</v>
      </c>
    </row>
    <row r="450" spans="1:9" x14ac:dyDescent="0.3">
      <c r="A450" s="17" t="s">
        <v>894</v>
      </c>
      <c r="B450" s="17" t="s">
        <v>3931</v>
      </c>
      <c r="C450" s="17" t="s">
        <v>3932</v>
      </c>
      <c r="D450" s="17" t="s">
        <v>3933</v>
      </c>
      <c r="E450" s="17" t="s">
        <v>3934</v>
      </c>
      <c r="F450" s="17" t="s">
        <v>3935</v>
      </c>
      <c r="G450" s="17" t="s">
        <v>1949</v>
      </c>
      <c r="H450" s="17" t="s">
        <v>3936</v>
      </c>
      <c r="I450" t="s">
        <v>1951</v>
      </c>
    </row>
    <row r="451" spans="1:9" x14ac:dyDescent="0.3">
      <c r="A451" s="17" t="s">
        <v>896</v>
      </c>
      <c r="B451" s="17" t="s">
        <v>3937</v>
      </c>
      <c r="C451" s="17" t="s">
        <v>3938</v>
      </c>
      <c r="D451" s="17" t="s">
        <v>3939</v>
      </c>
      <c r="E451" s="17" t="s">
        <v>3940</v>
      </c>
      <c r="F451" s="17" t="s">
        <v>2211</v>
      </c>
      <c r="G451" s="17" t="s">
        <v>1941</v>
      </c>
      <c r="H451" s="17">
        <v>43610</v>
      </c>
      <c r="I451" t="s">
        <v>1951</v>
      </c>
    </row>
    <row r="452" spans="1:9" x14ac:dyDescent="0.3">
      <c r="A452" s="17" t="s">
        <v>898</v>
      </c>
      <c r="B452" s="17" t="s">
        <v>3941</v>
      </c>
      <c r="C452" s="17" t="s">
        <v>3942</v>
      </c>
      <c r="D452" s="17" t="s">
        <v>3943</v>
      </c>
      <c r="E452" s="17" t="s">
        <v>3944</v>
      </c>
      <c r="F452" s="17" t="s">
        <v>3945</v>
      </c>
      <c r="G452" s="17" t="s">
        <v>1949</v>
      </c>
      <c r="H452" s="17" t="s">
        <v>3946</v>
      </c>
      <c r="I452" t="s">
        <v>1951</v>
      </c>
    </row>
    <row r="453" spans="1:9" x14ac:dyDescent="0.3">
      <c r="A453" s="17" t="s">
        <v>900</v>
      </c>
      <c r="B453" s="17" t="s">
        <v>3947</v>
      </c>
      <c r="C453" s="17" t="s">
        <v>3948</v>
      </c>
      <c r="D453" s="17" t="s">
        <v>3949</v>
      </c>
      <c r="E453" s="17" t="s">
        <v>3950</v>
      </c>
      <c r="F453" s="17" t="s">
        <v>2300</v>
      </c>
      <c r="G453" s="17" t="s">
        <v>1941</v>
      </c>
      <c r="H453" s="17">
        <v>28210</v>
      </c>
      <c r="I453" t="s">
        <v>1942</v>
      </c>
    </row>
    <row r="454" spans="1:9" x14ac:dyDescent="0.3">
      <c r="A454" s="17" t="s">
        <v>874</v>
      </c>
      <c r="B454" s="17" t="s">
        <v>3951</v>
      </c>
      <c r="C454" s="17" t="s">
        <v>3952</v>
      </c>
      <c r="D454" s="17" t="s">
        <v>3953</v>
      </c>
      <c r="E454" s="17" t="s">
        <v>3954</v>
      </c>
      <c r="F454" s="17" t="s">
        <v>3492</v>
      </c>
      <c r="G454" s="17" t="s">
        <v>1941</v>
      </c>
      <c r="H454" s="17">
        <v>98109</v>
      </c>
      <c r="I454" t="s">
        <v>1951</v>
      </c>
    </row>
    <row r="455" spans="1:9" x14ac:dyDescent="0.3">
      <c r="A455" s="17" t="s">
        <v>903</v>
      </c>
      <c r="B455" s="17" t="s">
        <v>3955</v>
      </c>
      <c r="C455" s="17" t="s">
        <v>3956</v>
      </c>
      <c r="D455" s="17" t="s">
        <v>3957</v>
      </c>
      <c r="E455" s="17" t="s">
        <v>3958</v>
      </c>
      <c r="F455" s="17" t="s">
        <v>3004</v>
      </c>
      <c r="G455" s="17" t="s">
        <v>1941</v>
      </c>
      <c r="H455" s="17">
        <v>18706</v>
      </c>
      <c r="I455" t="s">
        <v>1951</v>
      </c>
    </row>
    <row r="456" spans="1:9" x14ac:dyDescent="0.3">
      <c r="A456" s="17" t="s">
        <v>905</v>
      </c>
      <c r="B456" s="17" t="s">
        <v>3959</v>
      </c>
      <c r="C456" s="17" t="s">
        <v>3960</v>
      </c>
      <c r="D456" s="17"/>
      <c r="E456" s="17" t="s">
        <v>3961</v>
      </c>
      <c r="F456" s="17" t="s">
        <v>3962</v>
      </c>
      <c r="G456" s="17" t="s">
        <v>1949</v>
      </c>
      <c r="H456" s="17" t="s">
        <v>1950</v>
      </c>
      <c r="I456" t="s">
        <v>1942</v>
      </c>
    </row>
    <row r="457" spans="1:9" x14ac:dyDescent="0.3">
      <c r="A457" s="17" t="s">
        <v>907</v>
      </c>
      <c r="B457" s="17" t="s">
        <v>3963</v>
      </c>
      <c r="C457" s="17" t="s">
        <v>3964</v>
      </c>
      <c r="D457" s="17" t="s">
        <v>3965</v>
      </c>
      <c r="E457" s="17" t="s">
        <v>3966</v>
      </c>
      <c r="F457" s="17" t="s">
        <v>3967</v>
      </c>
      <c r="G457" s="17" t="s">
        <v>1949</v>
      </c>
      <c r="H457" s="17" t="s">
        <v>2771</v>
      </c>
      <c r="I457" t="s">
        <v>1942</v>
      </c>
    </row>
    <row r="458" spans="1:9" x14ac:dyDescent="0.3">
      <c r="A458" s="17" t="s">
        <v>909</v>
      </c>
      <c r="B458" s="17" t="s">
        <v>3968</v>
      </c>
      <c r="C458" s="17" t="s">
        <v>3969</v>
      </c>
      <c r="D458" s="17" t="s">
        <v>3970</v>
      </c>
      <c r="E458" s="17" t="s">
        <v>3971</v>
      </c>
      <c r="F458" s="17" t="s">
        <v>2281</v>
      </c>
      <c r="G458" s="17" t="s">
        <v>2116</v>
      </c>
      <c r="H458" s="17" t="s">
        <v>3972</v>
      </c>
      <c r="I458" t="s">
        <v>1951</v>
      </c>
    </row>
    <row r="459" spans="1:9" x14ac:dyDescent="0.3">
      <c r="A459" s="17" t="s">
        <v>911</v>
      </c>
      <c r="B459" s="17" t="s">
        <v>3973</v>
      </c>
      <c r="C459" s="17" t="s">
        <v>3974</v>
      </c>
      <c r="D459" s="17" t="s">
        <v>3975</v>
      </c>
      <c r="E459" s="17" t="s">
        <v>3976</v>
      </c>
      <c r="F459" s="17" t="s">
        <v>2163</v>
      </c>
      <c r="G459" s="17" t="s">
        <v>1941</v>
      </c>
      <c r="H459" s="17">
        <v>14652</v>
      </c>
      <c r="I459" t="s">
        <v>1951</v>
      </c>
    </row>
    <row r="460" spans="1:9" x14ac:dyDescent="0.3">
      <c r="A460" s="17" t="s">
        <v>913</v>
      </c>
      <c r="B460" s="17" t="s">
        <v>3977</v>
      </c>
      <c r="C460" s="17" t="s">
        <v>3978</v>
      </c>
      <c r="D460" s="17" t="s">
        <v>3979</v>
      </c>
      <c r="E460" s="17" t="s">
        <v>3980</v>
      </c>
      <c r="F460" s="17" t="s">
        <v>2140</v>
      </c>
      <c r="G460" s="17" t="s">
        <v>1941</v>
      </c>
      <c r="H460" s="17">
        <v>85754</v>
      </c>
      <c r="I460" t="s">
        <v>1951</v>
      </c>
    </row>
    <row r="461" spans="1:9" x14ac:dyDescent="0.3">
      <c r="A461" s="17" t="s">
        <v>915</v>
      </c>
      <c r="B461" s="17" t="s">
        <v>3981</v>
      </c>
      <c r="C461" s="17" t="s">
        <v>3982</v>
      </c>
      <c r="D461" s="17" t="s">
        <v>3983</v>
      </c>
      <c r="E461" s="17" t="s">
        <v>3984</v>
      </c>
      <c r="F461" s="17" t="s">
        <v>2137</v>
      </c>
      <c r="G461" s="17" t="s">
        <v>1941</v>
      </c>
      <c r="H461" s="17">
        <v>55480</v>
      </c>
      <c r="I461" t="s">
        <v>1951</v>
      </c>
    </row>
    <row r="462" spans="1:9" x14ac:dyDescent="0.3">
      <c r="A462" s="17" t="s">
        <v>917</v>
      </c>
      <c r="B462" s="17" t="s">
        <v>3985</v>
      </c>
      <c r="C462" s="17" t="s">
        <v>3986</v>
      </c>
      <c r="D462" s="17" t="s">
        <v>3987</v>
      </c>
      <c r="E462" s="17" t="s">
        <v>3988</v>
      </c>
      <c r="F462" s="17" t="s">
        <v>3989</v>
      </c>
      <c r="G462" s="17" t="s">
        <v>1949</v>
      </c>
      <c r="H462" s="17" t="s">
        <v>3990</v>
      </c>
      <c r="I462" t="s">
        <v>1942</v>
      </c>
    </row>
    <row r="463" spans="1:9" x14ac:dyDescent="0.3">
      <c r="A463" s="17" t="s">
        <v>919</v>
      </c>
      <c r="B463" s="17" t="s">
        <v>3991</v>
      </c>
      <c r="C463" s="17" t="s">
        <v>3992</v>
      </c>
      <c r="D463" s="17" t="s">
        <v>3993</v>
      </c>
      <c r="E463" s="17" t="s">
        <v>3994</v>
      </c>
      <c r="F463" s="17" t="s">
        <v>3995</v>
      </c>
      <c r="G463" s="17" t="s">
        <v>2116</v>
      </c>
      <c r="H463" s="17" t="s">
        <v>3996</v>
      </c>
      <c r="I463" t="s">
        <v>1942</v>
      </c>
    </row>
    <row r="464" spans="1:9" x14ac:dyDescent="0.3">
      <c r="A464" s="17" t="s">
        <v>921</v>
      </c>
      <c r="B464" s="17" t="s">
        <v>3997</v>
      </c>
      <c r="C464" s="17" t="s">
        <v>3998</v>
      </c>
      <c r="D464" s="17" t="s">
        <v>3999</v>
      </c>
      <c r="E464" s="17" t="s">
        <v>4000</v>
      </c>
      <c r="F464" s="17" t="s">
        <v>3049</v>
      </c>
      <c r="G464" s="17" t="s">
        <v>1941</v>
      </c>
      <c r="H464" s="17">
        <v>31119</v>
      </c>
      <c r="I464" t="s">
        <v>1942</v>
      </c>
    </row>
    <row r="465" spans="1:9" x14ac:dyDescent="0.3">
      <c r="A465" s="17" t="s">
        <v>923</v>
      </c>
      <c r="B465" s="17" t="s">
        <v>4001</v>
      </c>
      <c r="C465" s="17" t="s">
        <v>4002</v>
      </c>
      <c r="D465" s="17" t="s">
        <v>4003</v>
      </c>
      <c r="E465" s="17" t="s">
        <v>4004</v>
      </c>
      <c r="F465" s="17" t="s">
        <v>4005</v>
      </c>
      <c r="G465" s="17" t="s">
        <v>1949</v>
      </c>
      <c r="H465" s="17" t="s">
        <v>4006</v>
      </c>
      <c r="I465" t="s">
        <v>1951</v>
      </c>
    </row>
    <row r="466" spans="1:9" x14ac:dyDescent="0.3">
      <c r="A466" s="17" t="s">
        <v>925</v>
      </c>
      <c r="B466" s="17" t="s">
        <v>4007</v>
      </c>
      <c r="C466" s="17" t="s">
        <v>4008</v>
      </c>
      <c r="D466" s="17" t="s">
        <v>4009</v>
      </c>
      <c r="E466" s="17" t="s">
        <v>4010</v>
      </c>
      <c r="F466" s="17" t="s">
        <v>2872</v>
      </c>
      <c r="G466" s="17" t="s">
        <v>2116</v>
      </c>
      <c r="H466" s="17" t="s">
        <v>2873</v>
      </c>
      <c r="I466" t="s">
        <v>1951</v>
      </c>
    </row>
    <row r="467" spans="1:9" x14ac:dyDescent="0.3">
      <c r="A467" s="17" t="s">
        <v>927</v>
      </c>
      <c r="B467" s="17" t="s">
        <v>4011</v>
      </c>
      <c r="C467" s="17" t="s">
        <v>4012</v>
      </c>
      <c r="D467" s="17" t="s">
        <v>4013</v>
      </c>
      <c r="E467" s="17" t="s">
        <v>4014</v>
      </c>
      <c r="F467" s="17" t="s">
        <v>3412</v>
      </c>
      <c r="G467" s="17" t="s">
        <v>1941</v>
      </c>
      <c r="H467" s="17">
        <v>37939</v>
      </c>
      <c r="I467" t="s">
        <v>1942</v>
      </c>
    </row>
    <row r="468" spans="1:9" x14ac:dyDescent="0.3">
      <c r="A468" s="17" t="s">
        <v>929</v>
      </c>
      <c r="B468" s="17" t="s">
        <v>4015</v>
      </c>
      <c r="C468" s="17" t="s">
        <v>4016</v>
      </c>
      <c r="D468" s="17" t="s">
        <v>4017</v>
      </c>
      <c r="E468" s="17" t="s">
        <v>4018</v>
      </c>
      <c r="F468" s="17" t="s">
        <v>4019</v>
      </c>
      <c r="G468" s="17" t="s">
        <v>1941</v>
      </c>
      <c r="H468" s="17">
        <v>48604</v>
      </c>
      <c r="I468" t="s">
        <v>1942</v>
      </c>
    </row>
    <row r="469" spans="1:9" x14ac:dyDescent="0.3">
      <c r="A469" s="17" t="s">
        <v>931</v>
      </c>
      <c r="B469" s="17" t="s">
        <v>4020</v>
      </c>
      <c r="C469" s="17" t="s">
        <v>4021</v>
      </c>
      <c r="D469" s="17" t="s">
        <v>4022</v>
      </c>
      <c r="E469" s="17" t="s">
        <v>4023</v>
      </c>
      <c r="F469" s="17" t="s">
        <v>4024</v>
      </c>
      <c r="G469" s="17" t="s">
        <v>1941</v>
      </c>
      <c r="H469" s="17">
        <v>32092</v>
      </c>
      <c r="I469" t="s">
        <v>1951</v>
      </c>
    </row>
    <row r="470" spans="1:9" x14ac:dyDescent="0.3">
      <c r="A470" s="17" t="s">
        <v>933</v>
      </c>
      <c r="B470" s="17" t="s">
        <v>4025</v>
      </c>
      <c r="C470" s="17" t="s">
        <v>4026</v>
      </c>
      <c r="D470" s="17"/>
      <c r="E470" s="17" t="s">
        <v>4027</v>
      </c>
      <c r="F470" s="17" t="s">
        <v>4028</v>
      </c>
      <c r="G470" s="17" t="s">
        <v>1941</v>
      </c>
      <c r="H470" s="17">
        <v>94913</v>
      </c>
      <c r="I470" t="s">
        <v>1942</v>
      </c>
    </row>
    <row r="471" spans="1:9" x14ac:dyDescent="0.3">
      <c r="A471" s="17" t="s">
        <v>4029</v>
      </c>
      <c r="B471" s="17" t="s">
        <v>4030</v>
      </c>
      <c r="C471" s="17" t="s">
        <v>4031</v>
      </c>
      <c r="D471" s="17" t="s">
        <v>4032</v>
      </c>
      <c r="E471" s="17" t="s">
        <v>4033</v>
      </c>
      <c r="F471" s="17" t="s">
        <v>1995</v>
      </c>
      <c r="G471" s="17" t="s">
        <v>1941</v>
      </c>
      <c r="H471" s="17">
        <v>95113</v>
      </c>
      <c r="I471" t="s">
        <v>1942</v>
      </c>
    </row>
    <row r="472" spans="1:9" x14ac:dyDescent="0.3">
      <c r="A472" s="17" t="s">
        <v>937</v>
      </c>
      <c r="B472" s="17" t="s">
        <v>4034</v>
      </c>
      <c r="C472" s="17" t="s">
        <v>4035</v>
      </c>
      <c r="D472" s="17" t="s">
        <v>4036</v>
      </c>
      <c r="E472" s="17" t="s">
        <v>4037</v>
      </c>
      <c r="F472" s="17" t="s">
        <v>3682</v>
      </c>
      <c r="G472" s="17" t="s">
        <v>1941</v>
      </c>
      <c r="H472" s="17">
        <v>30045</v>
      </c>
      <c r="I472" t="s">
        <v>1942</v>
      </c>
    </row>
    <row r="473" spans="1:9" x14ac:dyDescent="0.3">
      <c r="A473" s="17" t="s">
        <v>939</v>
      </c>
      <c r="B473" s="17" t="s">
        <v>4038</v>
      </c>
      <c r="C473" s="17"/>
      <c r="D473" s="17" t="s">
        <v>4039</v>
      </c>
      <c r="E473" s="17" t="s">
        <v>4040</v>
      </c>
      <c r="F473" s="17" t="s">
        <v>3510</v>
      </c>
      <c r="G473" s="17" t="s">
        <v>1941</v>
      </c>
      <c r="H473" s="17">
        <v>66622</v>
      </c>
      <c r="I473" t="s">
        <v>1942</v>
      </c>
    </row>
    <row r="474" spans="1:9" x14ac:dyDescent="0.3">
      <c r="A474" s="17" t="s">
        <v>941</v>
      </c>
      <c r="B474" s="17" t="s">
        <v>4041</v>
      </c>
      <c r="C474" s="17" t="s">
        <v>4042</v>
      </c>
      <c r="D474" s="17" t="s">
        <v>4043</v>
      </c>
      <c r="E474" s="17" t="s">
        <v>4044</v>
      </c>
      <c r="F474" s="17" t="s">
        <v>2988</v>
      </c>
      <c r="G474" s="17" t="s">
        <v>1941</v>
      </c>
      <c r="H474" s="17">
        <v>66276</v>
      </c>
      <c r="I474" t="s">
        <v>1951</v>
      </c>
    </row>
    <row r="475" spans="1:9" x14ac:dyDescent="0.3">
      <c r="A475" s="17" t="s">
        <v>943</v>
      </c>
      <c r="B475" s="17" t="s">
        <v>4045</v>
      </c>
      <c r="C475" s="17" t="s">
        <v>4046</v>
      </c>
      <c r="D475" s="17" t="s">
        <v>4047</v>
      </c>
      <c r="E475" s="17" t="s">
        <v>4048</v>
      </c>
      <c r="F475" s="17" t="s">
        <v>3492</v>
      </c>
      <c r="G475" s="17" t="s">
        <v>1941</v>
      </c>
      <c r="H475" s="17">
        <v>98148</v>
      </c>
      <c r="I475" t="s">
        <v>1951</v>
      </c>
    </row>
    <row r="476" spans="1:9" x14ac:dyDescent="0.3">
      <c r="A476" s="17" t="s">
        <v>945</v>
      </c>
      <c r="B476" s="17" t="s">
        <v>4049</v>
      </c>
      <c r="C476" s="17" t="s">
        <v>4050</v>
      </c>
      <c r="D476" s="17" t="s">
        <v>4051</v>
      </c>
      <c r="E476" s="17" t="s">
        <v>4052</v>
      </c>
      <c r="F476" s="17" t="s">
        <v>3080</v>
      </c>
      <c r="G476" s="17" t="s">
        <v>1949</v>
      </c>
      <c r="H476" s="17" t="s">
        <v>3081</v>
      </c>
      <c r="I476" t="s">
        <v>1942</v>
      </c>
    </row>
    <row r="477" spans="1:9" x14ac:dyDescent="0.3">
      <c r="A477" s="17" t="s">
        <v>947</v>
      </c>
      <c r="B477" s="17" t="s">
        <v>4053</v>
      </c>
      <c r="C477" s="17" t="s">
        <v>4054</v>
      </c>
      <c r="D477" s="17"/>
      <c r="E477" s="17" t="s">
        <v>4055</v>
      </c>
      <c r="F477" s="17" t="s">
        <v>4056</v>
      </c>
      <c r="G477" s="17" t="s">
        <v>1941</v>
      </c>
      <c r="H477" s="17">
        <v>34745</v>
      </c>
      <c r="I477" t="s">
        <v>1951</v>
      </c>
    </row>
    <row r="478" spans="1:9" x14ac:dyDescent="0.3">
      <c r="A478" s="17" t="s">
        <v>949</v>
      </c>
      <c r="B478" s="17" t="s">
        <v>4057</v>
      </c>
      <c r="C478" s="17" t="s">
        <v>4058</v>
      </c>
      <c r="D478" s="17" t="s">
        <v>4059</v>
      </c>
      <c r="E478" s="17" t="s">
        <v>4060</v>
      </c>
      <c r="F478" s="17" t="s">
        <v>2163</v>
      </c>
      <c r="G478" s="17" t="s">
        <v>1941</v>
      </c>
      <c r="H478" s="17">
        <v>14683</v>
      </c>
      <c r="I478" t="s">
        <v>1942</v>
      </c>
    </row>
    <row r="479" spans="1:9" x14ac:dyDescent="0.3">
      <c r="A479" s="17" t="s">
        <v>951</v>
      </c>
      <c r="B479" s="17" t="s">
        <v>4061</v>
      </c>
      <c r="C479" s="17" t="s">
        <v>4062</v>
      </c>
      <c r="D479" s="17" t="s">
        <v>4063</v>
      </c>
      <c r="E479" s="17" t="s">
        <v>4064</v>
      </c>
      <c r="F479" s="17" t="s">
        <v>3515</v>
      </c>
      <c r="G479" s="17" t="s">
        <v>1941</v>
      </c>
      <c r="H479" s="17">
        <v>75799</v>
      </c>
      <c r="I479" t="s">
        <v>1951</v>
      </c>
    </row>
    <row r="480" spans="1:9" x14ac:dyDescent="0.3">
      <c r="A480" s="17" t="s">
        <v>935</v>
      </c>
      <c r="B480" s="17" t="s">
        <v>4065</v>
      </c>
      <c r="C480" s="17" t="s">
        <v>4066</v>
      </c>
      <c r="D480" s="17" t="s">
        <v>4067</v>
      </c>
      <c r="E480" s="17" t="s">
        <v>4068</v>
      </c>
      <c r="F480" s="17" t="s">
        <v>4069</v>
      </c>
      <c r="G480" s="17" t="s">
        <v>1941</v>
      </c>
      <c r="H480" s="17">
        <v>11388</v>
      </c>
      <c r="I480" t="s">
        <v>1942</v>
      </c>
    </row>
    <row r="481" spans="1:9" x14ac:dyDescent="0.3">
      <c r="A481" s="17" t="s">
        <v>4070</v>
      </c>
      <c r="B481" s="17" t="s">
        <v>4071</v>
      </c>
      <c r="C481" s="17"/>
      <c r="D481" s="17" t="s">
        <v>4072</v>
      </c>
      <c r="E481" s="17" t="s">
        <v>4073</v>
      </c>
      <c r="F481" s="17" t="s">
        <v>4074</v>
      </c>
      <c r="G481" s="17" t="s">
        <v>1941</v>
      </c>
      <c r="H481" s="17">
        <v>20167</v>
      </c>
      <c r="I481" t="s">
        <v>1942</v>
      </c>
    </row>
    <row r="482" spans="1:9" x14ac:dyDescent="0.3">
      <c r="A482" s="17" t="s">
        <v>4075</v>
      </c>
      <c r="B482" s="17" t="s">
        <v>4076</v>
      </c>
      <c r="C482" s="17" t="s">
        <v>4077</v>
      </c>
      <c r="D482" s="17" t="s">
        <v>4078</v>
      </c>
      <c r="E482" s="17" t="s">
        <v>4079</v>
      </c>
      <c r="F482" s="17" t="s">
        <v>2004</v>
      </c>
      <c r="G482" s="17" t="s">
        <v>1941</v>
      </c>
      <c r="H482" s="17">
        <v>23203</v>
      </c>
      <c r="I482" t="s">
        <v>1951</v>
      </c>
    </row>
    <row r="483" spans="1:9" x14ac:dyDescent="0.3">
      <c r="A483" s="17" t="s">
        <v>954</v>
      </c>
      <c r="B483" s="17" t="s">
        <v>4080</v>
      </c>
      <c r="C483" s="17" t="s">
        <v>4081</v>
      </c>
      <c r="D483" s="17" t="s">
        <v>4082</v>
      </c>
      <c r="E483" s="17" t="s">
        <v>4083</v>
      </c>
      <c r="F483" s="17" t="s">
        <v>4084</v>
      </c>
      <c r="G483" s="17" t="s">
        <v>2116</v>
      </c>
      <c r="H483" s="17" t="s">
        <v>2393</v>
      </c>
      <c r="I483" t="s">
        <v>1951</v>
      </c>
    </row>
    <row r="484" spans="1:9" x14ac:dyDescent="0.3">
      <c r="A484" s="17" t="s">
        <v>956</v>
      </c>
      <c r="B484" s="17" t="s">
        <v>4085</v>
      </c>
      <c r="C484" s="17" t="s">
        <v>4086</v>
      </c>
      <c r="D484" s="17" t="s">
        <v>4087</v>
      </c>
      <c r="E484" s="17" t="s">
        <v>4088</v>
      </c>
      <c r="F484" s="17" t="s">
        <v>2699</v>
      </c>
      <c r="G484" s="17" t="s">
        <v>1941</v>
      </c>
      <c r="H484" s="17">
        <v>22309</v>
      </c>
      <c r="I484" t="s">
        <v>1942</v>
      </c>
    </row>
    <row r="485" spans="1:9" x14ac:dyDescent="0.3">
      <c r="A485" s="17" t="s">
        <v>958</v>
      </c>
      <c r="B485" s="17" t="s">
        <v>4089</v>
      </c>
      <c r="C485" s="17"/>
      <c r="D485" s="17" t="s">
        <v>4090</v>
      </c>
      <c r="E485" s="17" t="s">
        <v>4091</v>
      </c>
      <c r="F485" s="17" t="s">
        <v>2938</v>
      </c>
      <c r="G485" s="17" t="s">
        <v>1941</v>
      </c>
      <c r="H485" s="17">
        <v>84115</v>
      </c>
      <c r="I485" t="s">
        <v>1942</v>
      </c>
    </row>
    <row r="486" spans="1:9" x14ac:dyDescent="0.3">
      <c r="A486" s="17" t="s">
        <v>960</v>
      </c>
      <c r="B486" s="17" t="s">
        <v>4092</v>
      </c>
      <c r="C486" s="17" t="s">
        <v>4093</v>
      </c>
      <c r="D486" s="17"/>
      <c r="E486" s="17" t="s">
        <v>4094</v>
      </c>
      <c r="F486" s="17" t="s">
        <v>1995</v>
      </c>
      <c r="G486" s="17" t="s">
        <v>1941</v>
      </c>
      <c r="H486" s="17">
        <v>95108</v>
      </c>
      <c r="I486" t="s">
        <v>1951</v>
      </c>
    </row>
    <row r="487" spans="1:9" x14ac:dyDescent="0.3">
      <c r="A487" s="17" t="s">
        <v>962</v>
      </c>
      <c r="B487" s="17" t="s">
        <v>4095</v>
      </c>
      <c r="C487" s="17" t="s">
        <v>4096</v>
      </c>
      <c r="D487" s="17" t="s">
        <v>4097</v>
      </c>
      <c r="E487" s="17" t="s">
        <v>4098</v>
      </c>
      <c r="F487" s="17" t="s">
        <v>4099</v>
      </c>
      <c r="G487" s="17" t="s">
        <v>1949</v>
      </c>
      <c r="H487" s="17" t="s">
        <v>4100</v>
      </c>
      <c r="I487" t="s">
        <v>1942</v>
      </c>
    </row>
    <row r="488" spans="1:9" x14ac:dyDescent="0.3">
      <c r="A488" s="17" t="s">
        <v>964</v>
      </c>
      <c r="B488" s="17" t="s">
        <v>4101</v>
      </c>
      <c r="C488" s="17" t="s">
        <v>4102</v>
      </c>
      <c r="D488" s="17" t="s">
        <v>4103</v>
      </c>
      <c r="E488" s="17" t="s">
        <v>4104</v>
      </c>
      <c r="F488" s="17" t="s">
        <v>4105</v>
      </c>
      <c r="G488" s="17" t="s">
        <v>1949</v>
      </c>
      <c r="H488" s="17" t="s">
        <v>2545</v>
      </c>
      <c r="I488" t="s">
        <v>1942</v>
      </c>
    </row>
    <row r="489" spans="1:9" x14ac:dyDescent="0.3">
      <c r="A489" s="17" t="s">
        <v>966</v>
      </c>
      <c r="B489" s="17" t="s">
        <v>4106</v>
      </c>
      <c r="C489" s="17" t="s">
        <v>4107</v>
      </c>
      <c r="D489" s="17" t="s">
        <v>4108</v>
      </c>
      <c r="E489" s="17" t="s">
        <v>4109</v>
      </c>
      <c r="F489" s="17" t="s">
        <v>4105</v>
      </c>
      <c r="G489" s="17" t="s">
        <v>1949</v>
      </c>
      <c r="H489" s="17" t="s">
        <v>2545</v>
      </c>
      <c r="I489" t="s">
        <v>1951</v>
      </c>
    </row>
    <row r="490" spans="1:9" x14ac:dyDescent="0.3">
      <c r="A490" s="17" t="s">
        <v>968</v>
      </c>
      <c r="B490" s="17" t="s">
        <v>4110</v>
      </c>
      <c r="C490" s="17" t="s">
        <v>4111</v>
      </c>
      <c r="D490" s="17" t="s">
        <v>4112</v>
      </c>
      <c r="E490" s="17" t="s">
        <v>4113</v>
      </c>
      <c r="F490" s="17" t="s">
        <v>4114</v>
      </c>
      <c r="G490" s="17" t="s">
        <v>1949</v>
      </c>
      <c r="H490" s="17" t="s">
        <v>2855</v>
      </c>
      <c r="I490" t="s">
        <v>1942</v>
      </c>
    </row>
    <row r="491" spans="1:9" x14ac:dyDescent="0.3">
      <c r="A491" s="17" t="s">
        <v>970</v>
      </c>
      <c r="B491" s="17" t="s">
        <v>4115</v>
      </c>
      <c r="C491" s="17" t="s">
        <v>4116</v>
      </c>
      <c r="D491" s="17" t="s">
        <v>4117</v>
      </c>
      <c r="E491" s="17" t="s">
        <v>4118</v>
      </c>
      <c r="F491" s="17" t="s">
        <v>2448</v>
      </c>
      <c r="G491" s="17" t="s">
        <v>1941</v>
      </c>
      <c r="H491" s="17">
        <v>79945</v>
      </c>
      <c r="I491" t="s">
        <v>1951</v>
      </c>
    </row>
    <row r="492" spans="1:9" x14ac:dyDescent="0.3">
      <c r="A492" s="17" t="s">
        <v>972</v>
      </c>
      <c r="B492" s="17" t="s">
        <v>4119</v>
      </c>
      <c r="C492" s="17" t="s">
        <v>4120</v>
      </c>
      <c r="D492" s="17" t="s">
        <v>4121</v>
      </c>
      <c r="E492" s="17" t="s">
        <v>4122</v>
      </c>
      <c r="F492" s="17" t="s">
        <v>2191</v>
      </c>
      <c r="G492" s="17" t="s">
        <v>1941</v>
      </c>
      <c r="H492" s="17">
        <v>33355</v>
      </c>
      <c r="I492" t="s">
        <v>1951</v>
      </c>
    </row>
    <row r="493" spans="1:9" x14ac:dyDescent="0.3">
      <c r="A493" s="17" t="s">
        <v>974</v>
      </c>
      <c r="B493" s="17" t="s">
        <v>4123</v>
      </c>
      <c r="C493" s="17"/>
      <c r="D493" s="17" t="s">
        <v>4124</v>
      </c>
      <c r="E493" s="17" t="s">
        <v>4125</v>
      </c>
      <c r="F493" s="17" t="s">
        <v>3483</v>
      </c>
      <c r="G493" s="17" t="s">
        <v>1941</v>
      </c>
      <c r="H493" s="17">
        <v>46295</v>
      </c>
      <c r="I493" t="s">
        <v>1951</v>
      </c>
    </row>
    <row r="494" spans="1:9" x14ac:dyDescent="0.3">
      <c r="A494" s="17" t="s">
        <v>976</v>
      </c>
      <c r="B494" s="17" t="s">
        <v>4126</v>
      </c>
      <c r="C494" s="17" t="s">
        <v>4127</v>
      </c>
      <c r="D494" s="17" t="s">
        <v>4128</v>
      </c>
      <c r="E494" s="17" t="s">
        <v>4129</v>
      </c>
      <c r="F494" s="17" t="s">
        <v>3121</v>
      </c>
      <c r="G494" s="17" t="s">
        <v>1941</v>
      </c>
      <c r="H494" s="17">
        <v>53234</v>
      </c>
      <c r="I494" t="s">
        <v>1942</v>
      </c>
    </row>
    <row r="495" spans="1:9" x14ac:dyDescent="0.3">
      <c r="A495" s="17" t="s">
        <v>978</v>
      </c>
      <c r="B495" s="17" t="s">
        <v>4130</v>
      </c>
      <c r="C495" s="17" t="s">
        <v>4131</v>
      </c>
      <c r="D495" s="17" t="s">
        <v>4132</v>
      </c>
      <c r="E495" s="17" t="s">
        <v>4133</v>
      </c>
      <c r="F495" s="17" t="s">
        <v>3330</v>
      </c>
      <c r="G495" s="17" t="s">
        <v>2116</v>
      </c>
      <c r="H495" s="17" t="s">
        <v>3331</v>
      </c>
      <c r="I495" t="s">
        <v>1951</v>
      </c>
    </row>
    <row r="496" spans="1:9" x14ac:dyDescent="0.3">
      <c r="A496" s="17" t="s">
        <v>980</v>
      </c>
      <c r="B496" s="17" t="s">
        <v>4134</v>
      </c>
      <c r="C496" s="17" t="s">
        <v>4135</v>
      </c>
      <c r="D496" s="17" t="s">
        <v>4136</v>
      </c>
      <c r="E496" s="17" t="s">
        <v>4137</v>
      </c>
      <c r="F496" s="17" t="s">
        <v>3070</v>
      </c>
      <c r="G496" s="17" t="s">
        <v>1941</v>
      </c>
      <c r="H496" s="17">
        <v>70836</v>
      </c>
      <c r="I496" t="s">
        <v>1951</v>
      </c>
    </row>
    <row r="497" spans="1:9" x14ac:dyDescent="0.3">
      <c r="A497" s="17" t="s">
        <v>982</v>
      </c>
      <c r="B497" s="17" t="s">
        <v>4138</v>
      </c>
      <c r="C497" s="17"/>
      <c r="D497" s="17" t="s">
        <v>4139</v>
      </c>
      <c r="E497" s="17" t="s">
        <v>4140</v>
      </c>
      <c r="F497" s="17" t="s">
        <v>3283</v>
      </c>
      <c r="G497" s="17" t="s">
        <v>1941</v>
      </c>
      <c r="H497" s="17">
        <v>6816</v>
      </c>
      <c r="I497" t="s">
        <v>1942</v>
      </c>
    </row>
    <row r="498" spans="1:9" x14ac:dyDescent="0.3">
      <c r="A498" s="17" t="s">
        <v>984</v>
      </c>
      <c r="B498" s="17" t="s">
        <v>4141</v>
      </c>
      <c r="C498" s="17" t="s">
        <v>4142</v>
      </c>
      <c r="D498" s="17" t="s">
        <v>4143</v>
      </c>
      <c r="E498" s="17" t="s">
        <v>4144</v>
      </c>
      <c r="F498" s="17" t="s">
        <v>2225</v>
      </c>
      <c r="G498" s="17" t="s">
        <v>1941</v>
      </c>
      <c r="H498" s="17">
        <v>32590</v>
      </c>
      <c r="I498" t="s">
        <v>1951</v>
      </c>
    </row>
    <row r="499" spans="1:9" x14ac:dyDescent="0.3">
      <c r="A499" s="17" t="s">
        <v>986</v>
      </c>
      <c r="B499" s="17" t="s">
        <v>4145</v>
      </c>
      <c r="C499" s="17" t="s">
        <v>4146</v>
      </c>
      <c r="D499" s="17" t="s">
        <v>4147</v>
      </c>
      <c r="E499" s="17" t="s">
        <v>4148</v>
      </c>
      <c r="F499" s="17" t="s">
        <v>4149</v>
      </c>
      <c r="G499" s="17" t="s">
        <v>1949</v>
      </c>
      <c r="H499" s="17" t="s">
        <v>2083</v>
      </c>
      <c r="I499" t="s">
        <v>1951</v>
      </c>
    </row>
    <row r="500" spans="1:9" x14ac:dyDescent="0.3">
      <c r="A500" s="17" t="s">
        <v>4150</v>
      </c>
      <c r="B500" s="17" t="s">
        <v>4151</v>
      </c>
      <c r="C500" s="17" t="s">
        <v>4152</v>
      </c>
      <c r="D500" s="17" t="s">
        <v>4153</v>
      </c>
      <c r="E500" s="17" t="s">
        <v>4154</v>
      </c>
      <c r="F500" s="17" t="s">
        <v>3238</v>
      </c>
      <c r="G500" s="17" t="s">
        <v>2116</v>
      </c>
      <c r="H500" s="17" t="s">
        <v>3239</v>
      </c>
      <c r="I500" t="s">
        <v>1942</v>
      </c>
    </row>
    <row r="501" spans="1:9" x14ac:dyDescent="0.3">
      <c r="A501" s="17" t="s">
        <v>990</v>
      </c>
      <c r="B501" s="17" t="s">
        <v>4155</v>
      </c>
      <c r="C501" s="17"/>
      <c r="D501" s="17" t="s">
        <v>4156</v>
      </c>
      <c r="E501" s="17" t="s">
        <v>4157</v>
      </c>
      <c r="F501" s="17" t="s">
        <v>2933</v>
      </c>
      <c r="G501" s="17" t="s">
        <v>1949</v>
      </c>
      <c r="H501" s="17" t="s">
        <v>2083</v>
      </c>
      <c r="I501" t="s">
        <v>1942</v>
      </c>
    </row>
    <row r="502" spans="1:9" x14ac:dyDescent="0.3">
      <c r="A502" s="17" t="s">
        <v>992</v>
      </c>
      <c r="B502" s="17" t="s">
        <v>4158</v>
      </c>
      <c r="C502" s="17"/>
      <c r="D502" s="17" t="s">
        <v>4159</v>
      </c>
      <c r="E502" s="17" t="s">
        <v>4160</v>
      </c>
      <c r="F502" s="17" t="s">
        <v>2048</v>
      </c>
      <c r="G502" s="17" t="s">
        <v>1941</v>
      </c>
      <c r="H502" s="17">
        <v>49518</v>
      </c>
      <c r="I502" t="s">
        <v>1951</v>
      </c>
    </row>
    <row r="503" spans="1:9" x14ac:dyDescent="0.3">
      <c r="A503" s="17" t="s">
        <v>994</v>
      </c>
      <c r="B503" s="17" t="s">
        <v>4161</v>
      </c>
      <c r="C503" s="17" t="s">
        <v>4162</v>
      </c>
      <c r="D503" s="17" t="s">
        <v>4163</v>
      </c>
      <c r="E503" s="17" t="s">
        <v>4164</v>
      </c>
      <c r="F503" s="17" t="s">
        <v>3365</v>
      </c>
      <c r="G503" s="17" t="s">
        <v>2116</v>
      </c>
      <c r="H503" s="17" t="s">
        <v>3366</v>
      </c>
      <c r="I503" t="s">
        <v>1951</v>
      </c>
    </row>
    <row r="504" spans="1:9" x14ac:dyDescent="0.3">
      <c r="A504" s="17" t="s">
        <v>4165</v>
      </c>
      <c r="B504" s="17" t="s">
        <v>4166</v>
      </c>
      <c r="C504" s="17" t="s">
        <v>4167</v>
      </c>
      <c r="D504" s="17" t="s">
        <v>4168</v>
      </c>
      <c r="E504" s="17" t="s">
        <v>4169</v>
      </c>
      <c r="F504" s="17" t="s">
        <v>2375</v>
      </c>
      <c r="G504" s="17" t="s">
        <v>1941</v>
      </c>
      <c r="H504" s="17">
        <v>66160</v>
      </c>
      <c r="I504" t="s">
        <v>1951</v>
      </c>
    </row>
    <row r="505" spans="1:9" x14ac:dyDescent="0.3">
      <c r="A505" s="17" t="s">
        <v>4170</v>
      </c>
      <c r="B505" s="17" t="s">
        <v>4171</v>
      </c>
      <c r="C505" s="17"/>
      <c r="D505" s="17" t="s">
        <v>4172</v>
      </c>
      <c r="E505" s="17" t="s">
        <v>4173</v>
      </c>
      <c r="F505" s="17" t="s">
        <v>4174</v>
      </c>
      <c r="G505" s="17" t="s">
        <v>1941</v>
      </c>
      <c r="H505" s="17">
        <v>14905</v>
      </c>
      <c r="I505" t="s">
        <v>1951</v>
      </c>
    </row>
    <row r="506" spans="1:9" x14ac:dyDescent="0.3">
      <c r="A506" s="17" t="s">
        <v>4175</v>
      </c>
      <c r="B506" s="17" t="s">
        <v>4176</v>
      </c>
      <c r="C506" s="17" t="s">
        <v>4177</v>
      </c>
      <c r="D506" s="17" t="s">
        <v>4178</v>
      </c>
      <c r="E506" s="17" t="s">
        <v>4179</v>
      </c>
      <c r="F506" s="17" t="s">
        <v>3121</v>
      </c>
      <c r="G506" s="17" t="s">
        <v>1941</v>
      </c>
      <c r="H506" s="17">
        <v>53205</v>
      </c>
      <c r="I506" t="s">
        <v>1942</v>
      </c>
    </row>
    <row r="507" spans="1:9" x14ac:dyDescent="0.3">
      <c r="A507" s="17" t="s">
        <v>996</v>
      </c>
      <c r="B507" s="17" t="s">
        <v>4180</v>
      </c>
      <c r="C507" s="17" t="s">
        <v>4181</v>
      </c>
      <c r="D507" s="17" t="s">
        <v>4182</v>
      </c>
      <c r="E507" s="17" t="s">
        <v>4183</v>
      </c>
      <c r="F507" s="17" t="s">
        <v>4184</v>
      </c>
      <c r="G507" s="17" t="s">
        <v>1941</v>
      </c>
      <c r="H507" s="17">
        <v>27264</v>
      </c>
      <c r="I507" t="s">
        <v>1951</v>
      </c>
    </row>
    <row r="508" spans="1:9" x14ac:dyDescent="0.3">
      <c r="A508" s="17" t="s">
        <v>998</v>
      </c>
      <c r="B508" s="17" t="s">
        <v>4185</v>
      </c>
      <c r="C508" s="17" t="s">
        <v>4186</v>
      </c>
      <c r="D508" s="17" t="s">
        <v>4187</v>
      </c>
      <c r="E508" s="17" t="s">
        <v>4188</v>
      </c>
      <c r="F508" s="17" t="s">
        <v>2448</v>
      </c>
      <c r="G508" s="17" t="s">
        <v>1941</v>
      </c>
      <c r="H508" s="17">
        <v>88546</v>
      </c>
      <c r="I508" t="s">
        <v>1942</v>
      </c>
    </row>
    <row r="509" spans="1:9" x14ac:dyDescent="0.3">
      <c r="A509" s="17" t="s">
        <v>1000</v>
      </c>
      <c r="B509" s="17" t="s">
        <v>4189</v>
      </c>
      <c r="C509" s="17" t="s">
        <v>4190</v>
      </c>
      <c r="D509" s="17" t="s">
        <v>4191</v>
      </c>
      <c r="E509" s="17" t="s">
        <v>4192</v>
      </c>
      <c r="F509" s="17" t="s">
        <v>4193</v>
      </c>
      <c r="G509" s="17" t="s">
        <v>1941</v>
      </c>
      <c r="H509" s="17">
        <v>44185</v>
      </c>
      <c r="I509" t="s">
        <v>1942</v>
      </c>
    </row>
    <row r="510" spans="1:9" x14ac:dyDescent="0.3">
      <c r="A510" s="17" t="s">
        <v>1002</v>
      </c>
      <c r="B510" s="17" t="s">
        <v>4194</v>
      </c>
      <c r="C510" s="17" t="s">
        <v>4195</v>
      </c>
      <c r="D510" s="17" t="s">
        <v>4196</v>
      </c>
      <c r="E510" s="17" t="s">
        <v>4197</v>
      </c>
      <c r="F510" s="17" t="s">
        <v>4198</v>
      </c>
      <c r="G510" s="17" t="s">
        <v>1949</v>
      </c>
      <c r="H510" s="17" t="s">
        <v>4199</v>
      </c>
      <c r="I510" t="s">
        <v>1951</v>
      </c>
    </row>
    <row r="511" spans="1:9" x14ac:dyDescent="0.3">
      <c r="A511" s="17" t="s">
        <v>988</v>
      </c>
      <c r="B511" s="17" t="s">
        <v>4200</v>
      </c>
      <c r="C511" s="17" t="s">
        <v>4201</v>
      </c>
      <c r="D511" s="17" t="s">
        <v>4202</v>
      </c>
      <c r="E511" s="17" t="s">
        <v>4203</v>
      </c>
      <c r="F511" s="17" t="s">
        <v>4204</v>
      </c>
      <c r="G511" s="17" t="s">
        <v>1949</v>
      </c>
      <c r="H511" s="17" t="s">
        <v>4205</v>
      </c>
      <c r="I511" t="s">
        <v>1942</v>
      </c>
    </row>
    <row r="512" spans="1:9" x14ac:dyDescent="0.3">
      <c r="A512" s="17" t="s">
        <v>1005</v>
      </c>
      <c r="B512" s="17" t="s">
        <v>4206</v>
      </c>
      <c r="C512" s="17" t="s">
        <v>4207</v>
      </c>
      <c r="D512" s="17" t="s">
        <v>4208</v>
      </c>
      <c r="E512" s="17" t="s">
        <v>4209</v>
      </c>
      <c r="F512" s="17" t="s">
        <v>3749</v>
      </c>
      <c r="G512" s="17" t="s">
        <v>1949</v>
      </c>
      <c r="H512" s="17" t="s">
        <v>3750</v>
      </c>
      <c r="I512" t="s">
        <v>1942</v>
      </c>
    </row>
    <row r="513" spans="1:9" x14ac:dyDescent="0.3">
      <c r="A513" s="17" t="s">
        <v>1007</v>
      </c>
      <c r="B513" s="17" t="s">
        <v>4210</v>
      </c>
      <c r="C513" s="17" t="s">
        <v>4211</v>
      </c>
      <c r="D513" s="17" t="s">
        <v>4212</v>
      </c>
      <c r="E513" s="17" t="s">
        <v>4213</v>
      </c>
      <c r="F513" s="17" t="s">
        <v>2172</v>
      </c>
      <c r="G513" s="17" t="s">
        <v>1941</v>
      </c>
      <c r="H513" s="17">
        <v>35244</v>
      </c>
      <c r="I513" t="s">
        <v>1942</v>
      </c>
    </row>
    <row r="514" spans="1:9" x14ac:dyDescent="0.3">
      <c r="A514" s="17" t="s">
        <v>1009</v>
      </c>
      <c r="B514" s="17" t="s">
        <v>4214</v>
      </c>
      <c r="C514" s="17" t="s">
        <v>4215</v>
      </c>
      <c r="D514" s="17" t="s">
        <v>4216</v>
      </c>
      <c r="E514" s="17" t="s">
        <v>4217</v>
      </c>
      <c r="F514" s="17" t="s">
        <v>4218</v>
      </c>
      <c r="G514" s="17" t="s">
        <v>1941</v>
      </c>
      <c r="H514" s="17">
        <v>56372</v>
      </c>
      <c r="I514" t="s">
        <v>1951</v>
      </c>
    </row>
    <row r="515" spans="1:9" x14ac:dyDescent="0.3">
      <c r="A515" s="17" t="s">
        <v>1011</v>
      </c>
      <c r="B515" s="17" t="s">
        <v>4219</v>
      </c>
      <c r="C515" s="17" t="s">
        <v>4220</v>
      </c>
      <c r="D515" s="17"/>
      <c r="E515" s="17" t="s">
        <v>4221</v>
      </c>
      <c r="F515" s="17" t="s">
        <v>2017</v>
      </c>
      <c r="G515" s="17" t="s">
        <v>1941</v>
      </c>
      <c r="H515" s="17">
        <v>19191</v>
      </c>
      <c r="I515" t="s">
        <v>1951</v>
      </c>
    </row>
    <row r="516" spans="1:9" x14ac:dyDescent="0.3">
      <c r="A516" s="17" t="s">
        <v>1013</v>
      </c>
      <c r="B516" s="17" t="s">
        <v>4222</v>
      </c>
      <c r="C516" s="17" t="s">
        <v>4223</v>
      </c>
      <c r="D516" s="17" t="s">
        <v>4224</v>
      </c>
      <c r="E516" s="17" t="s">
        <v>4225</v>
      </c>
      <c r="F516" s="17" t="s">
        <v>2821</v>
      </c>
      <c r="G516" s="17" t="s">
        <v>1941</v>
      </c>
      <c r="H516" s="17">
        <v>48211</v>
      </c>
      <c r="I516" t="s">
        <v>1942</v>
      </c>
    </row>
    <row r="517" spans="1:9" x14ac:dyDescent="0.3">
      <c r="A517" s="17" t="s">
        <v>1015</v>
      </c>
      <c r="B517" s="17" t="s">
        <v>4226</v>
      </c>
      <c r="C517" s="17" t="s">
        <v>4227</v>
      </c>
      <c r="D517" s="17" t="s">
        <v>4228</v>
      </c>
      <c r="E517" s="17" t="s">
        <v>4229</v>
      </c>
      <c r="F517" s="17" t="s">
        <v>2013</v>
      </c>
      <c r="G517" s="17" t="s">
        <v>1941</v>
      </c>
      <c r="H517" s="17">
        <v>63180</v>
      </c>
      <c r="I517" t="s">
        <v>1951</v>
      </c>
    </row>
    <row r="518" spans="1:9" x14ac:dyDescent="0.3">
      <c r="A518" s="17" t="s">
        <v>1017</v>
      </c>
      <c r="B518" s="17" t="s">
        <v>4230</v>
      </c>
      <c r="C518" s="17"/>
      <c r="D518" s="17" t="s">
        <v>4231</v>
      </c>
      <c r="E518" s="17" t="s">
        <v>4232</v>
      </c>
      <c r="F518" s="17" t="s">
        <v>4233</v>
      </c>
      <c r="G518" s="17" t="s">
        <v>1941</v>
      </c>
      <c r="H518" s="17">
        <v>12305</v>
      </c>
      <c r="I518" t="s">
        <v>1942</v>
      </c>
    </row>
    <row r="519" spans="1:9" x14ac:dyDescent="0.3">
      <c r="A519" s="17" t="s">
        <v>1019</v>
      </c>
      <c r="B519" s="17" t="s">
        <v>4234</v>
      </c>
      <c r="C519" s="17"/>
      <c r="D519" s="17" t="s">
        <v>4235</v>
      </c>
      <c r="E519" s="17" t="s">
        <v>4236</v>
      </c>
      <c r="F519" s="17" t="s">
        <v>4237</v>
      </c>
      <c r="G519" s="17" t="s">
        <v>1941</v>
      </c>
      <c r="H519" s="17">
        <v>33805</v>
      </c>
      <c r="I519" t="s">
        <v>1951</v>
      </c>
    </row>
    <row r="520" spans="1:9" x14ac:dyDescent="0.3">
      <c r="A520" s="17" t="s">
        <v>1021</v>
      </c>
      <c r="B520" s="17" t="s">
        <v>4238</v>
      </c>
      <c r="C520" s="17" t="s">
        <v>4239</v>
      </c>
      <c r="D520" s="17" t="s">
        <v>4240</v>
      </c>
      <c r="E520" s="17" t="s">
        <v>4241</v>
      </c>
      <c r="F520" s="17" t="s">
        <v>4242</v>
      </c>
      <c r="G520" s="17" t="s">
        <v>1941</v>
      </c>
      <c r="H520" s="17">
        <v>32941</v>
      </c>
      <c r="I520" t="s">
        <v>1951</v>
      </c>
    </row>
    <row r="521" spans="1:9" x14ac:dyDescent="0.3">
      <c r="A521" s="17" t="s">
        <v>4243</v>
      </c>
      <c r="B521" s="17" t="s">
        <v>4244</v>
      </c>
      <c r="C521" s="17" t="s">
        <v>4245</v>
      </c>
      <c r="D521" s="17" t="s">
        <v>4246</v>
      </c>
      <c r="E521" s="17" t="s">
        <v>4247</v>
      </c>
      <c r="F521" s="17" t="s">
        <v>2027</v>
      </c>
      <c r="G521" s="17" t="s">
        <v>1941</v>
      </c>
      <c r="H521" s="17">
        <v>77075</v>
      </c>
      <c r="I521" t="s">
        <v>1951</v>
      </c>
    </row>
    <row r="522" spans="1:9" x14ac:dyDescent="0.3">
      <c r="A522" s="17" t="s">
        <v>1024</v>
      </c>
      <c r="B522" s="17" t="s">
        <v>4248</v>
      </c>
      <c r="C522" s="17" t="s">
        <v>4249</v>
      </c>
      <c r="D522" s="17" t="s">
        <v>4250</v>
      </c>
      <c r="E522" s="17" t="s">
        <v>4251</v>
      </c>
      <c r="F522" s="17" t="s">
        <v>2144</v>
      </c>
      <c r="G522" s="17" t="s">
        <v>1941</v>
      </c>
      <c r="H522" s="17">
        <v>70179</v>
      </c>
      <c r="I522" t="s">
        <v>1951</v>
      </c>
    </row>
    <row r="523" spans="1:9" x14ac:dyDescent="0.3">
      <c r="A523" s="17" t="s">
        <v>4252</v>
      </c>
      <c r="B523" s="17" t="s">
        <v>4253</v>
      </c>
      <c r="C523" s="17" t="s">
        <v>4254</v>
      </c>
      <c r="D523" s="17" t="s">
        <v>4255</v>
      </c>
      <c r="E523" s="17" t="s">
        <v>4256</v>
      </c>
      <c r="F523" s="17" t="s">
        <v>2362</v>
      </c>
      <c r="G523" s="17" t="s">
        <v>1941</v>
      </c>
      <c r="H523" s="17">
        <v>73142</v>
      </c>
      <c r="I523" t="s">
        <v>1951</v>
      </c>
    </row>
    <row r="524" spans="1:9" x14ac:dyDescent="0.3">
      <c r="A524" s="17" t="s">
        <v>1026</v>
      </c>
      <c r="B524" s="17" t="s">
        <v>4257</v>
      </c>
      <c r="C524" s="17" t="s">
        <v>4258</v>
      </c>
      <c r="D524" s="17" t="s">
        <v>4259</v>
      </c>
      <c r="E524" s="17" t="s">
        <v>4260</v>
      </c>
      <c r="F524" s="17" t="s">
        <v>3510</v>
      </c>
      <c r="G524" s="17" t="s">
        <v>1941</v>
      </c>
      <c r="H524" s="17">
        <v>66617</v>
      </c>
      <c r="I524" t="s">
        <v>1951</v>
      </c>
    </row>
    <row r="525" spans="1:9" x14ac:dyDescent="0.3">
      <c r="A525" s="17" t="s">
        <v>1028</v>
      </c>
      <c r="B525" s="17" t="s">
        <v>4261</v>
      </c>
      <c r="C525" s="17" t="s">
        <v>4262</v>
      </c>
      <c r="D525" s="17" t="s">
        <v>4263</v>
      </c>
      <c r="E525" s="17" t="s">
        <v>4264</v>
      </c>
      <c r="F525" s="17" t="s">
        <v>4265</v>
      </c>
      <c r="G525" s="17" t="s">
        <v>1949</v>
      </c>
      <c r="H525" s="17" t="s">
        <v>3618</v>
      </c>
      <c r="I525" t="s">
        <v>1951</v>
      </c>
    </row>
    <row r="526" spans="1:9" x14ac:dyDescent="0.3">
      <c r="A526" s="17" t="s">
        <v>1030</v>
      </c>
      <c r="B526" s="17" t="s">
        <v>4266</v>
      </c>
      <c r="C526" s="17"/>
      <c r="D526" s="17" t="s">
        <v>4267</v>
      </c>
      <c r="E526" s="17" t="s">
        <v>4268</v>
      </c>
      <c r="F526" s="17" t="s">
        <v>1962</v>
      </c>
      <c r="G526" s="17" t="s">
        <v>1941</v>
      </c>
      <c r="H526" s="17">
        <v>62723</v>
      </c>
      <c r="I526" t="s">
        <v>1951</v>
      </c>
    </row>
    <row r="527" spans="1:9" x14ac:dyDescent="0.3">
      <c r="A527" s="17" t="s">
        <v>1032</v>
      </c>
      <c r="B527" s="17" t="s">
        <v>4269</v>
      </c>
      <c r="C527" s="17"/>
      <c r="D527" s="17" t="s">
        <v>4270</v>
      </c>
      <c r="E527" s="17" t="s">
        <v>4271</v>
      </c>
      <c r="F527" s="17" t="s">
        <v>4272</v>
      </c>
      <c r="G527" s="17" t="s">
        <v>1941</v>
      </c>
      <c r="H527" s="17">
        <v>8104</v>
      </c>
      <c r="I527" t="s">
        <v>1942</v>
      </c>
    </row>
    <row r="528" spans="1:9" x14ac:dyDescent="0.3">
      <c r="A528" s="17" t="s">
        <v>1034</v>
      </c>
      <c r="B528" s="17" t="s">
        <v>4273</v>
      </c>
      <c r="C528" s="17" t="s">
        <v>4274</v>
      </c>
      <c r="D528" s="17" t="s">
        <v>4275</v>
      </c>
      <c r="E528" s="17" t="s">
        <v>4276</v>
      </c>
      <c r="F528" s="17" t="s">
        <v>3492</v>
      </c>
      <c r="G528" s="17" t="s">
        <v>1941</v>
      </c>
      <c r="H528" s="17">
        <v>98185</v>
      </c>
      <c r="I528" t="s">
        <v>1942</v>
      </c>
    </row>
    <row r="529" spans="1:9" x14ac:dyDescent="0.3">
      <c r="A529" s="17" t="s">
        <v>1036</v>
      </c>
      <c r="B529" s="17" t="s">
        <v>4277</v>
      </c>
      <c r="C529" s="17" t="s">
        <v>4278</v>
      </c>
      <c r="D529" s="17" t="s">
        <v>4279</v>
      </c>
      <c r="E529" s="17" t="s">
        <v>4280</v>
      </c>
      <c r="F529" s="17" t="s">
        <v>2242</v>
      </c>
      <c r="G529" s="17" t="s">
        <v>2116</v>
      </c>
      <c r="H529" s="17" t="s">
        <v>2243</v>
      </c>
      <c r="I529" t="s">
        <v>1951</v>
      </c>
    </row>
    <row r="530" spans="1:9" x14ac:dyDescent="0.3">
      <c r="A530" s="17" t="s">
        <v>1038</v>
      </c>
      <c r="B530" s="17" t="s">
        <v>4281</v>
      </c>
      <c r="C530" s="17" t="s">
        <v>4282</v>
      </c>
      <c r="D530" s="17" t="s">
        <v>4283</v>
      </c>
      <c r="E530" s="17" t="s">
        <v>4284</v>
      </c>
      <c r="F530" s="17" t="s">
        <v>4285</v>
      </c>
      <c r="G530" s="17" t="s">
        <v>1941</v>
      </c>
      <c r="H530" s="17">
        <v>76711</v>
      </c>
      <c r="I530" t="s">
        <v>1951</v>
      </c>
    </row>
    <row r="531" spans="1:9" x14ac:dyDescent="0.3">
      <c r="A531" s="17" t="s">
        <v>1040</v>
      </c>
      <c r="B531" s="17" t="s">
        <v>4286</v>
      </c>
      <c r="C531" s="17" t="s">
        <v>4287</v>
      </c>
      <c r="D531" s="17" t="s">
        <v>4288</v>
      </c>
      <c r="E531" s="17" t="s">
        <v>4289</v>
      </c>
      <c r="F531" s="17" t="s">
        <v>2004</v>
      </c>
      <c r="G531" s="17" t="s">
        <v>1941</v>
      </c>
      <c r="H531" s="17">
        <v>23242</v>
      </c>
      <c r="I531" t="s">
        <v>1951</v>
      </c>
    </row>
    <row r="532" spans="1:9" x14ac:dyDescent="0.3">
      <c r="A532" s="17" t="s">
        <v>1042</v>
      </c>
      <c r="B532" s="17" t="s">
        <v>4290</v>
      </c>
      <c r="C532" s="17" t="s">
        <v>4291</v>
      </c>
      <c r="D532" s="17" t="s">
        <v>4292</v>
      </c>
      <c r="E532" s="17" t="s">
        <v>4293</v>
      </c>
      <c r="F532" s="17" t="s">
        <v>2211</v>
      </c>
      <c r="G532" s="17" t="s">
        <v>1941</v>
      </c>
      <c r="H532" s="17">
        <v>43610</v>
      </c>
      <c r="I532" t="s">
        <v>1951</v>
      </c>
    </row>
    <row r="533" spans="1:9" x14ac:dyDescent="0.3">
      <c r="A533" s="17" t="s">
        <v>1044</v>
      </c>
      <c r="B533" s="17" t="s">
        <v>4294</v>
      </c>
      <c r="C533" s="17" t="s">
        <v>4295</v>
      </c>
      <c r="D533" s="17" t="s">
        <v>4296</v>
      </c>
      <c r="E533" s="17" t="s">
        <v>4297</v>
      </c>
      <c r="F533" s="17" t="s">
        <v>2481</v>
      </c>
      <c r="G533" s="17" t="s">
        <v>1941</v>
      </c>
      <c r="H533" s="17">
        <v>25705</v>
      </c>
      <c r="I533" t="s">
        <v>1951</v>
      </c>
    </row>
    <row r="534" spans="1:9" x14ac:dyDescent="0.3">
      <c r="A534" s="17" t="s">
        <v>1046</v>
      </c>
      <c r="B534" s="17" t="s">
        <v>4298</v>
      </c>
      <c r="C534" s="17" t="s">
        <v>4299</v>
      </c>
      <c r="D534" s="17" t="s">
        <v>4300</v>
      </c>
      <c r="E534" s="17" t="s">
        <v>4301</v>
      </c>
      <c r="F534" s="17" t="s">
        <v>4302</v>
      </c>
      <c r="G534" s="17" t="s">
        <v>1941</v>
      </c>
      <c r="H534" s="17">
        <v>33884</v>
      </c>
      <c r="I534" t="s">
        <v>1942</v>
      </c>
    </row>
    <row r="535" spans="1:9" x14ac:dyDescent="0.3">
      <c r="A535" s="17" t="s">
        <v>1048</v>
      </c>
      <c r="B535" s="17" t="s">
        <v>4303</v>
      </c>
      <c r="C535" s="17"/>
      <c r="D535" s="17" t="s">
        <v>4304</v>
      </c>
      <c r="E535" s="17" t="s">
        <v>4305</v>
      </c>
      <c r="F535" s="17" t="s">
        <v>2325</v>
      </c>
      <c r="G535" s="17" t="s">
        <v>1941</v>
      </c>
      <c r="H535" s="17">
        <v>75323</v>
      </c>
      <c r="I535" t="s">
        <v>1951</v>
      </c>
    </row>
    <row r="536" spans="1:9" x14ac:dyDescent="0.3">
      <c r="A536" s="17" t="s">
        <v>1050</v>
      </c>
      <c r="B536" s="17" t="s">
        <v>4306</v>
      </c>
      <c r="C536" s="17" t="s">
        <v>4307</v>
      </c>
      <c r="D536" s="17" t="s">
        <v>4308</v>
      </c>
      <c r="E536" s="17" t="s">
        <v>4309</v>
      </c>
      <c r="F536" s="17" t="s">
        <v>2345</v>
      </c>
      <c r="G536" s="17" t="s">
        <v>1949</v>
      </c>
      <c r="H536" s="17" t="s">
        <v>2346</v>
      </c>
      <c r="I536" t="s">
        <v>1942</v>
      </c>
    </row>
    <row r="537" spans="1:9" x14ac:dyDescent="0.3">
      <c r="A537" s="17" t="s">
        <v>1052</v>
      </c>
      <c r="B537" s="17" t="s">
        <v>4310</v>
      </c>
      <c r="C537" s="17"/>
      <c r="D537" s="17" t="s">
        <v>4311</v>
      </c>
      <c r="E537" s="17" t="s">
        <v>4312</v>
      </c>
      <c r="F537" s="17" t="s">
        <v>2600</v>
      </c>
      <c r="G537" s="17" t="s">
        <v>1949</v>
      </c>
      <c r="H537" s="17" t="s">
        <v>2545</v>
      </c>
      <c r="I537" t="s">
        <v>1951</v>
      </c>
    </row>
    <row r="538" spans="1:9" x14ac:dyDescent="0.3">
      <c r="A538" s="17" t="s">
        <v>4313</v>
      </c>
      <c r="B538" s="17" t="s">
        <v>4314</v>
      </c>
      <c r="C538" s="17" t="s">
        <v>4315</v>
      </c>
      <c r="D538" s="17" t="s">
        <v>4316</v>
      </c>
      <c r="E538" s="17" t="s">
        <v>4317</v>
      </c>
      <c r="F538" s="17" t="s">
        <v>2287</v>
      </c>
      <c r="G538" s="17" t="s">
        <v>1941</v>
      </c>
      <c r="H538" s="17">
        <v>43231</v>
      </c>
      <c r="I538" t="s">
        <v>1951</v>
      </c>
    </row>
    <row r="539" spans="1:9" x14ac:dyDescent="0.3">
      <c r="A539" s="17" t="s">
        <v>1055</v>
      </c>
      <c r="B539" s="17" t="s">
        <v>4318</v>
      </c>
      <c r="C539" s="17" t="s">
        <v>4319</v>
      </c>
      <c r="D539" s="17"/>
      <c r="E539" s="17" t="s">
        <v>4320</v>
      </c>
      <c r="F539" s="17" t="s">
        <v>2555</v>
      </c>
      <c r="G539" s="17" t="s">
        <v>1941</v>
      </c>
      <c r="H539" s="17">
        <v>47747</v>
      </c>
      <c r="I539" t="s">
        <v>1942</v>
      </c>
    </row>
    <row r="540" spans="1:9" x14ac:dyDescent="0.3">
      <c r="A540" s="17" t="s">
        <v>1057</v>
      </c>
      <c r="B540" s="17" t="s">
        <v>4321</v>
      </c>
      <c r="C540" s="17" t="s">
        <v>4322</v>
      </c>
      <c r="D540" s="17"/>
      <c r="E540" s="17" t="s">
        <v>4323</v>
      </c>
      <c r="F540" s="17" t="s">
        <v>4324</v>
      </c>
      <c r="G540" s="17" t="s">
        <v>1941</v>
      </c>
      <c r="H540" s="17">
        <v>60567</v>
      </c>
      <c r="I540" t="s">
        <v>1942</v>
      </c>
    </row>
    <row r="541" spans="1:9" x14ac:dyDescent="0.3">
      <c r="A541" s="17" t="s">
        <v>1059</v>
      </c>
      <c r="B541" s="17" t="s">
        <v>4325</v>
      </c>
      <c r="C541" s="17" t="s">
        <v>4326</v>
      </c>
      <c r="D541" s="17"/>
      <c r="E541" s="17" t="s">
        <v>4327</v>
      </c>
      <c r="F541" s="17" t="s">
        <v>2122</v>
      </c>
      <c r="G541" s="17" t="s">
        <v>1941</v>
      </c>
      <c r="H541" s="17">
        <v>29424</v>
      </c>
      <c r="I541" t="s">
        <v>1951</v>
      </c>
    </row>
    <row r="542" spans="1:9" x14ac:dyDescent="0.3">
      <c r="A542" s="17" t="s">
        <v>1061</v>
      </c>
      <c r="B542" s="17" t="s">
        <v>4328</v>
      </c>
      <c r="C542" s="17" t="s">
        <v>4329</v>
      </c>
      <c r="D542" s="17" t="s">
        <v>4330</v>
      </c>
      <c r="E542" s="17" t="s">
        <v>4331</v>
      </c>
      <c r="F542" s="17" t="s">
        <v>2800</v>
      </c>
      <c r="G542" s="17" t="s">
        <v>1941</v>
      </c>
      <c r="H542" s="17">
        <v>48930</v>
      </c>
      <c r="I542" t="s">
        <v>1942</v>
      </c>
    </row>
    <row r="543" spans="1:9" x14ac:dyDescent="0.3">
      <c r="A543" s="17" t="s">
        <v>1063</v>
      </c>
      <c r="B543" s="17" t="s">
        <v>4332</v>
      </c>
      <c r="C543" s="17"/>
      <c r="D543" s="17" t="s">
        <v>4333</v>
      </c>
      <c r="E543" s="17" t="s">
        <v>4334</v>
      </c>
      <c r="F543" s="17" t="s">
        <v>4335</v>
      </c>
      <c r="G543" s="17" t="s">
        <v>1949</v>
      </c>
      <c r="H543" s="17" t="s">
        <v>4199</v>
      </c>
      <c r="I543" t="s">
        <v>1942</v>
      </c>
    </row>
    <row r="544" spans="1:9" x14ac:dyDescent="0.3">
      <c r="A544" s="17" t="s">
        <v>1065</v>
      </c>
      <c r="B544" s="17" t="s">
        <v>4336</v>
      </c>
      <c r="C544" s="17" t="s">
        <v>4337</v>
      </c>
      <c r="D544" s="17" t="s">
        <v>4338</v>
      </c>
      <c r="E544" s="17" t="s">
        <v>4339</v>
      </c>
      <c r="F544" s="17" t="s">
        <v>3524</v>
      </c>
      <c r="G544" s="17" t="s">
        <v>1941</v>
      </c>
      <c r="H544" s="17">
        <v>71115</v>
      </c>
      <c r="I544" t="s">
        <v>1951</v>
      </c>
    </row>
    <row r="545" spans="1:9" x14ac:dyDescent="0.3">
      <c r="A545" s="17" t="s">
        <v>1067</v>
      </c>
      <c r="B545" s="17" t="s">
        <v>4340</v>
      </c>
      <c r="C545" s="17" t="s">
        <v>4341</v>
      </c>
      <c r="D545" s="17" t="s">
        <v>4342</v>
      </c>
      <c r="E545" s="17" t="s">
        <v>4343</v>
      </c>
      <c r="F545" s="17" t="s">
        <v>1995</v>
      </c>
      <c r="G545" s="17" t="s">
        <v>1941</v>
      </c>
      <c r="H545" s="17">
        <v>95194</v>
      </c>
      <c r="I545" t="s">
        <v>1951</v>
      </c>
    </row>
    <row r="546" spans="1:9" x14ac:dyDescent="0.3">
      <c r="A546" s="17" t="s">
        <v>1069</v>
      </c>
      <c r="B546" s="17" t="s">
        <v>4344</v>
      </c>
      <c r="C546" s="17" t="s">
        <v>4345</v>
      </c>
      <c r="D546" s="17" t="s">
        <v>4346</v>
      </c>
      <c r="E546" s="17" t="s">
        <v>4347</v>
      </c>
      <c r="F546" s="17" t="s">
        <v>2017</v>
      </c>
      <c r="G546" s="17" t="s">
        <v>1941</v>
      </c>
      <c r="H546" s="17">
        <v>19104</v>
      </c>
      <c r="I546" t="s">
        <v>1951</v>
      </c>
    </row>
    <row r="547" spans="1:9" x14ac:dyDescent="0.3">
      <c r="A547" s="17" t="s">
        <v>1071</v>
      </c>
      <c r="B547" s="17" t="s">
        <v>4348</v>
      </c>
      <c r="C547" s="17" t="s">
        <v>4349</v>
      </c>
      <c r="D547" s="17" t="s">
        <v>4350</v>
      </c>
      <c r="E547" s="17" t="s">
        <v>4351</v>
      </c>
      <c r="F547" s="17" t="s">
        <v>3134</v>
      </c>
      <c r="G547" s="17" t="s">
        <v>2116</v>
      </c>
      <c r="H547" s="17" t="s">
        <v>3135</v>
      </c>
      <c r="I547" t="s">
        <v>1951</v>
      </c>
    </row>
    <row r="548" spans="1:9" x14ac:dyDescent="0.3">
      <c r="A548" s="17" t="s">
        <v>1073</v>
      </c>
      <c r="B548" s="17" t="s">
        <v>4352</v>
      </c>
      <c r="C548" s="17"/>
      <c r="D548" s="17" t="s">
        <v>4353</v>
      </c>
      <c r="E548" s="17" t="s">
        <v>4354</v>
      </c>
      <c r="F548" s="17" t="s">
        <v>4355</v>
      </c>
      <c r="G548" s="17" t="s">
        <v>1949</v>
      </c>
      <c r="H548" s="17" t="s">
        <v>4356</v>
      </c>
      <c r="I548" t="s">
        <v>1951</v>
      </c>
    </row>
    <row r="549" spans="1:9" x14ac:dyDescent="0.3">
      <c r="A549" s="17" t="s">
        <v>4357</v>
      </c>
      <c r="B549" s="17" t="s">
        <v>4358</v>
      </c>
      <c r="C549" s="17"/>
      <c r="D549" s="17" t="s">
        <v>4359</v>
      </c>
      <c r="E549" s="17" t="s">
        <v>4360</v>
      </c>
      <c r="F549" s="17" t="s">
        <v>3316</v>
      </c>
      <c r="G549" s="17" t="s">
        <v>1941</v>
      </c>
      <c r="H549" s="17">
        <v>21229</v>
      </c>
      <c r="I549" t="s">
        <v>1942</v>
      </c>
    </row>
    <row r="550" spans="1:9" x14ac:dyDescent="0.3">
      <c r="A550" s="17" t="s">
        <v>1077</v>
      </c>
      <c r="B550" s="17" t="s">
        <v>4361</v>
      </c>
      <c r="C550" s="17" t="s">
        <v>4362</v>
      </c>
      <c r="D550" s="17" t="s">
        <v>4363</v>
      </c>
      <c r="E550" s="17" t="s">
        <v>4364</v>
      </c>
      <c r="F550" s="17" t="s">
        <v>2362</v>
      </c>
      <c r="G550" s="17" t="s">
        <v>1941</v>
      </c>
      <c r="H550" s="17">
        <v>73119</v>
      </c>
      <c r="I550" t="s">
        <v>1942</v>
      </c>
    </row>
    <row r="551" spans="1:9" x14ac:dyDescent="0.3">
      <c r="A551" s="17" t="s">
        <v>1075</v>
      </c>
      <c r="B551" s="17" t="s">
        <v>4365</v>
      </c>
      <c r="C551" s="17" t="s">
        <v>4366</v>
      </c>
      <c r="D551" s="17" t="s">
        <v>4367</v>
      </c>
      <c r="E551" s="17" t="s">
        <v>4368</v>
      </c>
      <c r="F551" s="17" t="s">
        <v>2037</v>
      </c>
      <c r="G551" s="17" t="s">
        <v>1941</v>
      </c>
      <c r="H551" s="17">
        <v>10060</v>
      </c>
      <c r="I551" t="s">
        <v>1942</v>
      </c>
    </row>
    <row r="552" spans="1:9" x14ac:dyDescent="0.3">
      <c r="A552" s="17" t="s">
        <v>1080</v>
      </c>
      <c r="B552" s="17" t="s">
        <v>4369</v>
      </c>
      <c r="C552" s="17" t="s">
        <v>4370</v>
      </c>
      <c r="D552" s="17" t="s">
        <v>4371</v>
      </c>
      <c r="E552" s="17" t="s">
        <v>4372</v>
      </c>
      <c r="F552" s="17" t="s">
        <v>2256</v>
      </c>
      <c r="G552" s="17" t="s">
        <v>1941</v>
      </c>
      <c r="H552" s="17">
        <v>7112</v>
      </c>
      <c r="I552" t="s">
        <v>1942</v>
      </c>
    </row>
    <row r="553" spans="1:9" x14ac:dyDescent="0.3">
      <c r="A553" s="17" t="s">
        <v>1082</v>
      </c>
      <c r="B553" s="17" t="s">
        <v>4373</v>
      </c>
      <c r="C553" s="17" t="s">
        <v>4374</v>
      </c>
      <c r="D553" s="17" t="s">
        <v>4375</v>
      </c>
      <c r="E553" s="17" t="s">
        <v>4376</v>
      </c>
      <c r="F553" s="17" t="s">
        <v>3677</v>
      </c>
      <c r="G553" s="17" t="s">
        <v>1941</v>
      </c>
      <c r="H553" s="17">
        <v>6510</v>
      </c>
      <c r="I553" t="s">
        <v>1951</v>
      </c>
    </row>
    <row r="554" spans="1:9" x14ac:dyDescent="0.3">
      <c r="A554" s="17" t="s">
        <v>1084</v>
      </c>
      <c r="B554" s="17" t="s">
        <v>4377</v>
      </c>
      <c r="C554" s="17" t="s">
        <v>4378</v>
      </c>
      <c r="D554" s="17" t="s">
        <v>4379</v>
      </c>
      <c r="E554" s="17" t="s">
        <v>4380</v>
      </c>
      <c r="F554" s="17" t="s">
        <v>3365</v>
      </c>
      <c r="G554" s="17" t="s">
        <v>2116</v>
      </c>
      <c r="H554" s="17" t="s">
        <v>3366</v>
      </c>
      <c r="I554" t="s">
        <v>1942</v>
      </c>
    </row>
    <row r="555" spans="1:9" x14ac:dyDescent="0.3">
      <c r="A555" s="17" t="s">
        <v>1086</v>
      </c>
      <c r="B555" s="17" t="s">
        <v>4381</v>
      </c>
      <c r="C555" s="17" t="s">
        <v>4382</v>
      </c>
      <c r="D555" s="17"/>
      <c r="E555" s="17" t="s">
        <v>4383</v>
      </c>
      <c r="F555" s="17" t="s">
        <v>2211</v>
      </c>
      <c r="G555" s="17" t="s">
        <v>1941</v>
      </c>
      <c r="H555" s="17">
        <v>43610</v>
      </c>
      <c r="I555" t="s">
        <v>1951</v>
      </c>
    </row>
    <row r="556" spans="1:9" x14ac:dyDescent="0.3">
      <c r="A556" s="17" t="s">
        <v>1088</v>
      </c>
      <c r="B556" s="17" t="s">
        <v>4384</v>
      </c>
      <c r="C556" s="17"/>
      <c r="D556" s="17" t="s">
        <v>4385</v>
      </c>
      <c r="E556" s="17" t="s">
        <v>4386</v>
      </c>
      <c r="F556" s="17" t="s">
        <v>3164</v>
      </c>
      <c r="G556" s="17" t="s">
        <v>2116</v>
      </c>
      <c r="H556" s="17" t="s">
        <v>4387</v>
      </c>
      <c r="I556" t="s">
        <v>1942</v>
      </c>
    </row>
    <row r="557" spans="1:9" x14ac:dyDescent="0.3">
      <c r="A557" s="17" t="s">
        <v>1090</v>
      </c>
      <c r="B557" s="17" t="s">
        <v>4388</v>
      </c>
      <c r="C557" s="17" t="s">
        <v>4389</v>
      </c>
      <c r="D557" s="17" t="s">
        <v>4390</v>
      </c>
      <c r="E557" s="17" t="s">
        <v>4391</v>
      </c>
      <c r="F557" s="17" t="s">
        <v>4392</v>
      </c>
      <c r="G557" s="17" t="s">
        <v>1949</v>
      </c>
      <c r="H557" s="17" t="s">
        <v>4393</v>
      </c>
      <c r="I557" t="s">
        <v>1951</v>
      </c>
    </row>
    <row r="558" spans="1:9" x14ac:dyDescent="0.3">
      <c r="A558" s="17" t="s">
        <v>1092</v>
      </c>
      <c r="B558" s="17" t="s">
        <v>4394</v>
      </c>
      <c r="C558" s="17" t="s">
        <v>4395</v>
      </c>
      <c r="D558" s="17"/>
      <c r="E558" s="17" t="s">
        <v>4396</v>
      </c>
      <c r="F558" s="17" t="s">
        <v>3524</v>
      </c>
      <c r="G558" s="17" t="s">
        <v>1941</v>
      </c>
      <c r="H558" s="17">
        <v>71161</v>
      </c>
      <c r="I558" t="s">
        <v>1942</v>
      </c>
    </row>
    <row r="559" spans="1:9" x14ac:dyDescent="0.3">
      <c r="A559" s="17" t="s">
        <v>4397</v>
      </c>
      <c r="B559" s="17" t="s">
        <v>4398</v>
      </c>
      <c r="C559" s="17"/>
      <c r="D559" s="17" t="s">
        <v>4399</v>
      </c>
      <c r="E559" s="17" t="s">
        <v>4400</v>
      </c>
      <c r="F559" s="17" t="s">
        <v>4401</v>
      </c>
      <c r="G559" s="17" t="s">
        <v>1941</v>
      </c>
      <c r="H559" s="17">
        <v>32835</v>
      </c>
      <c r="I559" t="s">
        <v>1951</v>
      </c>
    </row>
    <row r="560" spans="1:9" x14ac:dyDescent="0.3">
      <c r="A560" s="17" t="s">
        <v>1095</v>
      </c>
      <c r="B560" s="17" t="s">
        <v>4402</v>
      </c>
      <c r="C560" s="17"/>
      <c r="D560" s="17" t="s">
        <v>4403</v>
      </c>
      <c r="E560" s="17" t="s">
        <v>4404</v>
      </c>
      <c r="F560" s="17" t="s">
        <v>3320</v>
      </c>
      <c r="G560" s="17" t="s">
        <v>1941</v>
      </c>
      <c r="H560" s="17">
        <v>40515</v>
      </c>
      <c r="I560" t="s">
        <v>1942</v>
      </c>
    </row>
    <row r="561" spans="1:9" x14ac:dyDescent="0.3">
      <c r="A561" s="17" t="s">
        <v>1097</v>
      </c>
      <c r="B561" s="17" t="s">
        <v>4405</v>
      </c>
      <c r="C561" s="17" t="s">
        <v>4406</v>
      </c>
      <c r="D561" s="17" t="s">
        <v>4407</v>
      </c>
      <c r="E561" s="17" t="s">
        <v>4408</v>
      </c>
      <c r="F561" s="17" t="s">
        <v>3121</v>
      </c>
      <c r="G561" s="17" t="s">
        <v>1941</v>
      </c>
      <c r="H561" s="17">
        <v>53263</v>
      </c>
      <c r="I561" t="s">
        <v>1942</v>
      </c>
    </row>
    <row r="562" spans="1:9" x14ac:dyDescent="0.3">
      <c r="A562" s="17" t="s">
        <v>1099</v>
      </c>
      <c r="B562" s="17" t="s">
        <v>4409</v>
      </c>
      <c r="C562" s="17"/>
      <c r="D562" s="17" t="s">
        <v>4410</v>
      </c>
      <c r="E562" s="17" t="s">
        <v>4411</v>
      </c>
      <c r="F562" s="17" t="s">
        <v>4412</v>
      </c>
      <c r="G562" s="17" t="s">
        <v>1941</v>
      </c>
      <c r="H562" s="17">
        <v>79176</v>
      </c>
      <c r="I562" t="s">
        <v>1942</v>
      </c>
    </row>
    <row r="563" spans="1:9" x14ac:dyDescent="0.3">
      <c r="A563" s="17" t="s">
        <v>1101</v>
      </c>
      <c r="B563" s="17" t="s">
        <v>4413</v>
      </c>
      <c r="C563" s="17"/>
      <c r="D563" s="17" t="s">
        <v>4414</v>
      </c>
      <c r="E563" s="17" t="s">
        <v>4415</v>
      </c>
      <c r="F563" s="17" t="s">
        <v>4416</v>
      </c>
      <c r="G563" s="17" t="s">
        <v>1949</v>
      </c>
      <c r="H563" s="17" t="s">
        <v>4417</v>
      </c>
      <c r="I563" t="s">
        <v>1942</v>
      </c>
    </row>
    <row r="564" spans="1:9" x14ac:dyDescent="0.3">
      <c r="A564" s="17" t="s">
        <v>1103</v>
      </c>
      <c r="B564" s="17" t="s">
        <v>4418</v>
      </c>
      <c r="C564" s="17" t="s">
        <v>4419</v>
      </c>
      <c r="D564" s="17" t="s">
        <v>4420</v>
      </c>
      <c r="E564" s="17" t="s">
        <v>4421</v>
      </c>
      <c r="F564" s="17" t="s">
        <v>4422</v>
      </c>
      <c r="G564" s="17" t="s">
        <v>2116</v>
      </c>
      <c r="H564" s="17" t="s">
        <v>4423</v>
      </c>
      <c r="I564" t="s">
        <v>1951</v>
      </c>
    </row>
    <row r="565" spans="1:9" x14ac:dyDescent="0.3">
      <c r="A565" s="17" t="s">
        <v>4424</v>
      </c>
      <c r="B565" s="17" t="s">
        <v>4425</v>
      </c>
      <c r="C565" s="17" t="s">
        <v>4426</v>
      </c>
      <c r="D565" s="17" t="s">
        <v>4427</v>
      </c>
      <c r="E565" s="17" t="s">
        <v>4428</v>
      </c>
      <c r="F565" s="17" t="s">
        <v>3049</v>
      </c>
      <c r="G565" s="17" t="s">
        <v>1941</v>
      </c>
      <c r="H565" s="17">
        <v>30323</v>
      </c>
      <c r="I565" t="s">
        <v>1951</v>
      </c>
    </row>
    <row r="566" spans="1:9" x14ac:dyDescent="0.3">
      <c r="A566" s="17" t="s">
        <v>1107</v>
      </c>
      <c r="B566" s="17" t="s">
        <v>4429</v>
      </c>
      <c r="C566" s="17" t="s">
        <v>4430</v>
      </c>
      <c r="D566" s="17" t="s">
        <v>4431</v>
      </c>
      <c r="E566" s="17" t="s">
        <v>4432</v>
      </c>
      <c r="F566" s="17" t="s">
        <v>3412</v>
      </c>
      <c r="G566" s="17" t="s">
        <v>1941</v>
      </c>
      <c r="H566" s="17">
        <v>37924</v>
      </c>
      <c r="I566" t="s">
        <v>1951</v>
      </c>
    </row>
    <row r="567" spans="1:9" x14ac:dyDescent="0.3">
      <c r="A567" s="17" t="s">
        <v>1109</v>
      </c>
      <c r="B567" s="17" t="s">
        <v>4433</v>
      </c>
      <c r="C567" s="17" t="s">
        <v>4434</v>
      </c>
      <c r="D567" s="17" t="s">
        <v>4435</v>
      </c>
      <c r="E567" s="17" t="s">
        <v>4436</v>
      </c>
      <c r="F567" s="17" t="s">
        <v>2988</v>
      </c>
      <c r="G567" s="17" t="s">
        <v>1941</v>
      </c>
      <c r="H567" s="17">
        <v>66225</v>
      </c>
      <c r="I567" t="s">
        <v>1951</v>
      </c>
    </row>
    <row r="568" spans="1:9" x14ac:dyDescent="0.3">
      <c r="A568" s="17" t="s">
        <v>1111</v>
      </c>
      <c r="B568" s="17" t="s">
        <v>4437</v>
      </c>
      <c r="C568" s="17" t="s">
        <v>4438</v>
      </c>
      <c r="D568" s="17" t="s">
        <v>4439</v>
      </c>
      <c r="E568" s="17" t="s">
        <v>4440</v>
      </c>
      <c r="F568" s="17" t="s">
        <v>2191</v>
      </c>
      <c r="G568" s="17" t="s">
        <v>1941</v>
      </c>
      <c r="H568" s="17">
        <v>33330</v>
      </c>
      <c r="I568" t="s">
        <v>1942</v>
      </c>
    </row>
    <row r="569" spans="1:9" x14ac:dyDescent="0.3">
      <c r="A569" s="17" t="s">
        <v>1113</v>
      </c>
      <c r="B569" s="17" t="s">
        <v>4441</v>
      </c>
      <c r="C569" s="17"/>
      <c r="D569" s="17" t="s">
        <v>4442</v>
      </c>
      <c r="E569" s="17" t="s">
        <v>4443</v>
      </c>
      <c r="F569" s="17" t="s">
        <v>2076</v>
      </c>
      <c r="G569" s="17" t="s">
        <v>1949</v>
      </c>
      <c r="H569" s="17" t="s">
        <v>2077</v>
      </c>
      <c r="I569" t="s">
        <v>1951</v>
      </c>
    </row>
    <row r="570" spans="1:9" x14ac:dyDescent="0.3">
      <c r="A570" s="17" t="s">
        <v>1115</v>
      </c>
      <c r="B570" s="17" t="s">
        <v>4444</v>
      </c>
      <c r="C570" s="17" t="s">
        <v>4445</v>
      </c>
      <c r="D570" s="17" t="s">
        <v>4446</v>
      </c>
      <c r="E570" s="17" t="s">
        <v>4447</v>
      </c>
      <c r="F570" s="17" t="s">
        <v>2387</v>
      </c>
      <c r="G570" s="17" t="s">
        <v>1941</v>
      </c>
      <c r="H570" s="17">
        <v>78715</v>
      </c>
      <c r="I570" t="s">
        <v>1942</v>
      </c>
    </row>
    <row r="571" spans="1:9" x14ac:dyDescent="0.3">
      <c r="A571" s="17" t="s">
        <v>4448</v>
      </c>
      <c r="B571" s="17" t="s">
        <v>4449</v>
      </c>
      <c r="C571" s="17" t="s">
        <v>4450</v>
      </c>
      <c r="D571" s="17" t="s">
        <v>4451</v>
      </c>
      <c r="E571" s="17" t="s">
        <v>4452</v>
      </c>
      <c r="F571" s="17" t="s">
        <v>4193</v>
      </c>
      <c r="G571" s="17" t="s">
        <v>1941</v>
      </c>
      <c r="H571" s="17">
        <v>44105</v>
      </c>
      <c r="I571" t="s">
        <v>1951</v>
      </c>
    </row>
    <row r="572" spans="1:9" x14ac:dyDescent="0.3">
      <c r="A572" s="17" t="s">
        <v>1118</v>
      </c>
      <c r="B572" s="17" t="s">
        <v>4453</v>
      </c>
      <c r="C572" s="17" t="s">
        <v>4454</v>
      </c>
      <c r="D572" s="17" t="s">
        <v>4455</v>
      </c>
      <c r="E572" s="17" t="s">
        <v>4456</v>
      </c>
      <c r="F572" s="17" t="s">
        <v>4457</v>
      </c>
      <c r="G572" s="17" t="s">
        <v>1941</v>
      </c>
      <c r="H572" s="17">
        <v>20784</v>
      </c>
      <c r="I572" t="s">
        <v>1951</v>
      </c>
    </row>
    <row r="573" spans="1:9" x14ac:dyDescent="0.3">
      <c r="A573" s="17" t="s">
        <v>1120</v>
      </c>
      <c r="B573" s="17" t="s">
        <v>4458</v>
      </c>
      <c r="C573" s="17" t="s">
        <v>4459</v>
      </c>
      <c r="D573" s="17" t="s">
        <v>4460</v>
      </c>
      <c r="E573" s="17" t="s">
        <v>4461</v>
      </c>
      <c r="F573" s="17" t="s">
        <v>4462</v>
      </c>
      <c r="G573" s="17" t="s">
        <v>2116</v>
      </c>
      <c r="H573" s="17" t="s">
        <v>4463</v>
      </c>
      <c r="I573" t="s">
        <v>1951</v>
      </c>
    </row>
    <row r="574" spans="1:9" x14ac:dyDescent="0.3">
      <c r="A574" s="17" t="s">
        <v>1122</v>
      </c>
      <c r="B574" s="17" t="s">
        <v>4464</v>
      </c>
      <c r="C574" s="17"/>
      <c r="D574" s="17"/>
      <c r="E574" s="17" t="s">
        <v>4465</v>
      </c>
      <c r="F574" s="17" t="s">
        <v>2947</v>
      </c>
      <c r="G574" s="17" t="s">
        <v>1941</v>
      </c>
      <c r="H574" s="17">
        <v>91103</v>
      </c>
      <c r="I574" t="s">
        <v>1942</v>
      </c>
    </row>
    <row r="575" spans="1:9" x14ac:dyDescent="0.3">
      <c r="A575" s="17" t="s">
        <v>1124</v>
      </c>
      <c r="B575" s="17" t="s">
        <v>4466</v>
      </c>
      <c r="C575" s="17" t="s">
        <v>4467</v>
      </c>
      <c r="D575" s="17" t="s">
        <v>4468</v>
      </c>
      <c r="E575" s="17" t="s">
        <v>4469</v>
      </c>
      <c r="F575" s="17" t="s">
        <v>3524</v>
      </c>
      <c r="G575" s="17" t="s">
        <v>1941</v>
      </c>
      <c r="H575" s="17">
        <v>71161</v>
      </c>
      <c r="I575" t="s">
        <v>1951</v>
      </c>
    </row>
    <row r="576" spans="1:9" x14ac:dyDescent="0.3">
      <c r="A576" s="17" t="s">
        <v>1126</v>
      </c>
      <c r="B576" s="17" t="s">
        <v>4470</v>
      </c>
      <c r="C576" s="17" t="s">
        <v>4471</v>
      </c>
      <c r="D576" s="17"/>
      <c r="E576" s="17" t="s">
        <v>4472</v>
      </c>
      <c r="F576" s="17" t="s">
        <v>2225</v>
      </c>
      <c r="G576" s="17" t="s">
        <v>1941</v>
      </c>
      <c r="H576" s="17">
        <v>32590</v>
      </c>
      <c r="I576" t="s">
        <v>1942</v>
      </c>
    </row>
    <row r="577" spans="1:9" x14ac:dyDescent="0.3">
      <c r="A577" s="17" t="s">
        <v>1128</v>
      </c>
      <c r="B577" s="17" t="s">
        <v>4473</v>
      </c>
      <c r="C577" s="17" t="s">
        <v>4474</v>
      </c>
      <c r="D577" s="17" t="s">
        <v>4475</v>
      </c>
      <c r="E577" s="17" t="s">
        <v>4476</v>
      </c>
      <c r="F577" s="17" t="s">
        <v>1986</v>
      </c>
      <c r="G577" s="17" t="s">
        <v>1941</v>
      </c>
      <c r="H577" s="17">
        <v>90035</v>
      </c>
      <c r="I577" t="s">
        <v>1951</v>
      </c>
    </row>
    <row r="578" spans="1:9" x14ac:dyDescent="0.3">
      <c r="A578" s="17" t="s">
        <v>1130</v>
      </c>
      <c r="B578" s="17" t="s">
        <v>4477</v>
      </c>
      <c r="C578" s="17" t="s">
        <v>4478</v>
      </c>
      <c r="D578" s="17" t="s">
        <v>4479</v>
      </c>
      <c r="E578" s="17" t="s">
        <v>4480</v>
      </c>
      <c r="F578" s="17" t="s">
        <v>4481</v>
      </c>
      <c r="G578" s="17" t="s">
        <v>1941</v>
      </c>
      <c r="H578" s="17">
        <v>27705</v>
      </c>
      <c r="I578" t="s">
        <v>1951</v>
      </c>
    </row>
    <row r="579" spans="1:9" x14ac:dyDescent="0.3">
      <c r="A579" s="17" t="s">
        <v>1105</v>
      </c>
      <c r="B579" s="17" t="s">
        <v>4482</v>
      </c>
      <c r="C579" s="17" t="s">
        <v>4483</v>
      </c>
      <c r="D579" s="17"/>
      <c r="E579" s="17" t="s">
        <v>4484</v>
      </c>
      <c r="F579" s="17" t="s">
        <v>4485</v>
      </c>
      <c r="G579" s="17" t="s">
        <v>2116</v>
      </c>
      <c r="H579" s="17" t="s">
        <v>4486</v>
      </c>
      <c r="I579" t="s">
        <v>1951</v>
      </c>
    </row>
    <row r="580" spans="1:9" x14ac:dyDescent="0.3">
      <c r="A580" s="17" t="s">
        <v>1133</v>
      </c>
      <c r="B580" s="17" t="s">
        <v>4487</v>
      </c>
      <c r="C580" s="17" t="s">
        <v>4488</v>
      </c>
      <c r="D580" s="17" t="s">
        <v>4489</v>
      </c>
      <c r="E580" s="17" t="s">
        <v>4490</v>
      </c>
      <c r="F580" s="17" t="s">
        <v>4491</v>
      </c>
      <c r="G580" s="17" t="s">
        <v>1949</v>
      </c>
      <c r="H580" s="17" t="s">
        <v>4492</v>
      </c>
      <c r="I580" t="s">
        <v>1951</v>
      </c>
    </row>
    <row r="581" spans="1:9" x14ac:dyDescent="0.3">
      <c r="A581" s="17" t="s">
        <v>4493</v>
      </c>
      <c r="B581" s="17" t="s">
        <v>4494</v>
      </c>
      <c r="C581" s="17" t="s">
        <v>4495</v>
      </c>
      <c r="D581" s="17" t="s">
        <v>4496</v>
      </c>
      <c r="E581" s="17" t="s">
        <v>4497</v>
      </c>
      <c r="F581" s="17" t="s">
        <v>4416</v>
      </c>
      <c r="G581" s="17" t="s">
        <v>1949</v>
      </c>
      <c r="H581" s="17" t="s">
        <v>4417</v>
      </c>
      <c r="I581" t="s">
        <v>1951</v>
      </c>
    </row>
    <row r="582" spans="1:9" x14ac:dyDescent="0.3">
      <c r="A582" s="17" t="s">
        <v>1135</v>
      </c>
      <c r="B582" s="17" t="s">
        <v>4498</v>
      </c>
      <c r="C582" s="17" t="s">
        <v>4499</v>
      </c>
      <c r="D582" s="17" t="s">
        <v>4500</v>
      </c>
      <c r="E582" s="17" t="s">
        <v>4501</v>
      </c>
      <c r="F582" s="17" t="s">
        <v>2758</v>
      </c>
      <c r="G582" s="17" t="s">
        <v>1941</v>
      </c>
      <c r="H582" s="17">
        <v>90605</v>
      </c>
      <c r="I582" t="s">
        <v>1942</v>
      </c>
    </row>
    <row r="583" spans="1:9" x14ac:dyDescent="0.3">
      <c r="A583" s="17" t="s">
        <v>1137</v>
      </c>
      <c r="B583" s="17" t="s">
        <v>4502</v>
      </c>
      <c r="C583" s="17" t="s">
        <v>4503</v>
      </c>
      <c r="D583" s="17"/>
      <c r="E583" s="17" t="s">
        <v>4504</v>
      </c>
      <c r="F583" s="17" t="s">
        <v>2172</v>
      </c>
      <c r="G583" s="17" t="s">
        <v>2116</v>
      </c>
      <c r="H583" s="17" t="s">
        <v>2486</v>
      </c>
      <c r="I583" t="s">
        <v>1942</v>
      </c>
    </row>
    <row r="584" spans="1:9" x14ac:dyDescent="0.3">
      <c r="A584" s="17" t="s">
        <v>1139</v>
      </c>
      <c r="B584" s="17" t="s">
        <v>4505</v>
      </c>
      <c r="C584" s="17" t="s">
        <v>4506</v>
      </c>
      <c r="D584" s="17" t="s">
        <v>4507</v>
      </c>
      <c r="E584" s="17" t="s">
        <v>4508</v>
      </c>
      <c r="F584" s="17" t="s">
        <v>2004</v>
      </c>
      <c r="G584" s="17" t="s">
        <v>1941</v>
      </c>
      <c r="H584" s="17">
        <v>23237</v>
      </c>
      <c r="I584" t="s">
        <v>1951</v>
      </c>
    </row>
    <row r="585" spans="1:9" x14ac:dyDescent="0.3">
      <c r="A585" s="17" t="s">
        <v>1141</v>
      </c>
      <c r="B585" s="17" t="s">
        <v>4509</v>
      </c>
      <c r="C585" s="17" t="s">
        <v>4510</v>
      </c>
      <c r="D585" s="17" t="s">
        <v>4511</v>
      </c>
      <c r="E585" s="17" t="s">
        <v>4512</v>
      </c>
      <c r="F585" s="17" t="s">
        <v>4074</v>
      </c>
      <c r="G585" s="17" t="s">
        <v>1941</v>
      </c>
      <c r="H585" s="17">
        <v>20167</v>
      </c>
      <c r="I585" t="s">
        <v>1942</v>
      </c>
    </row>
    <row r="586" spans="1:9" x14ac:dyDescent="0.3">
      <c r="A586" s="17" t="s">
        <v>1143</v>
      </c>
      <c r="B586" s="17" t="s">
        <v>4513</v>
      </c>
      <c r="C586" s="17" t="s">
        <v>4514</v>
      </c>
      <c r="D586" s="17" t="s">
        <v>4515</v>
      </c>
      <c r="E586" s="17" t="s">
        <v>4516</v>
      </c>
      <c r="F586" s="17" t="s">
        <v>2625</v>
      </c>
      <c r="G586" s="17" t="s">
        <v>1941</v>
      </c>
      <c r="H586" s="17">
        <v>89706</v>
      </c>
      <c r="I586" t="s">
        <v>1951</v>
      </c>
    </row>
    <row r="587" spans="1:9" x14ac:dyDescent="0.3">
      <c r="A587" s="17" t="s">
        <v>4517</v>
      </c>
      <c r="B587" s="17" t="s">
        <v>4518</v>
      </c>
      <c r="C587" s="17" t="s">
        <v>4519</v>
      </c>
      <c r="D587" s="17" t="s">
        <v>4520</v>
      </c>
      <c r="E587" s="17" t="s">
        <v>4521</v>
      </c>
      <c r="F587" s="17" t="s">
        <v>2673</v>
      </c>
      <c r="G587" s="17" t="s">
        <v>1949</v>
      </c>
      <c r="H587" s="17" t="s">
        <v>2674</v>
      </c>
      <c r="I587" t="s">
        <v>1942</v>
      </c>
    </row>
    <row r="588" spans="1:9" x14ac:dyDescent="0.3">
      <c r="A588" s="17" t="s">
        <v>1147</v>
      </c>
      <c r="B588" s="17" t="s">
        <v>4522</v>
      </c>
      <c r="C588" s="17"/>
      <c r="D588" s="17" t="s">
        <v>4523</v>
      </c>
      <c r="E588" s="17" t="s">
        <v>4524</v>
      </c>
      <c r="F588" s="17" t="s">
        <v>2233</v>
      </c>
      <c r="G588" s="17" t="s">
        <v>1941</v>
      </c>
      <c r="H588" s="17">
        <v>55123</v>
      </c>
      <c r="I588" t="s">
        <v>1951</v>
      </c>
    </row>
    <row r="589" spans="1:9" x14ac:dyDescent="0.3">
      <c r="A589" s="17" t="s">
        <v>1149</v>
      </c>
      <c r="B589" s="17" t="s">
        <v>4525</v>
      </c>
      <c r="C589" s="17" t="s">
        <v>4526</v>
      </c>
      <c r="D589" s="17"/>
      <c r="E589" s="17" t="s">
        <v>4527</v>
      </c>
      <c r="F589" s="17" t="s">
        <v>2567</v>
      </c>
      <c r="G589" s="17" t="s">
        <v>1941</v>
      </c>
      <c r="H589" s="17">
        <v>35895</v>
      </c>
      <c r="I589" t="s">
        <v>1942</v>
      </c>
    </row>
    <row r="590" spans="1:9" x14ac:dyDescent="0.3">
      <c r="A590" s="17" t="s">
        <v>1151</v>
      </c>
      <c r="B590" s="17" t="s">
        <v>4528</v>
      </c>
      <c r="C590" s="17" t="s">
        <v>4529</v>
      </c>
      <c r="D590" s="17" t="s">
        <v>4530</v>
      </c>
      <c r="E590" s="17" t="s">
        <v>4531</v>
      </c>
      <c r="F590" s="17" t="s">
        <v>2448</v>
      </c>
      <c r="G590" s="17" t="s">
        <v>1941</v>
      </c>
      <c r="H590" s="17">
        <v>88553</v>
      </c>
      <c r="I590" t="s">
        <v>1942</v>
      </c>
    </row>
    <row r="591" spans="1:9" x14ac:dyDescent="0.3">
      <c r="A591" s="17" t="s">
        <v>1153</v>
      </c>
      <c r="B591" s="17" t="s">
        <v>4532</v>
      </c>
      <c r="C591" s="17" t="s">
        <v>4533</v>
      </c>
      <c r="D591" s="17"/>
      <c r="E591" s="17" t="s">
        <v>4534</v>
      </c>
      <c r="F591" s="17" t="s">
        <v>4535</v>
      </c>
      <c r="G591" s="17" t="s">
        <v>1941</v>
      </c>
      <c r="H591" s="17">
        <v>30033</v>
      </c>
      <c r="I591" t="s">
        <v>1951</v>
      </c>
    </row>
    <row r="592" spans="1:9" x14ac:dyDescent="0.3">
      <c r="A592" s="17" t="s">
        <v>1155</v>
      </c>
      <c r="B592" s="17" t="s">
        <v>4536</v>
      </c>
      <c r="C592" s="17" t="s">
        <v>4537</v>
      </c>
      <c r="D592" s="17" t="s">
        <v>4538</v>
      </c>
      <c r="E592" s="17" t="s">
        <v>4539</v>
      </c>
      <c r="F592" s="17" t="s">
        <v>2616</v>
      </c>
      <c r="G592" s="17" t="s">
        <v>1941</v>
      </c>
      <c r="H592" s="17">
        <v>92668</v>
      </c>
      <c r="I592" t="s">
        <v>1942</v>
      </c>
    </row>
    <row r="593" spans="1:9" x14ac:dyDescent="0.3">
      <c r="A593" s="17" t="s">
        <v>1157</v>
      </c>
      <c r="B593" s="17" t="s">
        <v>4540</v>
      </c>
      <c r="C593" s="17" t="s">
        <v>4541</v>
      </c>
      <c r="D593" s="17"/>
      <c r="E593" s="17" t="s">
        <v>4542</v>
      </c>
      <c r="F593" s="17" t="s">
        <v>4543</v>
      </c>
      <c r="G593" s="17" t="s">
        <v>1941</v>
      </c>
      <c r="H593" s="17">
        <v>92648</v>
      </c>
      <c r="I593" t="s">
        <v>1942</v>
      </c>
    </row>
    <row r="594" spans="1:9" x14ac:dyDescent="0.3">
      <c r="A594" s="17" t="s">
        <v>1159</v>
      </c>
      <c r="B594" s="17" t="s">
        <v>4544</v>
      </c>
      <c r="C594" s="17"/>
      <c r="D594" s="17" t="s">
        <v>4545</v>
      </c>
      <c r="E594" s="17" t="s">
        <v>4546</v>
      </c>
      <c r="F594" s="17" t="s">
        <v>3121</v>
      </c>
      <c r="G594" s="17" t="s">
        <v>1941</v>
      </c>
      <c r="H594" s="17">
        <v>53285</v>
      </c>
      <c r="I594" t="s">
        <v>1951</v>
      </c>
    </row>
    <row r="595" spans="1:9" x14ac:dyDescent="0.3">
      <c r="A595" s="17" t="s">
        <v>1145</v>
      </c>
      <c r="B595" s="17" t="s">
        <v>4547</v>
      </c>
      <c r="C595" s="17" t="s">
        <v>4548</v>
      </c>
      <c r="D595" s="17"/>
      <c r="E595" s="17" t="s">
        <v>4549</v>
      </c>
      <c r="F595" s="17" t="s">
        <v>2115</v>
      </c>
      <c r="G595" s="17" t="s">
        <v>2116</v>
      </c>
      <c r="H595" s="17" t="s">
        <v>2117</v>
      </c>
      <c r="I595" t="s">
        <v>1942</v>
      </c>
    </row>
    <row r="596" spans="1:9" x14ac:dyDescent="0.3">
      <c r="A596" s="17" t="s">
        <v>1162</v>
      </c>
      <c r="B596" s="17" t="s">
        <v>4550</v>
      </c>
      <c r="C596" s="17" t="s">
        <v>4551</v>
      </c>
      <c r="D596" s="17" t="s">
        <v>4552</v>
      </c>
      <c r="E596" s="17" t="s">
        <v>4553</v>
      </c>
      <c r="F596" s="17" t="s">
        <v>2678</v>
      </c>
      <c r="G596" s="17" t="s">
        <v>1941</v>
      </c>
      <c r="H596" s="17">
        <v>37416</v>
      </c>
      <c r="I596" t="s">
        <v>1951</v>
      </c>
    </row>
    <row r="597" spans="1:9" x14ac:dyDescent="0.3">
      <c r="A597" s="17" t="s">
        <v>1164</v>
      </c>
      <c r="B597" s="17" t="s">
        <v>4554</v>
      </c>
      <c r="C597" s="17"/>
      <c r="D597" s="17"/>
      <c r="E597" s="17" t="s">
        <v>4555</v>
      </c>
      <c r="F597" s="17" t="s">
        <v>4556</v>
      </c>
      <c r="G597" s="17" t="s">
        <v>2116</v>
      </c>
      <c r="H597" s="17" t="s">
        <v>4557</v>
      </c>
      <c r="I597" t="s">
        <v>1951</v>
      </c>
    </row>
    <row r="598" spans="1:9" x14ac:dyDescent="0.3">
      <c r="A598" s="17" t="s">
        <v>1166</v>
      </c>
      <c r="B598" s="17" t="s">
        <v>4558</v>
      </c>
      <c r="C598" s="17" t="s">
        <v>4559</v>
      </c>
      <c r="D598" s="17" t="s">
        <v>4560</v>
      </c>
      <c r="E598" s="17" t="s">
        <v>4561</v>
      </c>
      <c r="F598" s="17" t="s">
        <v>2287</v>
      </c>
      <c r="G598" s="17" t="s">
        <v>1941</v>
      </c>
      <c r="H598" s="17">
        <v>43268</v>
      </c>
      <c r="I598" t="s">
        <v>1951</v>
      </c>
    </row>
    <row r="599" spans="1:9" x14ac:dyDescent="0.3">
      <c r="A599" s="17" t="s">
        <v>1168</v>
      </c>
      <c r="B599" s="17" t="s">
        <v>4562</v>
      </c>
      <c r="C599" s="17" t="s">
        <v>4563</v>
      </c>
      <c r="D599" s="17" t="s">
        <v>4564</v>
      </c>
      <c r="E599" s="17" t="s">
        <v>4565</v>
      </c>
      <c r="F599" s="17" t="s">
        <v>2947</v>
      </c>
      <c r="G599" s="17" t="s">
        <v>1941</v>
      </c>
      <c r="H599" s="17">
        <v>91186</v>
      </c>
      <c r="I599" t="s">
        <v>1942</v>
      </c>
    </row>
    <row r="600" spans="1:9" x14ac:dyDescent="0.3">
      <c r="A600" s="17" t="s">
        <v>1170</v>
      </c>
      <c r="B600" s="17" t="s">
        <v>4566</v>
      </c>
      <c r="C600" s="17" t="s">
        <v>4567</v>
      </c>
      <c r="D600" s="17" t="s">
        <v>4568</v>
      </c>
      <c r="E600" s="17" t="s">
        <v>4569</v>
      </c>
      <c r="F600" s="17" t="s">
        <v>3090</v>
      </c>
      <c r="G600" s="17" t="s">
        <v>1941</v>
      </c>
      <c r="H600" s="17">
        <v>94159</v>
      </c>
      <c r="I600" t="s">
        <v>1942</v>
      </c>
    </row>
    <row r="601" spans="1:9" x14ac:dyDescent="0.3">
      <c r="A601" s="17" t="s">
        <v>1172</v>
      </c>
      <c r="B601" s="17" t="s">
        <v>4570</v>
      </c>
      <c r="C601" s="17" t="s">
        <v>4571</v>
      </c>
      <c r="D601" s="17"/>
      <c r="E601" s="17" t="s">
        <v>4572</v>
      </c>
      <c r="F601" s="17" t="s">
        <v>3524</v>
      </c>
      <c r="G601" s="17" t="s">
        <v>1941</v>
      </c>
      <c r="H601" s="17">
        <v>71137</v>
      </c>
      <c r="I601" t="s">
        <v>1942</v>
      </c>
    </row>
    <row r="602" spans="1:9" x14ac:dyDescent="0.3">
      <c r="A602" s="17" t="s">
        <v>1174</v>
      </c>
      <c r="B602" s="17" t="s">
        <v>4573</v>
      </c>
      <c r="C602" s="17" t="s">
        <v>4574</v>
      </c>
      <c r="D602" s="17" t="s">
        <v>4575</v>
      </c>
      <c r="E602" s="17" t="s">
        <v>4576</v>
      </c>
      <c r="F602" s="17" t="s">
        <v>2017</v>
      </c>
      <c r="G602" s="17" t="s">
        <v>1941</v>
      </c>
      <c r="H602" s="17">
        <v>19141</v>
      </c>
      <c r="I602" t="s">
        <v>1951</v>
      </c>
    </row>
    <row r="603" spans="1:9" x14ac:dyDescent="0.3">
      <c r="A603" s="17" t="s">
        <v>1176</v>
      </c>
      <c r="B603" s="17" t="s">
        <v>4577</v>
      </c>
      <c r="C603" s="17" t="s">
        <v>4578</v>
      </c>
      <c r="D603" s="17" t="s">
        <v>4579</v>
      </c>
      <c r="E603" s="17" t="s">
        <v>4580</v>
      </c>
      <c r="F603" s="17" t="s">
        <v>2008</v>
      </c>
      <c r="G603" s="17" t="s">
        <v>1941</v>
      </c>
      <c r="H603" s="17">
        <v>41905</v>
      </c>
      <c r="I603" t="s">
        <v>1942</v>
      </c>
    </row>
    <row r="604" spans="1:9" x14ac:dyDescent="0.3">
      <c r="A604" s="17" t="s">
        <v>1178</v>
      </c>
      <c r="B604" s="17" t="s">
        <v>4581</v>
      </c>
      <c r="C604" s="17" t="s">
        <v>4582</v>
      </c>
      <c r="D604" s="17" t="s">
        <v>4583</v>
      </c>
      <c r="E604" s="17" t="s">
        <v>4584</v>
      </c>
      <c r="F604" s="17" t="s">
        <v>2211</v>
      </c>
      <c r="G604" s="17" t="s">
        <v>1941</v>
      </c>
      <c r="H604" s="17">
        <v>43666</v>
      </c>
      <c r="I604" t="s">
        <v>1942</v>
      </c>
    </row>
    <row r="605" spans="1:9" x14ac:dyDescent="0.3">
      <c r="A605" s="17" t="s">
        <v>1180</v>
      </c>
      <c r="B605" s="17" t="s">
        <v>4585</v>
      </c>
      <c r="C605" s="17" t="s">
        <v>4586</v>
      </c>
      <c r="D605" s="17"/>
      <c r="E605" s="17" t="s">
        <v>4587</v>
      </c>
      <c r="F605" s="17" t="s">
        <v>2340</v>
      </c>
      <c r="G605" s="17" t="s">
        <v>1941</v>
      </c>
      <c r="H605" s="17">
        <v>80945</v>
      </c>
      <c r="I605" t="s">
        <v>1951</v>
      </c>
    </row>
    <row r="606" spans="1:9" x14ac:dyDescent="0.3">
      <c r="A606" s="17" t="s">
        <v>1182</v>
      </c>
      <c r="B606" s="17" t="s">
        <v>4588</v>
      </c>
      <c r="C606" s="17"/>
      <c r="D606" s="17" t="s">
        <v>4589</v>
      </c>
      <c r="E606" s="17" t="s">
        <v>4590</v>
      </c>
      <c r="F606" s="17" t="s">
        <v>3839</v>
      </c>
      <c r="G606" s="17" t="s">
        <v>1949</v>
      </c>
      <c r="H606" s="17" t="s">
        <v>3840</v>
      </c>
      <c r="I606" t="s">
        <v>1951</v>
      </c>
    </row>
    <row r="607" spans="1:9" x14ac:dyDescent="0.3">
      <c r="A607" s="17" t="s">
        <v>1184</v>
      </c>
      <c r="B607" s="17" t="s">
        <v>4591</v>
      </c>
      <c r="C607" s="17" t="s">
        <v>4592</v>
      </c>
      <c r="D607" s="17" t="s">
        <v>4593</v>
      </c>
      <c r="E607" s="17" t="s">
        <v>4594</v>
      </c>
      <c r="F607" s="17" t="s">
        <v>4595</v>
      </c>
      <c r="G607" s="17" t="s">
        <v>1941</v>
      </c>
      <c r="H607" s="17">
        <v>15274</v>
      </c>
      <c r="I607" t="s">
        <v>1942</v>
      </c>
    </row>
    <row r="608" spans="1:9" x14ac:dyDescent="0.3">
      <c r="A608" s="17" t="s">
        <v>4596</v>
      </c>
      <c r="B608" s="17" t="s">
        <v>4597</v>
      </c>
      <c r="C608" s="17" t="s">
        <v>4598</v>
      </c>
      <c r="D608" s="17" t="s">
        <v>4599</v>
      </c>
      <c r="E608" s="17" t="s">
        <v>4600</v>
      </c>
      <c r="F608" s="17" t="s">
        <v>3388</v>
      </c>
      <c r="G608" s="17" t="s">
        <v>1941</v>
      </c>
      <c r="H608" s="17">
        <v>33411</v>
      </c>
      <c r="I608" t="s">
        <v>1951</v>
      </c>
    </row>
    <row r="609" spans="1:9" x14ac:dyDescent="0.3">
      <c r="A609" s="17" t="s">
        <v>1187</v>
      </c>
      <c r="B609" s="17" t="s">
        <v>4601</v>
      </c>
      <c r="C609" s="17" t="s">
        <v>4602</v>
      </c>
      <c r="D609" s="17" t="s">
        <v>4603</v>
      </c>
      <c r="E609" s="17" t="s">
        <v>4604</v>
      </c>
      <c r="F609" s="17" t="s">
        <v>3524</v>
      </c>
      <c r="G609" s="17" t="s">
        <v>1941</v>
      </c>
      <c r="H609" s="17">
        <v>71115</v>
      </c>
      <c r="I609" t="s">
        <v>1942</v>
      </c>
    </row>
    <row r="610" spans="1:9" x14ac:dyDescent="0.3">
      <c r="A610" s="17" t="s">
        <v>1189</v>
      </c>
      <c r="B610" s="17" t="s">
        <v>4605</v>
      </c>
      <c r="C610" s="17"/>
      <c r="D610" s="17"/>
      <c r="E610" s="17" t="s">
        <v>4606</v>
      </c>
      <c r="F610" s="17" t="s">
        <v>4193</v>
      </c>
      <c r="G610" s="17" t="s">
        <v>1941</v>
      </c>
      <c r="H610" s="17">
        <v>44105</v>
      </c>
      <c r="I610" t="s">
        <v>1951</v>
      </c>
    </row>
    <row r="611" spans="1:9" x14ac:dyDescent="0.3">
      <c r="A611" s="17" t="s">
        <v>1191</v>
      </c>
      <c r="B611" s="17" t="s">
        <v>4607</v>
      </c>
      <c r="C611" s="17" t="s">
        <v>4608</v>
      </c>
      <c r="D611" s="17" t="s">
        <v>4609</v>
      </c>
      <c r="E611" s="17" t="s">
        <v>4610</v>
      </c>
      <c r="F611" s="17" t="s">
        <v>3121</v>
      </c>
      <c r="G611" s="17" t="s">
        <v>1941</v>
      </c>
      <c r="H611" s="17">
        <v>53234</v>
      </c>
      <c r="I611" t="s">
        <v>1942</v>
      </c>
    </row>
    <row r="612" spans="1:9" x14ac:dyDescent="0.3">
      <c r="A612" s="17" t="s">
        <v>1193</v>
      </c>
      <c r="B612" s="17" t="s">
        <v>4611</v>
      </c>
      <c r="C612" s="17" t="s">
        <v>4612</v>
      </c>
      <c r="D612" s="17" t="s">
        <v>4613</v>
      </c>
      <c r="E612" s="17" t="s">
        <v>4614</v>
      </c>
      <c r="F612" s="17" t="s">
        <v>2191</v>
      </c>
      <c r="G612" s="17" t="s">
        <v>1941</v>
      </c>
      <c r="H612" s="17">
        <v>33345</v>
      </c>
      <c r="I612" t="s">
        <v>1951</v>
      </c>
    </row>
    <row r="613" spans="1:9" x14ac:dyDescent="0.3">
      <c r="A613" s="17" t="s">
        <v>1195</v>
      </c>
      <c r="B613" s="17" t="s">
        <v>4615</v>
      </c>
      <c r="C613" s="17" t="s">
        <v>4616</v>
      </c>
      <c r="D613" s="17" t="s">
        <v>4617</v>
      </c>
      <c r="E613" s="17" t="s">
        <v>4618</v>
      </c>
      <c r="F613" s="17" t="s">
        <v>3524</v>
      </c>
      <c r="G613" s="17" t="s">
        <v>1941</v>
      </c>
      <c r="H613" s="17">
        <v>71105</v>
      </c>
      <c r="I613" t="s">
        <v>1951</v>
      </c>
    </row>
    <row r="614" spans="1:9" x14ac:dyDescent="0.3">
      <c r="A614" s="17" t="s">
        <v>1197</v>
      </c>
      <c r="B614" s="17" t="s">
        <v>4619</v>
      </c>
      <c r="C614" s="17"/>
      <c r="D614" s="17" t="s">
        <v>4620</v>
      </c>
      <c r="E614" s="17" t="s">
        <v>4621</v>
      </c>
      <c r="F614" s="17" t="s">
        <v>2366</v>
      </c>
      <c r="G614" s="17" t="s">
        <v>1949</v>
      </c>
      <c r="H614" s="17" t="s">
        <v>2545</v>
      </c>
      <c r="I614" t="s">
        <v>1951</v>
      </c>
    </row>
    <row r="615" spans="1:9" x14ac:dyDescent="0.3">
      <c r="A615" s="17" t="s">
        <v>1199</v>
      </c>
      <c r="B615" s="17" t="s">
        <v>4622</v>
      </c>
      <c r="C615" s="17"/>
      <c r="D615" s="17" t="s">
        <v>4623</v>
      </c>
      <c r="E615" s="17" t="s">
        <v>4624</v>
      </c>
      <c r="F615" s="17" t="s">
        <v>2999</v>
      </c>
      <c r="G615" s="17" t="s">
        <v>1941</v>
      </c>
      <c r="H615" s="17">
        <v>94207</v>
      </c>
      <c r="I615" t="s">
        <v>1951</v>
      </c>
    </row>
    <row r="616" spans="1:9" x14ac:dyDescent="0.3">
      <c r="A616" s="17" t="s">
        <v>4625</v>
      </c>
      <c r="B616" s="17" t="s">
        <v>4626</v>
      </c>
      <c r="C616" s="17"/>
      <c r="D616" s="17" t="s">
        <v>4627</v>
      </c>
      <c r="E616" s="17" t="s">
        <v>4628</v>
      </c>
      <c r="F616" s="17" t="s">
        <v>2506</v>
      </c>
      <c r="G616" s="17" t="s">
        <v>1941</v>
      </c>
      <c r="H616" s="17">
        <v>37240</v>
      </c>
      <c r="I616" t="s">
        <v>1951</v>
      </c>
    </row>
    <row r="617" spans="1:9" x14ac:dyDescent="0.3">
      <c r="A617" s="17" t="s">
        <v>1202</v>
      </c>
      <c r="B617" s="17" t="s">
        <v>4629</v>
      </c>
      <c r="C617" s="17" t="s">
        <v>4630</v>
      </c>
      <c r="D617" s="17" t="s">
        <v>4631</v>
      </c>
      <c r="E617" s="17" t="s">
        <v>4632</v>
      </c>
      <c r="F617" s="17" t="s">
        <v>2550</v>
      </c>
      <c r="G617" s="17" t="s">
        <v>1941</v>
      </c>
      <c r="H617" s="17">
        <v>58122</v>
      </c>
      <c r="I617" t="s">
        <v>1942</v>
      </c>
    </row>
    <row r="618" spans="1:9" x14ac:dyDescent="0.3">
      <c r="A618" s="17" t="s">
        <v>1204</v>
      </c>
      <c r="B618" s="17" t="s">
        <v>4633</v>
      </c>
      <c r="C618" s="17" t="s">
        <v>4634</v>
      </c>
      <c r="D618" s="17" t="s">
        <v>4635</v>
      </c>
      <c r="E618" s="17" t="s">
        <v>4636</v>
      </c>
      <c r="F618" s="17" t="s">
        <v>4637</v>
      </c>
      <c r="G618" s="17" t="s">
        <v>2116</v>
      </c>
      <c r="H618" s="17" t="s">
        <v>4638</v>
      </c>
      <c r="I618" t="s">
        <v>1951</v>
      </c>
    </row>
    <row r="619" spans="1:9" x14ac:dyDescent="0.3">
      <c r="A619" s="17" t="s">
        <v>1206</v>
      </c>
      <c r="B619" s="17" t="s">
        <v>4639</v>
      </c>
      <c r="C619" s="17" t="s">
        <v>4640</v>
      </c>
      <c r="D619" s="17" t="s">
        <v>4641</v>
      </c>
      <c r="E619" s="17" t="s">
        <v>4642</v>
      </c>
      <c r="F619" s="17" t="s">
        <v>2816</v>
      </c>
      <c r="G619" s="17" t="s">
        <v>1941</v>
      </c>
      <c r="H619" s="17">
        <v>74184</v>
      </c>
      <c r="I619" t="s">
        <v>1951</v>
      </c>
    </row>
    <row r="620" spans="1:9" x14ac:dyDescent="0.3">
      <c r="A620" s="17" t="s">
        <v>1208</v>
      </c>
      <c r="B620" s="17" t="s">
        <v>4643</v>
      </c>
      <c r="C620" s="17" t="s">
        <v>4644</v>
      </c>
      <c r="D620" s="17" t="s">
        <v>4645</v>
      </c>
      <c r="E620" s="17" t="s">
        <v>4646</v>
      </c>
      <c r="F620" s="17" t="s">
        <v>2037</v>
      </c>
      <c r="G620" s="17" t="s">
        <v>1941</v>
      </c>
      <c r="H620" s="17">
        <v>10045</v>
      </c>
      <c r="I620" t="s">
        <v>1942</v>
      </c>
    </row>
    <row r="621" spans="1:9" x14ac:dyDescent="0.3">
      <c r="A621" s="17" t="s">
        <v>1210</v>
      </c>
      <c r="B621" s="17" t="s">
        <v>4647</v>
      </c>
      <c r="C621" s="17" t="s">
        <v>4648</v>
      </c>
      <c r="D621" s="17" t="s">
        <v>4649</v>
      </c>
      <c r="E621" s="17" t="s">
        <v>4650</v>
      </c>
      <c r="F621" s="17" t="s">
        <v>4651</v>
      </c>
      <c r="G621" s="17" t="s">
        <v>1941</v>
      </c>
      <c r="H621" s="17">
        <v>34642</v>
      </c>
      <c r="I621" t="s">
        <v>1942</v>
      </c>
    </row>
    <row r="622" spans="1:9" x14ac:dyDescent="0.3">
      <c r="A622" s="17" t="s">
        <v>4652</v>
      </c>
      <c r="B622" s="17" t="s">
        <v>4653</v>
      </c>
      <c r="C622" s="17" t="s">
        <v>4654</v>
      </c>
      <c r="D622" s="17" t="s">
        <v>4655</v>
      </c>
      <c r="E622" s="17" t="s">
        <v>4656</v>
      </c>
      <c r="F622" s="17" t="s">
        <v>3918</v>
      </c>
      <c r="G622" s="17" t="s">
        <v>1949</v>
      </c>
      <c r="H622" s="17" t="s">
        <v>3919</v>
      </c>
      <c r="I622" t="s">
        <v>1951</v>
      </c>
    </row>
    <row r="623" spans="1:9" x14ac:dyDescent="0.3">
      <c r="A623" s="17" t="s">
        <v>1214</v>
      </c>
      <c r="B623" s="17" t="s">
        <v>4657</v>
      </c>
      <c r="C623" s="17" t="s">
        <v>4658</v>
      </c>
      <c r="D623" s="17" t="s">
        <v>4659</v>
      </c>
      <c r="E623" s="17" t="s">
        <v>4660</v>
      </c>
      <c r="F623" s="17" t="s">
        <v>2022</v>
      </c>
      <c r="G623" s="17" t="s">
        <v>1941</v>
      </c>
      <c r="H623" s="17">
        <v>97296</v>
      </c>
      <c r="I623" t="s">
        <v>1951</v>
      </c>
    </row>
    <row r="624" spans="1:9" x14ac:dyDescent="0.3">
      <c r="A624" s="17" t="s">
        <v>1216</v>
      </c>
      <c r="B624" s="17" t="s">
        <v>4661</v>
      </c>
      <c r="C624" s="17" t="s">
        <v>4662</v>
      </c>
      <c r="D624" s="17"/>
      <c r="E624" s="17" t="s">
        <v>4663</v>
      </c>
      <c r="F624" s="17" t="s">
        <v>3370</v>
      </c>
      <c r="G624" s="17" t="s">
        <v>1941</v>
      </c>
      <c r="H624" s="17">
        <v>89115</v>
      </c>
      <c r="I624" t="s">
        <v>1951</v>
      </c>
    </row>
    <row r="625" spans="1:9" x14ac:dyDescent="0.3">
      <c r="A625" s="17" t="s">
        <v>1218</v>
      </c>
      <c r="B625" s="17" t="s">
        <v>4664</v>
      </c>
      <c r="C625" s="17"/>
      <c r="D625" s="17" t="s">
        <v>4665</v>
      </c>
      <c r="E625" s="17" t="s">
        <v>4666</v>
      </c>
      <c r="F625" s="17" t="s">
        <v>4667</v>
      </c>
      <c r="G625" s="17" t="s">
        <v>2116</v>
      </c>
      <c r="H625" s="17" t="s">
        <v>4668</v>
      </c>
      <c r="I625" t="s">
        <v>1951</v>
      </c>
    </row>
    <row r="626" spans="1:9" x14ac:dyDescent="0.3">
      <c r="A626" s="17" t="s">
        <v>1220</v>
      </c>
      <c r="B626" s="17" t="s">
        <v>4669</v>
      </c>
      <c r="C626" s="17" t="s">
        <v>4670</v>
      </c>
      <c r="D626" s="17"/>
      <c r="E626" s="17" t="s">
        <v>4671</v>
      </c>
      <c r="F626" s="17" t="s">
        <v>4672</v>
      </c>
      <c r="G626" s="17" t="s">
        <v>1949</v>
      </c>
      <c r="H626" s="17" t="s">
        <v>4673</v>
      </c>
      <c r="I626" t="s">
        <v>1942</v>
      </c>
    </row>
    <row r="627" spans="1:9" x14ac:dyDescent="0.3">
      <c r="A627" s="17" t="s">
        <v>1222</v>
      </c>
      <c r="B627" s="17" t="s">
        <v>4674</v>
      </c>
      <c r="C627" s="17" t="s">
        <v>4675</v>
      </c>
      <c r="D627" s="17" t="s">
        <v>4676</v>
      </c>
      <c r="E627" s="17" t="s">
        <v>4677</v>
      </c>
      <c r="F627" s="17" t="s">
        <v>3090</v>
      </c>
      <c r="G627" s="17" t="s">
        <v>1941</v>
      </c>
      <c r="H627" s="17">
        <v>94159</v>
      </c>
      <c r="I627" t="s">
        <v>1951</v>
      </c>
    </row>
    <row r="628" spans="1:9" x14ac:dyDescent="0.3">
      <c r="A628" s="17" t="s">
        <v>1224</v>
      </c>
      <c r="B628" s="17" t="s">
        <v>4678</v>
      </c>
      <c r="C628" s="17" t="s">
        <v>4679</v>
      </c>
      <c r="D628" s="17" t="s">
        <v>4680</v>
      </c>
      <c r="E628" s="17" t="s">
        <v>4681</v>
      </c>
      <c r="F628" s="17" t="s">
        <v>4595</v>
      </c>
      <c r="G628" s="17" t="s">
        <v>1941</v>
      </c>
      <c r="H628" s="17">
        <v>15274</v>
      </c>
      <c r="I628" t="s">
        <v>1951</v>
      </c>
    </row>
    <row r="629" spans="1:9" x14ac:dyDescent="0.3">
      <c r="A629" s="17" t="s">
        <v>1226</v>
      </c>
      <c r="B629" s="17" t="s">
        <v>4682</v>
      </c>
      <c r="C629" s="17" t="s">
        <v>4683</v>
      </c>
      <c r="D629" s="17" t="s">
        <v>4684</v>
      </c>
      <c r="E629" s="17" t="s">
        <v>4685</v>
      </c>
      <c r="F629" s="17" t="s">
        <v>2027</v>
      </c>
      <c r="G629" s="17" t="s">
        <v>1941</v>
      </c>
      <c r="H629" s="17">
        <v>77281</v>
      </c>
      <c r="I629" t="s">
        <v>1942</v>
      </c>
    </row>
    <row r="630" spans="1:9" x14ac:dyDescent="0.3">
      <c r="A630" s="17" t="s">
        <v>1228</v>
      </c>
      <c r="B630" s="17" t="s">
        <v>4686</v>
      </c>
      <c r="C630" s="17" t="s">
        <v>4687</v>
      </c>
      <c r="D630" s="17" t="s">
        <v>4688</v>
      </c>
      <c r="E630" s="17" t="s">
        <v>4689</v>
      </c>
      <c r="F630" s="17" t="s">
        <v>4690</v>
      </c>
      <c r="G630" s="17" t="s">
        <v>1949</v>
      </c>
      <c r="H630" s="17" t="s">
        <v>2032</v>
      </c>
      <c r="I630" t="s">
        <v>1942</v>
      </c>
    </row>
    <row r="631" spans="1:9" x14ac:dyDescent="0.3">
      <c r="A631" s="17" t="s">
        <v>1212</v>
      </c>
      <c r="B631" s="17" t="s">
        <v>4691</v>
      </c>
      <c r="C631" s="17" t="s">
        <v>4692</v>
      </c>
      <c r="D631" s="17"/>
      <c r="E631" s="17" t="s">
        <v>4693</v>
      </c>
      <c r="F631" s="17" t="s">
        <v>2191</v>
      </c>
      <c r="G631" s="17" t="s">
        <v>1941</v>
      </c>
      <c r="H631" s="17">
        <v>33345</v>
      </c>
      <c r="I631" t="s">
        <v>1951</v>
      </c>
    </row>
    <row r="632" spans="1:9" x14ac:dyDescent="0.3">
      <c r="A632" s="17" t="s">
        <v>4694</v>
      </c>
      <c r="B632" s="17" t="s">
        <v>4695</v>
      </c>
      <c r="C632" s="17" t="s">
        <v>4696</v>
      </c>
      <c r="D632" s="17" t="s">
        <v>4697</v>
      </c>
      <c r="E632" s="17" t="s">
        <v>4698</v>
      </c>
      <c r="F632" s="17" t="s">
        <v>3179</v>
      </c>
      <c r="G632" s="17" t="s">
        <v>1941</v>
      </c>
      <c r="H632" s="17">
        <v>76210</v>
      </c>
      <c r="I632" t="s">
        <v>1951</v>
      </c>
    </row>
    <row r="633" spans="1:9" x14ac:dyDescent="0.3">
      <c r="A633" s="17" t="s">
        <v>4699</v>
      </c>
      <c r="B633" s="17" t="s">
        <v>4700</v>
      </c>
      <c r="C633" s="17" t="s">
        <v>4701</v>
      </c>
      <c r="D633" s="17" t="s">
        <v>4702</v>
      </c>
      <c r="E633" s="17" t="s">
        <v>4703</v>
      </c>
      <c r="F633" s="17" t="s">
        <v>3967</v>
      </c>
      <c r="G633" s="17" t="s">
        <v>1949</v>
      </c>
      <c r="H633" s="17" t="s">
        <v>2771</v>
      </c>
      <c r="I633" t="s">
        <v>1942</v>
      </c>
    </row>
    <row r="634" spans="1:9" x14ac:dyDescent="0.3">
      <c r="A634" s="17" t="s">
        <v>1230</v>
      </c>
      <c r="B634" s="17" t="s">
        <v>4704</v>
      </c>
      <c r="C634" s="17" t="s">
        <v>4705</v>
      </c>
      <c r="D634" s="17" t="s">
        <v>4706</v>
      </c>
      <c r="E634" s="17" t="s">
        <v>4707</v>
      </c>
      <c r="F634" s="17" t="s">
        <v>1986</v>
      </c>
      <c r="G634" s="17" t="s">
        <v>1941</v>
      </c>
      <c r="H634" s="17">
        <v>90005</v>
      </c>
      <c r="I634" t="s">
        <v>1951</v>
      </c>
    </row>
    <row r="635" spans="1:9" x14ac:dyDescent="0.3">
      <c r="A635" s="17" t="s">
        <v>1232</v>
      </c>
      <c r="B635" s="17" t="s">
        <v>4708</v>
      </c>
      <c r="C635" s="17" t="s">
        <v>4709</v>
      </c>
      <c r="D635" s="17" t="s">
        <v>4710</v>
      </c>
      <c r="E635" s="17" t="s">
        <v>4711</v>
      </c>
      <c r="F635" s="17" t="s">
        <v>3004</v>
      </c>
      <c r="G635" s="17" t="s">
        <v>1941</v>
      </c>
      <c r="H635" s="17">
        <v>18706</v>
      </c>
      <c r="I635" t="s">
        <v>1951</v>
      </c>
    </row>
    <row r="636" spans="1:9" x14ac:dyDescent="0.3">
      <c r="A636" s="17" t="s">
        <v>1234</v>
      </c>
      <c r="B636" s="17" t="s">
        <v>4712</v>
      </c>
      <c r="C636" s="17" t="s">
        <v>4713</v>
      </c>
      <c r="D636" s="17" t="s">
        <v>4714</v>
      </c>
      <c r="E636" s="17" t="s">
        <v>4715</v>
      </c>
      <c r="F636" s="17" t="s">
        <v>3179</v>
      </c>
      <c r="G636" s="17" t="s">
        <v>1941</v>
      </c>
      <c r="H636" s="17">
        <v>76205</v>
      </c>
      <c r="I636" t="s">
        <v>1951</v>
      </c>
    </row>
    <row r="637" spans="1:9" x14ac:dyDescent="0.3">
      <c r="A637" s="17" t="s">
        <v>1236</v>
      </c>
      <c r="B637" s="17" t="s">
        <v>4716</v>
      </c>
      <c r="C637" s="17" t="s">
        <v>4717</v>
      </c>
      <c r="D637" s="17" t="s">
        <v>4718</v>
      </c>
      <c r="E637" s="17" t="s">
        <v>4719</v>
      </c>
      <c r="F637" s="17" t="s">
        <v>2957</v>
      </c>
      <c r="G637" s="17" t="s">
        <v>1941</v>
      </c>
      <c r="H637" s="17">
        <v>64082</v>
      </c>
      <c r="I637" t="s">
        <v>1942</v>
      </c>
    </row>
    <row r="638" spans="1:9" x14ac:dyDescent="0.3">
      <c r="A638" s="17" t="s">
        <v>1238</v>
      </c>
      <c r="B638" s="17" t="s">
        <v>4720</v>
      </c>
      <c r="C638" s="17" t="s">
        <v>4721</v>
      </c>
      <c r="D638" s="17" t="s">
        <v>4722</v>
      </c>
      <c r="E638" s="17" t="s">
        <v>4723</v>
      </c>
      <c r="F638" s="17" t="s">
        <v>2127</v>
      </c>
      <c r="G638" s="17" t="s">
        <v>1941</v>
      </c>
      <c r="H638" s="17">
        <v>72209</v>
      </c>
      <c r="I638" t="s">
        <v>1942</v>
      </c>
    </row>
    <row r="639" spans="1:9" x14ac:dyDescent="0.3">
      <c r="A639" s="17" t="s">
        <v>1240</v>
      </c>
      <c r="B639" s="17" t="s">
        <v>4724</v>
      </c>
      <c r="C639" s="17" t="s">
        <v>4725</v>
      </c>
      <c r="D639" s="17" t="s">
        <v>4726</v>
      </c>
      <c r="E639" s="17" t="s">
        <v>4727</v>
      </c>
      <c r="F639" s="17" t="s">
        <v>4728</v>
      </c>
      <c r="G639" s="17" t="s">
        <v>1949</v>
      </c>
      <c r="H639" s="17" t="s">
        <v>2831</v>
      </c>
      <c r="I639" t="s">
        <v>1942</v>
      </c>
    </row>
    <row r="640" spans="1:9" x14ac:dyDescent="0.3">
      <c r="A640" s="17" t="s">
        <v>1242</v>
      </c>
      <c r="B640" s="17" t="s">
        <v>4729</v>
      </c>
      <c r="C640" s="17"/>
      <c r="D640" s="17" t="s">
        <v>4730</v>
      </c>
      <c r="E640" s="17" t="s">
        <v>4731</v>
      </c>
      <c r="F640" s="17" t="s">
        <v>4416</v>
      </c>
      <c r="G640" s="17" t="s">
        <v>1949</v>
      </c>
      <c r="H640" s="17" t="s">
        <v>4417</v>
      </c>
      <c r="I640" t="s">
        <v>1942</v>
      </c>
    </row>
    <row r="641" spans="1:9" x14ac:dyDescent="0.3">
      <c r="A641" s="17" t="s">
        <v>1244</v>
      </c>
      <c r="B641" s="17" t="s">
        <v>4732</v>
      </c>
      <c r="C641" s="17" t="s">
        <v>4733</v>
      </c>
      <c r="D641" s="17" t="s">
        <v>4734</v>
      </c>
      <c r="E641" s="17" t="s">
        <v>4735</v>
      </c>
      <c r="F641" s="17" t="s">
        <v>3143</v>
      </c>
      <c r="G641" s="17" t="s">
        <v>1941</v>
      </c>
      <c r="H641" s="17">
        <v>16534</v>
      </c>
      <c r="I641" t="s">
        <v>1942</v>
      </c>
    </row>
    <row r="642" spans="1:9" x14ac:dyDescent="0.3">
      <c r="A642" s="17" t="s">
        <v>4736</v>
      </c>
      <c r="B642" s="17" t="s">
        <v>4737</v>
      </c>
      <c r="C642" s="17"/>
      <c r="D642" s="17" t="s">
        <v>4738</v>
      </c>
      <c r="E642" s="17" t="s">
        <v>4739</v>
      </c>
      <c r="F642" s="17" t="s">
        <v>3164</v>
      </c>
      <c r="G642" s="17" t="s">
        <v>2116</v>
      </c>
      <c r="H642" s="17" t="s">
        <v>3165</v>
      </c>
      <c r="I642" t="s">
        <v>1951</v>
      </c>
    </row>
    <row r="643" spans="1:9" x14ac:dyDescent="0.3">
      <c r="A643" s="17" t="s">
        <v>1248</v>
      </c>
      <c r="B643" s="17" t="s">
        <v>4740</v>
      </c>
      <c r="C643" s="17" t="s">
        <v>4741</v>
      </c>
      <c r="D643" s="17" t="s">
        <v>4742</v>
      </c>
      <c r="E643" s="17" t="s">
        <v>4743</v>
      </c>
      <c r="F643" s="17" t="s">
        <v>4595</v>
      </c>
      <c r="G643" s="17" t="s">
        <v>1941</v>
      </c>
      <c r="H643" s="17">
        <v>15255</v>
      </c>
      <c r="I643" t="s">
        <v>1942</v>
      </c>
    </row>
    <row r="644" spans="1:9" x14ac:dyDescent="0.3">
      <c r="A644" s="17" t="s">
        <v>1250</v>
      </c>
      <c r="B644" s="17" t="s">
        <v>4744</v>
      </c>
      <c r="C644" s="17" t="s">
        <v>4745</v>
      </c>
      <c r="D644" s="17" t="s">
        <v>4746</v>
      </c>
      <c r="E644" s="17" t="s">
        <v>4747</v>
      </c>
      <c r="F644" s="17" t="s">
        <v>4748</v>
      </c>
      <c r="G644" s="17" t="s">
        <v>2116</v>
      </c>
      <c r="H644" s="17" t="s">
        <v>4749</v>
      </c>
      <c r="I644" t="s">
        <v>1942</v>
      </c>
    </row>
    <row r="645" spans="1:9" x14ac:dyDescent="0.3">
      <c r="A645" s="17" t="s">
        <v>1252</v>
      </c>
      <c r="B645" s="17" t="s">
        <v>4750</v>
      </c>
      <c r="C645" s="17" t="s">
        <v>4751</v>
      </c>
      <c r="D645" s="17"/>
      <c r="E645" s="17" t="s">
        <v>4752</v>
      </c>
      <c r="F645" s="17" t="s">
        <v>2325</v>
      </c>
      <c r="G645" s="17" t="s">
        <v>1941</v>
      </c>
      <c r="H645" s="17">
        <v>75260</v>
      </c>
      <c r="I645" t="s">
        <v>1942</v>
      </c>
    </row>
    <row r="646" spans="1:9" x14ac:dyDescent="0.3">
      <c r="A646" s="17" t="s">
        <v>1254</v>
      </c>
      <c r="B646" s="17" t="s">
        <v>4753</v>
      </c>
      <c r="C646" s="17"/>
      <c r="D646" s="17" t="s">
        <v>4754</v>
      </c>
      <c r="E646" s="17" t="s">
        <v>4755</v>
      </c>
      <c r="F646" s="17" t="s">
        <v>3581</v>
      </c>
      <c r="G646" s="17" t="s">
        <v>1941</v>
      </c>
      <c r="H646" s="17">
        <v>33233</v>
      </c>
      <c r="I646" t="s">
        <v>1951</v>
      </c>
    </row>
    <row r="647" spans="1:9" x14ac:dyDescent="0.3">
      <c r="A647" s="17" t="s">
        <v>1256</v>
      </c>
      <c r="B647" s="17" t="s">
        <v>4756</v>
      </c>
      <c r="C647" s="17" t="s">
        <v>4757</v>
      </c>
      <c r="D647" s="17" t="s">
        <v>4758</v>
      </c>
      <c r="E647" s="17" t="s">
        <v>4759</v>
      </c>
      <c r="F647" s="17" t="s">
        <v>4760</v>
      </c>
      <c r="G647" s="17" t="s">
        <v>1941</v>
      </c>
      <c r="H647" s="17">
        <v>76905</v>
      </c>
      <c r="I647" t="s">
        <v>1942</v>
      </c>
    </row>
    <row r="648" spans="1:9" x14ac:dyDescent="0.3">
      <c r="A648" s="17" t="s">
        <v>1258</v>
      </c>
      <c r="B648" s="17" t="s">
        <v>4761</v>
      </c>
      <c r="C648" s="17" t="s">
        <v>4762</v>
      </c>
      <c r="D648" s="17" t="s">
        <v>4763</v>
      </c>
      <c r="E648" s="17" t="s">
        <v>4764</v>
      </c>
      <c r="F648" s="17" t="s">
        <v>2881</v>
      </c>
      <c r="G648" s="17" t="s">
        <v>1941</v>
      </c>
      <c r="H648" s="17">
        <v>12205</v>
      </c>
      <c r="I648" t="s">
        <v>1942</v>
      </c>
    </row>
    <row r="649" spans="1:9" x14ac:dyDescent="0.3">
      <c r="A649" s="17" t="s">
        <v>1260</v>
      </c>
      <c r="B649" s="17" t="s">
        <v>4765</v>
      </c>
      <c r="C649" s="17" t="s">
        <v>4766</v>
      </c>
      <c r="D649" s="17" t="s">
        <v>4767</v>
      </c>
      <c r="E649" s="17" t="s">
        <v>4768</v>
      </c>
      <c r="F649" s="17" t="s">
        <v>4769</v>
      </c>
      <c r="G649" s="17" t="s">
        <v>2116</v>
      </c>
      <c r="H649" s="17" t="s">
        <v>4770</v>
      </c>
      <c r="I649" t="s">
        <v>1942</v>
      </c>
    </row>
    <row r="650" spans="1:9" x14ac:dyDescent="0.3">
      <c r="A650" s="17" t="s">
        <v>1246</v>
      </c>
      <c r="B650" s="17" t="s">
        <v>4771</v>
      </c>
      <c r="C650" s="17" t="s">
        <v>4772</v>
      </c>
      <c r="D650" s="17" t="s">
        <v>4773</v>
      </c>
      <c r="E650" s="17" t="s">
        <v>4774</v>
      </c>
      <c r="F650" s="17" t="s">
        <v>2287</v>
      </c>
      <c r="G650" s="17" t="s">
        <v>1941</v>
      </c>
      <c r="H650" s="17">
        <v>43240</v>
      </c>
      <c r="I650" t="s">
        <v>1951</v>
      </c>
    </row>
    <row r="651" spans="1:9" x14ac:dyDescent="0.3">
      <c r="A651" s="17" t="s">
        <v>1263</v>
      </c>
      <c r="B651" s="17" t="s">
        <v>4775</v>
      </c>
      <c r="C651" s="17" t="s">
        <v>4776</v>
      </c>
      <c r="D651" s="17" t="s">
        <v>4777</v>
      </c>
      <c r="E651" s="17" t="s">
        <v>4778</v>
      </c>
      <c r="F651" s="17" t="s">
        <v>4779</v>
      </c>
      <c r="G651" s="17" t="s">
        <v>2116</v>
      </c>
      <c r="H651" s="17" t="s">
        <v>4780</v>
      </c>
      <c r="I651" t="s">
        <v>1951</v>
      </c>
    </row>
    <row r="652" spans="1:9" x14ac:dyDescent="0.3">
      <c r="A652" s="17" t="s">
        <v>1265</v>
      </c>
      <c r="B652" s="17" t="s">
        <v>4781</v>
      </c>
      <c r="C652" s="17" t="s">
        <v>4782</v>
      </c>
      <c r="D652" s="17" t="s">
        <v>4783</v>
      </c>
      <c r="E652" s="17" t="s">
        <v>4784</v>
      </c>
      <c r="F652" s="17" t="s">
        <v>2383</v>
      </c>
      <c r="G652" s="17" t="s">
        <v>1941</v>
      </c>
      <c r="H652" s="17">
        <v>92883</v>
      </c>
      <c r="I652" t="s">
        <v>1942</v>
      </c>
    </row>
    <row r="653" spans="1:9" x14ac:dyDescent="0.3">
      <c r="A653" s="17" t="s">
        <v>1267</v>
      </c>
      <c r="B653" s="17" t="s">
        <v>4785</v>
      </c>
      <c r="C653" s="17"/>
      <c r="D653" s="17" t="s">
        <v>4786</v>
      </c>
      <c r="E653" s="17" t="s">
        <v>4787</v>
      </c>
      <c r="F653" s="17" t="s">
        <v>2186</v>
      </c>
      <c r="G653" s="17" t="s">
        <v>1941</v>
      </c>
      <c r="H653" s="17">
        <v>20436</v>
      </c>
      <c r="I653" t="s">
        <v>1951</v>
      </c>
    </row>
    <row r="654" spans="1:9" x14ac:dyDescent="0.3">
      <c r="A654" s="17" t="s">
        <v>1269</v>
      </c>
      <c r="B654" s="17" t="s">
        <v>4788</v>
      </c>
      <c r="C654" s="17" t="s">
        <v>4789</v>
      </c>
      <c r="D654" s="17"/>
      <c r="E654" s="17" t="s">
        <v>4790</v>
      </c>
      <c r="F654" s="17" t="s">
        <v>4791</v>
      </c>
      <c r="G654" s="17" t="s">
        <v>1949</v>
      </c>
      <c r="H654" s="17" t="s">
        <v>1950</v>
      </c>
      <c r="I654" t="s">
        <v>1951</v>
      </c>
    </row>
    <row r="655" spans="1:9" x14ac:dyDescent="0.3">
      <c r="A655" s="17" t="s">
        <v>1271</v>
      </c>
      <c r="B655" s="17" t="s">
        <v>4792</v>
      </c>
      <c r="C655" s="17" t="s">
        <v>4793</v>
      </c>
      <c r="D655" s="17" t="s">
        <v>4794</v>
      </c>
      <c r="E655" s="17" t="s">
        <v>4795</v>
      </c>
      <c r="F655" s="17" t="s">
        <v>2211</v>
      </c>
      <c r="G655" s="17" t="s">
        <v>1941</v>
      </c>
      <c r="H655" s="17">
        <v>43610</v>
      </c>
      <c r="I655" t="s">
        <v>1951</v>
      </c>
    </row>
    <row r="656" spans="1:9" x14ac:dyDescent="0.3">
      <c r="A656" s="17" t="s">
        <v>1273</v>
      </c>
      <c r="B656" s="17" t="s">
        <v>4796</v>
      </c>
      <c r="C656" s="17" t="s">
        <v>4797</v>
      </c>
      <c r="D656" s="17" t="s">
        <v>4798</v>
      </c>
      <c r="E656" s="17" t="s">
        <v>4799</v>
      </c>
      <c r="F656" s="17" t="s">
        <v>2186</v>
      </c>
      <c r="G656" s="17" t="s">
        <v>1941</v>
      </c>
      <c r="H656" s="17">
        <v>20088</v>
      </c>
      <c r="I656" t="s">
        <v>1951</v>
      </c>
    </row>
    <row r="657" spans="1:9" x14ac:dyDescent="0.3">
      <c r="A657" s="17" t="s">
        <v>1275</v>
      </c>
      <c r="B657" s="17" t="s">
        <v>4800</v>
      </c>
      <c r="C657" s="17" t="s">
        <v>4801</v>
      </c>
      <c r="D657" s="17"/>
      <c r="E657" s="17" t="s">
        <v>4802</v>
      </c>
      <c r="F657" s="17" t="s">
        <v>4803</v>
      </c>
      <c r="G657" s="17" t="s">
        <v>1941</v>
      </c>
      <c r="H657" s="17">
        <v>52405</v>
      </c>
      <c r="I657" t="s">
        <v>1942</v>
      </c>
    </row>
    <row r="658" spans="1:9" x14ac:dyDescent="0.3">
      <c r="A658" s="17" t="s">
        <v>1277</v>
      </c>
      <c r="B658" s="17" t="s">
        <v>4804</v>
      </c>
      <c r="C658" s="17" t="s">
        <v>4805</v>
      </c>
      <c r="D658" s="17"/>
      <c r="E658" s="17" t="s">
        <v>4806</v>
      </c>
      <c r="F658" s="17" t="s">
        <v>2093</v>
      </c>
      <c r="G658" s="17" t="s">
        <v>1941</v>
      </c>
      <c r="H658" s="17">
        <v>80045</v>
      </c>
      <c r="I658" t="s">
        <v>1951</v>
      </c>
    </row>
    <row r="659" spans="1:9" x14ac:dyDescent="0.3">
      <c r="A659" s="17" t="s">
        <v>1279</v>
      </c>
      <c r="B659" s="17" t="s">
        <v>4807</v>
      </c>
      <c r="C659" s="17" t="s">
        <v>4808</v>
      </c>
      <c r="D659" s="17" t="s">
        <v>4809</v>
      </c>
      <c r="E659" s="17" t="s">
        <v>4810</v>
      </c>
      <c r="F659" s="17" t="s">
        <v>4811</v>
      </c>
      <c r="G659" s="17" t="s">
        <v>1941</v>
      </c>
      <c r="H659" s="17">
        <v>94089</v>
      </c>
      <c r="I659" t="s">
        <v>1942</v>
      </c>
    </row>
    <row r="660" spans="1:9" x14ac:dyDescent="0.3">
      <c r="A660" s="17" t="s">
        <v>4812</v>
      </c>
      <c r="B660" s="17" t="s">
        <v>4813</v>
      </c>
      <c r="C660" s="17"/>
      <c r="D660" s="17"/>
      <c r="E660" s="17" t="s">
        <v>4814</v>
      </c>
      <c r="F660" s="17" t="s">
        <v>4355</v>
      </c>
      <c r="G660" s="17" t="s">
        <v>1949</v>
      </c>
      <c r="H660" s="17" t="s">
        <v>4356</v>
      </c>
      <c r="I660" t="s">
        <v>1942</v>
      </c>
    </row>
    <row r="661" spans="1:9" x14ac:dyDescent="0.3">
      <c r="A661" s="17" t="s">
        <v>1283</v>
      </c>
      <c r="B661" s="17" t="s">
        <v>4815</v>
      </c>
      <c r="C661" s="17" t="s">
        <v>4816</v>
      </c>
      <c r="D661" s="17" t="s">
        <v>4817</v>
      </c>
      <c r="E661" s="17" t="s">
        <v>4818</v>
      </c>
      <c r="F661" s="17" t="s">
        <v>4819</v>
      </c>
      <c r="G661" s="17" t="s">
        <v>1949</v>
      </c>
      <c r="H661" s="17" t="s">
        <v>4417</v>
      </c>
      <c r="I661" t="s">
        <v>1942</v>
      </c>
    </row>
    <row r="662" spans="1:9" x14ac:dyDescent="0.3">
      <c r="A662" s="17" t="s">
        <v>1285</v>
      </c>
      <c r="B662" s="17" t="s">
        <v>4820</v>
      </c>
      <c r="C662" s="17" t="s">
        <v>4821</v>
      </c>
      <c r="D662" s="17" t="s">
        <v>4822</v>
      </c>
      <c r="E662" s="17" t="s">
        <v>4823</v>
      </c>
      <c r="F662" s="17" t="s">
        <v>2800</v>
      </c>
      <c r="G662" s="17" t="s">
        <v>1941</v>
      </c>
      <c r="H662" s="17">
        <v>48930</v>
      </c>
      <c r="I662" t="s">
        <v>1951</v>
      </c>
    </row>
    <row r="663" spans="1:9" x14ac:dyDescent="0.3">
      <c r="A663" s="17" t="s">
        <v>1287</v>
      </c>
      <c r="B663" s="17" t="s">
        <v>4824</v>
      </c>
      <c r="C663" s="17" t="s">
        <v>4825</v>
      </c>
      <c r="D663" s="17" t="s">
        <v>4826</v>
      </c>
      <c r="E663" s="17" t="s">
        <v>4827</v>
      </c>
      <c r="F663" s="17" t="s">
        <v>2027</v>
      </c>
      <c r="G663" s="17" t="s">
        <v>1941</v>
      </c>
      <c r="H663" s="17">
        <v>77281</v>
      </c>
      <c r="I663" t="s">
        <v>1942</v>
      </c>
    </row>
    <row r="664" spans="1:9" x14ac:dyDescent="0.3">
      <c r="A664" s="17" t="s">
        <v>1289</v>
      </c>
      <c r="B664" s="17" t="s">
        <v>4828</v>
      </c>
      <c r="C664" s="17" t="s">
        <v>4829</v>
      </c>
      <c r="D664" s="17"/>
      <c r="E664" s="17" t="s">
        <v>4830</v>
      </c>
      <c r="F664" s="17" t="s">
        <v>4831</v>
      </c>
      <c r="G664" s="17" t="s">
        <v>1941</v>
      </c>
      <c r="H664" s="17">
        <v>37131</v>
      </c>
      <c r="I664" t="s">
        <v>1951</v>
      </c>
    </row>
    <row r="665" spans="1:9" x14ac:dyDescent="0.3">
      <c r="A665" s="17" t="s">
        <v>1291</v>
      </c>
      <c r="B665" s="17" t="s">
        <v>4832</v>
      </c>
      <c r="C665" s="17" t="s">
        <v>4833</v>
      </c>
      <c r="D665" s="17"/>
      <c r="E665" s="17" t="s">
        <v>4834</v>
      </c>
      <c r="F665" s="17" t="s">
        <v>2122</v>
      </c>
      <c r="G665" s="17" t="s">
        <v>1941</v>
      </c>
      <c r="H665" s="17">
        <v>25362</v>
      </c>
      <c r="I665" t="s">
        <v>1951</v>
      </c>
    </row>
    <row r="666" spans="1:9" x14ac:dyDescent="0.3">
      <c r="A666" s="17" t="s">
        <v>1293</v>
      </c>
      <c r="B666" s="17" t="s">
        <v>4835</v>
      </c>
      <c r="C666" s="17" t="s">
        <v>4836</v>
      </c>
      <c r="D666" s="17" t="s">
        <v>4837</v>
      </c>
      <c r="E666" s="17" t="s">
        <v>4838</v>
      </c>
      <c r="F666" s="17" t="s">
        <v>3143</v>
      </c>
      <c r="G666" s="17" t="s">
        <v>1941</v>
      </c>
      <c r="H666" s="17">
        <v>16534</v>
      </c>
      <c r="I666" t="s">
        <v>1951</v>
      </c>
    </row>
    <row r="667" spans="1:9" x14ac:dyDescent="0.3">
      <c r="A667" s="17" t="s">
        <v>4839</v>
      </c>
      <c r="B667" s="17" t="s">
        <v>4840</v>
      </c>
      <c r="C667" s="17" t="s">
        <v>4841</v>
      </c>
      <c r="D667" s="17" t="s">
        <v>4842</v>
      </c>
      <c r="E667" s="17" t="s">
        <v>4843</v>
      </c>
      <c r="F667" s="17" t="s">
        <v>3858</v>
      </c>
      <c r="G667" s="17" t="s">
        <v>1941</v>
      </c>
      <c r="H667" s="17">
        <v>39204</v>
      </c>
      <c r="I667" t="s">
        <v>1942</v>
      </c>
    </row>
    <row r="668" spans="1:9" x14ac:dyDescent="0.3">
      <c r="A668" s="17" t="s">
        <v>1295</v>
      </c>
      <c r="B668" s="17" t="s">
        <v>4844</v>
      </c>
      <c r="C668" s="17" t="s">
        <v>4845</v>
      </c>
      <c r="D668" s="17" t="s">
        <v>4846</v>
      </c>
      <c r="E668" s="17" t="s">
        <v>4847</v>
      </c>
      <c r="F668" s="17" t="s">
        <v>2901</v>
      </c>
      <c r="G668" s="17" t="s">
        <v>1941</v>
      </c>
      <c r="H668" s="17">
        <v>79491</v>
      </c>
      <c r="I668" t="s">
        <v>1951</v>
      </c>
    </row>
    <row r="669" spans="1:9" x14ac:dyDescent="0.3">
      <c r="A669" s="17" t="s">
        <v>1297</v>
      </c>
      <c r="B669" s="17" t="s">
        <v>4848</v>
      </c>
      <c r="C669" s="17" t="s">
        <v>4849</v>
      </c>
      <c r="D669" s="17" t="s">
        <v>4850</v>
      </c>
      <c r="E669" s="17" t="s">
        <v>4851</v>
      </c>
      <c r="F669" s="17" t="s">
        <v>4852</v>
      </c>
      <c r="G669" s="17" t="s">
        <v>1949</v>
      </c>
      <c r="H669" s="17" t="s">
        <v>2089</v>
      </c>
      <c r="I669" t="s">
        <v>1951</v>
      </c>
    </row>
    <row r="670" spans="1:9" x14ac:dyDescent="0.3">
      <c r="A670" s="17" t="s">
        <v>1281</v>
      </c>
      <c r="B670" s="17" t="s">
        <v>4853</v>
      </c>
      <c r="C670" s="17" t="s">
        <v>4854</v>
      </c>
      <c r="D670" s="17" t="s">
        <v>4855</v>
      </c>
      <c r="E670" s="17" t="s">
        <v>4856</v>
      </c>
      <c r="F670" s="17" t="s">
        <v>4481</v>
      </c>
      <c r="G670" s="17" t="s">
        <v>1941</v>
      </c>
      <c r="H670" s="17">
        <v>27717</v>
      </c>
      <c r="I670" t="s">
        <v>1942</v>
      </c>
    </row>
    <row r="671" spans="1:9" x14ac:dyDescent="0.3">
      <c r="A671" s="17" t="s">
        <v>1300</v>
      </c>
      <c r="B671" s="17" t="s">
        <v>4857</v>
      </c>
      <c r="C671" s="17" t="s">
        <v>4858</v>
      </c>
      <c r="D671" s="17" t="s">
        <v>4859</v>
      </c>
      <c r="E671" s="17" t="s">
        <v>4860</v>
      </c>
      <c r="F671" s="17" t="s">
        <v>4861</v>
      </c>
      <c r="G671" s="17" t="s">
        <v>1941</v>
      </c>
      <c r="H671" s="17">
        <v>29505</v>
      </c>
      <c r="I671" t="s">
        <v>1951</v>
      </c>
    </row>
    <row r="672" spans="1:9" x14ac:dyDescent="0.3">
      <c r="A672" s="17" t="s">
        <v>1302</v>
      </c>
      <c r="B672" s="17" t="s">
        <v>4862</v>
      </c>
      <c r="C672" s="17" t="s">
        <v>4863</v>
      </c>
      <c r="D672" s="17" t="s">
        <v>4864</v>
      </c>
      <c r="E672" s="17" t="s">
        <v>4865</v>
      </c>
      <c r="F672" s="17" t="s">
        <v>4866</v>
      </c>
      <c r="G672" s="17" t="s">
        <v>1941</v>
      </c>
      <c r="H672" s="17">
        <v>13205</v>
      </c>
      <c r="I672" t="s">
        <v>1942</v>
      </c>
    </row>
    <row r="673" spans="1:9" x14ac:dyDescent="0.3">
      <c r="A673" s="17" t="s">
        <v>1304</v>
      </c>
      <c r="B673" s="17" t="s">
        <v>4867</v>
      </c>
      <c r="C673" s="17" t="s">
        <v>4868</v>
      </c>
      <c r="D673" s="17" t="s">
        <v>4869</v>
      </c>
      <c r="E673" s="17" t="s">
        <v>4870</v>
      </c>
      <c r="F673" s="17" t="s">
        <v>3682</v>
      </c>
      <c r="G673" s="17" t="s">
        <v>1941</v>
      </c>
      <c r="H673" s="17">
        <v>30245</v>
      </c>
      <c r="I673" t="s">
        <v>1951</v>
      </c>
    </row>
    <row r="674" spans="1:9" x14ac:dyDescent="0.3">
      <c r="A674" s="17" t="s">
        <v>1306</v>
      </c>
      <c r="B674" s="17" t="s">
        <v>4871</v>
      </c>
      <c r="C674" s="17" t="s">
        <v>4872</v>
      </c>
      <c r="D674" s="17"/>
      <c r="E674" s="17" t="s">
        <v>4873</v>
      </c>
      <c r="F674" s="17" t="s">
        <v>2027</v>
      </c>
      <c r="G674" s="17" t="s">
        <v>1941</v>
      </c>
      <c r="H674" s="17">
        <v>77070</v>
      </c>
      <c r="I674" t="s">
        <v>1942</v>
      </c>
    </row>
    <row r="675" spans="1:9" x14ac:dyDescent="0.3">
      <c r="A675" s="17" t="s">
        <v>1308</v>
      </c>
      <c r="B675" s="17" t="s">
        <v>4874</v>
      </c>
      <c r="C675" s="17" t="s">
        <v>4875</v>
      </c>
      <c r="D675" s="17" t="s">
        <v>4876</v>
      </c>
      <c r="E675" s="17" t="s">
        <v>4877</v>
      </c>
      <c r="F675" s="17" t="s">
        <v>2375</v>
      </c>
      <c r="G675" s="17" t="s">
        <v>1941</v>
      </c>
      <c r="H675" s="17">
        <v>66160</v>
      </c>
      <c r="I675" t="s">
        <v>1942</v>
      </c>
    </row>
    <row r="676" spans="1:9" x14ac:dyDescent="0.3">
      <c r="A676" s="17" t="s">
        <v>1310</v>
      </c>
      <c r="B676" s="17" t="s">
        <v>4878</v>
      </c>
      <c r="C676" s="17" t="s">
        <v>4879</v>
      </c>
      <c r="D676" s="17" t="s">
        <v>4880</v>
      </c>
      <c r="E676" s="17" t="s">
        <v>4881</v>
      </c>
      <c r="F676" s="17" t="s">
        <v>4882</v>
      </c>
      <c r="G676" s="17" t="s">
        <v>1941</v>
      </c>
      <c r="H676" s="17">
        <v>34282</v>
      </c>
      <c r="I676" t="s">
        <v>1942</v>
      </c>
    </row>
    <row r="677" spans="1:9" x14ac:dyDescent="0.3">
      <c r="A677" s="17" t="s">
        <v>1312</v>
      </c>
      <c r="B677" s="17" t="s">
        <v>4883</v>
      </c>
      <c r="C677" s="17"/>
      <c r="D677" s="17" t="s">
        <v>4884</v>
      </c>
      <c r="E677" s="17" t="s">
        <v>4885</v>
      </c>
      <c r="F677" s="17" t="s">
        <v>4886</v>
      </c>
      <c r="G677" s="17" t="s">
        <v>1941</v>
      </c>
      <c r="H677" s="17">
        <v>18105</v>
      </c>
      <c r="I677" t="s">
        <v>1942</v>
      </c>
    </row>
    <row r="678" spans="1:9" x14ac:dyDescent="0.3">
      <c r="A678" s="17" t="s">
        <v>1314</v>
      </c>
      <c r="B678" s="17" t="s">
        <v>4887</v>
      </c>
      <c r="C678" s="17"/>
      <c r="D678" s="17" t="s">
        <v>4888</v>
      </c>
      <c r="E678" s="17" t="s">
        <v>4889</v>
      </c>
      <c r="F678" s="17" t="s">
        <v>4890</v>
      </c>
      <c r="G678" s="17" t="s">
        <v>1941</v>
      </c>
      <c r="H678" s="17">
        <v>23663</v>
      </c>
      <c r="I678" t="s">
        <v>1951</v>
      </c>
    </row>
    <row r="679" spans="1:9" x14ac:dyDescent="0.3">
      <c r="A679" s="17" t="s">
        <v>1316</v>
      </c>
      <c r="B679" s="17" t="s">
        <v>4891</v>
      </c>
      <c r="C679" s="17" t="s">
        <v>4892</v>
      </c>
      <c r="D679" s="17" t="s">
        <v>4893</v>
      </c>
      <c r="E679" s="17" t="s">
        <v>4894</v>
      </c>
      <c r="F679" s="17" t="s">
        <v>3749</v>
      </c>
      <c r="G679" s="17" t="s">
        <v>1949</v>
      </c>
      <c r="H679" s="17" t="s">
        <v>3750</v>
      </c>
      <c r="I679" t="s">
        <v>1951</v>
      </c>
    </row>
    <row r="680" spans="1:9" x14ac:dyDescent="0.3">
      <c r="A680" s="17" t="s">
        <v>1318</v>
      </c>
      <c r="B680" s="17" t="s">
        <v>4895</v>
      </c>
      <c r="C680" s="17" t="s">
        <v>4896</v>
      </c>
      <c r="D680" s="17" t="s">
        <v>4897</v>
      </c>
      <c r="E680" s="17" t="s">
        <v>4898</v>
      </c>
      <c r="F680" s="17" t="s">
        <v>4899</v>
      </c>
      <c r="G680" s="17" t="s">
        <v>1941</v>
      </c>
      <c r="H680" s="17">
        <v>67260</v>
      </c>
      <c r="I680" t="s">
        <v>1942</v>
      </c>
    </row>
    <row r="681" spans="1:9" x14ac:dyDescent="0.3">
      <c r="A681" s="17" t="s">
        <v>1320</v>
      </c>
      <c r="B681" s="17" t="s">
        <v>4900</v>
      </c>
      <c r="C681" s="17" t="s">
        <v>4901</v>
      </c>
      <c r="D681" s="17" t="s">
        <v>4902</v>
      </c>
      <c r="E681" s="17" t="s">
        <v>4903</v>
      </c>
      <c r="F681" s="17" t="s">
        <v>4769</v>
      </c>
      <c r="G681" s="17" t="s">
        <v>2116</v>
      </c>
      <c r="H681" s="17" t="s">
        <v>4770</v>
      </c>
      <c r="I681" t="s">
        <v>1951</v>
      </c>
    </row>
    <row r="682" spans="1:9" x14ac:dyDescent="0.3">
      <c r="A682" s="17" t="s">
        <v>1322</v>
      </c>
      <c r="B682" s="17" t="s">
        <v>4904</v>
      </c>
      <c r="C682" s="17" t="s">
        <v>4905</v>
      </c>
      <c r="D682" s="17"/>
      <c r="E682" s="17" t="s">
        <v>4906</v>
      </c>
      <c r="F682" s="17" t="s">
        <v>3283</v>
      </c>
      <c r="G682" s="17" t="s">
        <v>1941</v>
      </c>
      <c r="H682" s="17">
        <v>6816</v>
      </c>
      <c r="I682" t="s">
        <v>1951</v>
      </c>
    </row>
    <row r="683" spans="1:9" x14ac:dyDescent="0.3">
      <c r="A683" s="17" t="s">
        <v>1324</v>
      </c>
      <c r="B683" s="17" t="s">
        <v>4907</v>
      </c>
      <c r="C683" s="17" t="s">
        <v>4908</v>
      </c>
      <c r="D683" s="17" t="s">
        <v>4909</v>
      </c>
      <c r="E683" s="17" t="s">
        <v>4910</v>
      </c>
      <c r="F683" s="17" t="s">
        <v>2199</v>
      </c>
      <c r="G683" s="17" t="s">
        <v>2116</v>
      </c>
      <c r="H683" s="17" t="s">
        <v>2200</v>
      </c>
      <c r="I683" t="s">
        <v>1942</v>
      </c>
    </row>
    <row r="684" spans="1:9" x14ac:dyDescent="0.3">
      <c r="A684" s="17" t="s">
        <v>1326</v>
      </c>
      <c r="B684" s="17" t="s">
        <v>4911</v>
      </c>
      <c r="C684" s="17" t="s">
        <v>4912</v>
      </c>
      <c r="D684" s="17" t="s">
        <v>4913</v>
      </c>
      <c r="E684" s="17" t="s">
        <v>4914</v>
      </c>
      <c r="F684" s="17" t="s">
        <v>3488</v>
      </c>
      <c r="G684" s="17" t="s">
        <v>1941</v>
      </c>
      <c r="H684" s="17">
        <v>32209</v>
      </c>
      <c r="I684" t="s">
        <v>1942</v>
      </c>
    </row>
    <row r="685" spans="1:9" x14ac:dyDescent="0.3">
      <c r="A685" s="17" t="s">
        <v>1328</v>
      </c>
      <c r="B685" s="17" t="s">
        <v>4915</v>
      </c>
      <c r="C685" s="17" t="s">
        <v>4916</v>
      </c>
      <c r="D685" s="17" t="s">
        <v>4917</v>
      </c>
      <c r="E685" s="17" t="s">
        <v>4918</v>
      </c>
      <c r="F685" s="17" t="s">
        <v>2027</v>
      </c>
      <c r="G685" s="17" t="s">
        <v>1941</v>
      </c>
      <c r="H685" s="17">
        <v>77299</v>
      </c>
      <c r="I685" t="s">
        <v>1951</v>
      </c>
    </row>
    <row r="686" spans="1:9" x14ac:dyDescent="0.3">
      <c r="A686" s="17" t="s">
        <v>1330</v>
      </c>
      <c r="B686" s="17" t="s">
        <v>4919</v>
      </c>
      <c r="C686" s="17"/>
      <c r="D686" s="17" t="s">
        <v>4920</v>
      </c>
      <c r="E686" s="17" t="s">
        <v>4921</v>
      </c>
      <c r="F686" s="17" t="s">
        <v>2022</v>
      </c>
      <c r="G686" s="17" t="s">
        <v>1941</v>
      </c>
      <c r="H686" s="17">
        <v>97255</v>
      </c>
      <c r="I686" t="s">
        <v>1951</v>
      </c>
    </row>
    <row r="687" spans="1:9" x14ac:dyDescent="0.3">
      <c r="A687" s="17" t="s">
        <v>1332</v>
      </c>
      <c r="B687" s="17" t="s">
        <v>4922</v>
      </c>
      <c r="C687" s="17" t="s">
        <v>4923</v>
      </c>
      <c r="D687" s="17" t="s">
        <v>4924</v>
      </c>
      <c r="E687" s="17" t="s">
        <v>4925</v>
      </c>
      <c r="F687" s="17" t="s">
        <v>2947</v>
      </c>
      <c r="G687" s="17" t="s">
        <v>1941</v>
      </c>
      <c r="H687" s="17">
        <v>91186</v>
      </c>
      <c r="I687" t="s">
        <v>1942</v>
      </c>
    </row>
    <row r="688" spans="1:9" x14ac:dyDescent="0.3">
      <c r="A688" s="17" t="s">
        <v>1334</v>
      </c>
      <c r="B688" s="17" t="s">
        <v>4926</v>
      </c>
      <c r="C688" s="17" t="s">
        <v>4927</v>
      </c>
      <c r="D688" s="17" t="s">
        <v>4928</v>
      </c>
      <c r="E688" s="17" t="s">
        <v>4929</v>
      </c>
      <c r="F688" s="17" t="s">
        <v>2572</v>
      </c>
      <c r="G688" s="17" t="s">
        <v>1941</v>
      </c>
      <c r="H688" s="17">
        <v>92725</v>
      </c>
      <c r="I688" t="s">
        <v>1942</v>
      </c>
    </row>
    <row r="689" spans="1:9" x14ac:dyDescent="0.3">
      <c r="A689" s="17" t="s">
        <v>1336</v>
      </c>
      <c r="B689" s="17" t="s">
        <v>4930</v>
      </c>
      <c r="C689" s="17" t="s">
        <v>4931</v>
      </c>
      <c r="D689" s="17" t="s">
        <v>4932</v>
      </c>
      <c r="E689" s="17" t="s">
        <v>4933</v>
      </c>
      <c r="F689" s="17" t="s">
        <v>1995</v>
      </c>
      <c r="G689" s="17" t="s">
        <v>1941</v>
      </c>
      <c r="H689" s="17">
        <v>95160</v>
      </c>
      <c r="I689" t="s">
        <v>1951</v>
      </c>
    </row>
    <row r="690" spans="1:9" x14ac:dyDescent="0.3">
      <c r="A690" s="17" t="s">
        <v>1338</v>
      </c>
      <c r="B690" s="17" t="s">
        <v>4934</v>
      </c>
      <c r="C690" s="17" t="s">
        <v>4935</v>
      </c>
      <c r="D690" s="17" t="s">
        <v>4936</v>
      </c>
      <c r="E690" s="17" t="s">
        <v>4937</v>
      </c>
      <c r="F690" s="17" t="s">
        <v>4938</v>
      </c>
      <c r="G690" s="17" t="s">
        <v>1949</v>
      </c>
      <c r="H690" s="17" t="s">
        <v>2043</v>
      </c>
      <c r="I690" t="s">
        <v>1951</v>
      </c>
    </row>
    <row r="691" spans="1:9" x14ac:dyDescent="0.3">
      <c r="A691" s="17" t="s">
        <v>1340</v>
      </c>
      <c r="B691" s="17" t="s">
        <v>4939</v>
      </c>
      <c r="C691" s="17" t="s">
        <v>4940</v>
      </c>
      <c r="D691" s="17" t="s">
        <v>4941</v>
      </c>
      <c r="E691" s="17" t="s">
        <v>4942</v>
      </c>
      <c r="F691" s="17" t="s">
        <v>2340</v>
      </c>
      <c r="G691" s="17" t="s">
        <v>1941</v>
      </c>
      <c r="H691" s="17">
        <v>80935</v>
      </c>
      <c r="I691" t="s">
        <v>1951</v>
      </c>
    </row>
    <row r="692" spans="1:9" x14ac:dyDescent="0.3">
      <c r="A692" s="17" t="s">
        <v>1342</v>
      </c>
      <c r="B692" s="17" t="s">
        <v>4943</v>
      </c>
      <c r="C692" s="17"/>
      <c r="D692" s="17"/>
      <c r="E692" s="17" t="s">
        <v>4944</v>
      </c>
      <c r="F692" s="17" t="s">
        <v>2211</v>
      </c>
      <c r="G692" s="17" t="s">
        <v>1941</v>
      </c>
      <c r="H692" s="17">
        <v>43605</v>
      </c>
      <c r="I692" t="s">
        <v>1951</v>
      </c>
    </row>
    <row r="693" spans="1:9" x14ac:dyDescent="0.3">
      <c r="A693" s="17" t="s">
        <v>4945</v>
      </c>
      <c r="B693" s="17" t="s">
        <v>4946</v>
      </c>
      <c r="C693" s="17" t="s">
        <v>4947</v>
      </c>
      <c r="D693" s="17" t="s">
        <v>4948</v>
      </c>
      <c r="E693" s="17" t="s">
        <v>4949</v>
      </c>
      <c r="F693" s="17" t="s">
        <v>3442</v>
      </c>
      <c r="G693" s="17" t="s">
        <v>1941</v>
      </c>
      <c r="H693" s="17">
        <v>33436</v>
      </c>
      <c r="I693" t="s">
        <v>1942</v>
      </c>
    </row>
    <row r="694" spans="1:9" x14ac:dyDescent="0.3">
      <c r="A694" s="17" t="s">
        <v>1346</v>
      </c>
      <c r="B694" s="17" t="s">
        <v>4950</v>
      </c>
      <c r="C694" s="17" t="s">
        <v>4951</v>
      </c>
      <c r="D694" s="17" t="s">
        <v>4952</v>
      </c>
      <c r="E694" s="17" t="s">
        <v>4953</v>
      </c>
      <c r="F694" s="17" t="s">
        <v>3037</v>
      </c>
      <c r="G694" s="17" t="s">
        <v>1941</v>
      </c>
      <c r="H694" s="17">
        <v>45999</v>
      </c>
      <c r="I694" t="s">
        <v>1951</v>
      </c>
    </row>
    <row r="695" spans="1:9" x14ac:dyDescent="0.3">
      <c r="A695" s="17" t="s">
        <v>1348</v>
      </c>
      <c r="B695" s="17" t="s">
        <v>4954</v>
      </c>
      <c r="C695" s="17" t="s">
        <v>4955</v>
      </c>
      <c r="D695" s="17" t="s">
        <v>4956</v>
      </c>
      <c r="E695" s="17" t="s">
        <v>4957</v>
      </c>
      <c r="F695" s="17" t="s">
        <v>2013</v>
      </c>
      <c r="G695" s="17" t="s">
        <v>1941</v>
      </c>
      <c r="H695" s="17">
        <v>63121</v>
      </c>
      <c r="I695" t="s">
        <v>1942</v>
      </c>
    </row>
    <row r="696" spans="1:9" x14ac:dyDescent="0.3">
      <c r="A696" s="17" t="s">
        <v>1350</v>
      </c>
      <c r="B696" s="17" t="s">
        <v>4958</v>
      </c>
      <c r="C696" s="17" t="s">
        <v>4959</v>
      </c>
      <c r="D696" s="17" t="s">
        <v>4960</v>
      </c>
      <c r="E696" s="17" t="s">
        <v>4961</v>
      </c>
      <c r="F696" s="17" t="s">
        <v>4962</v>
      </c>
      <c r="G696" s="17" t="s">
        <v>1941</v>
      </c>
      <c r="H696" s="17">
        <v>10705</v>
      </c>
      <c r="I696" t="s">
        <v>1951</v>
      </c>
    </row>
    <row r="697" spans="1:9" x14ac:dyDescent="0.3">
      <c r="A697" s="17" t="s">
        <v>1352</v>
      </c>
      <c r="B697" s="17" t="s">
        <v>4963</v>
      </c>
      <c r="C697" s="17" t="s">
        <v>4964</v>
      </c>
      <c r="D697" s="17" t="s">
        <v>4965</v>
      </c>
      <c r="E697" s="17" t="s">
        <v>4966</v>
      </c>
      <c r="F697" s="17" t="s">
        <v>3316</v>
      </c>
      <c r="G697" s="17" t="s">
        <v>1941</v>
      </c>
      <c r="H697" s="17">
        <v>21290</v>
      </c>
      <c r="I697" t="s">
        <v>1942</v>
      </c>
    </row>
    <row r="698" spans="1:9" x14ac:dyDescent="0.3">
      <c r="A698" s="17" t="s">
        <v>1354</v>
      </c>
      <c r="B698" s="17" t="s">
        <v>4967</v>
      </c>
      <c r="C698" s="17" t="s">
        <v>4968</v>
      </c>
      <c r="D698" s="17" t="s">
        <v>4969</v>
      </c>
      <c r="E698" s="17" t="s">
        <v>4970</v>
      </c>
      <c r="F698" s="17" t="s">
        <v>3488</v>
      </c>
      <c r="G698" s="17" t="s">
        <v>1941</v>
      </c>
      <c r="H698" s="17">
        <v>32230</v>
      </c>
      <c r="I698" t="s">
        <v>1951</v>
      </c>
    </row>
    <row r="699" spans="1:9" x14ac:dyDescent="0.3">
      <c r="A699" s="17" t="s">
        <v>1356</v>
      </c>
      <c r="B699" s="17" t="s">
        <v>4971</v>
      </c>
      <c r="C699" s="17"/>
      <c r="D699" s="17"/>
      <c r="E699" s="17" t="s">
        <v>4972</v>
      </c>
      <c r="F699" s="17" t="s">
        <v>4973</v>
      </c>
      <c r="G699" s="17" t="s">
        <v>1949</v>
      </c>
      <c r="H699" s="17" t="s">
        <v>4974</v>
      </c>
      <c r="I699" t="s">
        <v>1951</v>
      </c>
    </row>
    <row r="700" spans="1:9" x14ac:dyDescent="0.3">
      <c r="A700" s="17" t="s">
        <v>1344</v>
      </c>
      <c r="B700" s="17" t="s">
        <v>4975</v>
      </c>
      <c r="C700" s="17" t="s">
        <v>4976</v>
      </c>
      <c r="D700" s="17" t="s">
        <v>4977</v>
      </c>
      <c r="E700" s="17" t="s">
        <v>4978</v>
      </c>
      <c r="F700" s="17" t="s">
        <v>2366</v>
      </c>
      <c r="G700" s="17" t="s">
        <v>1949</v>
      </c>
      <c r="H700" s="17" t="s">
        <v>2545</v>
      </c>
      <c r="I700" t="s">
        <v>1951</v>
      </c>
    </row>
    <row r="701" spans="1:9" x14ac:dyDescent="0.3">
      <c r="A701" s="17" t="s">
        <v>1359</v>
      </c>
      <c r="B701" s="17" t="s">
        <v>4979</v>
      </c>
      <c r="C701" s="17" t="s">
        <v>4980</v>
      </c>
      <c r="D701" s="17" t="s">
        <v>4981</v>
      </c>
      <c r="E701" s="17" t="s">
        <v>4982</v>
      </c>
      <c r="F701" s="17" t="s">
        <v>3581</v>
      </c>
      <c r="G701" s="17" t="s">
        <v>1941</v>
      </c>
      <c r="H701" s="17">
        <v>33196</v>
      </c>
      <c r="I701" t="s">
        <v>1942</v>
      </c>
    </row>
    <row r="702" spans="1:9" x14ac:dyDescent="0.3">
      <c r="A702" s="17" t="s">
        <v>1361</v>
      </c>
      <c r="B702" s="17" t="s">
        <v>4983</v>
      </c>
      <c r="C702" s="17" t="s">
        <v>4984</v>
      </c>
      <c r="D702" s="17"/>
      <c r="E702" s="17" t="s">
        <v>4985</v>
      </c>
      <c r="F702" s="17" t="s">
        <v>3090</v>
      </c>
      <c r="G702" s="17" t="s">
        <v>1941</v>
      </c>
      <c r="H702" s="17">
        <v>94121</v>
      </c>
      <c r="I702" t="s">
        <v>1951</v>
      </c>
    </row>
    <row r="703" spans="1:9" x14ac:dyDescent="0.3">
      <c r="A703" s="17" t="s">
        <v>1363</v>
      </c>
      <c r="B703" s="17" t="s">
        <v>4986</v>
      </c>
      <c r="C703" s="17" t="s">
        <v>4987</v>
      </c>
      <c r="D703" s="17" t="s">
        <v>4988</v>
      </c>
      <c r="E703" s="17" t="s">
        <v>4989</v>
      </c>
      <c r="F703" s="17" t="s">
        <v>3402</v>
      </c>
      <c r="G703" s="17" t="s">
        <v>1949</v>
      </c>
      <c r="H703" s="17" t="s">
        <v>2083</v>
      </c>
      <c r="I703" t="s">
        <v>1942</v>
      </c>
    </row>
    <row r="704" spans="1:9" x14ac:dyDescent="0.3">
      <c r="A704" s="17" t="s">
        <v>1365</v>
      </c>
      <c r="B704" s="17" t="s">
        <v>4990</v>
      </c>
      <c r="C704" s="17" t="s">
        <v>4991</v>
      </c>
      <c r="D704" s="17"/>
      <c r="E704" s="17" t="s">
        <v>4992</v>
      </c>
      <c r="F704" s="17" t="s">
        <v>2053</v>
      </c>
      <c r="G704" s="17" t="s">
        <v>1941</v>
      </c>
      <c r="H704" s="17">
        <v>33982</v>
      </c>
      <c r="I704" t="s">
        <v>1942</v>
      </c>
    </row>
    <row r="705" spans="1:9" x14ac:dyDescent="0.3">
      <c r="A705" s="17" t="s">
        <v>1367</v>
      </c>
      <c r="B705" s="17" t="s">
        <v>4993</v>
      </c>
      <c r="C705" s="17"/>
      <c r="D705" s="17" t="s">
        <v>4994</v>
      </c>
      <c r="E705" s="17" t="s">
        <v>4995</v>
      </c>
      <c r="F705" s="17" t="s">
        <v>2600</v>
      </c>
      <c r="G705" s="17" t="s">
        <v>1949</v>
      </c>
      <c r="H705" s="17" t="s">
        <v>2545</v>
      </c>
      <c r="I705" t="s">
        <v>1942</v>
      </c>
    </row>
    <row r="706" spans="1:9" x14ac:dyDescent="0.3">
      <c r="A706" s="17" t="s">
        <v>1369</v>
      </c>
      <c r="B706" s="17" t="s">
        <v>4996</v>
      </c>
      <c r="C706" s="17"/>
      <c r="D706" s="17" t="s">
        <v>4997</v>
      </c>
      <c r="E706" s="17" t="s">
        <v>4998</v>
      </c>
      <c r="F706" s="17" t="s">
        <v>2037</v>
      </c>
      <c r="G706" s="17" t="s">
        <v>1941</v>
      </c>
      <c r="H706" s="17">
        <v>10125</v>
      </c>
      <c r="I706" t="s">
        <v>1942</v>
      </c>
    </row>
    <row r="707" spans="1:9" x14ac:dyDescent="0.3">
      <c r="A707" s="17" t="s">
        <v>1371</v>
      </c>
      <c r="B707" s="17" t="s">
        <v>4999</v>
      </c>
      <c r="C707" s="17" t="s">
        <v>5000</v>
      </c>
      <c r="D707" s="17" t="s">
        <v>5001</v>
      </c>
      <c r="E707" s="17" t="s">
        <v>5002</v>
      </c>
      <c r="F707" s="17" t="s">
        <v>2886</v>
      </c>
      <c r="G707" s="17" t="s">
        <v>1941</v>
      </c>
      <c r="H707" s="17">
        <v>29305</v>
      </c>
      <c r="I707" t="s">
        <v>1951</v>
      </c>
    </row>
    <row r="708" spans="1:9" x14ac:dyDescent="0.3">
      <c r="A708" s="17" t="s">
        <v>1373</v>
      </c>
      <c r="B708" s="17" t="s">
        <v>5003</v>
      </c>
      <c r="C708" s="17" t="s">
        <v>5004</v>
      </c>
      <c r="D708" s="17" t="s">
        <v>5005</v>
      </c>
      <c r="E708" s="17" t="s">
        <v>5006</v>
      </c>
      <c r="F708" s="17" t="s">
        <v>5007</v>
      </c>
      <c r="G708" s="17" t="s">
        <v>1941</v>
      </c>
      <c r="H708" s="17">
        <v>93305</v>
      </c>
      <c r="I708" t="s">
        <v>1951</v>
      </c>
    </row>
    <row r="709" spans="1:9" x14ac:dyDescent="0.3">
      <c r="A709" s="17" t="s">
        <v>1375</v>
      </c>
      <c r="B709" s="17" t="s">
        <v>5008</v>
      </c>
      <c r="C709" s="17"/>
      <c r="D709" s="17" t="s">
        <v>5009</v>
      </c>
      <c r="E709" s="17" t="s">
        <v>5010</v>
      </c>
      <c r="F709" s="17" t="s">
        <v>5011</v>
      </c>
      <c r="G709" s="17" t="s">
        <v>1949</v>
      </c>
      <c r="H709" s="17" t="s">
        <v>3913</v>
      </c>
      <c r="I709" t="s">
        <v>1951</v>
      </c>
    </row>
    <row r="710" spans="1:9" x14ac:dyDescent="0.3">
      <c r="A710" s="17" t="s">
        <v>1377</v>
      </c>
      <c r="B710" s="17" t="s">
        <v>5012</v>
      </c>
      <c r="C710" s="17" t="s">
        <v>5013</v>
      </c>
      <c r="D710" s="17" t="s">
        <v>5014</v>
      </c>
      <c r="E710" s="17" t="s">
        <v>5015</v>
      </c>
      <c r="F710" s="17" t="s">
        <v>2013</v>
      </c>
      <c r="G710" s="17" t="s">
        <v>1941</v>
      </c>
      <c r="H710" s="17">
        <v>63169</v>
      </c>
      <c r="I710" t="s">
        <v>1942</v>
      </c>
    </row>
    <row r="711" spans="1:9" x14ac:dyDescent="0.3">
      <c r="A711" s="17" t="s">
        <v>1379</v>
      </c>
      <c r="B711" s="17" t="s">
        <v>5016</v>
      </c>
      <c r="C711" s="17"/>
      <c r="D711" s="17" t="s">
        <v>5017</v>
      </c>
      <c r="E711" s="17" t="s">
        <v>5018</v>
      </c>
      <c r="F711" s="17" t="s">
        <v>2238</v>
      </c>
      <c r="G711" s="17" t="s">
        <v>1941</v>
      </c>
      <c r="H711" s="17">
        <v>46896</v>
      </c>
      <c r="I711" t="s">
        <v>1942</v>
      </c>
    </row>
    <row r="712" spans="1:9" x14ac:dyDescent="0.3">
      <c r="A712" s="17" t="s">
        <v>1381</v>
      </c>
      <c r="B712" s="17" t="s">
        <v>5019</v>
      </c>
      <c r="C712" s="17" t="s">
        <v>5020</v>
      </c>
      <c r="D712" s="17" t="s">
        <v>5021</v>
      </c>
      <c r="E712" s="17" t="s">
        <v>5022</v>
      </c>
      <c r="F712" s="17" t="s">
        <v>5023</v>
      </c>
      <c r="G712" s="17" t="s">
        <v>1941</v>
      </c>
      <c r="H712" s="17">
        <v>55564</v>
      </c>
      <c r="I712" t="s">
        <v>1951</v>
      </c>
    </row>
    <row r="713" spans="1:9" x14ac:dyDescent="0.3">
      <c r="A713" s="17" t="s">
        <v>1383</v>
      </c>
      <c r="B713" s="17" t="s">
        <v>5024</v>
      </c>
      <c r="C713" s="17" t="s">
        <v>5025</v>
      </c>
      <c r="D713" s="17" t="s">
        <v>5026</v>
      </c>
      <c r="E713" s="17" t="s">
        <v>5027</v>
      </c>
      <c r="F713" s="17" t="s">
        <v>5028</v>
      </c>
      <c r="G713" s="17" t="s">
        <v>1941</v>
      </c>
      <c r="H713" s="17">
        <v>72905</v>
      </c>
      <c r="I713" t="s">
        <v>1951</v>
      </c>
    </row>
    <row r="714" spans="1:9" x14ac:dyDescent="0.3">
      <c r="A714" s="17" t="s">
        <v>1385</v>
      </c>
      <c r="B714" s="17" t="s">
        <v>5029</v>
      </c>
      <c r="C714" s="17"/>
      <c r="D714" s="17"/>
      <c r="E714" s="17" t="s">
        <v>5030</v>
      </c>
      <c r="F714" s="17" t="s">
        <v>3563</v>
      </c>
      <c r="G714" s="17" t="s">
        <v>2116</v>
      </c>
      <c r="H714" s="17" t="s">
        <v>3564</v>
      </c>
      <c r="I714" t="s">
        <v>1951</v>
      </c>
    </row>
    <row r="715" spans="1:9" x14ac:dyDescent="0.3">
      <c r="A715" s="17" t="s">
        <v>1387</v>
      </c>
      <c r="B715" s="17" t="s">
        <v>5031</v>
      </c>
      <c r="C715" s="17" t="s">
        <v>5032</v>
      </c>
      <c r="D715" s="17" t="s">
        <v>5033</v>
      </c>
      <c r="E715" s="17" t="s">
        <v>5034</v>
      </c>
      <c r="F715" s="17" t="s">
        <v>2419</v>
      </c>
      <c r="G715" s="17" t="s">
        <v>1941</v>
      </c>
      <c r="H715" s="17">
        <v>95210</v>
      </c>
      <c r="I715" t="s">
        <v>1951</v>
      </c>
    </row>
    <row r="716" spans="1:9" x14ac:dyDescent="0.3">
      <c r="A716" s="17" t="s">
        <v>1389</v>
      </c>
      <c r="B716" s="17" t="s">
        <v>5035</v>
      </c>
      <c r="C716" s="17" t="s">
        <v>5036</v>
      </c>
      <c r="D716" s="17" t="s">
        <v>5037</v>
      </c>
      <c r="E716" s="17" t="s">
        <v>5038</v>
      </c>
      <c r="F716" s="17" t="s">
        <v>5039</v>
      </c>
      <c r="G716" s="17" t="s">
        <v>1949</v>
      </c>
      <c r="H716" s="17" t="s">
        <v>2536</v>
      </c>
      <c r="I716" t="s">
        <v>1942</v>
      </c>
    </row>
    <row r="717" spans="1:9" x14ac:dyDescent="0.3">
      <c r="A717" s="17" t="s">
        <v>1391</v>
      </c>
      <c r="B717" s="17" t="s">
        <v>5040</v>
      </c>
      <c r="C717" s="17" t="s">
        <v>5041</v>
      </c>
      <c r="D717" s="17"/>
      <c r="E717" s="17" t="s">
        <v>5042</v>
      </c>
      <c r="F717" s="17" t="s">
        <v>2220</v>
      </c>
      <c r="G717" s="17" t="s">
        <v>1941</v>
      </c>
      <c r="H717" s="17">
        <v>33686</v>
      </c>
      <c r="I717" t="s">
        <v>1951</v>
      </c>
    </row>
    <row r="718" spans="1:9" x14ac:dyDescent="0.3">
      <c r="A718" s="17" t="s">
        <v>5043</v>
      </c>
      <c r="B718" s="17" t="s">
        <v>5044</v>
      </c>
      <c r="C718" s="17" t="s">
        <v>5045</v>
      </c>
      <c r="D718" s="17" t="s">
        <v>5046</v>
      </c>
      <c r="E718" s="17" t="s">
        <v>5047</v>
      </c>
      <c r="F718" s="17" t="s">
        <v>2725</v>
      </c>
      <c r="G718" s="17" t="s">
        <v>1949</v>
      </c>
      <c r="H718" s="17" t="s">
        <v>2726</v>
      </c>
      <c r="I718" t="s">
        <v>1951</v>
      </c>
    </row>
    <row r="719" spans="1:9" x14ac:dyDescent="0.3">
      <c r="A719" s="17" t="s">
        <v>1394</v>
      </c>
      <c r="B719" s="17" t="s">
        <v>5048</v>
      </c>
      <c r="C719" s="17" t="s">
        <v>5049</v>
      </c>
      <c r="D719" s="17" t="s">
        <v>5050</v>
      </c>
      <c r="E719" s="17" t="s">
        <v>5051</v>
      </c>
      <c r="F719" s="17" t="s">
        <v>2017</v>
      </c>
      <c r="G719" s="17" t="s">
        <v>1941</v>
      </c>
      <c r="H719" s="17">
        <v>19104</v>
      </c>
      <c r="I719" t="s">
        <v>1951</v>
      </c>
    </row>
    <row r="720" spans="1:9" x14ac:dyDescent="0.3">
      <c r="A720" s="17" t="s">
        <v>1396</v>
      </c>
      <c r="B720" s="17" t="s">
        <v>5052</v>
      </c>
      <c r="C720" s="17" t="s">
        <v>5053</v>
      </c>
      <c r="D720" s="17" t="s">
        <v>5054</v>
      </c>
      <c r="E720" s="17" t="s">
        <v>5055</v>
      </c>
      <c r="F720" s="17" t="s">
        <v>4760</v>
      </c>
      <c r="G720" s="17" t="s">
        <v>1941</v>
      </c>
      <c r="H720" s="17">
        <v>76905</v>
      </c>
      <c r="I720" t="s">
        <v>1951</v>
      </c>
    </row>
    <row r="721" spans="1:9" x14ac:dyDescent="0.3">
      <c r="A721" s="17" t="s">
        <v>1398</v>
      </c>
      <c r="B721" s="17" t="s">
        <v>5056</v>
      </c>
      <c r="C721" s="17" t="s">
        <v>5057</v>
      </c>
      <c r="D721" s="17" t="s">
        <v>5058</v>
      </c>
      <c r="E721" s="17" t="s">
        <v>5059</v>
      </c>
      <c r="F721" s="17" t="s">
        <v>1986</v>
      </c>
      <c r="G721" s="17" t="s">
        <v>1941</v>
      </c>
      <c r="H721" s="17">
        <v>90035</v>
      </c>
      <c r="I721" t="s">
        <v>1942</v>
      </c>
    </row>
    <row r="722" spans="1:9" x14ac:dyDescent="0.3">
      <c r="A722" s="17" t="s">
        <v>1400</v>
      </c>
      <c r="B722" s="17" t="s">
        <v>5060</v>
      </c>
      <c r="C722" s="17" t="s">
        <v>5061</v>
      </c>
      <c r="D722" s="17" t="s">
        <v>5062</v>
      </c>
      <c r="E722" s="17" t="s">
        <v>5063</v>
      </c>
      <c r="F722" s="17" t="s">
        <v>2800</v>
      </c>
      <c r="G722" s="17" t="s">
        <v>1941</v>
      </c>
      <c r="H722" s="17">
        <v>48912</v>
      </c>
      <c r="I722" t="s">
        <v>1942</v>
      </c>
    </row>
    <row r="723" spans="1:9" x14ac:dyDescent="0.3">
      <c r="A723" s="17" t="s">
        <v>1402</v>
      </c>
      <c r="B723" s="17" t="s">
        <v>5064</v>
      </c>
      <c r="C723" s="17" t="s">
        <v>5065</v>
      </c>
      <c r="D723" s="17" t="s">
        <v>5066</v>
      </c>
      <c r="E723" s="17" t="s">
        <v>5067</v>
      </c>
      <c r="F723" s="17" t="s">
        <v>2713</v>
      </c>
      <c r="G723" s="17" t="s">
        <v>1941</v>
      </c>
      <c r="H723" s="17">
        <v>34615</v>
      </c>
      <c r="I723" t="s">
        <v>1942</v>
      </c>
    </row>
    <row r="724" spans="1:9" x14ac:dyDescent="0.3">
      <c r="A724" s="17" t="s">
        <v>1404</v>
      </c>
      <c r="B724" s="17" t="s">
        <v>5068</v>
      </c>
      <c r="C724" s="17"/>
      <c r="D724" s="17" t="s">
        <v>5069</v>
      </c>
      <c r="E724" s="17" t="s">
        <v>5070</v>
      </c>
      <c r="F724" s="17" t="s">
        <v>2758</v>
      </c>
      <c r="G724" s="17" t="s">
        <v>1941</v>
      </c>
      <c r="H724" s="17">
        <v>90605</v>
      </c>
      <c r="I724" t="s">
        <v>1951</v>
      </c>
    </row>
    <row r="725" spans="1:9" x14ac:dyDescent="0.3">
      <c r="A725" s="17" t="s">
        <v>1406</v>
      </c>
      <c r="B725" s="17" t="s">
        <v>5071</v>
      </c>
      <c r="C725" s="17" t="s">
        <v>5072</v>
      </c>
      <c r="D725" s="17" t="s">
        <v>5073</v>
      </c>
      <c r="E725" s="17" t="s">
        <v>5074</v>
      </c>
      <c r="F725" s="17" t="s">
        <v>2355</v>
      </c>
      <c r="G725" s="17" t="s">
        <v>1941</v>
      </c>
      <c r="H725" s="17">
        <v>93773</v>
      </c>
      <c r="I725" t="s">
        <v>1951</v>
      </c>
    </row>
    <row r="726" spans="1:9" x14ac:dyDescent="0.3">
      <c r="A726" s="17" t="s">
        <v>1408</v>
      </c>
      <c r="B726" s="17" t="s">
        <v>5075</v>
      </c>
      <c r="C726" s="17"/>
      <c r="D726" s="17" t="s">
        <v>5076</v>
      </c>
      <c r="E726" s="17" t="s">
        <v>5077</v>
      </c>
      <c r="F726" s="17" t="s">
        <v>2037</v>
      </c>
      <c r="G726" s="17" t="s">
        <v>1941</v>
      </c>
      <c r="H726" s="17">
        <v>10155</v>
      </c>
      <c r="I726" t="s">
        <v>1942</v>
      </c>
    </row>
    <row r="727" spans="1:9" x14ac:dyDescent="0.3">
      <c r="A727" s="17" t="s">
        <v>1410</v>
      </c>
      <c r="B727" s="17" t="s">
        <v>5078</v>
      </c>
      <c r="C727" s="17" t="s">
        <v>5079</v>
      </c>
      <c r="D727" s="17" t="s">
        <v>5080</v>
      </c>
      <c r="E727" s="17" t="s">
        <v>5081</v>
      </c>
      <c r="F727" s="17" t="s">
        <v>2340</v>
      </c>
      <c r="G727" s="17" t="s">
        <v>1941</v>
      </c>
      <c r="H727" s="17">
        <v>80935</v>
      </c>
      <c r="I727" t="s">
        <v>1951</v>
      </c>
    </row>
    <row r="728" spans="1:9" x14ac:dyDescent="0.3">
      <c r="A728" s="17" t="s">
        <v>1412</v>
      </c>
      <c r="B728" s="17" t="s">
        <v>5082</v>
      </c>
      <c r="C728" s="17"/>
      <c r="D728" s="17" t="s">
        <v>5083</v>
      </c>
      <c r="E728" s="17" t="s">
        <v>5084</v>
      </c>
      <c r="F728" s="17" t="s">
        <v>5085</v>
      </c>
      <c r="G728" s="17" t="s">
        <v>1941</v>
      </c>
      <c r="H728" s="17">
        <v>90831</v>
      </c>
      <c r="I728" t="s">
        <v>1951</v>
      </c>
    </row>
    <row r="729" spans="1:9" x14ac:dyDescent="0.3">
      <c r="A729" s="17" t="s">
        <v>1414</v>
      </c>
      <c r="B729" s="17" t="s">
        <v>5086</v>
      </c>
      <c r="C729" s="17" t="s">
        <v>5087</v>
      </c>
      <c r="D729" s="17" t="s">
        <v>5088</v>
      </c>
      <c r="E729" s="17" t="s">
        <v>5089</v>
      </c>
      <c r="F729" s="17" t="s">
        <v>5090</v>
      </c>
      <c r="G729" s="17" t="s">
        <v>1949</v>
      </c>
      <c r="H729" s="17" t="s">
        <v>5091</v>
      </c>
      <c r="I729" t="s">
        <v>1942</v>
      </c>
    </row>
    <row r="730" spans="1:9" x14ac:dyDescent="0.3">
      <c r="A730" s="17" t="s">
        <v>1416</v>
      </c>
      <c r="B730" s="17" t="s">
        <v>5092</v>
      </c>
      <c r="C730" s="17" t="s">
        <v>5093</v>
      </c>
      <c r="D730" s="17" t="s">
        <v>5094</v>
      </c>
      <c r="E730" s="17" t="s">
        <v>5095</v>
      </c>
      <c r="F730" s="17" t="s">
        <v>2370</v>
      </c>
      <c r="G730" s="17" t="s">
        <v>1941</v>
      </c>
      <c r="H730" s="17">
        <v>89510</v>
      </c>
      <c r="I730" t="s">
        <v>1942</v>
      </c>
    </row>
    <row r="731" spans="1:9" x14ac:dyDescent="0.3">
      <c r="A731" s="17" t="s">
        <v>1418</v>
      </c>
      <c r="B731" s="17" t="s">
        <v>5096</v>
      </c>
      <c r="C731" s="17" t="s">
        <v>5097</v>
      </c>
      <c r="D731" s="17" t="s">
        <v>5098</v>
      </c>
      <c r="E731" s="17" t="s">
        <v>5099</v>
      </c>
      <c r="F731" s="17" t="s">
        <v>2115</v>
      </c>
      <c r="G731" s="17" t="s">
        <v>2116</v>
      </c>
      <c r="H731" s="17" t="s">
        <v>2117</v>
      </c>
      <c r="I731" t="s">
        <v>1951</v>
      </c>
    </row>
    <row r="732" spans="1:9" x14ac:dyDescent="0.3">
      <c r="A732" s="17" t="s">
        <v>1420</v>
      </c>
      <c r="B732" s="17" t="s">
        <v>5100</v>
      </c>
      <c r="C732" s="17" t="s">
        <v>5101</v>
      </c>
      <c r="D732" s="17" t="s">
        <v>5102</v>
      </c>
      <c r="E732" s="17" t="s">
        <v>5103</v>
      </c>
      <c r="F732" s="17" t="s">
        <v>3370</v>
      </c>
      <c r="G732" s="17" t="s">
        <v>1941</v>
      </c>
      <c r="H732" s="17">
        <v>89155</v>
      </c>
      <c r="I732" t="s">
        <v>1951</v>
      </c>
    </row>
    <row r="733" spans="1:9" x14ac:dyDescent="0.3">
      <c r="A733" s="17" t="s">
        <v>1422</v>
      </c>
      <c r="B733" s="17" t="s">
        <v>5104</v>
      </c>
      <c r="C733" s="17"/>
      <c r="D733" s="17" t="s">
        <v>5105</v>
      </c>
      <c r="E733" s="17" t="s">
        <v>5106</v>
      </c>
      <c r="F733" s="17" t="s">
        <v>5107</v>
      </c>
      <c r="G733" s="17" t="s">
        <v>1941</v>
      </c>
      <c r="H733" s="17">
        <v>19805</v>
      </c>
      <c r="I733" t="s">
        <v>1942</v>
      </c>
    </row>
    <row r="734" spans="1:9" x14ac:dyDescent="0.3">
      <c r="A734" s="17" t="s">
        <v>1424</v>
      </c>
      <c r="B734" s="17" t="s">
        <v>5108</v>
      </c>
      <c r="C734" s="17" t="s">
        <v>5109</v>
      </c>
      <c r="D734" s="17" t="s">
        <v>5110</v>
      </c>
      <c r="E734" s="17" t="s">
        <v>5111</v>
      </c>
      <c r="F734" s="17" t="s">
        <v>2370</v>
      </c>
      <c r="G734" s="17" t="s">
        <v>1941</v>
      </c>
      <c r="H734" s="17">
        <v>89550</v>
      </c>
      <c r="I734" t="s">
        <v>1951</v>
      </c>
    </row>
    <row r="735" spans="1:9" x14ac:dyDescent="0.3">
      <c r="A735" s="17" t="s">
        <v>1426</v>
      </c>
      <c r="B735" s="17" t="s">
        <v>5112</v>
      </c>
      <c r="C735" s="17" t="s">
        <v>5113</v>
      </c>
      <c r="D735" s="17" t="s">
        <v>5114</v>
      </c>
      <c r="E735" s="17" t="s">
        <v>5115</v>
      </c>
      <c r="F735" s="17" t="s">
        <v>2439</v>
      </c>
      <c r="G735" s="17" t="s">
        <v>1941</v>
      </c>
      <c r="H735" s="17">
        <v>35487</v>
      </c>
      <c r="I735" t="s">
        <v>1942</v>
      </c>
    </row>
    <row r="736" spans="1:9" x14ac:dyDescent="0.3">
      <c r="A736" s="17" t="s">
        <v>1428</v>
      </c>
      <c r="B736" s="17" t="s">
        <v>5116</v>
      </c>
      <c r="C736" s="17"/>
      <c r="D736" s="17" t="s">
        <v>5117</v>
      </c>
      <c r="E736" s="17" t="s">
        <v>5118</v>
      </c>
      <c r="F736" s="17" t="s">
        <v>5119</v>
      </c>
      <c r="G736" s="17" t="s">
        <v>1941</v>
      </c>
      <c r="H736" s="17">
        <v>92645</v>
      </c>
      <c r="I736" t="s">
        <v>1951</v>
      </c>
    </row>
    <row r="737" spans="1:9" x14ac:dyDescent="0.3">
      <c r="A737" s="17" t="s">
        <v>1430</v>
      </c>
      <c r="B737" s="17" t="s">
        <v>5120</v>
      </c>
      <c r="C737" s="17" t="s">
        <v>5121</v>
      </c>
      <c r="D737" s="17"/>
      <c r="E737" s="17" t="s">
        <v>5122</v>
      </c>
      <c r="F737" s="17" t="s">
        <v>2988</v>
      </c>
      <c r="G737" s="17" t="s">
        <v>1941</v>
      </c>
      <c r="H737" s="17">
        <v>66225</v>
      </c>
      <c r="I737" t="s">
        <v>1951</v>
      </c>
    </row>
    <row r="738" spans="1:9" x14ac:dyDescent="0.3">
      <c r="A738" s="17" t="s">
        <v>1432</v>
      </c>
      <c r="B738" s="17" t="s">
        <v>5123</v>
      </c>
      <c r="C738" s="17" t="s">
        <v>5124</v>
      </c>
      <c r="D738" s="17" t="s">
        <v>5125</v>
      </c>
      <c r="E738" s="17" t="s">
        <v>5126</v>
      </c>
      <c r="F738" s="17" t="s">
        <v>2600</v>
      </c>
      <c r="G738" s="17" t="s">
        <v>1949</v>
      </c>
      <c r="H738" s="17" t="s">
        <v>2545</v>
      </c>
      <c r="I738" t="s">
        <v>1942</v>
      </c>
    </row>
    <row r="739" spans="1:9" x14ac:dyDescent="0.3">
      <c r="A739" s="17" t="s">
        <v>1434</v>
      </c>
      <c r="B739" s="17" t="s">
        <v>5127</v>
      </c>
      <c r="C739" s="17" t="s">
        <v>5128</v>
      </c>
      <c r="D739" s="17" t="s">
        <v>5129</v>
      </c>
      <c r="E739" s="17" t="s">
        <v>5130</v>
      </c>
      <c r="F739" s="17" t="s">
        <v>3037</v>
      </c>
      <c r="G739" s="17" t="s">
        <v>1941</v>
      </c>
      <c r="H739" s="17">
        <v>45228</v>
      </c>
      <c r="I739" t="s">
        <v>1951</v>
      </c>
    </row>
    <row r="740" spans="1:9" x14ac:dyDescent="0.3">
      <c r="A740" s="17" t="s">
        <v>1436</v>
      </c>
      <c r="B740" s="17" t="s">
        <v>5131</v>
      </c>
      <c r="C740" s="17" t="s">
        <v>5132</v>
      </c>
      <c r="D740" s="17" t="s">
        <v>5133</v>
      </c>
      <c r="E740" s="17" t="s">
        <v>5134</v>
      </c>
      <c r="F740" s="17" t="s">
        <v>2912</v>
      </c>
      <c r="G740" s="17" t="s">
        <v>2116</v>
      </c>
      <c r="H740" s="17" t="s">
        <v>2913</v>
      </c>
      <c r="I740" t="s">
        <v>1951</v>
      </c>
    </row>
    <row r="741" spans="1:9" x14ac:dyDescent="0.3">
      <c r="A741" s="17" t="s">
        <v>5135</v>
      </c>
      <c r="B741" s="17" t="s">
        <v>5136</v>
      </c>
      <c r="C741" s="17"/>
      <c r="D741" s="17" t="s">
        <v>5137</v>
      </c>
      <c r="E741" s="17" t="s">
        <v>5138</v>
      </c>
      <c r="F741" s="17" t="s">
        <v>2022</v>
      </c>
      <c r="G741" s="17" t="s">
        <v>1941</v>
      </c>
      <c r="H741" s="17">
        <v>97296</v>
      </c>
      <c r="I741" t="s">
        <v>1942</v>
      </c>
    </row>
    <row r="742" spans="1:9" x14ac:dyDescent="0.3">
      <c r="A742" s="17" t="s">
        <v>1439</v>
      </c>
      <c r="B742" s="17" t="s">
        <v>5139</v>
      </c>
      <c r="C742" s="17" t="s">
        <v>5140</v>
      </c>
      <c r="D742" s="17" t="s">
        <v>5141</v>
      </c>
      <c r="E742" s="17" t="s">
        <v>5142</v>
      </c>
      <c r="F742" s="17" t="s">
        <v>5011</v>
      </c>
      <c r="G742" s="17" t="s">
        <v>1949</v>
      </c>
      <c r="H742" s="17" t="s">
        <v>3913</v>
      </c>
      <c r="I742" t="s">
        <v>1951</v>
      </c>
    </row>
    <row r="743" spans="1:9" x14ac:dyDescent="0.3">
      <c r="A743" s="17" t="s">
        <v>1441</v>
      </c>
      <c r="B743" s="17" t="s">
        <v>5143</v>
      </c>
      <c r="C743" s="17" t="s">
        <v>5144</v>
      </c>
      <c r="D743" s="17" t="s">
        <v>5145</v>
      </c>
      <c r="E743" s="17" t="s">
        <v>5146</v>
      </c>
      <c r="F743" s="17" t="s">
        <v>4811</v>
      </c>
      <c r="G743" s="17" t="s">
        <v>1941</v>
      </c>
      <c r="H743" s="17">
        <v>94089</v>
      </c>
      <c r="I743" t="s">
        <v>1951</v>
      </c>
    </row>
    <row r="744" spans="1:9" x14ac:dyDescent="0.3">
      <c r="A744" s="17" t="s">
        <v>1443</v>
      </c>
      <c r="B744" s="17" t="s">
        <v>5147</v>
      </c>
      <c r="C744" s="17" t="s">
        <v>5148</v>
      </c>
      <c r="D744" s="17" t="s">
        <v>5149</v>
      </c>
      <c r="E744" s="17" t="s">
        <v>5150</v>
      </c>
      <c r="F744" s="17" t="s">
        <v>2845</v>
      </c>
      <c r="G744" s="17" t="s">
        <v>1941</v>
      </c>
      <c r="H744" s="17">
        <v>38188</v>
      </c>
      <c r="I744" t="s">
        <v>1951</v>
      </c>
    </row>
    <row r="745" spans="1:9" x14ac:dyDescent="0.3">
      <c r="A745" s="17" t="s">
        <v>1445</v>
      </c>
      <c r="B745" s="17" t="s">
        <v>5151</v>
      </c>
      <c r="C745" s="17" t="s">
        <v>5152</v>
      </c>
      <c r="D745" s="17" t="s">
        <v>5153</v>
      </c>
      <c r="E745" s="17" t="s">
        <v>5154</v>
      </c>
      <c r="F745" s="17" t="s">
        <v>4401</v>
      </c>
      <c r="G745" s="17" t="s">
        <v>1941</v>
      </c>
      <c r="H745" s="17">
        <v>32868</v>
      </c>
      <c r="I745" t="s">
        <v>1951</v>
      </c>
    </row>
    <row r="746" spans="1:9" x14ac:dyDescent="0.3">
      <c r="A746" s="17" t="s">
        <v>1447</v>
      </c>
      <c r="B746" s="17" t="s">
        <v>5155</v>
      </c>
      <c r="C746" s="17"/>
      <c r="D746" s="17" t="s">
        <v>5156</v>
      </c>
      <c r="E746" s="17" t="s">
        <v>5157</v>
      </c>
      <c r="F746" s="17" t="s">
        <v>2821</v>
      </c>
      <c r="G746" s="17" t="s">
        <v>1941</v>
      </c>
      <c r="H746" s="17">
        <v>48232</v>
      </c>
      <c r="I746" t="s">
        <v>1942</v>
      </c>
    </row>
    <row r="747" spans="1:9" x14ac:dyDescent="0.3">
      <c r="A747" s="17" t="s">
        <v>1449</v>
      </c>
      <c r="B747" s="17" t="s">
        <v>5158</v>
      </c>
      <c r="C747" s="17" t="s">
        <v>5159</v>
      </c>
      <c r="D747" s="17" t="s">
        <v>5160</v>
      </c>
      <c r="E747" s="17" t="s">
        <v>5161</v>
      </c>
      <c r="F747" s="17" t="s">
        <v>5162</v>
      </c>
      <c r="G747" s="17" t="s">
        <v>1949</v>
      </c>
      <c r="H747" s="17" t="s">
        <v>5163</v>
      </c>
      <c r="I747" t="s">
        <v>1951</v>
      </c>
    </row>
    <row r="748" spans="1:9" x14ac:dyDescent="0.3">
      <c r="A748" s="17" t="s">
        <v>1451</v>
      </c>
      <c r="B748" s="17" t="s">
        <v>5164</v>
      </c>
      <c r="C748" s="17" t="s">
        <v>5165</v>
      </c>
      <c r="D748" s="17" t="s">
        <v>5166</v>
      </c>
      <c r="E748" s="17" t="s">
        <v>5167</v>
      </c>
      <c r="F748" s="17" t="s">
        <v>5168</v>
      </c>
      <c r="G748" s="17" t="s">
        <v>1949</v>
      </c>
      <c r="H748" s="17" t="s">
        <v>2726</v>
      </c>
      <c r="I748" t="s">
        <v>1951</v>
      </c>
    </row>
    <row r="749" spans="1:9" x14ac:dyDescent="0.3">
      <c r="A749" s="17" t="s">
        <v>1453</v>
      </c>
      <c r="B749" s="17" t="s">
        <v>5169</v>
      </c>
      <c r="C749" s="17" t="s">
        <v>5170</v>
      </c>
      <c r="D749" s="17" t="s">
        <v>5171</v>
      </c>
      <c r="E749" s="17" t="s">
        <v>5172</v>
      </c>
      <c r="F749" s="17" t="s">
        <v>5173</v>
      </c>
      <c r="G749" s="17" t="s">
        <v>1949</v>
      </c>
      <c r="H749" s="17" t="s">
        <v>5174</v>
      </c>
      <c r="I749" t="s">
        <v>1942</v>
      </c>
    </row>
    <row r="750" spans="1:9" x14ac:dyDescent="0.3">
      <c r="A750" s="17" t="s">
        <v>1455</v>
      </c>
      <c r="B750" s="17" t="s">
        <v>5175</v>
      </c>
      <c r="C750" s="17" t="s">
        <v>5176</v>
      </c>
      <c r="D750" s="17" t="s">
        <v>5177</v>
      </c>
      <c r="E750" s="17" t="s">
        <v>5178</v>
      </c>
      <c r="F750" s="17" t="s">
        <v>2004</v>
      </c>
      <c r="G750" s="17" t="s">
        <v>1941</v>
      </c>
      <c r="H750" s="17">
        <v>23203</v>
      </c>
      <c r="I750" t="s">
        <v>1951</v>
      </c>
    </row>
    <row r="751" spans="1:9" x14ac:dyDescent="0.3">
      <c r="A751" s="17" t="s">
        <v>1457</v>
      </c>
      <c r="B751" s="17" t="s">
        <v>5179</v>
      </c>
      <c r="C751" s="17" t="s">
        <v>5180</v>
      </c>
      <c r="D751" s="17" t="s">
        <v>5181</v>
      </c>
      <c r="E751" s="17" t="s">
        <v>5182</v>
      </c>
      <c r="F751" s="17" t="s">
        <v>5183</v>
      </c>
      <c r="G751" s="17" t="s">
        <v>1949</v>
      </c>
      <c r="H751" s="17" t="s">
        <v>2536</v>
      </c>
      <c r="I751" t="s">
        <v>1942</v>
      </c>
    </row>
    <row r="752" spans="1:9" x14ac:dyDescent="0.3">
      <c r="A752" s="17" t="s">
        <v>1459</v>
      </c>
      <c r="B752" s="17" t="s">
        <v>5184</v>
      </c>
      <c r="C752" s="17"/>
      <c r="D752" s="17" t="s">
        <v>5185</v>
      </c>
      <c r="E752" s="17" t="s">
        <v>5186</v>
      </c>
      <c r="F752" s="17" t="s">
        <v>2266</v>
      </c>
      <c r="G752" s="17" t="s">
        <v>1941</v>
      </c>
      <c r="H752" s="17">
        <v>76178</v>
      </c>
      <c r="I752" t="s">
        <v>1942</v>
      </c>
    </row>
    <row r="753" spans="1:9" x14ac:dyDescent="0.3">
      <c r="A753" s="17" t="s">
        <v>1461</v>
      </c>
      <c r="B753" s="17" t="s">
        <v>5187</v>
      </c>
      <c r="C753" s="17" t="s">
        <v>5188</v>
      </c>
      <c r="D753" s="17" t="s">
        <v>5189</v>
      </c>
      <c r="E753" s="17" t="s">
        <v>5190</v>
      </c>
      <c r="F753" s="17" t="s">
        <v>2776</v>
      </c>
      <c r="G753" s="17" t="s">
        <v>1941</v>
      </c>
      <c r="H753" s="17">
        <v>11254</v>
      </c>
      <c r="I753" t="s">
        <v>1951</v>
      </c>
    </row>
    <row r="754" spans="1:9" x14ac:dyDescent="0.3">
      <c r="A754" s="17" t="s">
        <v>1463</v>
      </c>
      <c r="B754" s="17" t="s">
        <v>5191</v>
      </c>
      <c r="C754" s="17" t="s">
        <v>5192</v>
      </c>
      <c r="D754" s="17" t="s">
        <v>5193</v>
      </c>
      <c r="E754" s="17" t="s">
        <v>5194</v>
      </c>
      <c r="F754" s="17" t="s">
        <v>2266</v>
      </c>
      <c r="G754" s="17" t="s">
        <v>1941</v>
      </c>
      <c r="H754" s="17">
        <v>76198</v>
      </c>
      <c r="I754" t="s">
        <v>1942</v>
      </c>
    </row>
    <row r="755" spans="1:9" x14ac:dyDescent="0.3">
      <c r="A755" s="17" t="s">
        <v>1465</v>
      </c>
      <c r="B755" s="17" t="s">
        <v>5195</v>
      </c>
      <c r="C755" s="17" t="s">
        <v>5196</v>
      </c>
      <c r="D755" s="17" t="s">
        <v>5197</v>
      </c>
      <c r="E755" s="17" t="s">
        <v>5198</v>
      </c>
      <c r="F755" s="17" t="s">
        <v>3099</v>
      </c>
      <c r="G755" s="17" t="s">
        <v>1941</v>
      </c>
      <c r="H755" s="17">
        <v>85053</v>
      </c>
      <c r="I755" t="s">
        <v>1951</v>
      </c>
    </row>
    <row r="756" spans="1:9" x14ac:dyDescent="0.3">
      <c r="A756" s="17" t="s">
        <v>5199</v>
      </c>
      <c r="B756" s="17" t="s">
        <v>5200</v>
      </c>
      <c r="C756" s="17" t="s">
        <v>5201</v>
      </c>
      <c r="D756" s="17"/>
      <c r="E756" s="17" t="s">
        <v>5202</v>
      </c>
      <c r="F756" s="17" t="s">
        <v>2186</v>
      </c>
      <c r="G756" s="17" t="s">
        <v>1941</v>
      </c>
      <c r="H756" s="17">
        <v>20470</v>
      </c>
      <c r="I756" t="s">
        <v>1951</v>
      </c>
    </row>
    <row r="757" spans="1:9" x14ac:dyDescent="0.3">
      <c r="A757" s="17" t="s">
        <v>1468</v>
      </c>
      <c r="B757" s="17" t="s">
        <v>5203</v>
      </c>
      <c r="C757" s="17" t="s">
        <v>5204</v>
      </c>
      <c r="D757" s="17" t="s">
        <v>5205</v>
      </c>
      <c r="E757" s="17" t="s">
        <v>5206</v>
      </c>
      <c r="F757" s="17" t="s">
        <v>2325</v>
      </c>
      <c r="G757" s="17" t="s">
        <v>1941</v>
      </c>
      <c r="H757" s="17">
        <v>75287</v>
      </c>
      <c r="I757" t="s">
        <v>1951</v>
      </c>
    </row>
    <row r="758" spans="1:9" x14ac:dyDescent="0.3">
      <c r="A758" s="17" t="s">
        <v>1470</v>
      </c>
      <c r="B758" s="17" t="s">
        <v>5207</v>
      </c>
      <c r="C758" s="17" t="s">
        <v>5208</v>
      </c>
      <c r="D758" s="17" t="s">
        <v>5209</v>
      </c>
      <c r="E758" s="17" t="s">
        <v>5210</v>
      </c>
      <c r="F758" s="17" t="s">
        <v>3687</v>
      </c>
      <c r="G758" s="17" t="s">
        <v>1941</v>
      </c>
      <c r="H758" s="17">
        <v>28805</v>
      </c>
      <c r="I758" t="s">
        <v>1942</v>
      </c>
    </row>
    <row r="759" spans="1:9" x14ac:dyDescent="0.3">
      <c r="A759" s="17" t="s">
        <v>1472</v>
      </c>
      <c r="B759" s="17" t="s">
        <v>5211</v>
      </c>
      <c r="C759" s="17" t="s">
        <v>5212</v>
      </c>
      <c r="D759" s="17" t="s">
        <v>5213</v>
      </c>
      <c r="E759" s="17" t="s">
        <v>5214</v>
      </c>
      <c r="F759" s="17" t="s">
        <v>5215</v>
      </c>
      <c r="G759" s="17" t="s">
        <v>1941</v>
      </c>
      <c r="H759" s="17">
        <v>59112</v>
      </c>
      <c r="I759" t="s">
        <v>1942</v>
      </c>
    </row>
    <row r="760" spans="1:9" x14ac:dyDescent="0.3">
      <c r="A760" s="17" t="s">
        <v>1474</v>
      </c>
      <c r="B760" s="17" t="s">
        <v>5216</v>
      </c>
      <c r="C760" s="17" t="s">
        <v>5217</v>
      </c>
      <c r="D760" s="17"/>
      <c r="E760" s="17" t="s">
        <v>5218</v>
      </c>
      <c r="F760" s="17" t="s">
        <v>2013</v>
      </c>
      <c r="G760" s="17" t="s">
        <v>1941</v>
      </c>
      <c r="H760" s="17">
        <v>63126</v>
      </c>
      <c r="I760" t="s">
        <v>1951</v>
      </c>
    </row>
    <row r="761" spans="1:9" x14ac:dyDescent="0.3">
      <c r="A761" s="17" t="s">
        <v>1476</v>
      </c>
      <c r="B761" s="17" t="s">
        <v>5219</v>
      </c>
      <c r="C761" s="17" t="s">
        <v>5220</v>
      </c>
      <c r="D761" s="17" t="s">
        <v>5221</v>
      </c>
      <c r="E761" s="17" t="s">
        <v>5222</v>
      </c>
      <c r="F761" s="17" t="s">
        <v>5223</v>
      </c>
      <c r="G761" s="17" t="s">
        <v>1941</v>
      </c>
      <c r="H761" s="17">
        <v>64054</v>
      </c>
      <c r="I761" t="s">
        <v>1942</v>
      </c>
    </row>
    <row r="762" spans="1:9" x14ac:dyDescent="0.3">
      <c r="A762" s="17" t="s">
        <v>1478</v>
      </c>
      <c r="B762" s="17" t="s">
        <v>5224</v>
      </c>
      <c r="C762" s="17" t="s">
        <v>5225</v>
      </c>
      <c r="D762" s="17"/>
      <c r="E762" s="17" t="s">
        <v>5226</v>
      </c>
      <c r="F762" s="17" t="s">
        <v>2694</v>
      </c>
      <c r="G762" s="17" t="s">
        <v>1941</v>
      </c>
      <c r="H762" s="17">
        <v>27404</v>
      </c>
      <c r="I762" t="s">
        <v>1951</v>
      </c>
    </row>
    <row r="763" spans="1:9" x14ac:dyDescent="0.3">
      <c r="A763" s="17" t="s">
        <v>1480</v>
      </c>
      <c r="B763" s="17" t="s">
        <v>5227</v>
      </c>
      <c r="C763" s="17" t="s">
        <v>5228</v>
      </c>
      <c r="D763" s="17"/>
      <c r="E763" s="17" t="s">
        <v>5229</v>
      </c>
      <c r="F763" s="17" t="s">
        <v>5230</v>
      </c>
      <c r="G763" s="17" t="s">
        <v>1941</v>
      </c>
      <c r="H763" s="17">
        <v>71213</v>
      </c>
      <c r="I763" t="s">
        <v>1942</v>
      </c>
    </row>
    <row r="764" spans="1:9" x14ac:dyDescent="0.3">
      <c r="A764" s="17" t="s">
        <v>1482</v>
      </c>
      <c r="B764" s="17" t="s">
        <v>5231</v>
      </c>
      <c r="C764" s="17" t="s">
        <v>5232</v>
      </c>
      <c r="D764" s="17" t="s">
        <v>5233</v>
      </c>
      <c r="E764" s="17" t="s">
        <v>5234</v>
      </c>
      <c r="F764" s="17" t="s">
        <v>4422</v>
      </c>
      <c r="G764" s="17" t="s">
        <v>2116</v>
      </c>
      <c r="H764" s="17" t="s">
        <v>4423</v>
      </c>
      <c r="I764" t="s">
        <v>1951</v>
      </c>
    </row>
    <row r="765" spans="1:9" x14ac:dyDescent="0.3">
      <c r="A765" s="17" t="s">
        <v>1484</v>
      </c>
      <c r="B765" s="17" t="s">
        <v>5235</v>
      </c>
      <c r="C765" s="17"/>
      <c r="D765" s="17" t="s">
        <v>5236</v>
      </c>
      <c r="E765" s="17" t="s">
        <v>5237</v>
      </c>
      <c r="F765" s="17" t="s">
        <v>2266</v>
      </c>
      <c r="G765" s="17" t="s">
        <v>1941</v>
      </c>
      <c r="H765" s="17">
        <v>76129</v>
      </c>
      <c r="I765" t="s">
        <v>1951</v>
      </c>
    </row>
    <row r="766" spans="1:9" x14ac:dyDescent="0.3">
      <c r="A766" s="17" t="s">
        <v>1486</v>
      </c>
      <c r="B766" s="17" t="s">
        <v>5238</v>
      </c>
      <c r="C766" s="17" t="s">
        <v>5239</v>
      </c>
      <c r="D766" s="17" t="s">
        <v>5240</v>
      </c>
      <c r="E766" s="17" t="s">
        <v>5241</v>
      </c>
      <c r="F766" s="17" t="s">
        <v>2550</v>
      </c>
      <c r="G766" s="17" t="s">
        <v>1941</v>
      </c>
      <c r="H766" s="17">
        <v>58122</v>
      </c>
      <c r="I766" t="s">
        <v>1942</v>
      </c>
    </row>
    <row r="767" spans="1:9" x14ac:dyDescent="0.3">
      <c r="A767" s="17" t="s">
        <v>1488</v>
      </c>
      <c r="B767" s="17" t="s">
        <v>5242</v>
      </c>
      <c r="C767" s="17" t="s">
        <v>5243</v>
      </c>
      <c r="D767" s="17" t="s">
        <v>5244</v>
      </c>
      <c r="E767" s="17" t="s">
        <v>5245</v>
      </c>
      <c r="F767" s="17" t="s">
        <v>2791</v>
      </c>
      <c r="G767" s="17" t="s">
        <v>1941</v>
      </c>
      <c r="H767" s="17">
        <v>75044</v>
      </c>
      <c r="I767" t="s">
        <v>1942</v>
      </c>
    </row>
    <row r="768" spans="1:9" x14ac:dyDescent="0.3">
      <c r="A768" s="17" t="s">
        <v>5246</v>
      </c>
      <c r="B768" s="17" t="s">
        <v>5247</v>
      </c>
      <c r="C768" s="17" t="s">
        <v>5248</v>
      </c>
      <c r="D768" s="17" t="s">
        <v>5249</v>
      </c>
      <c r="E768" s="17" t="s">
        <v>5250</v>
      </c>
      <c r="F768" s="17" t="s">
        <v>2287</v>
      </c>
      <c r="G768" s="17" t="s">
        <v>1941</v>
      </c>
      <c r="H768" s="17">
        <v>43231</v>
      </c>
      <c r="I768" t="s">
        <v>1951</v>
      </c>
    </row>
    <row r="769" spans="1:9" x14ac:dyDescent="0.3">
      <c r="A769" s="17" t="s">
        <v>5251</v>
      </c>
      <c r="B769" s="17" t="s">
        <v>5252</v>
      </c>
      <c r="C769" s="17" t="s">
        <v>5253</v>
      </c>
      <c r="D769" s="17" t="s">
        <v>5254</v>
      </c>
      <c r="E769" s="17" t="s">
        <v>5255</v>
      </c>
      <c r="F769" s="17" t="s">
        <v>2387</v>
      </c>
      <c r="G769" s="17" t="s">
        <v>1941</v>
      </c>
      <c r="H769" s="17">
        <v>78737</v>
      </c>
      <c r="I769" t="s">
        <v>1951</v>
      </c>
    </row>
    <row r="770" spans="1:9" x14ac:dyDescent="0.3">
      <c r="A770" s="17" t="s">
        <v>5256</v>
      </c>
      <c r="B770" s="17" t="s">
        <v>5257</v>
      </c>
      <c r="C770" s="17"/>
      <c r="D770" s="17" t="s">
        <v>5258</v>
      </c>
      <c r="E770" s="17" t="s">
        <v>5259</v>
      </c>
      <c r="F770" s="17" t="s">
        <v>2744</v>
      </c>
      <c r="G770" s="17" t="s">
        <v>1941</v>
      </c>
      <c r="H770" s="17">
        <v>36104</v>
      </c>
      <c r="I770" t="s">
        <v>1942</v>
      </c>
    </row>
    <row r="771" spans="1:9" x14ac:dyDescent="0.3">
      <c r="A771" s="17" t="s">
        <v>1492</v>
      </c>
      <c r="B771" s="17" t="s">
        <v>5260</v>
      </c>
      <c r="C771" s="17" t="s">
        <v>5261</v>
      </c>
      <c r="D771" s="17" t="s">
        <v>5262</v>
      </c>
      <c r="E771" s="17" t="s">
        <v>5263</v>
      </c>
      <c r="F771" s="17" t="s">
        <v>2172</v>
      </c>
      <c r="G771" s="17" t="s">
        <v>2116</v>
      </c>
      <c r="H771" s="17" t="s">
        <v>3927</v>
      </c>
      <c r="I771" t="s">
        <v>1951</v>
      </c>
    </row>
    <row r="772" spans="1:9" x14ac:dyDescent="0.3">
      <c r="A772" s="17" t="s">
        <v>1494</v>
      </c>
      <c r="B772" s="17" t="s">
        <v>5264</v>
      </c>
      <c r="C772" s="17" t="s">
        <v>5265</v>
      </c>
      <c r="D772" s="17"/>
      <c r="E772" s="17" t="s">
        <v>5266</v>
      </c>
      <c r="F772" s="17" t="s">
        <v>1962</v>
      </c>
      <c r="G772" s="17" t="s">
        <v>1941</v>
      </c>
      <c r="H772" s="17">
        <v>22156</v>
      </c>
      <c r="I772" t="s">
        <v>1951</v>
      </c>
    </row>
    <row r="773" spans="1:9" x14ac:dyDescent="0.3">
      <c r="A773" s="17" t="s">
        <v>1496</v>
      </c>
      <c r="B773" s="17" t="s">
        <v>5267</v>
      </c>
      <c r="C773" s="17" t="s">
        <v>5268</v>
      </c>
      <c r="D773" s="17" t="s">
        <v>5269</v>
      </c>
      <c r="E773" s="17" t="s">
        <v>5270</v>
      </c>
      <c r="F773" s="17" t="s">
        <v>5271</v>
      </c>
      <c r="G773" s="17" t="s">
        <v>1941</v>
      </c>
      <c r="H773" s="17">
        <v>80126</v>
      </c>
      <c r="I773" t="s">
        <v>1951</v>
      </c>
    </row>
    <row r="774" spans="1:9" x14ac:dyDescent="0.3">
      <c r="A774" s="17" t="s">
        <v>1498</v>
      </c>
      <c r="B774" s="17" t="s">
        <v>5272</v>
      </c>
      <c r="C774" s="17"/>
      <c r="D774" s="17" t="s">
        <v>5273</v>
      </c>
      <c r="E774" s="17" t="s">
        <v>5274</v>
      </c>
      <c r="F774" s="17" t="s">
        <v>3316</v>
      </c>
      <c r="G774" s="17" t="s">
        <v>1941</v>
      </c>
      <c r="H774" s="17">
        <v>21275</v>
      </c>
      <c r="I774" t="s">
        <v>1951</v>
      </c>
    </row>
    <row r="775" spans="1:9" x14ac:dyDescent="0.3">
      <c r="A775" s="17" t="s">
        <v>1500</v>
      </c>
      <c r="B775" s="17" t="s">
        <v>5275</v>
      </c>
      <c r="C775" s="17" t="s">
        <v>5276</v>
      </c>
      <c r="D775" s="17" t="s">
        <v>5277</v>
      </c>
      <c r="E775" s="17" t="s">
        <v>5278</v>
      </c>
      <c r="F775" s="17" t="s">
        <v>2314</v>
      </c>
      <c r="G775" s="17" t="s">
        <v>1949</v>
      </c>
      <c r="H775" s="17" t="s">
        <v>2315</v>
      </c>
      <c r="I775" t="s">
        <v>1951</v>
      </c>
    </row>
    <row r="776" spans="1:9" x14ac:dyDescent="0.3">
      <c r="A776" s="17" t="s">
        <v>1502</v>
      </c>
      <c r="B776" s="17" t="s">
        <v>5279</v>
      </c>
      <c r="C776" s="17"/>
      <c r="D776" s="17" t="s">
        <v>5280</v>
      </c>
      <c r="E776" s="17" t="s">
        <v>5281</v>
      </c>
      <c r="F776" s="17" t="s">
        <v>2191</v>
      </c>
      <c r="G776" s="17" t="s">
        <v>1941</v>
      </c>
      <c r="H776" s="17">
        <v>33345</v>
      </c>
      <c r="I776" t="s">
        <v>1942</v>
      </c>
    </row>
    <row r="777" spans="1:9" x14ac:dyDescent="0.3">
      <c r="A777" s="17" t="s">
        <v>1504</v>
      </c>
      <c r="B777" s="17" t="s">
        <v>5282</v>
      </c>
      <c r="C777" s="17" t="s">
        <v>5283</v>
      </c>
      <c r="D777" s="17" t="s">
        <v>5284</v>
      </c>
      <c r="E777" s="17" t="s">
        <v>5285</v>
      </c>
      <c r="F777" s="17" t="s">
        <v>3785</v>
      </c>
      <c r="G777" s="17" t="s">
        <v>1941</v>
      </c>
      <c r="H777" s="17">
        <v>92191</v>
      </c>
      <c r="I777" t="s">
        <v>1942</v>
      </c>
    </row>
    <row r="778" spans="1:9" x14ac:dyDescent="0.3">
      <c r="A778" s="17" t="s">
        <v>1506</v>
      </c>
      <c r="B778" s="17" t="s">
        <v>5286</v>
      </c>
      <c r="C778" s="17" t="s">
        <v>5287</v>
      </c>
      <c r="D778" s="17" t="s">
        <v>5288</v>
      </c>
      <c r="E778" s="17" t="s">
        <v>5289</v>
      </c>
      <c r="F778" s="17" t="s">
        <v>2325</v>
      </c>
      <c r="G778" s="17" t="s">
        <v>1941</v>
      </c>
      <c r="H778" s="17">
        <v>75216</v>
      </c>
      <c r="I778" t="s">
        <v>1951</v>
      </c>
    </row>
    <row r="779" spans="1:9" x14ac:dyDescent="0.3">
      <c r="A779" s="17" t="s">
        <v>1508</v>
      </c>
      <c r="B779" s="17" t="s">
        <v>5290</v>
      </c>
      <c r="C779" s="17" t="s">
        <v>5291</v>
      </c>
      <c r="D779" s="17"/>
      <c r="E779" s="17" t="s">
        <v>5292</v>
      </c>
      <c r="F779" s="17" t="s">
        <v>3325</v>
      </c>
      <c r="G779" s="17" t="s">
        <v>1941</v>
      </c>
      <c r="H779" s="17">
        <v>60435</v>
      </c>
      <c r="I779" t="s">
        <v>1951</v>
      </c>
    </row>
    <row r="780" spans="1:9" x14ac:dyDescent="0.3">
      <c r="A780" s="17" t="s">
        <v>5293</v>
      </c>
      <c r="B780" s="17" t="s">
        <v>5294</v>
      </c>
      <c r="C780" s="17" t="s">
        <v>5295</v>
      </c>
      <c r="D780" s="17" t="s">
        <v>5296</v>
      </c>
      <c r="E780" s="17" t="s">
        <v>5297</v>
      </c>
      <c r="F780" s="17" t="s">
        <v>2048</v>
      </c>
      <c r="G780" s="17" t="s">
        <v>1941</v>
      </c>
      <c r="H780" s="17">
        <v>49510</v>
      </c>
      <c r="I780" t="s">
        <v>1942</v>
      </c>
    </row>
    <row r="781" spans="1:9" x14ac:dyDescent="0.3">
      <c r="A781" s="17" t="s">
        <v>1512</v>
      </c>
      <c r="B781" s="17" t="s">
        <v>5298</v>
      </c>
      <c r="C781" s="17" t="s">
        <v>5299</v>
      </c>
      <c r="D781" s="17" t="s">
        <v>5300</v>
      </c>
      <c r="E781" s="17" t="s">
        <v>5301</v>
      </c>
      <c r="F781" s="17" t="s">
        <v>2713</v>
      </c>
      <c r="G781" s="17" t="s">
        <v>1941</v>
      </c>
      <c r="H781" s="17">
        <v>34620</v>
      </c>
      <c r="I781" t="s">
        <v>1942</v>
      </c>
    </row>
    <row r="782" spans="1:9" x14ac:dyDescent="0.3">
      <c r="A782" s="17" t="s">
        <v>1514</v>
      </c>
      <c r="B782" s="17" t="s">
        <v>5302</v>
      </c>
      <c r="C782" s="17"/>
      <c r="D782" s="17" t="s">
        <v>5303</v>
      </c>
      <c r="E782" s="17" t="s">
        <v>5304</v>
      </c>
      <c r="F782" s="17" t="s">
        <v>2137</v>
      </c>
      <c r="G782" s="17" t="s">
        <v>1941</v>
      </c>
      <c r="H782" s="17">
        <v>55441</v>
      </c>
      <c r="I782" t="s">
        <v>1951</v>
      </c>
    </row>
    <row r="783" spans="1:9" x14ac:dyDescent="0.3">
      <c r="A783" s="17" t="s">
        <v>1516</v>
      </c>
      <c r="B783" s="17" t="s">
        <v>5305</v>
      </c>
      <c r="C783" s="17" t="s">
        <v>5306</v>
      </c>
      <c r="D783" s="17" t="s">
        <v>5307</v>
      </c>
      <c r="E783" s="17" t="s">
        <v>5308</v>
      </c>
      <c r="F783" s="17" t="s">
        <v>3682</v>
      </c>
      <c r="G783" s="17" t="s">
        <v>1941</v>
      </c>
      <c r="H783" s="17">
        <v>30045</v>
      </c>
      <c r="I783" t="s">
        <v>1951</v>
      </c>
    </row>
    <row r="784" spans="1:9" x14ac:dyDescent="0.3">
      <c r="A784" s="17" t="s">
        <v>1518</v>
      </c>
      <c r="B784" s="17" t="s">
        <v>5309</v>
      </c>
      <c r="C784" s="17" t="s">
        <v>5310</v>
      </c>
      <c r="D784" s="17" t="s">
        <v>5311</v>
      </c>
      <c r="E784" s="17" t="s">
        <v>5312</v>
      </c>
      <c r="F784" s="17" t="s">
        <v>5313</v>
      </c>
      <c r="G784" s="17" t="s">
        <v>1949</v>
      </c>
      <c r="H784" s="17" t="s">
        <v>5314</v>
      </c>
      <c r="I784" t="s">
        <v>1951</v>
      </c>
    </row>
    <row r="785" spans="1:9" x14ac:dyDescent="0.3">
      <c r="A785" s="17" t="s">
        <v>1520</v>
      </c>
      <c r="B785" s="17" t="s">
        <v>5315</v>
      </c>
      <c r="C785" s="17" t="s">
        <v>5316</v>
      </c>
      <c r="D785" s="17" t="s">
        <v>5317</v>
      </c>
      <c r="E785" s="17" t="s">
        <v>5318</v>
      </c>
      <c r="F785" s="17" t="s">
        <v>2220</v>
      </c>
      <c r="G785" s="17" t="s">
        <v>1941</v>
      </c>
      <c r="H785" s="17">
        <v>33673</v>
      </c>
      <c r="I785" t="s">
        <v>1942</v>
      </c>
    </row>
    <row r="786" spans="1:9" x14ac:dyDescent="0.3">
      <c r="A786" s="17" t="s">
        <v>1522</v>
      </c>
      <c r="B786" s="17" t="s">
        <v>5319</v>
      </c>
      <c r="C786" s="17" t="s">
        <v>5320</v>
      </c>
      <c r="D786" s="17"/>
      <c r="E786" s="17" t="s">
        <v>5321</v>
      </c>
      <c r="F786" s="17" t="s">
        <v>2506</v>
      </c>
      <c r="G786" s="17" t="s">
        <v>1941</v>
      </c>
      <c r="H786" s="17">
        <v>37240</v>
      </c>
      <c r="I786" t="s">
        <v>1951</v>
      </c>
    </row>
    <row r="787" spans="1:9" x14ac:dyDescent="0.3">
      <c r="A787" s="17" t="s">
        <v>1524</v>
      </c>
      <c r="B787" s="17" t="s">
        <v>5322</v>
      </c>
      <c r="C787" s="17" t="s">
        <v>5323</v>
      </c>
      <c r="D787" s="17" t="s">
        <v>5324</v>
      </c>
      <c r="E787" s="17" t="s">
        <v>5325</v>
      </c>
      <c r="F787" s="17" t="s">
        <v>3581</v>
      </c>
      <c r="G787" s="17" t="s">
        <v>1941</v>
      </c>
      <c r="H787" s="17">
        <v>33175</v>
      </c>
      <c r="I787" t="s">
        <v>1951</v>
      </c>
    </row>
    <row r="788" spans="1:9" x14ac:dyDescent="0.3">
      <c r="A788" s="17" t="s">
        <v>1510</v>
      </c>
      <c r="B788" s="17" t="s">
        <v>5326</v>
      </c>
      <c r="C788" s="17" t="s">
        <v>5327</v>
      </c>
      <c r="D788" s="17" t="s">
        <v>5328</v>
      </c>
      <c r="E788" s="17" t="s">
        <v>5329</v>
      </c>
      <c r="F788" s="17" t="s">
        <v>1976</v>
      </c>
      <c r="G788" s="17" t="s">
        <v>1941</v>
      </c>
      <c r="H788" s="17">
        <v>45426</v>
      </c>
      <c r="I788" t="s">
        <v>1942</v>
      </c>
    </row>
    <row r="789" spans="1:9" x14ac:dyDescent="0.3">
      <c r="A789" s="17" t="s">
        <v>1527</v>
      </c>
      <c r="B789" s="17" t="s">
        <v>5330</v>
      </c>
      <c r="C789" s="17"/>
      <c r="D789" s="17" t="s">
        <v>5331</v>
      </c>
      <c r="E789" s="17" t="s">
        <v>5332</v>
      </c>
      <c r="F789" s="17" t="s">
        <v>2252</v>
      </c>
      <c r="G789" s="17" t="s">
        <v>1941</v>
      </c>
      <c r="H789" s="17">
        <v>60686</v>
      </c>
      <c r="I789" t="s">
        <v>1942</v>
      </c>
    </row>
    <row r="790" spans="1:9" x14ac:dyDescent="0.3">
      <c r="A790" s="17" t="s">
        <v>1529</v>
      </c>
      <c r="B790" s="17" t="s">
        <v>5333</v>
      </c>
      <c r="C790" s="17" t="s">
        <v>5334</v>
      </c>
      <c r="D790" s="17" t="s">
        <v>5335</v>
      </c>
      <c r="E790" s="17" t="s">
        <v>5336</v>
      </c>
      <c r="F790" s="17" t="s">
        <v>5337</v>
      </c>
      <c r="G790" s="17" t="s">
        <v>1949</v>
      </c>
      <c r="H790" s="17" t="s">
        <v>5338</v>
      </c>
      <c r="I790" t="s">
        <v>1942</v>
      </c>
    </row>
    <row r="791" spans="1:9" x14ac:dyDescent="0.3">
      <c r="A791" s="17" t="s">
        <v>1531</v>
      </c>
      <c r="B791" s="17" t="s">
        <v>5339</v>
      </c>
      <c r="C791" s="17" t="s">
        <v>5340</v>
      </c>
      <c r="D791" s="17" t="s">
        <v>5341</v>
      </c>
      <c r="E791" s="17" t="s">
        <v>5342</v>
      </c>
      <c r="F791" s="17" t="s">
        <v>2004</v>
      </c>
      <c r="G791" s="17" t="s">
        <v>1941</v>
      </c>
      <c r="H791" s="17">
        <v>94807</v>
      </c>
      <c r="I791" t="s">
        <v>1951</v>
      </c>
    </row>
    <row r="792" spans="1:9" x14ac:dyDescent="0.3">
      <c r="A792" s="17" t="s">
        <v>1533</v>
      </c>
      <c r="B792" s="17" t="s">
        <v>5343</v>
      </c>
      <c r="C792" s="17" t="s">
        <v>5344</v>
      </c>
      <c r="D792" s="17" t="s">
        <v>5345</v>
      </c>
      <c r="E792" s="17" t="s">
        <v>5346</v>
      </c>
      <c r="F792" s="17" t="s">
        <v>5347</v>
      </c>
      <c r="G792" s="17" t="s">
        <v>1941</v>
      </c>
      <c r="H792" s="17">
        <v>98506</v>
      </c>
      <c r="I792" t="s">
        <v>1951</v>
      </c>
    </row>
    <row r="793" spans="1:9" x14ac:dyDescent="0.3">
      <c r="A793" s="17" t="s">
        <v>1535</v>
      </c>
      <c r="B793" s="17" t="s">
        <v>5348</v>
      </c>
      <c r="C793" s="17" t="s">
        <v>5349</v>
      </c>
      <c r="D793" s="17" t="s">
        <v>5350</v>
      </c>
      <c r="E793" s="17" t="s">
        <v>5351</v>
      </c>
      <c r="F793" s="17" t="s">
        <v>2668</v>
      </c>
      <c r="G793" s="17" t="s">
        <v>1941</v>
      </c>
      <c r="H793" s="17">
        <v>76011</v>
      </c>
      <c r="I793" t="s">
        <v>1942</v>
      </c>
    </row>
    <row r="794" spans="1:9" x14ac:dyDescent="0.3">
      <c r="A794" s="17" t="s">
        <v>1537</v>
      </c>
      <c r="B794" s="17" t="s">
        <v>5352</v>
      </c>
      <c r="C794" s="17" t="s">
        <v>5353</v>
      </c>
      <c r="D794" s="17" t="s">
        <v>5354</v>
      </c>
      <c r="E794" s="17" t="s">
        <v>5355</v>
      </c>
      <c r="F794" s="17" t="s">
        <v>5356</v>
      </c>
      <c r="G794" s="17" t="s">
        <v>2116</v>
      </c>
      <c r="H794" s="17" t="s">
        <v>5357</v>
      </c>
      <c r="I794" t="s">
        <v>1942</v>
      </c>
    </row>
    <row r="795" spans="1:9" x14ac:dyDescent="0.3">
      <c r="A795" s="17" t="s">
        <v>1539</v>
      </c>
      <c r="B795" s="17" t="s">
        <v>5358</v>
      </c>
      <c r="C795" s="17" t="s">
        <v>5359</v>
      </c>
      <c r="D795" s="17" t="s">
        <v>5360</v>
      </c>
      <c r="E795" s="17" t="s">
        <v>5361</v>
      </c>
      <c r="F795" s="17" t="s">
        <v>2643</v>
      </c>
      <c r="G795" s="17" t="s">
        <v>1941</v>
      </c>
      <c r="H795" s="17">
        <v>24009</v>
      </c>
      <c r="I795" t="s">
        <v>1951</v>
      </c>
    </row>
    <row r="796" spans="1:9" x14ac:dyDescent="0.3">
      <c r="A796" s="17" t="s">
        <v>1541</v>
      </c>
      <c r="B796" s="17" t="s">
        <v>5362</v>
      </c>
      <c r="C796" s="17" t="s">
        <v>5363</v>
      </c>
      <c r="D796" s="17" t="s">
        <v>5364</v>
      </c>
      <c r="E796" s="17" t="s">
        <v>5365</v>
      </c>
      <c r="F796" s="17" t="s">
        <v>5366</v>
      </c>
      <c r="G796" s="17" t="s">
        <v>1941</v>
      </c>
      <c r="H796" s="17">
        <v>11044</v>
      </c>
      <c r="I796" t="s">
        <v>1951</v>
      </c>
    </row>
    <row r="797" spans="1:9" x14ac:dyDescent="0.3">
      <c r="A797" s="17" t="s">
        <v>1543</v>
      </c>
      <c r="B797" s="17" t="s">
        <v>5367</v>
      </c>
      <c r="C797" s="17" t="s">
        <v>5368</v>
      </c>
      <c r="D797" s="17" t="s">
        <v>5369</v>
      </c>
      <c r="E797" s="17" t="s">
        <v>5370</v>
      </c>
      <c r="F797" s="17" t="s">
        <v>3589</v>
      </c>
      <c r="G797" s="17" t="s">
        <v>1941</v>
      </c>
      <c r="H797" s="17">
        <v>92825</v>
      </c>
      <c r="I797" t="s">
        <v>1951</v>
      </c>
    </row>
    <row r="798" spans="1:9" x14ac:dyDescent="0.3">
      <c r="A798" s="17" t="s">
        <v>1545</v>
      </c>
      <c r="B798" s="17" t="s">
        <v>5371</v>
      </c>
      <c r="C798" s="17"/>
      <c r="D798" s="17" t="s">
        <v>5372</v>
      </c>
      <c r="E798" s="17" t="s">
        <v>5373</v>
      </c>
      <c r="F798" s="17" t="s">
        <v>3320</v>
      </c>
      <c r="G798" s="17" t="s">
        <v>1941</v>
      </c>
      <c r="H798" s="17">
        <v>40596</v>
      </c>
      <c r="I798" t="s">
        <v>1951</v>
      </c>
    </row>
    <row r="799" spans="1:9" x14ac:dyDescent="0.3">
      <c r="A799" s="17" t="s">
        <v>1547</v>
      </c>
      <c r="B799" s="17" t="s">
        <v>5374</v>
      </c>
      <c r="C799" s="17" t="s">
        <v>5375</v>
      </c>
      <c r="D799" s="17" t="s">
        <v>5376</v>
      </c>
      <c r="E799" s="17" t="s">
        <v>5377</v>
      </c>
      <c r="F799" s="17" t="s">
        <v>2220</v>
      </c>
      <c r="G799" s="17" t="s">
        <v>1941</v>
      </c>
      <c r="H799" s="17">
        <v>33673</v>
      </c>
      <c r="I799" t="s">
        <v>1951</v>
      </c>
    </row>
    <row r="800" spans="1:9" x14ac:dyDescent="0.3">
      <c r="A800" s="17" t="s">
        <v>1549</v>
      </c>
      <c r="B800" s="17" t="s">
        <v>5378</v>
      </c>
      <c r="C800" s="17" t="s">
        <v>5379</v>
      </c>
      <c r="D800" s="17" t="s">
        <v>5380</v>
      </c>
      <c r="E800" s="17" t="s">
        <v>5381</v>
      </c>
      <c r="F800" s="17" t="s">
        <v>1995</v>
      </c>
      <c r="G800" s="17" t="s">
        <v>1941</v>
      </c>
      <c r="H800" s="17">
        <v>95138</v>
      </c>
      <c r="I800" t="s">
        <v>1942</v>
      </c>
    </row>
    <row r="801" spans="1:9" x14ac:dyDescent="0.3">
      <c r="A801" s="17" t="s">
        <v>1551</v>
      </c>
      <c r="B801" s="17" t="s">
        <v>5382</v>
      </c>
      <c r="C801" s="17"/>
      <c r="D801" s="17"/>
      <c r="E801" s="17" t="s">
        <v>5383</v>
      </c>
      <c r="F801" s="17" t="s">
        <v>2186</v>
      </c>
      <c r="G801" s="17" t="s">
        <v>1941</v>
      </c>
      <c r="H801" s="17">
        <v>20470</v>
      </c>
      <c r="I801" t="s">
        <v>1942</v>
      </c>
    </row>
    <row r="802" spans="1:9" x14ac:dyDescent="0.3">
      <c r="A802" s="17" t="s">
        <v>1553</v>
      </c>
      <c r="B802" s="17" t="s">
        <v>5384</v>
      </c>
      <c r="C802" s="17" t="s">
        <v>5385</v>
      </c>
      <c r="D802" s="17" t="s">
        <v>5386</v>
      </c>
      <c r="E802" s="17" t="s">
        <v>5387</v>
      </c>
      <c r="F802" s="17" t="s">
        <v>4416</v>
      </c>
      <c r="G802" s="17" t="s">
        <v>1949</v>
      </c>
      <c r="H802" s="17" t="s">
        <v>4417</v>
      </c>
      <c r="I802" t="s">
        <v>1951</v>
      </c>
    </row>
    <row r="803" spans="1:9" x14ac:dyDescent="0.3">
      <c r="A803" s="17" t="s">
        <v>1555</v>
      </c>
      <c r="B803" s="17" t="s">
        <v>5388</v>
      </c>
      <c r="C803" s="17" t="s">
        <v>5389</v>
      </c>
      <c r="D803" s="17" t="s">
        <v>5390</v>
      </c>
      <c r="E803" s="17" t="s">
        <v>5391</v>
      </c>
      <c r="F803" s="17" t="s">
        <v>5347</v>
      </c>
      <c r="G803" s="17" t="s">
        <v>1941</v>
      </c>
      <c r="H803" s="17">
        <v>98506</v>
      </c>
      <c r="I803" t="s">
        <v>1942</v>
      </c>
    </row>
    <row r="804" spans="1:9" x14ac:dyDescent="0.3">
      <c r="A804" s="17" t="s">
        <v>1557</v>
      </c>
      <c r="B804" s="17" t="s">
        <v>5392</v>
      </c>
      <c r="C804" s="17" t="s">
        <v>5393</v>
      </c>
      <c r="D804" s="17" t="s">
        <v>5394</v>
      </c>
      <c r="E804" s="17" t="s">
        <v>5395</v>
      </c>
      <c r="F804" s="17" t="s">
        <v>5396</v>
      </c>
      <c r="G804" s="17" t="s">
        <v>1941</v>
      </c>
      <c r="H804" s="17">
        <v>75185</v>
      </c>
      <c r="I804" t="s">
        <v>1951</v>
      </c>
    </row>
    <row r="805" spans="1:9" x14ac:dyDescent="0.3">
      <c r="A805" s="17" t="s">
        <v>1559</v>
      </c>
      <c r="B805" s="17" t="s">
        <v>5397</v>
      </c>
      <c r="C805" s="17" t="s">
        <v>5398</v>
      </c>
      <c r="D805" s="17"/>
      <c r="E805" s="17" t="s">
        <v>5399</v>
      </c>
      <c r="F805" s="17" t="s">
        <v>2999</v>
      </c>
      <c r="G805" s="17" t="s">
        <v>1941</v>
      </c>
      <c r="H805" s="17">
        <v>94207</v>
      </c>
      <c r="I805" t="s">
        <v>1951</v>
      </c>
    </row>
    <row r="806" spans="1:9" x14ac:dyDescent="0.3">
      <c r="A806" s="17" t="s">
        <v>1561</v>
      </c>
      <c r="B806" s="17" t="s">
        <v>5400</v>
      </c>
      <c r="C806" s="17"/>
      <c r="D806" s="17" t="s">
        <v>5401</v>
      </c>
      <c r="E806" s="17" t="s">
        <v>5402</v>
      </c>
      <c r="F806" s="17" t="s">
        <v>3164</v>
      </c>
      <c r="G806" s="17" t="s">
        <v>2116</v>
      </c>
      <c r="H806" s="17" t="s">
        <v>3165</v>
      </c>
      <c r="I806" t="s">
        <v>1951</v>
      </c>
    </row>
    <row r="807" spans="1:9" x14ac:dyDescent="0.3">
      <c r="A807" s="17" t="s">
        <v>1563</v>
      </c>
      <c r="B807" s="17" t="s">
        <v>5403</v>
      </c>
      <c r="C807" s="17"/>
      <c r="D807" s="17" t="s">
        <v>5404</v>
      </c>
      <c r="E807" s="17" t="s">
        <v>5405</v>
      </c>
      <c r="F807" s="17" t="s">
        <v>5406</v>
      </c>
      <c r="G807" s="17" t="s">
        <v>1941</v>
      </c>
      <c r="H807" s="17">
        <v>55590</v>
      </c>
      <c r="I807" t="s">
        <v>1951</v>
      </c>
    </row>
    <row r="808" spans="1:9" x14ac:dyDescent="0.3">
      <c r="A808" s="17" t="s">
        <v>1565</v>
      </c>
      <c r="B808" s="17" t="s">
        <v>5407</v>
      </c>
      <c r="C808" s="17"/>
      <c r="D808" s="17"/>
      <c r="E808" s="17" t="s">
        <v>5408</v>
      </c>
      <c r="F808" s="17" t="s">
        <v>2199</v>
      </c>
      <c r="G808" s="17" t="s">
        <v>2116</v>
      </c>
      <c r="H808" s="17" t="s">
        <v>2200</v>
      </c>
      <c r="I808" t="s">
        <v>1942</v>
      </c>
    </row>
    <row r="809" spans="1:9" x14ac:dyDescent="0.3">
      <c r="A809" s="17" t="s">
        <v>1567</v>
      </c>
      <c r="B809" s="17" t="s">
        <v>5409</v>
      </c>
      <c r="C809" s="17" t="s">
        <v>5410</v>
      </c>
      <c r="D809" s="17" t="s">
        <v>5411</v>
      </c>
      <c r="E809" s="17" t="s">
        <v>5412</v>
      </c>
      <c r="F809" s="17" t="s">
        <v>3763</v>
      </c>
      <c r="G809" s="17" t="s">
        <v>1949</v>
      </c>
      <c r="H809" s="17" t="s">
        <v>3764</v>
      </c>
      <c r="I809" t="s">
        <v>1951</v>
      </c>
    </row>
    <row r="810" spans="1:9" x14ac:dyDescent="0.3">
      <c r="A810" s="17" t="s">
        <v>5413</v>
      </c>
      <c r="B810" s="17" t="s">
        <v>5414</v>
      </c>
      <c r="C810" s="17" t="s">
        <v>5415</v>
      </c>
      <c r="D810" s="17" t="s">
        <v>5416</v>
      </c>
      <c r="E810" s="17" t="s">
        <v>5417</v>
      </c>
      <c r="F810" s="17" t="s">
        <v>2099</v>
      </c>
      <c r="G810" s="17" t="s">
        <v>1941</v>
      </c>
      <c r="H810" s="17">
        <v>11499</v>
      </c>
      <c r="I810" t="s">
        <v>1942</v>
      </c>
    </row>
    <row r="811" spans="1:9" x14ac:dyDescent="0.3">
      <c r="A811" s="17" t="s">
        <v>1571</v>
      </c>
      <c r="B811" s="17" t="s">
        <v>5418</v>
      </c>
      <c r="C811" s="17"/>
      <c r="D811" s="17" t="s">
        <v>5419</v>
      </c>
      <c r="E811" s="17" t="s">
        <v>5420</v>
      </c>
      <c r="F811" s="17" t="s">
        <v>2448</v>
      </c>
      <c r="G811" s="17" t="s">
        <v>1941</v>
      </c>
      <c r="H811" s="17">
        <v>79934</v>
      </c>
      <c r="I811" t="s">
        <v>1942</v>
      </c>
    </row>
    <row r="812" spans="1:9" x14ac:dyDescent="0.3">
      <c r="A812" s="17" t="s">
        <v>1573</v>
      </c>
      <c r="B812" s="17" t="s">
        <v>5421</v>
      </c>
      <c r="C812" s="17" t="s">
        <v>5422</v>
      </c>
      <c r="D812" s="17" t="s">
        <v>5423</v>
      </c>
      <c r="E812" s="17" t="s">
        <v>5424</v>
      </c>
      <c r="F812" s="17" t="s">
        <v>5425</v>
      </c>
      <c r="G812" s="17" t="s">
        <v>1941</v>
      </c>
      <c r="H812" s="17">
        <v>34643</v>
      </c>
      <c r="I812" t="s">
        <v>1951</v>
      </c>
    </row>
    <row r="813" spans="1:9" x14ac:dyDescent="0.3">
      <c r="A813" s="17" t="s">
        <v>1575</v>
      </c>
      <c r="B813" s="17" t="s">
        <v>5426</v>
      </c>
      <c r="C813" s="17" t="s">
        <v>5427</v>
      </c>
      <c r="D813" s="17" t="s">
        <v>5428</v>
      </c>
      <c r="E813" s="17" t="s">
        <v>5429</v>
      </c>
      <c r="F813" s="17" t="s">
        <v>5430</v>
      </c>
      <c r="G813" s="17" t="s">
        <v>1949</v>
      </c>
      <c r="H813" s="17" t="s">
        <v>2083</v>
      </c>
      <c r="I813" t="s">
        <v>1942</v>
      </c>
    </row>
    <row r="814" spans="1:9" x14ac:dyDescent="0.3">
      <c r="A814" s="17" t="s">
        <v>5431</v>
      </c>
      <c r="B814" s="17" t="s">
        <v>5432</v>
      </c>
      <c r="C814" s="17" t="s">
        <v>5433</v>
      </c>
      <c r="D814" s="17" t="s">
        <v>5434</v>
      </c>
      <c r="E814" s="17" t="s">
        <v>5435</v>
      </c>
      <c r="F814" s="17" t="s">
        <v>5436</v>
      </c>
      <c r="G814" s="17" t="s">
        <v>2116</v>
      </c>
      <c r="H814" s="17" t="s">
        <v>5437</v>
      </c>
      <c r="I814" t="s">
        <v>1942</v>
      </c>
    </row>
    <row r="815" spans="1:9" x14ac:dyDescent="0.3">
      <c r="A815" s="17" t="s">
        <v>1577</v>
      </c>
      <c r="B815" s="17" t="s">
        <v>5438</v>
      </c>
      <c r="C815" s="17" t="s">
        <v>5439</v>
      </c>
      <c r="D815" s="17" t="s">
        <v>5440</v>
      </c>
      <c r="E815" s="17" t="s">
        <v>5441</v>
      </c>
      <c r="F815" s="17" t="s">
        <v>2362</v>
      </c>
      <c r="G815" s="17" t="s">
        <v>1941</v>
      </c>
      <c r="H815" s="17">
        <v>73179</v>
      </c>
      <c r="I815" t="s">
        <v>1942</v>
      </c>
    </row>
    <row r="816" spans="1:9" x14ac:dyDescent="0.3">
      <c r="A816" s="17" t="s">
        <v>1579</v>
      </c>
      <c r="B816" s="17" t="s">
        <v>5442</v>
      </c>
      <c r="C816" s="17" t="s">
        <v>5443</v>
      </c>
      <c r="D816" s="17" t="s">
        <v>5444</v>
      </c>
      <c r="E816" s="17" t="s">
        <v>5445</v>
      </c>
      <c r="F816" s="17" t="s">
        <v>2186</v>
      </c>
      <c r="G816" s="17" t="s">
        <v>1941</v>
      </c>
      <c r="H816" s="17">
        <v>20051</v>
      </c>
      <c r="I816" t="s">
        <v>1951</v>
      </c>
    </row>
    <row r="817" spans="1:9" x14ac:dyDescent="0.3">
      <c r="A817" s="17" t="s">
        <v>1581</v>
      </c>
      <c r="B817" s="17" t="s">
        <v>5446</v>
      </c>
      <c r="C817" s="17" t="s">
        <v>5447</v>
      </c>
      <c r="D817" s="17" t="s">
        <v>5448</v>
      </c>
      <c r="E817" s="17" t="s">
        <v>5449</v>
      </c>
      <c r="F817" s="17" t="s">
        <v>3049</v>
      </c>
      <c r="G817" s="17" t="s">
        <v>1941</v>
      </c>
      <c r="H817" s="17">
        <v>30351</v>
      </c>
      <c r="I817" t="s">
        <v>1951</v>
      </c>
    </row>
    <row r="818" spans="1:9" x14ac:dyDescent="0.3">
      <c r="A818" s="17" t="s">
        <v>1583</v>
      </c>
      <c r="B818" s="17" t="s">
        <v>5450</v>
      </c>
      <c r="C818" s="17" t="s">
        <v>5451</v>
      </c>
      <c r="D818" s="17" t="s">
        <v>5452</v>
      </c>
      <c r="E818" s="17" t="s">
        <v>5453</v>
      </c>
      <c r="F818" s="17" t="s">
        <v>2704</v>
      </c>
      <c r="G818" s="17" t="s">
        <v>1949</v>
      </c>
      <c r="H818" s="17" t="s">
        <v>2705</v>
      </c>
      <c r="I818" t="s">
        <v>1951</v>
      </c>
    </row>
    <row r="819" spans="1:9" x14ac:dyDescent="0.3">
      <c r="A819" s="17" t="s">
        <v>1585</v>
      </c>
      <c r="B819" s="17" t="s">
        <v>5454</v>
      </c>
      <c r="C819" s="17" t="s">
        <v>5455</v>
      </c>
      <c r="D819" s="17"/>
      <c r="E819" s="17" t="s">
        <v>5456</v>
      </c>
      <c r="F819" s="17" t="s">
        <v>2350</v>
      </c>
      <c r="G819" s="17" t="s">
        <v>1941</v>
      </c>
      <c r="H819" s="17">
        <v>14276</v>
      </c>
      <c r="I819" t="s">
        <v>1951</v>
      </c>
    </row>
    <row r="820" spans="1:9" x14ac:dyDescent="0.3">
      <c r="A820" s="17" t="s">
        <v>1569</v>
      </c>
      <c r="B820" s="17" t="s">
        <v>5457</v>
      </c>
      <c r="C820" s="17"/>
      <c r="D820" s="17" t="s">
        <v>5458</v>
      </c>
      <c r="E820" s="17" t="s">
        <v>5459</v>
      </c>
      <c r="F820" s="17" t="s">
        <v>2027</v>
      </c>
      <c r="G820" s="17" t="s">
        <v>1941</v>
      </c>
      <c r="H820" s="17">
        <v>77260</v>
      </c>
      <c r="I820" t="s">
        <v>1951</v>
      </c>
    </row>
    <row r="821" spans="1:9" x14ac:dyDescent="0.3">
      <c r="A821" s="17" t="s">
        <v>1588</v>
      </c>
      <c r="B821" s="17" t="s">
        <v>5460</v>
      </c>
      <c r="C821" s="17" t="s">
        <v>5461</v>
      </c>
      <c r="D821" s="17" t="s">
        <v>5462</v>
      </c>
      <c r="E821" s="17" t="s">
        <v>5463</v>
      </c>
      <c r="F821" s="17" t="s">
        <v>2186</v>
      </c>
      <c r="G821" s="17" t="s">
        <v>1941</v>
      </c>
      <c r="H821" s="17">
        <v>20470</v>
      </c>
      <c r="I821" t="s">
        <v>1942</v>
      </c>
    </row>
    <row r="822" spans="1:9" x14ac:dyDescent="0.3">
      <c r="A822" s="17" t="s">
        <v>1590</v>
      </c>
      <c r="B822" s="17" t="s">
        <v>5464</v>
      </c>
      <c r="C822" s="17" t="s">
        <v>5465</v>
      </c>
      <c r="D822" s="17" t="s">
        <v>5466</v>
      </c>
      <c r="E822" s="17" t="s">
        <v>5467</v>
      </c>
      <c r="F822" s="17" t="s">
        <v>2387</v>
      </c>
      <c r="G822" s="17" t="s">
        <v>1941</v>
      </c>
      <c r="H822" s="17">
        <v>78764</v>
      </c>
      <c r="I822" t="s">
        <v>1942</v>
      </c>
    </row>
    <row r="823" spans="1:9" x14ac:dyDescent="0.3">
      <c r="A823" s="17" t="s">
        <v>1592</v>
      </c>
      <c r="B823" s="17" t="s">
        <v>5468</v>
      </c>
      <c r="C823" s="17" t="s">
        <v>5469</v>
      </c>
      <c r="D823" s="17" t="s">
        <v>5470</v>
      </c>
      <c r="E823" s="17" t="s">
        <v>5471</v>
      </c>
      <c r="F823" s="17" t="s">
        <v>2835</v>
      </c>
      <c r="G823" s="17" t="s">
        <v>1941</v>
      </c>
      <c r="H823" s="17">
        <v>85205</v>
      </c>
      <c r="I823" t="s">
        <v>1951</v>
      </c>
    </row>
    <row r="824" spans="1:9" x14ac:dyDescent="0.3">
      <c r="A824" s="17" t="s">
        <v>1594</v>
      </c>
      <c r="B824" s="17" t="s">
        <v>5472</v>
      </c>
      <c r="C824" s="17" t="s">
        <v>5473</v>
      </c>
      <c r="D824" s="17" t="s">
        <v>5474</v>
      </c>
      <c r="E824" s="17" t="s">
        <v>5475</v>
      </c>
      <c r="F824" s="17" t="s">
        <v>5476</v>
      </c>
      <c r="G824" s="17" t="s">
        <v>1941</v>
      </c>
      <c r="H824" s="17">
        <v>31416</v>
      </c>
      <c r="I824" t="s">
        <v>1951</v>
      </c>
    </row>
    <row r="825" spans="1:9" x14ac:dyDescent="0.3">
      <c r="A825" s="17" t="s">
        <v>1596</v>
      </c>
      <c r="B825" s="17" t="s">
        <v>5477</v>
      </c>
      <c r="C825" s="17" t="s">
        <v>5478</v>
      </c>
      <c r="D825" s="17" t="s">
        <v>5479</v>
      </c>
      <c r="E825" s="17" t="s">
        <v>5480</v>
      </c>
      <c r="F825" s="17" t="s">
        <v>5481</v>
      </c>
      <c r="G825" s="17" t="s">
        <v>1941</v>
      </c>
      <c r="H825" s="17">
        <v>87140</v>
      </c>
      <c r="I825" t="s">
        <v>1942</v>
      </c>
    </row>
    <row r="826" spans="1:9" x14ac:dyDescent="0.3">
      <c r="A826" s="17" t="s">
        <v>1598</v>
      </c>
      <c r="B826" s="17" t="s">
        <v>5482</v>
      </c>
      <c r="C826" s="17" t="s">
        <v>5483</v>
      </c>
      <c r="D826" s="17"/>
      <c r="E826" s="17" t="s">
        <v>5484</v>
      </c>
      <c r="F826" s="17" t="s">
        <v>2300</v>
      </c>
      <c r="G826" s="17" t="s">
        <v>1941</v>
      </c>
      <c r="H826" s="17">
        <v>28299</v>
      </c>
      <c r="I826" t="s">
        <v>1942</v>
      </c>
    </row>
    <row r="827" spans="1:9" x14ac:dyDescent="0.3">
      <c r="A827" s="17" t="s">
        <v>5485</v>
      </c>
      <c r="B827" s="17" t="s">
        <v>5486</v>
      </c>
      <c r="C827" s="17" t="s">
        <v>5487</v>
      </c>
      <c r="D827" s="17" t="s">
        <v>5488</v>
      </c>
      <c r="E827" s="17" t="s">
        <v>5489</v>
      </c>
      <c r="F827" s="17" t="s">
        <v>3785</v>
      </c>
      <c r="G827" s="17" t="s">
        <v>1941</v>
      </c>
      <c r="H827" s="17">
        <v>92191</v>
      </c>
      <c r="I827" t="s">
        <v>1942</v>
      </c>
    </row>
    <row r="828" spans="1:9" x14ac:dyDescent="0.3">
      <c r="A828" s="17" t="s">
        <v>1602</v>
      </c>
      <c r="B828" s="17" t="s">
        <v>5490</v>
      </c>
      <c r="C828" s="17" t="s">
        <v>5491</v>
      </c>
      <c r="D828" s="17" t="s">
        <v>5492</v>
      </c>
      <c r="E828" s="17" t="s">
        <v>5493</v>
      </c>
      <c r="F828" s="17" t="s">
        <v>2225</v>
      </c>
      <c r="G828" s="17" t="s">
        <v>1941</v>
      </c>
      <c r="H828" s="17">
        <v>32575</v>
      </c>
      <c r="I828" t="s">
        <v>1942</v>
      </c>
    </row>
    <row r="829" spans="1:9" x14ac:dyDescent="0.3">
      <c r="A829" s="17" t="s">
        <v>1604</v>
      </c>
      <c r="B829" s="17" t="s">
        <v>5494</v>
      </c>
      <c r="C829" s="17" t="s">
        <v>5495</v>
      </c>
      <c r="D829" s="17" t="s">
        <v>5496</v>
      </c>
      <c r="E829" s="17" t="s">
        <v>5497</v>
      </c>
      <c r="F829" s="17" t="s">
        <v>2186</v>
      </c>
      <c r="G829" s="17" t="s">
        <v>1941</v>
      </c>
      <c r="H829" s="17">
        <v>20470</v>
      </c>
      <c r="I829" t="s">
        <v>1951</v>
      </c>
    </row>
    <row r="830" spans="1:9" x14ac:dyDescent="0.3">
      <c r="A830" s="17" t="s">
        <v>1606</v>
      </c>
      <c r="B830" s="17" t="s">
        <v>5498</v>
      </c>
      <c r="C830" s="17" t="s">
        <v>5499</v>
      </c>
      <c r="D830" s="17" t="s">
        <v>5500</v>
      </c>
      <c r="E830" s="17" t="s">
        <v>5501</v>
      </c>
      <c r="F830" s="17" t="s">
        <v>5502</v>
      </c>
      <c r="G830" s="17" t="s">
        <v>1941</v>
      </c>
      <c r="H830" s="17">
        <v>34985</v>
      </c>
      <c r="I830" t="s">
        <v>1942</v>
      </c>
    </row>
    <row r="831" spans="1:9" x14ac:dyDescent="0.3">
      <c r="A831" s="17" t="s">
        <v>1608</v>
      </c>
      <c r="B831" s="17" t="s">
        <v>5503</v>
      </c>
      <c r="C831" s="17" t="s">
        <v>5504</v>
      </c>
      <c r="D831" s="17" t="s">
        <v>5505</v>
      </c>
      <c r="E831" s="17" t="s">
        <v>5506</v>
      </c>
      <c r="F831" s="17" t="s">
        <v>2481</v>
      </c>
      <c r="G831" s="17" t="s">
        <v>1941</v>
      </c>
      <c r="H831" s="17">
        <v>25705</v>
      </c>
      <c r="I831" t="s">
        <v>1951</v>
      </c>
    </row>
    <row r="832" spans="1:9" x14ac:dyDescent="0.3">
      <c r="A832" s="17" t="s">
        <v>1610</v>
      </c>
      <c r="B832" s="17" t="s">
        <v>5507</v>
      </c>
      <c r="C832" s="17" t="s">
        <v>5508</v>
      </c>
      <c r="D832" s="17" t="s">
        <v>5509</v>
      </c>
      <c r="E832" s="17" t="s">
        <v>5510</v>
      </c>
      <c r="F832" s="17" t="s">
        <v>2017</v>
      </c>
      <c r="G832" s="17" t="s">
        <v>1941</v>
      </c>
      <c r="H832" s="17">
        <v>19172</v>
      </c>
      <c r="I832" t="s">
        <v>1951</v>
      </c>
    </row>
    <row r="833" spans="1:9" x14ac:dyDescent="0.3">
      <c r="A833" s="17" t="s">
        <v>1600</v>
      </c>
      <c r="B833" s="17" t="s">
        <v>5511</v>
      </c>
      <c r="C833" s="17" t="s">
        <v>5512</v>
      </c>
      <c r="D833" s="17" t="s">
        <v>5513</v>
      </c>
      <c r="E833" s="17" t="s">
        <v>5514</v>
      </c>
      <c r="F833" s="17" t="s">
        <v>2362</v>
      </c>
      <c r="G833" s="17" t="s">
        <v>1941</v>
      </c>
      <c r="H833" s="17">
        <v>73167</v>
      </c>
      <c r="I833" t="s">
        <v>1942</v>
      </c>
    </row>
    <row r="834" spans="1:9" x14ac:dyDescent="0.3">
      <c r="A834" s="17" t="s">
        <v>1612</v>
      </c>
      <c r="B834" s="17" t="s">
        <v>5515</v>
      </c>
      <c r="C834" s="17" t="s">
        <v>5516</v>
      </c>
      <c r="D834" s="17" t="s">
        <v>5517</v>
      </c>
      <c r="E834" s="17" t="s">
        <v>5518</v>
      </c>
      <c r="F834" s="17" t="s">
        <v>2247</v>
      </c>
      <c r="G834" s="17" t="s">
        <v>1941</v>
      </c>
      <c r="H834" s="17">
        <v>34114</v>
      </c>
      <c r="I834" t="s">
        <v>1951</v>
      </c>
    </row>
    <row r="835" spans="1:9" x14ac:dyDescent="0.3">
      <c r="A835" s="17" t="s">
        <v>1614</v>
      </c>
      <c r="B835" s="17" t="s">
        <v>5519</v>
      </c>
      <c r="C835" s="17" t="s">
        <v>5520</v>
      </c>
      <c r="D835" s="17" t="s">
        <v>5521</v>
      </c>
      <c r="E835" s="17" t="s">
        <v>5522</v>
      </c>
      <c r="F835" s="17" t="s">
        <v>2266</v>
      </c>
      <c r="G835" s="17" t="s">
        <v>1941</v>
      </c>
      <c r="H835" s="17">
        <v>76105</v>
      </c>
      <c r="I835" t="s">
        <v>1942</v>
      </c>
    </row>
    <row r="836" spans="1:9" x14ac:dyDescent="0.3">
      <c r="A836" s="17" t="s">
        <v>1616</v>
      </c>
      <c r="B836" s="17" t="s">
        <v>5523</v>
      </c>
      <c r="C836" s="17" t="s">
        <v>5524</v>
      </c>
      <c r="D836" s="17" t="s">
        <v>5525</v>
      </c>
      <c r="E836" s="17" t="s">
        <v>5526</v>
      </c>
      <c r="F836" s="17" t="s">
        <v>5527</v>
      </c>
      <c r="G836" s="17" t="s">
        <v>1941</v>
      </c>
      <c r="H836" s="17">
        <v>68117</v>
      </c>
      <c r="I836" t="s">
        <v>1951</v>
      </c>
    </row>
    <row r="837" spans="1:9" x14ac:dyDescent="0.3">
      <c r="A837" s="17" t="s">
        <v>1618</v>
      </c>
      <c r="B837" s="17" t="s">
        <v>5528</v>
      </c>
      <c r="C837" s="17" t="s">
        <v>5529</v>
      </c>
      <c r="D837" s="17"/>
      <c r="E837" s="17" t="s">
        <v>5530</v>
      </c>
      <c r="F837" s="17" t="s">
        <v>2140</v>
      </c>
      <c r="G837" s="17" t="s">
        <v>1941</v>
      </c>
      <c r="H837" s="17">
        <v>85732</v>
      </c>
      <c r="I837" t="s">
        <v>1942</v>
      </c>
    </row>
    <row r="838" spans="1:9" x14ac:dyDescent="0.3">
      <c r="A838" s="17" t="s">
        <v>1620</v>
      </c>
      <c r="B838" s="17" t="s">
        <v>5531</v>
      </c>
      <c r="C838" s="17" t="s">
        <v>5532</v>
      </c>
      <c r="D838" s="17" t="s">
        <v>5533</v>
      </c>
      <c r="E838" s="17" t="s">
        <v>5534</v>
      </c>
      <c r="F838" s="17" t="s">
        <v>2748</v>
      </c>
      <c r="G838" s="17" t="s">
        <v>1941</v>
      </c>
      <c r="H838" s="17">
        <v>89436</v>
      </c>
      <c r="I838" t="s">
        <v>1951</v>
      </c>
    </row>
    <row r="839" spans="1:9" x14ac:dyDescent="0.3">
      <c r="A839" s="17" t="s">
        <v>5535</v>
      </c>
      <c r="B839" s="17" t="s">
        <v>5536</v>
      </c>
      <c r="C839" s="17" t="s">
        <v>5537</v>
      </c>
      <c r="D839" s="17" t="s">
        <v>5538</v>
      </c>
      <c r="E839" s="17" t="s">
        <v>5539</v>
      </c>
      <c r="F839" s="17" t="s">
        <v>4401</v>
      </c>
      <c r="G839" s="17" t="s">
        <v>1941</v>
      </c>
      <c r="H839" s="17">
        <v>32835</v>
      </c>
      <c r="I839" t="s">
        <v>1942</v>
      </c>
    </row>
    <row r="840" spans="1:9" x14ac:dyDescent="0.3">
      <c r="A840" s="17" t="s">
        <v>1623</v>
      </c>
      <c r="B840" s="17" t="s">
        <v>5540</v>
      </c>
      <c r="C840" s="17" t="s">
        <v>5541</v>
      </c>
      <c r="D840" s="17" t="s">
        <v>5542</v>
      </c>
      <c r="E840" s="17" t="s">
        <v>5543</v>
      </c>
      <c r="F840" s="17" t="s">
        <v>2186</v>
      </c>
      <c r="G840" s="17" t="s">
        <v>1941</v>
      </c>
      <c r="H840" s="17">
        <v>20067</v>
      </c>
      <c r="I840" t="s">
        <v>1951</v>
      </c>
    </row>
    <row r="841" spans="1:9" x14ac:dyDescent="0.3">
      <c r="A841" s="17" t="s">
        <v>1625</v>
      </c>
      <c r="B841" s="17" t="s">
        <v>5544</v>
      </c>
      <c r="C841" s="17" t="s">
        <v>5545</v>
      </c>
      <c r="D841" s="17" t="s">
        <v>5546</v>
      </c>
      <c r="E841" s="17" t="s">
        <v>5547</v>
      </c>
      <c r="F841" s="17" t="s">
        <v>5548</v>
      </c>
      <c r="G841" s="17" t="s">
        <v>1941</v>
      </c>
      <c r="H841" s="17">
        <v>93907</v>
      </c>
      <c r="I841" t="s">
        <v>1951</v>
      </c>
    </row>
    <row r="842" spans="1:9" x14ac:dyDescent="0.3">
      <c r="A842" s="17" t="s">
        <v>1627</v>
      </c>
      <c r="B842" s="17" t="s">
        <v>5549</v>
      </c>
      <c r="C842" s="17" t="s">
        <v>5550</v>
      </c>
      <c r="D842" s="17" t="s">
        <v>5551</v>
      </c>
      <c r="E842" s="17" t="s">
        <v>5552</v>
      </c>
      <c r="F842" s="17" t="s">
        <v>2191</v>
      </c>
      <c r="G842" s="17" t="s">
        <v>1941</v>
      </c>
      <c r="H842" s="17">
        <v>33345</v>
      </c>
      <c r="I842" t="s">
        <v>1942</v>
      </c>
    </row>
    <row r="843" spans="1:9" x14ac:dyDescent="0.3">
      <c r="A843" s="17" t="s">
        <v>1629</v>
      </c>
      <c r="B843" s="17" t="s">
        <v>5553</v>
      </c>
      <c r="C843" s="17" t="s">
        <v>5554</v>
      </c>
      <c r="D843" s="17"/>
      <c r="E843" s="17" t="s">
        <v>5555</v>
      </c>
      <c r="F843" s="17" t="s">
        <v>2448</v>
      </c>
      <c r="G843" s="17" t="s">
        <v>1941</v>
      </c>
      <c r="H843" s="17">
        <v>88553</v>
      </c>
      <c r="I843" t="s">
        <v>1951</v>
      </c>
    </row>
    <row r="844" spans="1:9" x14ac:dyDescent="0.3">
      <c r="A844" s="17" t="s">
        <v>5556</v>
      </c>
      <c r="B844" s="17" t="s">
        <v>5557</v>
      </c>
      <c r="C844" s="17" t="s">
        <v>5558</v>
      </c>
      <c r="D844" s="17"/>
      <c r="E844" s="17" t="s">
        <v>5559</v>
      </c>
      <c r="F844" s="17" t="s">
        <v>5560</v>
      </c>
      <c r="G844" s="17" t="s">
        <v>1941</v>
      </c>
      <c r="H844" s="17">
        <v>91210</v>
      </c>
      <c r="I844" t="s">
        <v>1942</v>
      </c>
    </row>
    <row r="845" spans="1:9" x14ac:dyDescent="0.3">
      <c r="A845" s="17" t="s">
        <v>1632</v>
      </c>
      <c r="B845" s="17" t="s">
        <v>5561</v>
      </c>
      <c r="C845" s="17" t="s">
        <v>5562</v>
      </c>
      <c r="D845" s="17" t="s">
        <v>5563</v>
      </c>
      <c r="E845" s="17" t="s">
        <v>5564</v>
      </c>
      <c r="F845" s="17" t="s">
        <v>2699</v>
      </c>
      <c r="G845" s="17" t="s">
        <v>1941</v>
      </c>
      <c r="H845" s="17">
        <v>22313</v>
      </c>
      <c r="I845" t="s">
        <v>1942</v>
      </c>
    </row>
    <row r="846" spans="1:9" x14ac:dyDescent="0.3">
      <c r="A846" s="17" t="s">
        <v>1634</v>
      </c>
      <c r="B846" s="17" t="s">
        <v>5565</v>
      </c>
      <c r="C846" s="17" t="s">
        <v>5566</v>
      </c>
      <c r="D846" s="17" t="s">
        <v>5567</v>
      </c>
      <c r="E846" s="17" t="s">
        <v>5568</v>
      </c>
      <c r="F846" s="17" t="s">
        <v>3316</v>
      </c>
      <c r="G846" s="17" t="s">
        <v>1941</v>
      </c>
      <c r="H846" s="17">
        <v>21290</v>
      </c>
      <c r="I846" t="s">
        <v>1942</v>
      </c>
    </row>
    <row r="847" spans="1:9" x14ac:dyDescent="0.3">
      <c r="A847" s="17" t="s">
        <v>1636</v>
      </c>
      <c r="B847" s="17" t="s">
        <v>5569</v>
      </c>
      <c r="C847" s="17" t="s">
        <v>5570</v>
      </c>
      <c r="D847" s="17"/>
      <c r="E847" s="17" t="s">
        <v>5571</v>
      </c>
      <c r="F847" s="17" t="s">
        <v>2555</v>
      </c>
      <c r="G847" s="17" t="s">
        <v>1941</v>
      </c>
      <c r="H847" s="17">
        <v>47732</v>
      </c>
      <c r="I847" t="s">
        <v>1951</v>
      </c>
    </row>
    <row r="848" spans="1:9" x14ac:dyDescent="0.3">
      <c r="A848" s="17" t="s">
        <v>1638</v>
      </c>
      <c r="B848" s="17" t="s">
        <v>5572</v>
      </c>
      <c r="C848" s="17"/>
      <c r="D848" s="17" t="s">
        <v>5573</v>
      </c>
      <c r="E848" s="17" t="s">
        <v>5574</v>
      </c>
      <c r="F848" s="17" t="s">
        <v>3682</v>
      </c>
      <c r="G848" s="17" t="s">
        <v>1941</v>
      </c>
      <c r="H848" s="17">
        <v>30045</v>
      </c>
      <c r="I848" t="s">
        <v>1942</v>
      </c>
    </row>
    <row r="849" spans="1:9" x14ac:dyDescent="0.3">
      <c r="A849" s="17" t="s">
        <v>1640</v>
      </c>
      <c r="B849" s="17" t="s">
        <v>5575</v>
      </c>
      <c r="C849" s="17" t="s">
        <v>5576</v>
      </c>
      <c r="D849" s="17"/>
      <c r="E849" s="17" t="s">
        <v>5577</v>
      </c>
      <c r="F849" s="17" t="s">
        <v>5578</v>
      </c>
      <c r="G849" s="17" t="s">
        <v>1941</v>
      </c>
      <c r="H849" s="17">
        <v>36670</v>
      </c>
      <c r="I849" t="s">
        <v>1942</v>
      </c>
    </row>
    <row r="850" spans="1:9" x14ac:dyDescent="0.3">
      <c r="A850" s="17" t="s">
        <v>1642</v>
      </c>
      <c r="B850" s="17" t="s">
        <v>5579</v>
      </c>
      <c r="C850" s="17"/>
      <c r="D850" s="17" t="s">
        <v>5580</v>
      </c>
      <c r="E850" s="17" t="s">
        <v>5581</v>
      </c>
      <c r="F850" s="17" t="s">
        <v>2320</v>
      </c>
      <c r="G850" s="17" t="s">
        <v>1941</v>
      </c>
      <c r="H850" s="17">
        <v>79705</v>
      </c>
      <c r="I850" t="s">
        <v>1951</v>
      </c>
    </row>
    <row r="851" spans="1:9" x14ac:dyDescent="0.3">
      <c r="A851" s="17" t="s">
        <v>1644</v>
      </c>
      <c r="B851" s="17" t="s">
        <v>5582</v>
      </c>
      <c r="C851" s="17" t="s">
        <v>5583</v>
      </c>
      <c r="D851" s="17" t="s">
        <v>5584</v>
      </c>
      <c r="E851" s="17" t="s">
        <v>5585</v>
      </c>
      <c r="F851" s="17" t="s">
        <v>5586</v>
      </c>
      <c r="G851" s="17" t="s">
        <v>1941</v>
      </c>
      <c r="H851" s="17">
        <v>33023</v>
      </c>
      <c r="I851" t="s">
        <v>1942</v>
      </c>
    </row>
    <row r="852" spans="1:9" x14ac:dyDescent="0.3">
      <c r="A852" s="17" t="s">
        <v>5587</v>
      </c>
      <c r="B852" s="17" t="s">
        <v>5588</v>
      </c>
      <c r="C852" s="17" t="s">
        <v>5589</v>
      </c>
      <c r="D852" s="17" t="s">
        <v>5590</v>
      </c>
      <c r="E852" s="17" t="s">
        <v>5591</v>
      </c>
      <c r="F852" s="17" t="s">
        <v>3510</v>
      </c>
      <c r="G852" s="17" t="s">
        <v>1941</v>
      </c>
      <c r="H852" s="17">
        <v>66611</v>
      </c>
      <c r="I852" t="s">
        <v>1942</v>
      </c>
    </row>
    <row r="853" spans="1:9" x14ac:dyDescent="0.3">
      <c r="A853" s="17" t="s">
        <v>1646</v>
      </c>
      <c r="B853" s="17" t="s">
        <v>5592</v>
      </c>
      <c r="C853" s="17" t="s">
        <v>5593</v>
      </c>
      <c r="D853" s="17" t="s">
        <v>5594</v>
      </c>
      <c r="E853" s="17" t="s">
        <v>5595</v>
      </c>
      <c r="F853" s="17" t="s">
        <v>3755</v>
      </c>
      <c r="G853" s="17" t="s">
        <v>1941</v>
      </c>
      <c r="H853" s="17">
        <v>95973</v>
      </c>
      <c r="I853" t="s">
        <v>1942</v>
      </c>
    </row>
    <row r="854" spans="1:9" x14ac:dyDescent="0.3">
      <c r="A854" s="17" t="s">
        <v>1648</v>
      </c>
      <c r="B854" s="17" t="s">
        <v>5596</v>
      </c>
      <c r="C854" s="17" t="s">
        <v>5597</v>
      </c>
      <c r="D854" s="17"/>
      <c r="E854" s="17" t="s">
        <v>5598</v>
      </c>
      <c r="F854" s="17" t="s">
        <v>2387</v>
      </c>
      <c r="G854" s="17" t="s">
        <v>1941</v>
      </c>
      <c r="H854" s="17">
        <v>78737</v>
      </c>
      <c r="I854" t="s">
        <v>1942</v>
      </c>
    </row>
    <row r="855" spans="1:9" x14ac:dyDescent="0.3">
      <c r="A855" s="17" t="s">
        <v>1650</v>
      </c>
      <c r="B855" s="17" t="s">
        <v>5599</v>
      </c>
      <c r="C855" s="17" t="s">
        <v>5600</v>
      </c>
      <c r="D855" s="17"/>
      <c r="E855" s="17" t="s">
        <v>5601</v>
      </c>
      <c r="F855" s="17" t="s">
        <v>2448</v>
      </c>
      <c r="G855" s="17" t="s">
        <v>1941</v>
      </c>
      <c r="H855" s="17">
        <v>88546</v>
      </c>
      <c r="I855" t="s">
        <v>1951</v>
      </c>
    </row>
    <row r="856" spans="1:9" x14ac:dyDescent="0.3">
      <c r="A856" s="17" t="s">
        <v>1652</v>
      </c>
      <c r="B856" s="17" t="s">
        <v>5602</v>
      </c>
      <c r="C856" s="17" t="s">
        <v>5603</v>
      </c>
      <c r="D856" s="17" t="s">
        <v>5604</v>
      </c>
      <c r="E856" s="17" t="s">
        <v>5605</v>
      </c>
      <c r="F856" s="17" t="s">
        <v>2122</v>
      </c>
      <c r="G856" s="17" t="s">
        <v>1941</v>
      </c>
      <c r="H856" s="17">
        <v>25326</v>
      </c>
      <c r="I856" t="s">
        <v>1942</v>
      </c>
    </row>
    <row r="857" spans="1:9" x14ac:dyDescent="0.3">
      <c r="A857" s="17" t="s">
        <v>1654</v>
      </c>
      <c r="B857" s="17" t="s">
        <v>5606</v>
      </c>
      <c r="C857" s="17" t="s">
        <v>5607</v>
      </c>
      <c r="D857" s="17" t="s">
        <v>5608</v>
      </c>
      <c r="E857" s="17" t="s">
        <v>5609</v>
      </c>
      <c r="F857" s="17" t="s">
        <v>4886</v>
      </c>
      <c r="G857" s="17" t="s">
        <v>1941</v>
      </c>
      <c r="H857" s="17">
        <v>18105</v>
      </c>
      <c r="I857" t="s">
        <v>1951</v>
      </c>
    </row>
    <row r="858" spans="1:9" x14ac:dyDescent="0.3">
      <c r="A858" s="17" t="s">
        <v>5610</v>
      </c>
      <c r="B858" s="17" t="s">
        <v>5611</v>
      </c>
      <c r="C858" s="17" t="s">
        <v>5612</v>
      </c>
      <c r="D858" s="17" t="s">
        <v>5613</v>
      </c>
      <c r="E858" s="17" t="s">
        <v>5614</v>
      </c>
      <c r="F858" s="17" t="s">
        <v>4485</v>
      </c>
      <c r="G858" s="17" t="s">
        <v>2116</v>
      </c>
      <c r="H858" s="17" t="s">
        <v>5615</v>
      </c>
      <c r="I858" t="s">
        <v>1942</v>
      </c>
    </row>
    <row r="859" spans="1:9" x14ac:dyDescent="0.3">
      <c r="A859" s="17" t="s">
        <v>1657</v>
      </c>
      <c r="B859" s="17" t="s">
        <v>5616</v>
      </c>
      <c r="C859" s="17" t="s">
        <v>5617</v>
      </c>
      <c r="D859" s="17" t="s">
        <v>5618</v>
      </c>
      <c r="E859" s="17" t="s">
        <v>5619</v>
      </c>
      <c r="F859" s="17" t="s">
        <v>5425</v>
      </c>
      <c r="G859" s="17" t="s">
        <v>1941</v>
      </c>
      <c r="H859" s="17">
        <v>34643</v>
      </c>
      <c r="I859" t="s">
        <v>1951</v>
      </c>
    </row>
    <row r="860" spans="1:9" x14ac:dyDescent="0.3">
      <c r="A860" s="17" t="s">
        <v>1659</v>
      </c>
      <c r="B860" s="17" t="s">
        <v>5620</v>
      </c>
      <c r="C860" s="17" t="s">
        <v>5621</v>
      </c>
      <c r="D860" s="17" t="s">
        <v>5622</v>
      </c>
      <c r="E860" s="17" t="s">
        <v>5623</v>
      </c>
      <c r="F860" s="17" t="s">
        <v>2550</v>
      </c>
      <c r="G860" s="17" t="s">
        <v>1941</v>
      </c>
      <c r="H860" s="17">
        <v>58122</v>
      </c>
      <c r="I860" t="s">
        <v>1951</v>
      </c>
    </row>
    <row r="861" spans="1:9" x14ac:dyDescent="0.3">
      <c r="A861" s="17" t="s">
        <v>1661</v>
      </c>
      <c r="B861" s="17" t="s">
        <v>5624</v>
      </c>
      <c r="C861" s="17" t="s">
        <v>5625</v>
      </c>
      <c r="D861" s="17" t="s">
        <v>5626</v>
      </c>
      <c r="E861" s="17" t="s">
        <v>5627</v>
      </c>
      <c r="F861" s="17" t="s">
        <v>5028</v>
      </c>
      <c r="G861" s="17" t="s">
        <v>1941</v>
      </c>
      <c r="H861" s="17">
        <v>72905</v>
      </c>
      <c r="I861" t="s">
        <v>1951</v>
      </c>
    </row>
    <row r="862" spans="1:9" x14ac:dyDescent="0.3">
      <c r="A862" s="17" t="s">
        <v>1663</v>
      </c>
      <c r="B862" s="17" t="s">
        <v>5628</v>
      </c>
      <c r="C862" s="17"/>
      <c r="D862" s="17" t="s">
        <v>5629</v>
      </c>
      <c r="E862" s="17" t="s">
        <v>5630</v>
      </c>
      <c r="F862" s="17" t="s">
        <v>4237</v>
      </c>
      <c r="G862" s="17" t="s">
        <v>1941</v>
      </c>
      <c r="H862" s="17">
        <v>33811</v>
      </c>
      <c r="I862" t="s">
        <v>1951</v>
      </c>
    </row>
    <row r="863" spans="1:9" x14ac:dyDescent="0.3">
      <c r="A863" s="17" t="s">
        <v>1665</v>
      </c>
      <c r="B863" s="17" t="s">
        <v>5631</v>
      </c>
      <c r="C863" s="17" t="s">
        <v>5632</v>
      </c>
      <c r="D863" s="17" t="s">
        <v>5633</v>
      </c>
      <c r="E863" s="17" t="s">
        <v>5634</v>
      </c>
      <c r="F863" s="17" t="s">
        <v>3412</v>
      </c>
      <c r="G863" s="17" t="s">
        <v>1941</v>
      </c>
      <c r="H863" s="17">
        <v>37924</v>
      </c>
      <c r="I863" t="s">
        <v>1942</v>
      </c>
    </row>
    <row r="864" spans="1:9" x14ac:dyDescent="0.3">
      <c r="A864" s="17" t="s">
        <v>1667</v>
      </c>
      <c r="B864" s="17" t="s">
        <v>5635</v>
      </c>
      <c r="C864" s="17" t="s">
        <v>5636</v>
      </c>
      <c r="D864" s="17" t="s">
        <v>5637</v>
      </c>
      <c r="E864" s="17" t="s">
        <v>5638</v>
      </c>
      <c r="F864" s="17" t="s">
        <v>1986</v>
      </c>
      <c r="G864" s="17" t="s">
        <v>1941</v>
      </c>
      <c r="H864" s="17">
        <v>90030</v>
      </c>
      <c r="I864" t="s">
        <v>1942</v>
      </c>
    </row>
    <row r="865" spans="1:9" x14ac:dyDescent="0.3">
      <c r="A865" s="17" t="s">
        <v>1669</v>
      </c>
      <c r="B865" s="17" t="s">
        <v>5639</v>
      </c>
      <c r="C865" s="17" t="s">
        <v>5640</v>
      </c>
      <c r="D865" s="17" t="s">
        <v>5641</v>
      </c>
      <c r="E865" s="17" t="s">
        <v>5642</v>
      </c>
      <c r="F865" s="17" t="s">
        <v>3581</v>
      </c>
      <c r="G865" s="17" t="s">
        <v>1941</v>
      </c>
      <c r="H865" s="17">
        <v>33169</v>
      </c>
      <c r="I865" t="s">
        <v>1942</v>
      </c>
    </row>
    <row r="866" spans="1:9" x14ac:dyDescent="0.3">
      <c r="A866" s="17" t="s">
        <v>1671</v>
      </c>
      <c r="B866" s="17" t="s">
        <v>5643</v>
      </c>
      <c r="C866" s="17" t="s">
        <v>5644</v>
      </c>
      <c r="D866" s="17" t="s">
        <v>5645</v>
      </c>
      <c r="E866" s="17" t="s">
        <v>5646</v>
      </c>
      <c r="F866" s="17" t="s">
        <v>5162</v>
      </c>
      <c r="G866" s="17" t="s">
        <v>1949</v>
      </c>
      <c r="H866" s="17" t="s">
        <v>5163</v>
      </c>
      <c r="I866" t="s">
        <v>1951</v>
      </c>
    </row>
    <row r="867" spans="1:9" x14ac:dyDescent="0.3">
      <c r="A867" s="17" t="s">
        <v>5647</v>
      </c>
      <c r="B867" s="17" t="s">
        <v>5648</v>
      </c>
      <c r="C867" s="17"/>
      <c r="D867" s="17" t="s">
        <v>5649</v>
      </c>
      <c r="E867" s="17" t="s">
        <v>5650</v>
      </c>
      <c r="F867" s="17" t="s">
        <v>2252</v>
      </c>
      <c r="G867" s="17" t="s">
        <v>1941</v>
      </c>
      <c r="H867" s="17">
        <v>60604</v>
      </c>
      <c r="I867" t="s">
        <v>1942</v>
      </c>
    </row>
    <row r="868" spans="1:9" x14ac:dyDescent="0.3">
      <c r="A868" s="17" t="s">
        <v>1675</v>
      </c>
      <c r="B868" s="17" t="s">
        <v>5651</v>
      </c>
      <c r="C868" s="17" t="s">
        <v>5652</v>
      </c>
      <c r="D868" s="17" t="s">
        <v>5653</v>
      </c>
      <c r="E868" s="17" t="s">
        <v>5654</v>
      </c>
      <c r="F868" s="17" t="s">
        <v>5655</v>
      </c>
      <c r="G868" s="17" t="s">
        <v>1949</v>
      </c>
      <c r="H868" s="17" t="s">
        <v>2397</v>
      </c>
      <c r="I868" t="s">
        <v>1951</v>
      </c>
    </row>
    <row r="869" spans="1:9" x14ac:dyDescent="0.3">
      <c r="A869" s="17" t="s">
        <v>1677</v>
      </c>
      <c r="B869" s="17" t="s">
        <v>5656</v>
      </c>
      <c r="C869" s="17" t="s">
        <v>5657</v>
      </c>
      <c r="D869" s="17"/>
      <c r="E869" s="17" t="s">
        <v>5658</v>
      </c>
      <c r="F869" s="17" t="s">
        <v>5659</v>
      </c>
      <c r="G869" s="17" t="s">
        <v>1949</v>
      </c>
      <c r="H869" s="17" t="s">
        <v>5660</v>
      </c>
      <c r="I869" t="s">
        <v>1942</v>
      </c>
    </row>
    <row r="870" spans="1:9" x14ac:dyDescent="0.3">
      <c r="A870" s="17" t="s">
        <v>1679</v>
      </c>
      <c r="B870" s="17" t="s">
        <v>5661</v>
      </c>
      <c r="C870" s="17" t="s">
        <v>5662</v>
      </c>
      <c r="D870" s="17" t="s">
        <v>5663</v>
      </c>
      <c r="E870" s="17" t="s">
        <v>5664</v>
      </c>
      <c r="F870" s="17" t="s">
        <v>2861</v>
      </c>
      <c r="G870" s="17" t="s">
        <v>1941</v>
      </c>
      <c r="H870" s="17">
        <v>33064</v>
      </c>
      <c r="I870" t="s">
        <v>1942</v>
      </c>
    </row>
    <row r="871" spans="1:9" x14ac:dyDescent="0.3">
      <c r="A871" s="17" t="s">
        <v>1681</v>
      </c>
      <c r="B871" s="17" t="s">
        <v>5665</v>
      </c>
      <c r="C871" s="17"/>
      <c r="D871" s="17" t="s">
        <v>5666</v>
      </c>
      <c r="E871" s="17" t="s">
        <v>5667</v>
      </c>
      <c r="F871" s="17" t="s">
        <v>2999</v>
      </c>
      <c r="G871" s="17" t="s">
        <v>1941</v>
      </c>
      <c r="H871" s="17">
        <v>94297</v>
      </c>
      <c r="I871" t="s">
        <v>1942</v>
      </c>
    </row>
    <row r="872" spans="1:9" x14ac:dyDescent="0.3">
      <c r="A872" s="17" t="s">
        <v>1683</v>
      </c>
      <c r="B872" s="17" t="s">
        <v>5668</v>
      </c>
      <c r="C872" s="17" t="s">
        <v>5669</v>
      </c>
      <c r="D872" s="17" t="s">
        <v>5670</v>
      </c>
      <c r="E872" s="17" t="s">
        <v>5671</v>
      </c>
      <c r="F872" s="17" t="s">
        <v>2082</v>
      </c>
      <c r="G872" s="17" t="s">
        <v>1949</v>
      </c>
      <c r="H872" s="17" t="s">
        <v>2083</v>
      </c>
      <c r="I872" t="s">
        <v>1942</v>
      </c>
    </row>
    <row r="873" spans="1:9" x14ac:dyDescent="0.3">
      <c r="A873" s="17" t="s">
        <v>1685</v>
      </c>
      <c r="B873" s="17" t="s">
        <v>5672</v>
      </c>
      <c r="C873" s="17" t="s">
        <v>5673</v>
      </c>
      <c r="D873" s="17" t="s">
        <v>5674</v>
      </c>
      <c r="E873" s="17" t="s">
        <v>5675</v>
      </c>
      <c r="F873" s="17" t="s">
        <v>5676</v>
      </c>
      <c r="G873" s="17" t="s">
        <v>2116</v>
      </c>
      <c r="H873" s="17" t="s">
        <v>5677</v>
      </c>
      <c r="I873" t="s">
        <v>1942</v>
      </c>
    </row>
    <row r="874" spans="1:9" x14ac:dyDescent="0.3">
      <c r="A874" s="17" t="s">
        <v>1687</v>
      </c>
      <c r="B874" s="17" t="s">
        <v>5678</v>
      </c>
      <c r="C874" s="17" t="s">
        <v>5679</v>
      </c>
      <c r="D874" s="17" t="s">
        <v>5680</v>
      </c>
      <c r="E874" s="17" t="s">
        <v>5681</v>
      </c>
      <c r="F874" s="17" t="s">
        <v>3687</v>
      </c>
      <c r="G874" s="17" t="s">
        <v>1941</v>
      </c>
      <c r="H874" s="17">
        <v>28805</v>
      </c>
      <c r="I874" t="s">
        <v>1951</v>
      </c>
    </row>
    <row r="875" spans="1:9" x14ac:dyDescent="0.3">
      <c r="A875" s="17" t="s">
        <v>1673</v>
      </c>
      <c r="B875" s="17" t="s">
        <v>5682</v>
      </c>
      <c r="C875" s="17" t="s">
        <v>5683</v>
      </c>
      <c r="D875" s="17" t="s">
        <v>5684</v>
      </c>
      <c r="E875" s="17" t="s">
        <v>5685</v>
      </c>
      <c r="F875" s="17" t="s">
        <v>2122</v>
      </c>
      <c r="G875" s="17" t="s">
        <v>1941</v>
      </c>
      <c r="H875" s="17">
        <v>25362</v>
      </c>
      <c r="I875" t="s">
        <v>1942</v>
      </c>
    </row>
    <row r="876" spans="1:9" x14ac:dyDescent="0.3">
      <c r="A876" s="17" t="s">
        <v>1690</v>
      </c>
      <c r="B876" s="17" t="s">
        <v>5686</v>
      </c>
      <c r="C876" s="17" t="s">
        <v>5687</v>
      </c>
      <c r="D876" s="17" t="s">
        <v>5688</v>
      </c>
      <c r="E876" s="17" t="s">
        <v>5689</v>
      </c>
      <c r="F876" s="17" t="s">
        <v>2027</v>
      </c>
      <c r="G876" s="17" t="s">
        <v>1941</v>
      </c>
      <c r="H876" s="17">
        <v>77281</v>
      </c>
      <c r="I876" t="s">
        <v>1951</v>
      </c>
    </row>
    <row r="877" spans="1:9" x14ac:dyDescent="0.3">
      <c r="A877" s="17" t="s">
        <v>1692</v>
      </c>
      <c r="B877" s="17" t="s">
        <v>5690</v>
      </c>
      <c r="C877" s="17" t="s">
        <v>5691</v>
      </c>
      <c r="D877" s="17" t="s">
        <v>5692</v>
      </c>
      <c r="E877" s="17" t="s">
        <v>5693</v>
      </c>
      <c r="F877" s="17" t="s">
        <v>2411</v>
      </c>
      <c r="G877" s="17" t="s">
        <v>1949</v>
      </c>
      <c r="H877" s="17" t="s">
        <v>2412</v>
      </c>
      <c r="I877" t="s">
        <v>1951</v>
      </c>
    </row>
    <row r="878" spans="1:9" x14ac:dyDescent="0.3">
      <c r="A878" s="17" t="s">
        <v>5694</v>
      </c>
      <c r="B878" s="17" t="s">
        <v>5695</v>
      </c>
      <c r="C878" s="17" t="s">
        <v>5696</v>
      </c>
      <c r="D878" s="17" t="s">
        <v>5697</v>
      </c>
      <c r="E878" s="17" t="s">
        <v>5698</v>
      </c>
      <c r="F878" s="17" t="s">
        <v>2186</v>
      </c>
      <c r="G878" s="17" t="s">
        <v>1941</v>
      </c>
      <c r="H878" s="17">
        <v>20575</v>
      </c>
      <c r="I878" t="s">
        <v>1942</v>
      </c>
    </row>
    <row r="879" spans="1:9" x14ac:dyDescent="0.3">
      <c r="A879" s="17" t="s">
        <v>1694</v>
      </c>
      <c r="B879" s="17" t="s">
        <v>5699</v>
      </c>
      <c r="C879" s="17" t="s">
        <v>5700</v>
      </c>
      <c r="D879" s="17" t="s">
        <v>5701</v>
      </c>
      <c r="E879" s="17" t="s">
        <v>5702</v>
      </c>
      <c r="F879" s="17" t="s">
        <v>2256</v>
      </c>
      <c r="G879" s="17" t="s">
        <v>1941</v>
      </c>
      <c r="H879" s="17">
        <v>7195</v>
      </c>
      <c r="I879" t="s">
        <v>1951</v>
      </c>
    </row>
    <row r="880" spans="1:9" x14ac:dyDescent="0.3">
      <c r="A880" s="17" t="s">
        <v>1696</v>
      </c>
      <c r="B880" s="17" t="s">
        <v>5703</v>
      </c>
      <c r="C880" s="17"/>
      <c r="D880" s="17" t="s">
        <v>5704</v>
      </c>
      <c r="E880" s="17" t="s">
        <v>5705</v>
      </c>
      <c r="F880" s="17" t="s">
        <v>3492</v>
      </c>
      <c r="G880" s="17" t="s">
        <v>1941</v>
      </c>
      <c r="H880" s="17">
        <v>98195</v>
      </c>
      <c r="I880" t="s">
        <v>1942</v>
      </c>
    </row>
    <row r="881" spans="1:9" x14ac:dyDescent="0.3">
      <c r="A881" s="17" t="s">
        <v>1698</v>
      </c>
      <c r="B881" s="17" t="s">
        <v>5706</v>
      </c>
      <c r="C881" s="17"/>
      <c r="D881" s="17" t="s">
        <v>5707</v>
      </c>
      <c r="E881" s="17" t="s">
        <v>5708</v>
      </c>
      <c r="F881" s="17" t="s">
        <v>2063</v>
      </c>
      <c r="G881" s="17" t="s">
        <v>1941</v>
      </c>
      <c r="H881" s="17">
        <v>80150</v>
      </c>
      <c r="I881" t="s">
        <v>1951</v>
      </c>
    </row>
    <row r="882" spans="1:9" x14ac:dyDescent="0.3">
      <c r="A882" s="17" t="s">
        <v>1700</v>
      </c>
      <c r="B882" s="17" t="s">
        <v>5709</v>
      </c>
      <c r="C882" s="17" t="s">
        <v>5710</v>
      </c>
      <c r="D882" s="17" t="s">
        <v>5711</v>
      </c>
      <c r="E882" s="17" t="s">
        <v>5712</v>
      </c>
      <c r="F882" s="17" t="s">
        <v>5713</v>
      </c>
      <c r="G882" s="17" t="s">
        <v>1941</v>
      </c>
      <c r="H882" s="17">
        <v>61105</v>
      </c>
      <c r="I882" t="s">
        <v>1951</v>
      </c>
    </row>
    <row r="883" spans="1:9" x14ac:dyDescent="0.3">
      <c r="A883" s="17" t="s">
        <v>1702</v>
      </c>
      <c r="B883" s="17" t="s">
        <v>5714</v>
      </c>
      <c r="C883" s="17"/>
      <c r="D883" s="17" t="s">
        <v>5715</v>
      </c>
      <c r="E883" s="17" t="s">
        <v>5716</v>
      </c>
      <c r="F883" s="17" t="s">
        <v>5215</v>
      </c>
      <c r="G883" s="17" t="s">
        <v>1941</v>
      </c>
      <c r="H883" s="17">
        <v>59112</v>
      </c>
      <c r="I883" t="s">
        <v>1942</v>
      </c>
    </row>
    <row r="884" spans="1:9" x14ac:dyDescent="0.3">
      <c r="A884" s="17" t="s">
        <v>5717</v>
      </c>
      <c r="B884" s="17" t="s">
        <v>5718</v>
      </c>
      <c r="C884" s="17" t="s">
        <v>5719</v>
      </c>
      <c r="D884" s="17" t="s">
        <v>5720</v>
      </c>
      <c r="E884" s="17" t="s">
        <v>5721</v>
      </c>
      <c r="F884" s="17" t="s">
        <v>3049</v>
      </c>
      <c r="G884" s="17" t="s">
        <v>1941</v>
      </c>
      <c r="H884" s="17">
        <v>31165</v>
      </c>
      <c r="I884" t="s">
        <v>1951</v>
      </c>
    </row>
    <row r="885" spans="1:9" x14ac:dyDescent="0.3">
      <c r="A885" s="17" t="s">
        <v>1706</v>
      </c>
      <c r="B885" s="17" t="s">
        <v>5722</v>
      </c>
      <c r="C885" s="17" t="s">
        <v>5723</v>
      </c>
      <c r="D885" s="17" t="s">
        <v>5724</v>
      </c>
      <c r="E885" s="17" t="s">
        <v>5725</v>
      </c>
      <c r="F885" s="17" t="s">
        <v>2816</v>
      </c>
      <c r="G885" s="17" t="s">
        <v>1941</v>
      </c>
      <c r="H885" s="17">
        <v>74108</v>
      </c>
      <c r="I885" t="s">
        <v>1942</v>
      </c>
    </row>
    <row r="886" spans="1:9" x14ac:dyDescent="0.3">
      <c r="A886" s="17" t="s">
        <v>1708</v>
      </c>
      <c r="B886" s="17" t="s">
        <v>5726</v>
      </c>
      <c r="C886" s="17" t="s">
        <v>5727</v>
      </c>
      <c r="D886" s="17" t="s">
        <v>5728</v>
      </c>
      <c r="E886" s="17" t="s">
        <v>5729</v>
      </c>
      <c r="F886" s="17" t="s">
        <v>2355</v>
      </c>
      <c r="G886" s="17" t="s">
        <v>1941</v>
      </c>
      <c r="H886" s="17">
        <v>93704</v>
      </c>
      <c r="I886" t="s">
        <v>1942</v>
      </c>
    </row>
    <row r="887" spans="1:9" x14ac:dyDescent="0.3">
      <c r="A887" s="17" t="s">
        <v>1710</v>
      </c>
      <c r="B887" s="17" t="s">
        <v>5730</v>
      </c>
      <c r="C887" s="17" t="s">
        <v>5731</v>
      </c>
      <c r="D887" s="17" t="s">
        <v>5732</v>
      </c>
      <c r="E887" s="17" t="s">
        <v>5733</v>
      </c>
      <c r="F887" s="17" t="s">
        <v>5734</v>
      </c>
      <c r="G887" s="17" t="s">
        <v>1949</v>
      </c>
      <c r="H887" s="17" t="s">
        <v>2310</v>
      </c>
      <c r="I887" t="s">
        <v>1951</v>
      </c>
    </row>
    <row r="888" spans="1:9" x14ac:dyDescent="0.3">
      <c r="A888" s="17" t="s">
        <v>1712</v>
      </c>
      <c r="B888" s="17" t="s">
        <v>5735</v>
      </c>
      <c r="C888" s="17" t="s">
        <v>5736</v>
      </c>
      <c r="D888" s="17" t="s">
        <v>5737</v>
      </c>
      <c r="E888" s="17" t="s">
        <v>5738</v>
      </c>
      <c r="F888" s="17" t="s">
        <v>3090</v>
      </c>
      <c r="G888" s="17" t="s">
        <v>1941</v>
      </c>
      <c r="H888" s="17">
        <v>94154</v>
      </c>
      <c r="I888" t="s">
        <v>1951</v>
      </c>
    </row>
    <row r="889" spans="1:9" x14ac:dyDescent="0.3">
      <c r="A889" s="17" t="s">
        <v>1714</v>
      </c>
      <c r="B889" s="17" t="s">
        <v>5739</v>
      </c>
      <c r="C889" s="17" t="s">
        <v>5740</v>
      </c>
      <c r="D889" s="17" t="s">
        <v>5741</v>
      </c>
      <c r="E889" s="17" t="s">
        <v>5742</v>
      </c>
      <c r="F889" s="17" t="s">
        <v>5578</v>
      </c>
      <c r="G889" s="17" t="s">
        <v>1941</v>
      </c>
      <c r="H889" s="17">
        <v>36689</v>
      </c>
      <c r="I889" t="s">
        <v>1951</v>
      </c>
    </row>
    <row r="890" spans="1:9" x14ac:dyDescent="0.3">
      <c r="A890" s="17" t="s">
        <v>1716</v>
      </c>
      <c r="B890" s="17" t="s">
        <v>5743</v>
      </c>
      <c r="C890" s="17" t="s">
        <v>5744</v>
      </c>
      <c r="D890" s="17" t="s">
        <v>5745</v>
      </c>
      <c r="E890" s="17" t="s">
        <v>5746</v>
      </c>
      <c r="F890" s="17" t="s">
        <v>3090</v>
      </c>
      <c r="G890" s="17" t="s">
        <v>1941</v>
      </c>
      <c r="H890" s="17">
        <v>94110</v>
      </c>
      <c r="I890" t="s">
        <v>1942</v>
      </c>
    </row>
    <row r="891" spans="1:9" x14ac:dyDescent="0.3">
      <c r="A891" s="17" t="s">
        <v>1718</v>
      </c>
      <c r="B891" s="17" t="s">
        <v>5747</v>
      </c>
      <c r="C891" s="17" t="s">
        <v>5748</v>
      </c>
      <c r="D891" s="17" t="s">
        <v>5749</v>
      </c>
      <c r="E891" s="17" t="s">
        <v>5750</v>
      </c>
      <c r="F891" s="17" t="s">
        <v>2099</v>
      </c>
      <c r="G891" s="17" t="s">
        <v>1941</v>
      </c>
      <c r="H891" s="17">
        <v>11470</v>
      </c>
      <c r="I891" t="s">
        <v>1942</v>
      </c>
    </row>
    <row r="892" spans="1:9" x14ac:dyDescent="0.3">
      <c r="A892" s="17" t="s">
        <v>1704</v>
      </c>
      <c r="B892" s="17" t="s">
        <v>5751</v>
      </c>
      <c r="C892" s="17" t="s">
        <v>5752</v>
      </c>
      <c r="D892" s="17" t="s">
        <v>5753</v>
      </c>
      <c r="E892" s="17" t="s">
        <v>5754</v>
      </c>
      <c r="F892" s="17" t="s">
        <v>2132</v>
      </c>
      <c r="G892" s="17" t="s">
        <v>1941</v>
      </c>
      <c r="H892" s="17">
        <v>80243</v>
      </c>
      <c r="I892" t="s">
        <v>1942</v>
      </c>
    </row>
    <row r="893" spans="1:9" x14ac:dyDescent="0.3">
      <c r="A893" s="17" t="s">
        <v>1721</v>
      </c>
      <c r="B893" s="17" t="s">
        <v>5755</v>
      </c>
      <c r="C893" s="17" t="s">
        <v>5756</v>
      </c>
      <c r="D893" s="17" t="s">
        <v>5757</v>
      </c>
      <c r="E893" s="17" t="s">
        <v>5758</v>
      </c>
      <c r="F893" s="17" t="s">
        <v>3785</v>
      </c>
      <c r="G893" s="17" t="s">
        <v>1941</v>
      </c>
      <c r="H893" s="17">
        <v>92165</v>
      </c>
      <c r="I893" t="s">
        <v>1942</v>
      </c>
    </row>
    <row r="894" spans="1:9" x14ac:dyDescent="0.3">
      <c r="A894" s="17" t="s">
        <v>1723</v>
      </c>
      <c r="B894" s="17" t="s">
        <v>5759</v>
      </c>
      <c r="C894" s="17" t="s">
        <v>5760</v>
      </c>
      <c r="D894" s="17" t="s">
        <v>5761</v>
      </c>
      <c r="E894" s="17" t="s">
        <v>5762</v>
      </c>
      <c r="F894" s="17" t="s">
        <v>3727</v>
      </c>
      <c r="G894" s="17" t="s">
        <v>2116</v>
      </c>
      <c r="H894" s="17" t="s">
        <v>3728</v>
      </c>
      <c r="I894" t="s">
        <v>1951</v>
      </c>
    </row>
    <row r="895" spans="1:9" x14ac:dyDescent="0.3">
      <c r="A895" s="17" t="s">
        <v>1725</v>
      </c>
      <c r="B895" s="17" t="s">
        <v>5763</v>
      </c>
      <c r="C895" s="17" t="s">
        <v>5764</v>
      </c>
      <c r="D895" s="17"/>
      <c r="E895" s="17" t="s">
        <v>5765</v>
      </c>
      <c r="F895" s="17" t="s">
        <v>4595</v>
      </c>
      <c r="G895" s="17" t="s">
        <v>1941</v>
      </c>
      <c r="H895" s="17">
        <v>15250</v>
      </c>
      <c r="I895" t="s">
        <v>1942</v>
      </c>
    </row>
    <row r="896" spans="1:9" x14ac:dyDescent="0.3">
      <c r="A896" s="17" t="s">
        <v>1727</v>
      </c>
      <c r="B896" s="17" t="s">
        <v>5766</v>
      </c>
      <c r="C896" s="17"/>
      <c r="D896" s="17" t="s">
        <v>5767</v>
      </c>
      <c r="E896" s="17" t="s">
        <v>5768</v>
      </c>
      <c r="F896" s="17" t="s">
        <v>5769</v>
      </c>
      <c r="G896" s="17" t="s">
        <v>1949</v>
      </c>
      <c r="H896" s="17" t="s">
        <v>2674</v>
      </c>
      <c r="I896" t="s">
        <v>1942</v>
      </c>
    </row>
    <row r="897" spans="1:9" x14ac:dyDescent="0.3">
      <c r="A897" s="17" t="s">
        <v>1729</v>
      </c>
      <c r="B897" s="17" t="s">
        <v>5770</v>
      </c>
      <c r="C897" s="17"/>
      <c r="D897" s="17" t="s">
        <v>5771</v>
      </c>
      <c r="E897" s="17" t="s">
        <v>5772</v>
      </c>
      <c r="F897" s="17" t="s">
        <v>2037</v>
      </c>
      <c r="G897" s="17" t="s">
        <v>1941</v>
      </c>
      <c r="H897" s="17">
        <v>10004</v>
      </c>
      <c r="I897" t="s">
        <v>1951</v>
      </c>
    </row>
    <row r="898" spans="1:9" x14ac:dyDescent="0.3">
      <c r="A898" s="17" t="s">
        <v>1731</v>
      </c>
      <c r="B898" s="17" t="s">
        <v>5773</v>
      </c>
      <c r="C898" s="17" t="s">
        <v>5774</v>
      </c>
      <c r="D898" s="17" t="s">
        <v>5775</v>
      </c>
      <c r="E898" s="17" t="s">
        <v>5776</v>
      </c>
      <c r="F898" s="17" t="s">
        <v>3492</v>
      </c>
      <c r="G898" s="17" t="s">
        <v>1941</v>
      </c>
      <c r="H898" s="17">
        <v>98148</v>
      </c>
      <c r="I898" t="s">
        <v>1942</v>
      </c>
    </row>
    <row r="899" spans="1:9" x14ac:dyDescent="0.3">
      <c r="A899" s="17" t="s">
        <v>1733</v>
      </c>
      <c r="B899" s="17" t="s">
        <v>5777</v>
      </c>
      <c r="C899" s="17" t="s">
        <v>5778</v>
      </c>
      <c r="D899" s="17" t="s">
        <v>5779</v>
      </c>
      <c r="E899" s="17" t="s">
        <v>5780</v>
      </c>
      <c r="F899" s="17" t="s">
        <v>2172</v>
      </c>
      <c r="G899" s="17" t="s">
        <v>2116</v>
      </c>
      <c r="H899" s="17" t="s">
        <v>2486</v>
      </c>
      <c r="I899" t="s">
        <v>1951</v>
      </c>
    </row>
    <row r="900" spans="1:9" x14ac:dyDescent="0.3">
      <c r="A900" s="17" t="s">
        <v>1735</v>
      </c>
      <c r="B900" s="17" t="s">
        <v>5781</v>
      </c>
      <c r="C900" s="17"/>
      <c r="D900" s="17" t="s">
        <v>5782</v>
      </c>
      <c r="E900" s="17" t="s">
        <v>5783</v>
      </c>
      <c r="F900" s="17" t="s">
        <v>5784</v>
      </c>
      <c r="G900" s="17" t="s">
        <v>1941</v>
      </c>
      <c r="H900" s="17">
        <v>49018</v>
      </c>
      <c r="I900" t="s">
        <v>1951</v>
      </c>
    </row>
    <row r="901" spans="1:9" x14ac:dyDescent="0.3">
      <c r="A901" s="17" t="s">
        <v>5785</v>
      </c>
      <c r="B901" s="17" t="s">
        <v>5786</v>
      </c>
      <c r="C901" s="17" t="s">
        <v>5787</v>
      </c>
      <c r="D901" s="17"/>
      <c r="E901" s="17" t="s">
        <v>5788</v>
      </c>
      <c r="F901" s="17" t="s">
        <v>2424</v>
      </c>
      <c r="G901" s="17" t="s">
        <v>1949</v>
      </c>
      <c r="H901" s="17" t="s">
        <v>2425</v>
      </c>
      <c r="I901" t="s">
        <v>1942</v>
      </c>
    </row>
    <row r="902" spans="1:9" x14ac:dyDescent="0.3">
      <c r="A902" s="17" t="s">
        <v>1738</v>
      </c>
      <c r="B902" s="17" t="s">
        <v>5789</v>
      </c>
      <c r="C902" s="17"/>
      <c r="D902" s="17" t="s">
        <v>5790</v>
      </c>
      <c r="E902" s="17" t="s">
        <v>5791</v>
      </c>
      <c r="F902" s="17" t="s">
        <v>5792</v>
      </c>
      <c r="G902" s="17" t="s">
        <v>1949</v>
      </c>
      <c r="H902" s="17" t="s">
        <v>2536</v>
      </c>
      <c r="I902" t="s">
        <v>1951</v>
      </c>
    </row>
    <row r="903" spans="1:9" x14ac:dyDescent="0.3">
      <c r="A903" s="17" t="s">
        <v>1740</v>
      </c>
      <c r="B903" s="17" t="s">
        <v>5793</v>
      </c>
      <c r="C903" s="17" t="s">
        <v>5794</v>
      </c>
      <c r="D903" s="17" t="s">
        <v>5795</v>
      </c>
      <c r="E903" s="17" t="s">
        <v>5796</v>
      </c>
      <c r="F903" s="17" t="s">
        <v>2027</v>
      </c>
      <c r="G903" s="17" t="s">
        <v>1941</v>
      </c>
      <c r="H903" s="17">
        <v>77070</v>
      </c>
      <c r="I903" t="s">
        <v>1942</v>
      </c>
    </row>
    <row r="904" spans="1:9" x14ac:dyDescent="0.3">
      <c r="A904" s="17" t="s">
        <v>1742</v>
      </c>
      <c r="B904" s="17" t="s">
        <v>5797</v>
      </c>
      <c r="C904" s="17" t="s">
        <v>5798</v>
      </c>
      <c r="D904" s="17" t="s">
        <v>5799</v>
      </c>
      <c r="E904" s="17" t="s">
        <v>5800</v>
      </c>
      <c r="F904" s="17" t="s">
        <v>3037</v>
      </c>
      <c r="G904" s="17" t="s">
        <v>1941</v>
      </c>
      <c r="H904" s="17">
        <v>45249</v>
      </c>
      <c r="I904" t="s">
        <v>1951</v>
      </c>
    </row>
    <row r="905" spans="1:9" x14ac:dyDescent="0.3">
      <c r="A905" s="17" t="s">
        <v>1744</v>
      </c>
      <c r="B905" s="17" t="s">
        <v>5801</v>
      </c>
      <c r="C905" s="17" t="s">
        <v>5802</v>
      </c>
      <c r="D905" s="17" t="s">
        <v>5803</v>
      </c>
      <c r="E905" s="17" t="s">
        <v>5804</v>
      </c>
      <c r="F905" s="17" t="s">
        <v>2355</v>
      </c>
      <c r="G905" s="17" t="s">
        <v>1941</v>
      </c>
      <c r="H905" s="17">
        <v>93704</v>
      </c>
      <c r="I905" t="s">
        <v>1951</v>
      </c>
    </row>
    <row r="906" spans="1:9" x14ac:dyDescent="0.3">
      <c r="A906" s="17" t="s">
        <v>1746</v>
      </c>
      <c r="B906" s="17" t="s">
        <v>5805</v>
      </c>
      <c r="C906" s="17" t="s">
        <v>5806</v>
      </c>
      <c r="D906" s="17" t="s">
        <v>5807</v>
      </c>
      <c r="E906" s="17" t="s">
        <v>5808</v>
      </c>
      <c r="F906" s="17" t="s">
        <v>2233</v>
      </c>
      <c r="G906" s="17" t="s">
        <v>1941</v>
      </c>
      <c r="H906" s="17">
        <v>55123</v>
      </c>
      <c r="I906" t="s">
        <v>1951</v>
      </c>
    </row>
    <row r="907" spans="1:9" x14ac:dyDescent="0.3">
      <c r="A907" s="17" t="s">
        <v>1748</v>
      </c>
      <c r="B907" s="17" t="s">
        <v>5809</v>
      </c>
      <c r="C907" s="17"/>
      <c r="D907" s="17" t="s">
        <v>5810</v>
      </c>
      <c r="E907" s="17" t="s">
        <v>5811</v>
      </c>
      <c r="F907" s="17" t="s">
        <v>2448</v>
      </c>
      <c r="G907" s="17" t="s">
        <v>1941</v>
      </c>
      <c r="H907" s="17">
        <v>88519</v>
      </c>
      <c r="I907" t="s">
        <v>1942</v>
      </c>
    </row>
    <row r="908" spans="1:9" x14ac:dyDescent="0.3">
      <c r="A908" s="17" t="s">
        <v>1750</v>
      </c>
      <c r="B908" s="17" t="s">
        <v>5812</v>
      </c>
      <c r="C908" s="17" t="s">
        <v>5813</v>
      </c>
      <c r="D908" s="17" t="s">
        <v>5814</v>
      </c>
      <c r="E908" s="17" t="s">
        <v>5815</v>
      </c>
      <c r="F908" s="17" t="s">
        <v>2647</v>
      </c>
      <c r="G908" s="17" t="s">
        <v>1941</v>
      </c>
      <c r="H908" s="17">
        <v>50981</v>
      </c>
      <c r="I908" t="s">
        <v>1942</v>
      </c>
    </row>
    <row r="909" spans="1:9" x14ac:dyDescent="0.3">
      <c r="A909" s="17" t="s">
        <v>1752</v>
      </c>
      <c r="B909" s="17" t="s">
        <v>5816</v>
      </c>
      <c r="C909" s="17" t="s">
        <v>5817</v>
      </c>
      <c r="D909" s="17" t="s">
        <v>5818</v>
      </c>
      <c r="E909" s="17" t="s">
        <v>5819</v>
      </c>
      <c r="F909" s="17" t="s">
        <v>2022</v>
      </c>
      <c r="G909" s="17" t="s">
        <v>1941</v>
      </c>
      <c r="H909" s="17">
        <v>97240</v>
      </c>
      <c r="I909" t="s">
        <v>1951</v>
      </c>
    </row>
    <row r="910" spans="1:9" x14ac:dyDescent="0.3">
      <c r="A910" s="17" t="s">
        <v>1754</v>
      </c>
      <c r="B910" s="17" t="s">
        <v>5820</v>
      </c>
      <c r="C910" s="17" t="s">
        <v>5821</v>
      </c>
      <c r="D910" s="17" t="s">
        <v>5822</v>
      </c>
      <c r="E910" s="17" t="s">
        <v>5823</v>
      </c>
      <c r="F910" s="17" t="s">
        <v>2027</v>
      </c>
      <c r="G910" s="17" t="s">
        <v>1941</v>
      </c>
      <c r="H910" s="17">
        <v>77070</v>
      </c>
      <c r="I910" t="s">
        <v>1951</v>
      </c>
    </row>
    <row r="911" spans="1:9" x14ac:dyDescent="0.3">
      <c r="A911" s="17" t="s">
        <v>1756</v>
      </c>
      <c r="B911" s="17" t="s">
        <v>5824</v>
      </c>
      <c r="C911" s="17"/>
      <c r="D911" s="17" t="s">
        <v>5825</v>
      </c>
      <c r="E911" s="17" t="s">
        <v>5826</v>
      </c>
      <c r="F911" s="17" t="s">
        <v>4481</v>
      </c>
      <c r="G911" s="17" t="s">
        <v>1941</v>
      </c>
      <c r="H911" s="17">
        <v>27705</v>
      </c>
      <c r="I911" t="s">
        <v>1951</v>
      </c>
    </row>
    <row r="912" spans="1:9" x14ac:dyDescent="0.3">
      <c r="A912" s="17" t="s">
        <v>1758</v>
      </c>
      <c r="B912" s="17" t="s">
        <v>5827</v>
      </c>
      <c r="C912" s="17" t="s">
        <v>5828</v>
      </c>
      <c r="D912" s="17" t="s">
        <v>5829</v>
      </c>
      <c r="E912" s="17" t="s">
        <v>5830</v>
      </c>
      <c r="F912" s="17" t="s">
        <v>2158</v>
      </c>
      <c r="G912" s="17" t="s">
        <v>1941</v>
      </c>
      <c r="H912" s="17">
        <v>2298</v>
      </c>
      <c r="I912" t="s">
        <v>1951</v>
      </c>
    </row>
    <row r="913" spans="1:9" x14ac:dyDescent="0.3">
      <c r="A913" s="17" t="s">
        <v>1760</v>
      </c>
      <c r="B913" s="17" t="s">
        <v>5831</v>
      </c>
      <c r="C913" s="17" t="s">
        <v>5832</v>
      </c>
      <c r="D913" s="17" t="s">
        <v>5833</v>
      </c>
      <c r="E913" s="17" t="s">
        <v>5834</v>
      </c>
      <c r="F913" s="17" t="s">
        <v>2186</v>
      </c>
      <c r="G913" s="17" t="s">
        <v>1941</v>
      </c>
      <c r="H913" s="17">
        <v>20226</v>
      </c>
      <c r="I913" t="s">
        <v>1942</v>
      </c>
    </row>
    <row r="914" spans="1:9" x14ac:dyDescent="0.3">
      <c r="A914" s="17" t="s">
        <v>1762</v>
      </c>
      <c r="B914" s="17" t="s">
        <v>5835</v>
      </c>
      <c r="C914" s="17"/>
      <c r="D914" s="17" t="s">
        <v>5836</v>
      </c>
      <c r="E914" s="17" t="s">
        <v>5837</v>
      </c>
      <c r="F914" s="17" t="s">
        <v>2881</v>
      </c>
      <c r="G914" s="17" t="s">
        <v>1941</v>
      </c>
      <c r="H914" s="17">
        <v>12205</v>
      </c>
      <c r="I914" t="s">
        <v>1942</v>
      </c>
    </row>
    <row r="915" spans="1:9" x14ac:dyDescent="0.3">
      <c r="A915" s="17" t="s">
        <v>1764</v>
      </c>
      <c r="B915" s="17" t="s">
        <v>5838</v>
      </c>
      <c r="C915" s="17" t="s">
        <v>5839</v>
      </c>
      <c r="D915" s="17" t="s">
        <v>5840</v>
      </c>
      <c r="E915" s="17" t="s">
        <v>5841</v>
      </c>
      <c r="F915" s="17" t="s">
        <v>2140</v>
      </c>
      <c r="G915" s="17" t="s">
        <v>1941</v>
      </c>
      <c r="H915" s="17">
        <v>85732</v>
      </c>
      <c r="I915" t="s">
        <v>1951</v>
      </c>
    </row>
    <row r="916" spans="1:9" x14ac:dyDescent="0.3">
      <c r="A916" s="17" t="s">
        <v>1766</v>
      </c>
      <c r="B916" s="17" t="s">
        <v>5842</v>
      </c>
      <c r="C916" s="17" t="s">
        <v>5843</v>
      </c>
      <c r="D916" s="17" t="s">
        <v>5844</v>
      </c>
      <c r="E916" s="17" t="s">
        <v>5845</v>
      </c>
      <c r="F916" s="17" t="s">
        <v>2744</v>
      </c>
      <c r="G916" s="17" t="s">
        <v>1941</v>
      </c>
      <c r="H916" s="17">
        <v>36195</v>
      </c>
      <c r="I916" t="s">
        <v>1951</v>
      </c>
    </row>
    <row r="917" spans="1:9" x14ac:dyDescent="0.3">
      <c r="A917" s="17" t="s">
        <v>1768</v>
      </c>
      <c r="B917" s="17" t="s">
        <v>5846</v>
      </c>
      <c r="C917" s="17" t="s">
        <v>5847</v>
      </c>
      <c r="D917" s="17" t="s">
        <v>5848</v>
      </c>
      <c r="E917" s="17" t="s">
        <v>5849</v>
      </c>
      <c r="F917" s="17" t="s">
        <v>5850</v>
      </c>
      <c r="G917" s="17" t="s">
        <v>1941</v>
      </c>
      <c r="H917" s="17">
        <v>99709</v>
      </c>
      <c r="I917" t="s">
        <v>1942</v>
      </c>
    </row>
    <row r="918" spans="1:9" x14ac:dyDescent="0.3">
      <c r="A918" s="17" t="s">
        <v>1770</v>
      </c>
      <c r="B918" s="17" t="s">
        <v>5851</v>
      </c>
      <c r="C918" s="17"/>
      <c r="D918" s="17"/>
      <c r="E918" s="17" t="s">
        <v>5852</v>
      </c>
      <c r="F918" s="17" t="s">
        <v>3918</v>
      </c>
      <c r="G918" s="17" t="s">
        <v>1949</v>
      </c>
      <c r="H918" s="17" t="s">
        <v>3919</v>
      </c>
      <c r="I918" t="s">
        <v>1942</v>
      </c>
    </row>
    <row r="919" spans="1:9" x14ac:dyDescent="0.3">
      <c r="A919" s="17" t="s">
        <v>1772</v>
      </c>
      <c r="B919" s="17" t="s">
        <v>5853</v>
      </c>
      <c r="C919" s="17" t="s">
        <v>5854</v>
      </c>
      <c r="D919" s="17" t="s">
        <v>5855</v>
      </c>
      <c r="E919" s="17" t="s">
        <v>5856</v>
      </c>
      <c r="F919" s="17" t="s">
        <v>3238</v>
      </c>
      <c r="G919" s="17" t="s">
        <v>2116</v>
      </c>
      <c r="H919" s="17" t="s">
        <v>5857</v>
      </c>
      <c r="I919" t="s">
        <v>1951</v>
      </c>
    </row>
    <row r="920" spans="1:9" x14ac:dyDescent="0.3">
      <c r="A920" s="17" t="s">
        <v>5858</v>
      </c>
      <c r="B920" s="17" t="s">
        <v>5859</v>
      </c>
      <c r="C920" s="17" t="s">
        <v>5860</v>
      </c>
      <c r="D920" s="17" t="s">
        <v>5861</v>
      </c>
      <c r="E920" s="17" t="s">
        <v>5862</v>
      </c>
      <c r="F920" s="17" t="s">
        <v>2713</v>
      </c>
      <c r="G920" s="17" t="s">
        <v>1941</v>
      </c>
      <c r="H920" s="17">
        <v>34615</v>
      </c>
      <c r="I920" t="s">
        <v>1951</v>
      </c>
    </row>
    <row r="921" spans="1:9" x14ac:dyDescent="0.3">
      <c r="A921" s="17" t="s">
        <v>1774</v>
      </c>
      <c r="B921" s="17" t="s">
        <v>5863</v>
      </c>
      <c r="C921" s="17" t="s">
        <v>5864</v>
      </c>
      <c r="D921" s="17" t="s">
        <v>5865</v>
      </c>
      <c r="E921" s="17" t="s">
        <v>5866</v>
      </c>
      <c r="F921" s="17" t="s">
        <v>3320</v>
      </c>
      <c r="G921" s="17" t="s">
        <v>1941</v>
      </c>
      <c r="H921" s="17">
        <v>40515</v>
      </c>
      <c r="I921" t="s">
        <v>1942</v>
      </c>
    </row>
    <row r="922" spans="1:9" x14ac:dyDescent="0.3">
      <c r="A922" s="17" t="s">
        <v>1776</v>
      </c>
      <c r="B922" s="17" t="s">
        <v>5867</v>
      </c>
      <c r="C922" s="17" t="s">
        <v>5868</v>
      </c>
      <c r="D922" s="17" t="s">
        <v>5869</v>
      </c>
      <c r="E922" s="17" t="s">
        <v>5870</v>
      </c>
      <c r="F922" s="17" t="s">
        <v>2048</v>
      </c>
      <c r="G922" s="17" t="s">
        <v>1941</v>
      </c>
      <c r="H922" s="17">
        <v>49560</v>
      </c>
      <c r="I922" t="s">
        <v>1951</v>
      </c>
    </row>
    <row r="923" spans="1:9" x14ac:dyDescent="0.3">
      <c r="A923" s="17" t="s">
        <v>1778</v>
      </c>
      <c r="B923" s="17" t="s">
        <v>5871</v>
      </c>
      <c r="C923" s="17" t="s">
        <v>5872</v>
      </c>
      <c r="D923" s="17" t="s">
        <v>5873</v>
      </c>
      <c r="E923" s="17" t="s">
        <v>5874</v>
      </c>
      <c r="F923" s="17" t="s">
        <v>2647</v>
      </c>
      <c r="G923" s="17" t="s">
        <v>1941</v>
      </c>
      <c r="H923" s="17">
        <v>50369</v>
      </c>
      <c r="I923" t="s">
        <v>1951</v>
      </c>
    </row>
    <row r="924" spans="1:9" x14ac:dyDescent="0.3">
      <c r="A924" s="17" t="s">
        <v>1780</v>
      </c>
      <c r="B924" s="17" t="s">
        <v>5875</v>
      </c>
      <c r="C924" s="17"/>
      <c r="D924" s="17"/>
      <c r="E924" s="17" t="s">
        <v>5876</v>
      </c>
      <c r="F924" s="17" t="s">
        <v>5107</v>
      </c>
      <c r="G924" s="17" t="s">
        <v>1941</v>
      </c>
      <c r="H924" s="17">
        <v>19810</v>
      </c>
      <c r="I924" t="s">
        <v>1942</v>
      </c>
    </row>
    <row r="925" spans="1:9" x14ac:dyDescent="0.3">
      <c r="A925" s="17" t="s">
        <v>1782</v>
      </c>
      <c r="B925" s="17" t="s">
        <v>5877</v>
      </c>
      <c r="C925" s="17" t="s">
        <v>5878</v>
      </c>
      <c r="D925" s="17" t="s">
        <v>5879</v>
      </c>
      <c r="E925" s="17" t="s">
        <v>5880</v>
      </c>
      <c r="F925" s="17" t="s">
        <v>2387</v>
      </c>
      <c r="G925" s="17" t="s">
        <v>1941</v>
      </c>
      <c r="H925" s="17">
        <v>78726</v>
      </c>
      <c r="I925" t="s">
        <v>1951</v>
      </c>
    </row>
    <row r="926" spans="1:9" x14ac:dyDescent="0.3">
      <c r="A926" s="17" t="s">
        <v>1784</v>
      </c>
      <c r="B926" s="17" t="s">
        <v>5881</v>
      </c>
      <c r="C926" s="17" t="s">
        <v>5882</v>
      </c>
      <c r="D926" s="17"/>
      <c r="E926" s="17" t="s">
        <v>5883</v>
      </c>
      <c r="F926" s="17" t="s">
        <v>4401</v>
      </c>
      <c r="G926" s="17" t="s">
        <v>1941</v>
      </c>
      <c r="H926" s="17">
        <v>32835</v>
      </c>
      <c r="I926" t="s">
        <v>1951</v>
      </c>
    </row>
    <row r="927" spans="1:9" x14ac:dyDescent="0.3">
      <c r="A927" s="17" t="s">
        <v>5884</v>
      </c>
      <c r="B927" s="17" t="s">
        <v>5885</v>
      </c>
      <c r="C927" s="17"/>
      <c r="D927" s="17" t="s">
        <v>5886</v>
      </c>
      <c r="E927" s="17" t="s">
        <v>5887</v>
      </c>
      <c r="F927" s="17" t="s">
        <v>2947</v>
      </c>
      <c r="G927" s="17" t="s">
        <v>1941</v>
      </c>
      <c r="H927" s="17">
        <v>91199</v>
      </c>
      <c r="I927" t="s">
        <v>1942</v>
      </c>
    </row>
    <row r="928" spans="1:9" x14ac:dyDescent="0.3">
      <c r="A928" s="17" t="s">
        <v>1787</v>
      </c>
      <c r="B928" s="17" t="s">
        <v>5888</v>
      </c>
      <c r="C928" s="17" t="s">
        <v>5889</v>
      </c>
      <c r="D928" s="17" t="s">
        <v>5890</v>
      </c>
      <c r="E928" s="17" t="s">
        <v>5891</v>
      </c>
      <c r="F928" s="17" t="s">
        <v>2186</v>
      </c>
      <c r="G928" s="17" t="s">
        <v>1941</v>
      </c>
      <c r="H928" s="17">
        <v>20238</v>
      </c>
      <c r="I928" t="s">
        <v>1942</v>
      </c>
    </row>
    <row r="929" spans="1:9" x14ac:dyDescent="0.3">
      <c r="A929" s="17" t="s">
        <v>1789</v>
      </c>
      <c r="B929" s="17" t="s">
        <v>5892</v>
      </c>
      <c r="C929" s="17" t="s">
        <v>5893</v>
      </c>
      <c r="D929" s="17" t="s">
        <v>5894</v>
      </c>
      <c r="E929" s="17" t="s">
        <v>5895</v>
      </c>
      <c r="F929" s="17" t="s">
        <v>2022</v>
      </c>
      <c r="G929" s="17" t="s">
        <v>1941</v>
      </c>
      <c r="H929" s="17">
        <v>97271</v>
      </c>
      <c r="I929" t="s">
        <v>1951</v>
      </c>
    </row>
    <row r="930" spans="1:9" x14ac:dyDescent="0.3">
      <c r="A930" s="17" t="s">
        <v>1791</v>
      </c>
      <c r="B930" s="17" t="s">
        <v>5896</v>
      </c>
      <c r="C930" s="17" t="s">
        <v>5897</v>
      </c>
      <c r="D930" s="17"/>
      <c r="E930" s="17" t="s">
        <v>5898</v>
      </c>
      <c r="F930" s="17" t="s">
        <v>2037</v>
      </c>
      <c r="G930" s="17" t="s">
        <v>1941</v>
      </c>
      <c r="H930" s="17">
        <v>10004</v>
      </c>
      <c r="I930" t="s">
        <v>1942</v>
      </c>
    </row>
    <row r="931" spans="1:9" x14ac:dyDescent="0.3">
      <c r="A931" s="17" t="s">
        <v>1793</v>
      </c>
      <c r="B931" s="17" t="s">
        <v>5899</v>
      </c>
      <c r="C931" s="17" t="s">
        <v>5900</v>
      </c>
      <c r="D931" s="17" t="s">
        <v>5901</v>
      </c>
      <c r="E931" s="17" t="s">
        <v>5902</v>
      </c>
      <c r="F931" s="17" t="s">
        <v>2186</v>
      </c>
      <c r="G931" s="17" t="s">
        <v>1941</v>
      </c>
      <c r="H931" s="17">
        <v>20404</v>
      </c>
      <c r="I931" t="s">
        <v>1942</v>
      </c>
    </row>
    <row r="932" spans="1:9" x14ac:dyDescent="0.3">
      <c r="A932" s="17" t="s">
        <v>1795</v>
      </c>
      <c r="B932" s="17" t="s">
        <v>5903</v>
      </c>
      <c r="C932" s="17" t="s">
        <v>5904</v>
      </c>
      <c r="D932" s="17"/>
      <c r="E932" s="17" t="s">
        <v>5905</v>
      </c>
      <c r="F932" s="17" t="s">
        <v>2186</v>
      </c>
      <c r="G932" s="17" t="s">
        <v>1941</v>
      </c>
      <c r="H932" s="17">
        <v>20067</v>
      </c>
      <c r="I932" t="s">
        <v>1942</v>
      </c>
    </row>
    <row r="933" spans="1:9" x14ac:dyDescent="0.3">
      <c r="A933" s="17" t="s">
        <v>1797</v>
      </c>
      <c r="B933" s="17" t="s">
        <v>5906</v>
      </c>
      <c r="C933" s="17"/>
      <c r="D933" s="17"/>
      <c r="E933" s="17" t="s">
        <v>5907</v>
      </c>
      <c r="F933" s="17" t="s">
        <v>4886</v>
      </c>
      <c r="G933" s="17" t="s">
        <v>1941</v>
      </c>
      <c r="H933" s="17">
        <v>18105</v>
      </c>
      <c r="I933" t="s">
        <v>1942</v>
      </c>
    </row>
    <row r="934" spans="1:9" x14ac:dyDescent="0.3">
      <c r="A934" s="17" t="s">
        <v>1799</v>
      </c>
      <c r="B934" s="17" t="s">
        <v>5908</v>
      </c>
      <c r="C934" s="17" t="s">
        <v>5909</v>
      </c>
      <c r="D934" s="17" t="s">
        <v>5910</v>
      </c>
      <c r="E934" s="17" t="s">
        <v>5911</v>
      </c>
      <c r="F934" s="17" t="s">
        <v>3581</v>
      </c>
      <c r="G934" s="17" t="s">
        <v>1941</v>
      </c>
      <c r="H934" s="17">
        <v>33169</v>
      </c>
      <c r="I934" t="s">
        <v>1951</v>
      </c>
    </row>
    <row r="935" spans="1:9" x14ac:dyDescent="0.3">
      <c r="A935" s="17" t="s">
        <v>1801</v>
      </c>
      <c r="B935" s="17" t="s">
        <v>5912</v>
      </c>
      <c r="C935" s="17"/>
      <c r="D935" s="17" t="s">
        <v>5913</v>
      </c>
      <c r="E935" s="17" t="s">
        <v>5914</v>
      </c>
      <c r="F935" s="17" t="s">
        <v>2362</v>
      </c>
      <c r="G935" s="17" t="s">
        <v>1941</v>
      </c>
      <c r="H935" s="17">
        <v>73129</v>
      </c>
      <c r="I935" t="s">
        <v>1942</v>
      </c>
    </row>
    <row r="936" spans="1:9" x14ac:dyDescent="0.3">
      <c r="A936" s="17" t="s">
        <v>1803</v>
      </c>
      <c r="B936" s="17" t="s">
        <v>5915</v>
      </c>
      <c r="C936" s="17" t="s">
        <v>5916</v>
      </c>
      <c r="D936" s="17" t="s">
        <v>5917</v>
      </c>
      <c r="E936" s="17" t="s">
        <v>5918</v>
      </c>
      <c r="F936" s="17" t="s">
        <v>5713</v>
      </c>
      <c r="G936" s="17" t="s">
        <v>1941</v>
      </c>
      <c r="H936" s="17">
        <v>61105</v>
      </c>
      <c r="I936" t="s">
        <v>1951</v>
      </c>
    </row>
    <row r="937" spans="1:9" x14ac:dyDescent="0.3">
      <c r="A937" s="17" t="s">
        <v>1805</v>
      </c>
      <c r="B937" s="17" t="s">
        <v>5919</v>
      </c>
      <c r="C937" s="17" t="s">
        <v>5920</v>
      </c>
      <c r="D937" s="17" t="s">
        <v>5921</v>
      </c>
      <c r="E937" s="17" t="s">
        <v>5922</v>
      </c>
      <c r="F937" s="17" t="s">
        <v>2744</v>
      </c>
      <c r="G937" s="17" t="s">
        <v>1941</v>
      </c>
      <c r="H937" s="17">
        <v>36177</v>
      </c>
      <c r="I937" t="s">
        <v>1942</v>
      </c>
    </row>
    <row r="938" spans="1:9" x14ac:dyDescent="0.3">
      <c r="A938" s="17" t="s">
        <v>1807</v>
      </c>
      <c r="B938" s="17" t="s">
        <v>5923</v>
      </c>
      <c r="C938" s="17" t="s">
        <v>5924</v>
      </c>
      <c r="D938" s="17" t="s">
        <v>5925</v>
      </c>
      <c r="E938" s="17" t="s">
        <v>5926</v>
      </c>
      <c r="F938" s="17" t="s">
        <v>2947</v>
      </c>
      <c r="G938" s="17" t="s">
        <v>1941</v>
      </c>
      <c r="H938" s="17">
        <v>91117</v>
      </c>
      <c r="I938" t="s">
        <v>1942</v>
      </c>
    </row>
    <row r="939" spans="1:9" x14ac:dyDescent="0.3">
      <c r="A939" s="17" t="s">
        <v>5927</v>
      </c>
      <c r="B939" s="17" t="s">
        <v>5928</v>
      </c>
      <c r="C939" s="17" t="s">
        <v>5929</v>
      </c>
      <c r="D939" s="17" t="s">
        <v>5930</v>
      </c>
      <c r="E939" s="17" t="s">
        <v>5931</v>
      </c>
      <c r="F939" s="17" t="s">
        <v>2252</v>
      </c>
      <c r="G939" s="17" t="s">
        <v>1941</v>
      </c>
      <c r="H939" s="17">
        <v>60624</v>
      </c>
      <c r="I939" t="s">
        <v>1951</v>
      </c>
    </row>
    <row r="940" spans="1:9" x14ac:dyDescent="0.3">
      <c r="A940" s="17" t="s">
        <v>1809</v>
      </c>
      <c r="B940" s="17" t="s">
        <v>5932</v>
      </c>
      <c r="C940" s="17" t="s">
        <v>5933</v>
      </c>
      <c r="D940" s="17" t="s">
        <v>5934</v>
      </c>
      <c r="E940" s="17" t="s">
        <v>5935</v>
      </c>
      <c r="F940" s="17" t="s">
        <v>2027</v>
      </c>
      <c r="G940" s="17" t="s">
        <v>1941</v>
      </c>
      <c r="H940" s="17">
        <v>77293</v>
      </c>
      <c r="I940" t="s">
        <v>1942</v>
      </c>
    </row>
    <row r="941" spans="1:9" x14ac:dyDescent="0.3">
      <c r="A941" s="17" t="s">
        <v>1811</v>
      </c>
      <c r="B941" s="17" t="s">
        <v>5936</v>
      </c>
      <c r="C941" s="17" t="s">
        <v>5937</v>
      </c>
      <c r="D941" s="17" t="s">
        <v>5938</v>
      </c>
      <c r="E941" s="17" t="s">
        <v>5939</v>
      </c>
      <c r="F941" s="17" t="s">
        <v>5940</v>
      </c>
      <c r="G941" s="17" t="s">
        <v>1941</v>
      </c>
      <c r="H941" s="17">
        <v>49444</v>
      </c>
      <c r="I941" t="s">
        <v>1951</v>
      </c>
    </row>
    <row r="942" spans="1:9" x14ac:dyDescent="0.3">
      <c r="A942" s="17" t="s">
        <v>1813</v>
      </c>
      <c r="B942" s="17" t="s">
        <v>5941</v>
      </c>
      <c r="C942" s="17" t="s">
        <v>5942</v>
      </c>
      <c r="D942" s="17" t="s">
        <v>5943</v>
      </c>
      <c r="E942" s="17" t="s">
        <v>5944</v>
      </c>
      <c r="F942" s="17" t="s">
        <v>2186</v>
      </c>
      <c r="G942" s="17" t="s">
        <v>1941</v>
      </c>
      <c r="H942" s="17">
        <v>20380</v>
      </c>
      <c r="I942" t="s">
        <v>1942</v>
      </c>
    </row>
    <row r="943" spans="1:9" x14ac:dyDescent="0.3">
      <c r="A943" s="17" t="s">
        <v>1815</v>
      </c>
      <c r="B943" s="17" t="s">
        <v>5945</v>
      </c>
      <c r="C943" s="17" t="s">
        <v>5946</v>
      </c>
      <c r="D943" s="17" t="s">
        <v>5947</v>
      </c>
      <c r="E943" s="17" t="s">
        <v>5948</v>
      </c>
      <c r="F943" s="17" t="s">
        <v>5949</v>
      </c>
      <c r="G943" s="17" t="s">
        <v>1949</v>
      </c>
      <c r="H943" s="17" t="s">
        <v>5950</v>
      </c>
      <c r="I943" t="s">
        <v>1942</v>
      </c>
    </row>
    <row r="944" spans="1:9" x14ac:dyDescent="0.3">
      <c r="A944" s="17" t="s">
        <v>1817</v>
      </c>
      <c r="B944" s="17" t="s">
        <v>5951</v>
      </c>
      <c r="C944" s="17" t="s">
        <v>5952</v>
      </c>
      <c r="D944" s="17" t="s">
        <v>5953</v>
      </c>
      <c r="E944" s="17" t="s">
        <v>5954</v>
      </c>
      <c r="F944" s="17" t="s">
        <v>2753</v>
      </c>
      <c r="G944" s="17" t="s">
        <v>1941</v>
      </c>
      <c r="H944" s="17">
        <v>31205</v>
      </c>
      <c r="I944" t="s">
        <v>1951</v>
      </c>
    </row>
    <row r="945" spans="1:9" x14ac:dyDescent="0.3">
      <c r="A945" s="17" t="s">
        <v>1819</v>
      </c>
      <c r="B945" s="17" t="s">
        <v>5955</v>
      </c>
      <c r="C945" s="17" t="s">
        <v>5956</v>
      </c>
      <c r="D945" s="17" t="s">
        <v>5957</v>
      </c>
      <c r="E945" s="17" t="s">
        <v>5958</v>
      </c>
      <c r="F945" s="17" t="s">
        <v>3524</v>
      </c>
      <c r="G945" s="17" t="s">
        <v>1941</v>
      </c>
      <c r="H945" s="17">
        <v>71105</v>
      </c>
      <c r="I945" t="s">
        <v>1951</v>
      </c>
    </row>
    <row r="946" spans="1:9" x14ac:dyDescent="0.3">
      <c r="A946" s="17" t="s">
        <v>1821</v>
      </c>
      <c r="B946" s="17" t="s">
        <v>5959</v>
      </c>
      <c r="C946" s="17" t="s">
        <v>5960</v>
      </c>
      <c r="D946" s="17" t="s">
        <v>5961</v>
      </c>
      <c r="E946" s="17" t="s">
        <v>5962</v>
      </c>
      <c r="F946" s="17" t="s">
        <v>3148</v>
      </c>
      <c r="G946" s="17" t="s">
        <v>1941</v>
      </c>
      <c r="H946" s="17">
        <v>98405</v>
      </c>
      <c r="I946" t="s">
        <v>1951</v>
      </c>
    </row>
    <row r="947" spans="1:9" x14ac:dyDescent="0.3">
      <c r="A947" s="17" t="s">
        <v>1823</v>
      </c>
      <c r="B947" s="17" t="s">
        <v>5963</v>
      </c>
      <c r="C947" s="17"/>
      <c r="D947" s="17" t="s">
        <v>5964</v>
      </c>
      <c r="E947" s="17" t="s">
        <v>5965</v>
      </c>
      <c r="F947" s="17" t="s">
        <v>2448</v>
      </c>
      <c r="G947" s="17" t="s">
        <v>1941</v>
      </c>
      <c r="H947" s="17">
        <v>79934</v>
      </c>
      <c r="I947" t="s">
        <v>1951</v>
      </c>
    </row>
    <row r="948" spans="1:9" x14ac:dyDescent="0.3">
      <c r="A948" s="17" t="s">
        <v>1825</v>
      </c>
      <c r="B948" s="17" t="s">
        <v>5966</v>
      </c>
      <c r="C948" s="17"/>
      <c r="D948" s="17" t="s">
        <v>5967</v>
      </c>
      <c r="E948" s="17" t="s">
        <v>5968</v>
      </c>
      <c r="F948" s="17" t="s">
        <v>2172</v>
      </c>
      <c r="G948" s="17" t="s">
        <v>1941</v>
      </c>
      <c r="H948" s="17">
        <v>35263</v>
      </c>
      <c r="I948" t="s">
        <v>1951</v>
      </c>
    </row>
    <row r="949" spans="1:9" x14ac:dyDescent="0.3">
      <c r="A949" s="17" t="s">
        <v>1827</v>
      </c>
      <c r="B949" s="17" t="s">
        <v>5969</v>
      </c>
      <c r="C949" s="17" t="s">
        <v>5970</v>
      </c>
      <c r="D949" s="17"/>
      <c r="E949" s="17" t="s">
        <v>5971</v>
      </c>
      <c r="F949" s="17" t="s">
        <v>2607</v>
      </c>
      <c r="G949" s="17" t="s">
        <v>1949</v>
      </c>
      <c r="H949" s="17" t="s">
        <v>2310</v>
      </c>
      <c r="I949" t="s">
        <v>1951</v>
      </c>
    </row>
    <row r="950" spans="1:9" x14ac:dyDescent="0.3">
      <c r="A950" s="17" t="s">
        <v>1829</v>
      </c>
      <c r="B950" s="17" t="s">
        <v>5972</v>
      </c>
      <c r="C950" s="17" t="s">
        <v>5973</v>
      </c>
      <c r="D950" s="17" t="s">
        <v>5974</v>
      </c>
      <c r="E950" s="17" t="s">
        <v>5975</v>
      </c>
      <c r="F950" s="17" t="s">
        <v>4485</v>
      </c>
      <c r="G950" s="17" t="s">
        <v>2116</v>
      </c>
      <c r="H950" s="17" t="s">
        <v>5976</v>
      </c>
      <c r="I950" t="s">
        <v>1942</v>
      </c>
    </row>
    <row r="951" spans="1:9" x14ac:dyDescent="0.3">
      <c r="A951" s="17" t="s">
        <v>1831</v>
      </c>
      <c r="B951" s="17" t="s">
        <v>5977</v>
      </c>
      <c r="C951" s="17" t="s">
        <v>5978</v>
      </c>
      <c r="D951" s="17" t="s">
        <v>5979</v>
      </c>
      <c r="E951" s="17" t="s">
        <v>5980</v>
      </c>
      <c r="F951" s="17" t="s">
        <v>5981</v>
      </c>
      <c r="G951" s="17" t="s">
        <v>1949</v>
      </c>
      <c r="H951" s="17" t="s">
        <v>5982</v>
      </c>
      <c r="I951" t="s">
        <v>1951</v>
      </c>
    </row>
    <row r="952" spans="1:9" x14ac:dyDescent="0.3">
      <c r="A952" s="17" t="s">
        <v>1833</v>
      </c>
      <c r="B952" s="17" t="s">
        <v>5983</v>
      </c>
      <c r="C952" s="17"/>
      <c r="D952" s="17" t="s">
        <v>5984</v>
      </c>
      <c r="E952" s="17" t="s">
        <v>5985</v>
      </c>
      <c r="F952" s="17" t="s">
        <v>5107</v>
      </c>
      <c r="G952" s="17" t="s">
        <v>1941</v>
      </c>
      <c r="H952" s="17">
        <v>19810</v>
      </c>
      <c r="I952" t="s">
        <v>1942</v>
      </c>
    </row>
    <row r="953" spans="1:9" x14ac:dyDescent="0.3">
      <c r="A953" s="17" t="s">
        <v>1835</v>
      </c>
      <c r="B953" s="17" t="s">
        <v>5986</v>
      </c>
      <c r="C953" s="17" t="s">
        <v>5987</v>
      </c>
      <c r="D953" s="17" t="s">
        <v>5988</v>
      </c>
      <c r="E953" s="17" t="s">
        <v>5989</v>
      </c>
      <c r="F953" s="17" t="s">
        <v>3662</v>
      </c>
      <c r="G953" s="17" t="s">
        <v>1941</v>
      </c>
      <c r="H953" s="17">
        <v>17121</v>
      </c>
      <c r="I953" t="s">
        <v>1951</v>
      </c>
    </row>
    <row r="954" spans="1:9" x14ac:dyDescent="0.3">
      <c r="A954" s="17" t="s">
        <v>1837</v>
      </c>
      <c r="B954" s="17" t="s">
        <v>5990</v>
      </c>
      <c r="C954" s="17" t="s">
        <v>5991</v>
      </c>
      <c r="D954" s="17" t="s">
        <v>5992</v>
      </c>
      <c r="E954" s="17" t="s">
        <v>5993</v>
      </c>
      <c r="F954" s="17" t="s">
        <v>5949</v>
      </c>
      <c r="G954" s="17" t="s">
        <v>1949</v>
      </c>
      <c r="H954" s="17" t="s">
        <v>5950</v>
      </c>
      <c r="I954" t="s">
        <v>1942</v>
      </c>
    </row>
    <row r="955" spans="1:9" x14ac:dyDescent="0.3">
      <c r="A955" s="17" t="s">
        <v>5994</v>
      </c>
      <c r="B955" s="17" t="s">
        <v>5995</v>
      </c>
      <c r="C955" s="17" t="s">
        <v>5996</v>
      </c>
      <c r="D955" s="17" t="s">
        <v>5997</v>
      </c>
      <c r="E955" s="17" t="s">
        <v>5998</v>
      </c>
      <c r="F955" s="17" t="s">
        <v>2448</v>
      </c>
      <c r="G955" s="17" t="s">
        <v>1941</v>
      </c>
      <c r="H955" s="17">
        <v>79940</v>
      </c>
      <c r="I955" t="s">
        <v>1942</v>
      </c>
    </row>
    <row r="956" spans="1:9" x14ac:dyDescent="0.3">
      <c r="A956" s="17" t="s">
        <v>5999</v>
      </c>
      <c r="B956" s="17" t="s">
        <v>6000</v>
      </c>
      <c r="C956" s="17" t="s">
        <v>6001</v>
      </c>
      <c r="D956" s="17" t="s">
        <v>6002</v>
      </c>
      <c r="E956" s="17" t="s">
        <v>6003</v>
      </c>
      <c r="F956" s="17" t="s">
        <v>2013</v>
      </c>
      <c r="G956" s="17" t="s">
        <v>1941</v>
      </c>
      <c r="H956" s="17">
        <v>63136</v>
      </c>
      <c r="I956" t="s">
        <v>1942</v>
      </c>
    </row>
    <row r="957" spans="1:9" x14ac:dyDescent="0.3">
      <c r="A957" s="17" t="s">
        <v>6004</v>
      </c>
      <c r="B957" s="17" t="s">
        <v>6005</v>
      </c>
      <c r="C957" s="17" t="s">
        <v>6006</v>
      </c>
      <c r="D957" s="17" t="s">
        <v>6007</v>
      </c>
      <c r="E957" s="17" t="s">
        <v>6008</v>
      </c>
      <c r="F957" s="17" t="s">
        <v>5028</v>
      </c>
      <c r="G957" s="17" t="s">
        <v>1941</v>
      </c>
      <c r="H957" s="17">
        <v>72905</v>
      </c>
      <c r="I957" t="s">
        <v>1942</v>
      </c>
    </row>
    <row r="958" spans="1:9" x14ac:dyDescent="0.3">
      <c r="A958" s="17" t="s">
        <v>6009</v>
      </c>
      <c r="B958" s="17" t="s">
        <v>6010</v>
      </c>
      <c r="C958" s="17" t="s">
        <v>6011</v>
      </c>
      <c r="D958" s="17" t="s">
        <v>6012</v>
      </c>
      <c r="E958" s="17" t="s">
        <v>6013</v>
      </c>
      <c r="F958" s="17" t="s">
        <v>2506</v>
      </c>
      <c r="G958" s="17" t="s">
        <v>1941</v>
      </c>
      <c r="H958" s="17">
        <v>37245</v>
      </c>
      <c r="I958" t="s">
        <v>1951</v>
      </c>
    </row>
    <row r="959" spans="1:9" x14ac:dyDescent="0.3">
      <c r="A959" s="17" t="s">
        <v>6014</v>
      </c>
      <c r="B959" s="17" t="s">
        <v>6015</v>
      </c>
      <c r="C959" s="17" t="s">
        <v>6016</v>
      </c>
      <c r="D959" s="17" t="s">
        <v>6017</v>
      </c>
      <c r="E959" s="17" t="s">
        <v>6018</v>
      </c>
      <c r="F959" s="17" t="s">
        <v>2186</v>
      </c>
      <c r="G959" s="17" t="s">
        <v>1941</v>
      </c>
      <c r="H959" s="17">
        <v>20088</v>
      </c>
      <c r="I959" t="s">
        <v>1942</v>
      </c>
    </row>
    <row r="960" spans="1:9" x14ac:dyDescent="0.3">
      <c r="A960" s="17" t="s">
        <v>6019</v>
      </c>
      <c r="B960" s="17" t="s">
        <v>6020</v>
      </c>
      <c r="C960" s="17" t="s">
        <v>6021</v>
      </c>
      <c r="D960" s="17"/>
      <c r="E960" s="17" t="s">
        <v>6022</v>
      </c>
      <c r="F960" s="17" t="s">
        <v>6023</v>
      </c>
      <c r="G960" s="17" t="s">
        <v>1941</v>
      </c>
      <c r="H960" s="17">
        <v>90305</v>
      </c>
      <c r="I960" t="s">
        <v>1942</v>
      </c>
    </row>
    <row r="961" spans="1:9" x14ac:dyDescent="0.3">
      <c r="A961" s="17" t="s">
        <v>1842</v>
      </c>
      <c r="B961" s="17" t="s">
        <v>6024</v>
      </c>
      <c r="C961" s="17" t="s">
        <v>6025</v>
      </c>
      <c r="D961" s="17"/>
      <c r="E961" s="17" t="s">
        <v>6026</v>
      </c>
      <c r="F961" s="17" t="s">
        <v>2127</v>
      </c>
      <c r="G961" s="17" t="s">
        <v>1941</v>
      </c>
      <c r="H961" s="17">
        <v>72215</v>
      </c>
      <c r="I961" t="s">
        <v>1942</v>
      </c>
    </row>
    <row r="962" spans="1:9" x14ac:dyDescent="0.3">
      <c r="A962" s="17" t="s">
        <v>1844</v>
      </c>
      <c r="B962" s="17" t="s">
        <v>6027</v>
      </c>
      <c r="C962" s="17" t="s">
        <v>6028</v>
      </c>
      <c r="D962" s="17" t="s">
        <v>6029</v>
      </c>
      <c r="E962" s="17" t="s">
        <v>6030</v>
      </c>
      <c r="F962" s="17" t="s">
        <v>3703</v>
      </c>
      <c r="G962" s="17" t="s">
        <v>1941</v>
      </c>
      <c r="H962" s="17">
        <v>21747</v>
      </c>
      <c r="I962" t="s">
        <v>1942</v>
      </c>
    </row>
    <row r="963" spans="1:9" x14ac:dyDescent="0.3">
      <c r="A963" s="17" t="s">
        <v>1846</v>
      </c>
      <c r="B963" s="17" t="s">
        <v>6031</v>
      </c>
      <c r="C963" s="17"/>
      <c r="D963" s="17" t="s">
        <v>6032</v>
      </c>
      <c r="E963" s="17" t="s">
        <v>6033</v>
      </c>
      <c r="F963" s="17" t="s">
        <v>2881</v>
      </c>
      <c r="G963" s="17" t="s">
        <v>1941</v>
      </c>
      <c r="H963" s="17">
        <v>12205</v>
      </c>
      <c r="I963" t="s">
        <v>1942</v>
      </c>
    </row>
    <row r="964" spans="1:9" x14ac:dyDescent="0.3">
      <c r="A964" s="17" t="s">
        <v>1848</v>
      </c>
      <c r="B964" s="17" t="s">
        <v>6034</v>
      </c>
      <c r="C964" s="17" t="s">
        <v>6035</v>
      </c>
      <c r="D964" s="17" t="s">
        <v>6036</v>
      </c>
      <c r="E964" s="17" t="s">
        <v>6037</v>
      </c>
      <c r="F964" s="17" t="s">
        <v>6038</v>
      </c>
      <c r="G964" s="17" t="s">
        <v>1949</v>
      </c>
      <c r="H964" s="17" t="s">
        <v>3194</v>
      </c>
      <c r="I964" t="s">
        <v>1942</v>
      </c>
    </row>
    <row r="965" spans="1:9" x14ac:dyDescent="0.3">
      <c r="A965" s="17" t="s">
        <v>1850</v>
      </c>
      <c r="B965" s="17" t="s">
        <v>6039</v>
      </c>
      <c r="C965" s="17" t="s">
        <v>6040</v>
      </c>
      <c r="D965" s="17" t="s">
        <v>6041</v>
      </c>
      <c r="E965" s="17" t="s">
        <v>6042</v>
      </c>
      <c r="F965" s="17" t="s">
        <v>3320</v>
      </c>
      <c r="G965" s="17" t="s">
        <v>1941</v>
      </c>
      <c r="H965" s="17">
        <v>40510</v>
      </c>
      <c r="I965" t="s">
        <v>1942</v>
      </c>
    </row>
    <row r="966" spans="1:9" x14ac:dyDescent="0.3">
      <c r="A966" s="17" t="s">
        <v>1852</v>
      </c>
      <c r="B966" s="17" t="s">
        <v>6043</v>
      </c>
      <c r="C966" s="17" t="s">
        <v>6044</v>
      </c>
      <c r="D966" s="17" t="s">
        <v>6045</v>
      </c>
      <c r="E966" s="17" t="s">
        <v>6046</v>
      </c>
      <c r="F966" s="17" t="s">
        <v>3785</v>
      </c>
      <c r="G966" s="17" t="s">
        <v>1941</v>
      </c>
      <c r="H966" s="17">
        <v>92165</v>
      </c>
      <c r="I966" t="s">
        <v>1951</v>
      </c>
    </row>
    <row r="967" spans="1:9" x14ac:dyDescent="0.3">
      <c r="A967" s="17" t="s">
        <v>1854</v>
      </c>
      <c r="B967" s="17" t="s">
        <v>6047</v>
      </c>
      <c r="C967" s="17" t="s">
        <v>6048</v>
      </c>
      <c r="D967" s="17"/>
      <c r="E967" s="17" t="s">
        <v>6049</v>
      </c>
      <c r="F967" s="17" t="s">
        <v>1986</v>
      </c>
      <c r="G967" s="17" t="s">
        <v>1941</v>
      </c>
      <c r="H967" s="17">
        <v>90040</v>
      </c>
      <c r="I967" t="s">
        <v>1942</v>
      </c>
    </row>
    <row r="968" spans="1:9" x14ac:dyDescent="0.3">
      <c r="A968" s="17" t="s">
        <v>1856</v>
      </c>
      <c r="B968" s="17" t="s">
        <v>6050</v>
      </c>
      <c r="C968" s="17" t="s">
        <v>6051</v>
      </c>
      <c r="D968" s="17" t="s">
        <v>6052</v>
      </c>
      <c r="E968" s="17" t="s">
        <v>6053</v>
      </c>
      <c r="F968" s="17" t="s">
        <v>2776</v>
      </c>
      <c r="G968" s="17" t="s">
        <v>1941</v>
      </c>
      <c r="H968" s="17">
        <v>11210</v>
      </c>
      <c r="I968" t="s">
        <v>1942</v>
      </c>
    </row>
    <row r="969" spans="1:9" x14ac:dyDescent="0.3">
      <c r="A969" s="17" t="s">
        <v>1858</v>
      </c>
      <c r="B969" s="17" t="s">
        <v>6054</v>
      </c>
      <c r="C969" s="17" t="s">
        <v>6055</v>
      </c>
      <c r="D969" s="17" t="s">
        <v>6056</v>
      </c>
      <c r="E969" s="17" t="s">
        <v>6057</v>
      </c>
      <c r="F969" s="17" t="s">
        <v>6058</v>
      </c>
      <c r="G969" s="17" t="s">
        <v>1949</v>
      </c>
      <c r="H969" s="17" t="s">
        <v>2083</v>
      </c>
      <c r="I969" t="s">
        <v>1942</v>
      </c>
    </row>
    <row r="970" spans="1:9" x14ac:dyDescent="0.3">
      <c r="A970" s="17" t="s">
        <v>1860</v>
      </c>
      <c r="B970" s="17" t="s">
        <v>6059</v>
      </c>
      <c r="C970" s="17" t="s">
        <v>6060</v>
      </c>
      <c r="D970" s="17" t="s">
        <v>6061</v>
      </c>
      <c r="E970" s="17" t="s">
        <v>6062</v>
      </c>
      <c r="F970" s="17" t="s">
        <v>6063</v>
      </c>
      <c r="G970" s="17" t="s">
        <v>1941</v>
      </c>
      <c r="H970" s="17">
        <v>32627</v>
      </c>
      <c r="I970" t="s">
        <v>1951</v>
      </c>
    </row>
    <row r="971" spans="1:9" x14ac:dyDescent="0.3">
      <c r="A971" s="17" t="s">
        <v>1862</v>
      </c>
      <c r="B971" s="17" t="s">
        <v>6064</v>
      </c>
      <c r="C971" s="17" t="s">
        <v>6065</v>
      </c>
      <c r="D971" s="17" t="s">
        <v>6066</v>
      </c>
      <c r="E971" s="17" t="s">
        <v>6067</v>
      </c>
      <c r="F971" s="17" t="s">
        <v>2713</v>
      </c>
      <c r="G971" s="17" t="s">
        <v>1941</v>
      </c>
      <c r="H971" s="17">
        <v>34620</v>
      </c>
      <c r="I971" t="s">
        <v>1942</v>
      </c>
    </row>
    <row r="972" spans="1:9" x14ac:dyDescent="0.3">
      <c r="A972" s="17" t="s">
        <v>1864</v>
      </c>
      <c r="B972" s="17" t="s">
        <v>6068</v>
      </c>
      <c r="C972" s="17"/>
      <c r="D972" s="17" t="s">
        <v>6069</v>
      </c>
      <c r="E972" s="17" t="s">
        <v>6070</v>
      </c>
      <c r="F972" s="17" t="s">
        <v>4412</v>
      </c>
      <c r="G972" s="17" t="s">
        <v>1941</v>
      </c>
      <c r="H972" s="17">
        <v>79165</v>
      </c>
      <c r="I972" t="s">
        <v>1951</v>
      </c>
    </row>
    <row r="973" spans="1:9" x14ac:dyDescent="0.3">
      <c r="A973" s="17" t="s">
        <v>1866</v>
      </c>
      <c r="B973" s="17" t="s">
        <v>6071</v>
      </c>
      <c r="C973" s="17" t="s">
        <v>6072</v>
      </c>
      <c r="D973" s="17" t="s">
        <v>6073</v>
      </c>
      <c r="E973" s="17" t="s">
        <v>6074</v>
      </c>
      <c r="F973" s="17" t="s">
        <v>2266</v>
      </c>
      <c r="G973" s="17" t="s">
        <v>1941</v>
      </c>
      <c r="H973" s="17">
        <v>76121</v>
      </c>
      <c r="I973" t="s">
        <v>1951</v>
      </c>
    </row>
    <row r="974" spans="1:9" x14ac:dyDescent="0.3">
      <c r="A974" s="17" t="s">
        <v>1868</v>
      </c>
      <c r="B974" s="17" t="s">
        <v>6075</v>
      </c>
      <c r="C974" s="17"/>
      <c r="D974" s="17" t="s">
        <v>6076</v>
      </c>
      <c r="E974" s="17" t="s">
        <v>6077</v>
      </c>
      <c r="F974" s="17" t="s">
        <v>5090</v>
      </c>
      <c r="G974" s="17" t="s">
        <v>1949</v>
      </c>
      <c r="H974" s="17" t="s">
        <v>5091</v>
      </c>
      <c r="I974" t="s">
        <v>1942</v>
      </c>
    </row>
    <row r="975" spans="1:9" x14ac:dyDescent="0.3">
      <c r="A975" s="17" t="s">
        <v>1870</v>
      </c>
      <c r="B975" s="17" t="s">
        <v>6078</v>
      </c>
      <c r="C975" s="17" t="s">
        <v>6079</v>
      </c>
      <c r="D975" s="17" t="s">
        <v>6080</v>
      </c>
      <c r="E975" s="17" t="s">
        <v>6081</v>
      </c>
      <c r="F975" s="17" t="s">
        <v>2225</v>
      </c>
      <c r="G975" s="17" t="s">
        <v>1941</v>
      </c>
      <c r="H975" s="17">
        <v>32575</v>
      </c>
      <c r="I975" t="s">
        <v>1951</v>
      </c>
    </row>
    <row r="976" spans="1:9" x14ac:dyDescent="0.3">
      <c r="A976" s="17" t="s">
        <v>1872</v>
      </c>
      <c r="B976" s="17" t="s">
        <v>6082</v>
      </c>
      <c r="C976" s="17" t="s">
        <v>6083</v>
      </c>
      <c r="D976" s="17" t="s">
        <v>6084</v>
      </c>
      <c r="E976" s="17" t="s">
        <v>6085</v>
      </c>
      <c r="F976" s="17" t="s">
        <v>3148</v>
      </c>
      <c r="G976" s="17" t="s">
        <v>1941</v>
      </c>
      <c r="H976" s="17">
        <v>98405</v>
      </c>
      <c r="I976" t="s">
        <v>1942</v>
      </c>
    </row>
    <row r="977" spans="1:9" x14ac:dyDescent="0.3">
      <c r="A977" s="17" t="s">
        <v>1874</v>
      </c>
      <c r="B977" s="17" t="s">
        <v>6086</v>
      </c>
      <c r="C977" s="17" t="s">
        <v>6087</v>
      </c>
      <c r="D977" s="17" t="s">
        <v>6088</v>
      </c>
      <c r="E977" s="17" t="s">
        <v>6089</v>
      </c>
      <c r="F977" s="17" t="s">
        <v>6090</v>
      </c>
      <c r="G977" s="17" t="s">
        <v>1949</v>
      </c>
      <c r="H977" s="17" t="s">
        <v>3183</v>
      </c>
      <c r="I977" t="s">
        <v>1942</v>
      </c>
    </row>
    <row r="978" spans="1:9" x14ac:dyDescent="0.3">
      <c r="A978" s="17" t="s">
        <v>1876</v>
      </c>
      <c r="B978" s="17" t="s">
        <v>6091</v>
      </c>
      <c r="C978" s="17" t="s">
        <v>6092</v>
      </c>
      <c r="D978" s="17" t="s">
        <v>6093</v>
      </c>
      <c r="E978" s="17" t="s">
        <v>6094</v>
      </c>
      <c r="F978" s="17" t="s">
        <v>2238</v>
      </c>
      <c r="G978" s="17" t="s">
        <v>1941</v>
      </c>
      <c r="H978" s="17">
        <v>46896</v>
      </c>
      <c r="I978" t="s">
        <v>1942</v>
      </c>
    </row>
    <row r="979" spans="1:9" x14ac:dyDescent="0.3">
      <c r="A979" s="17" t="s">
        <v>1878</v>
      </c>
      <c r="B979" s="17" t="s">
        <v>6095</v>
      </c>
      <c r="C979" s="17" t="s">
        <v>6096</v>
      </c>
      <c r="D979" s="17" t="s">
        <v>6097</v>
      </c>
      <c r="E979" s="17" t="s">
        <v>6098</v>
      </c>
      <c r="F979" s="17" t="s">
        <v>4412</v>
      </c>
      <c r="G979" s="17" t="s">
        <v>1941</v>
      </c>
      <c r="H979" s="17">
        <v>79105</v>
      </c>
      <c r="I979" t="s">
        <v>1951</v>
      </c>
    </row>
    <row r="980" spans="1:9" x14ac:dyDescent="0.3">
      <c r="A980" s="17" t="s">
        <v>6099</v>
      </c>
      <c r="B980" s="17" t="s">
        <v>6100</v>
      </c>
      <c r="C980" s="17" t="s">
        <v>6101</v>
      </c>
      <c r="D980" s="17" t="s">
        <v>6102</v>
      </c>
      <c r="E980" s="17" t="s">
        <v>6103</v>
      </c>
      <c r="F980" s="17" t="s">
        <v>2186</v>
      </c>
      <c r="G980" s="17" t="s">
        <v>1941</v>
      </c>
      <c r="H980" s="17">
        <v>20436</v>
      </c>
      <c r="I980" t="s">
        <v>1942</v>
      </c>
    </row>
    <row r="981" spans="1:9" x14ac:dyDescent="0.3">
      <c r="A981" s="17" t="s">
        <v>1881</v>
      </c>
      <c r="B981" s="17" t="s">
        <v>6104</v>
      </c>
      <c r="C981" s="17"/>
      <c r="D981" s="17" t="s">
        <v>6105</v>
      </c>
      <c r="E981" s="17" t="s">
        <v>6106</v>
      </c>
      <c r="F981" s="17" t="s">
        <v>6107</v>
      </c>
      <c r="G981" s="17" t="s">
        <v>1941</v>
      </c>
      <c r="H981" s="17">
        <v>20910</v>
      </c>
      <c r="I981" t="s">
        <v>1951</v>
      </c>
    </row>
    <row r="982" spans="1:9" x14ac:dyDescent="0.3">
      <c r="A982" s="17" t="s">
        <v>1883</v>
      </c>
      <c r="B982" s="17" t="s">
        <v>6108</v>
      </c>
      <c r="C982" s="17"/>
      <c r="D982" s="17" t="s">
        <v>6109</v>
      </c>
      <c r="E982" s="17" t="s">
        <v>6110</v>
      </c>
      <c r="F982" s="17" t="s">
        <v>3823</v>
      </c>
      <c r="G982" s="17" t="s">
        <v>1941</v>
      </c>
      <c r="H982" s="17">
        <v>53726</v>
      </c>
      <c r="I982" t="s">
        <v>1942</v>
      </c>
    </row>
    <row r="983" spans="1:9" x14ac:dyDescent="0.3">
      <c r="A983" s="17" t="s">
        <v>1885</v>
      </c>
      <c r="B983" s="17" t="s">
        <v>6111</v>
      </c>
      <c r="C983" s="17" t="s">
        <v>6112</v>
      </c>
      <c r="D983" s="17" t="s">
        <v>6113</v>
      </c>
      <c r="E983" s="17" t="s">
        <v>6114</v>
      </c>
      <c r="F983" s="17" t="s">
        <v>6115</v>
      </c>
      <c r="G983" s="17" t="s">
        <v>1941</v>
      </c>
      <c r="H983" s="17">
        <v>77305</v>
      </c>
      <c r="I983" t="s">
        <v>1942</v>
      </c>
    </row>
    <row r="984" spans="1:9" x14ac:dyDescent="0.3">
      <c r="A984" s="17" t="s">
        <v>1887</v>
      </c>
      <c r="B984" s="17" t="s">
        <v>6116</v>
      </c>
      <c r="C984" s="17" t="s">
        <v>6117</v>
      </c>
      <c r="D984" s="17" t="s">
        <v>6118</v>
      </c>
      <c r="E984" s="17" t="s">
        <v>6119</v>
      </c>
      <c r="F984" s="17" t="s">
        <v>3179</v>
      </c>
      <c r="G984" s="17" t="s">
        <v>1941</v>
      </c>
      <c r="H984" s="17">
        <v>76205</v>
      </c>
      <c r="I984" t="s">
        <v>1942</v>
      </c>
    </row>
    <row r="985" spans="1:9" x14ac:dyDescent="0.3">
      <c r="A985" s="17" t="s">
        <v>1889</v>
      </c>
      <c r="B985" s="17" t="s">
        <v>6120</v>
      </c>
      <c r="C985" s="17" t="s">
        <v>6121</v>
      </c>
      <c r="D985" s="17" t="s">
        <v>6122</v>
      </c>
      <c r="E985" s="17" t="s">
        <v>6123</v>
      </c>
      <c r="F985" s="17" t="s">
        <v>2287</v>
      </c>
      <c r="G985" s="17" t="s">
        <v>1941</v>
      </c>
      <c r="H985" s="17">
        <v>43231</v>
      </c>
      <c r="I985" t="s">
        <v>1942</v>
      </c>
    </row>
    <row r="986" spans="1:9" x14ac:dyDescent="0.3">
      <c r="A986" s="17" t="s">
        <v>1891</v>
      </c>
      <c r="B986" s="17" t="s">
        <v>6124</v>
      </c>
      <c r="C986" s="17" t="s">
        <v>6125</v>
      </c>
      <c r="D986" s="17"/>
      <c r="E986" s="17" t="s">
        <v>6126</v>
      </c>
      <c r="F986" s="17" t="s">
        <v>6127</v>
      </c>
      <c r="G986" s="17" t="s">
        <v>1949</v>
      </c>
      <c r="H986" s="17" t="s">
        <v>3263</v>
      </c>
      <c r="I986" t="s">
        <v>1942</v>
      </c>
    </row>
    <row r="987" spans="1:9" x14ac:dyDescent="0.3">
      <c r="A987" s="17" t="s">
        <v>1893</v>
      </c>
      <c r="B987" s="17" t="s">
        <v>6128</v>
      </c>
      <c r="C987" s="17" t="s">
        <v>6129</v>
      </c>
      <c r="D987" s="17" t="s">
        <v>6130</v>
      </c>
      <c r="E987" s="17" t="s">
        <v>6131</v>
      </c>
      <c r="F987" s="17" t="s">
        <v>2093</v>
      </c>
      <c r="G987" s="17" t="s">
        <v>1941</v>
      </c>
      <c r="H987" s="17">
        <v>80045</v>
      </c>
      <c r="I987" t="s">
        <v>1951</v>
      </c>
    </row>
    <row r="988" spans="1:9" x14ac:dyDescent="0.3">
      <c r="A988" s="17" t="s">
        <v>1895</v>
      </c>
      <c r="B988" s="17" t="s">
        <v>6132</v>
      </c>
      <c r="C988" s="17" t="s">
        <v>6133</v>
      </c>
      <c r="D988" s="17" t="s">
        <v>6134</v>
      </c>
      <c r="E988" s="17" t="s">
        <v>6135</v>
      </c>
      <c r="F988" s="17" t="s">
        <v>6136</v>
      </c>
      <c r="G988" s="17" t="s">
        <v>1941</v>
      </c>
      <c r="H988" s="17">
        <v>32128</v>
      </c>
      <c r="I988" t="s">
        <v>1951</v>
      </c>
    </row>
    <row r="989" spans="1:9" x14ac:dyDescent="0.3">
      <c r="A989" s="17" t="s">
        <v>1897</v>
      </c>
      <c r="B989" s="17" t="s">
        <v>6137</v>
      </c>
      <c r="C989" s="17" t="s">
        <v>6138</v>
      </c>
      <c r="D989" s="17" t="s">
        <v>6139</v>
      </c>
      <c r="E989" s="17" t="s">
        <v>6140</v>
      </c>
      <c r="F989" s="17" t="s">
        <v>4084</v>
      </c>
      <c r="G989" s="17" t="s">
        <v>2116</v>
      </c>
      <c r="H989" s="17" t="s">
        <v>2393</v>
      </c>
      <c r="I989" t="s">
        <v>1942</v>
      </c>
    </row>
    <row r="990" spans="1:9" x14ac:dyDescent="0.3">
      <c r="A990" s="17" t="s">
        <v>1899</v>
      </c>
      <c r="B990" s="17" t="s">
        <v>6141</v>
      </c>
      <c r="C990" s="17"/>
      <c r="D990" s="17" t="s">
        <v>6142</v>
      </c>
      <c r="E990" s="17" t="s">
        <v>6143</v>
      </c>
      <c r="F990" s="17" t="s">
        <v>6144</v>
      </c>
      <c r="G990" s="17" t="s">
        <v>2116</v>
      </c>
      <c r="H990" s="17" t="s">
        <v>6145</v>
      </c>
      <c r="I990" t="s">
        <v>1942</v>
      </c>
    </row>
    <row r="991" spans="1:9" x14ac:dyDescent="0.3">
      <c r="A991" s="17" t="s">
        <v>1901</v>
      </c>
      <c r="B991" s="17" t="s">
        <v>6146</v>
      </c>
      <c r="C991" s="17"/>
      <c r="D991" s="17" t="s">
        <v>6147</v>
      </c>
      <c r="E991" s="17" t="s">
        <v>6148</v>
      </c>
      <c r="F991" s="17" t="s">
        <v>2013</v>
      </c>
      <c r="G991" s="17" t="s">
        <v>1941</v>
      </c>
      <c r="H991" s="17">
        <v>63131</v>
      </c>
      <c r="I991" t="s">
        <v>1942</v>
      </c>
    </row>
    <row r="992" spans="1:9" x14ac:dyDescent="0.3">
      <c r="A992" s="17" t="s">
        <v>6149</v>
      </c>
      <c r="B992" s="17" t="s">
        <v>6150</v>
      </c>
      <c r="C992" s="17" t="s">
        <v>6151</v>
      </c>
      <c r="D992" s="17" t="s">
        <v>6152</v>
      </c>
      <c r="E992" s="17" t="s">
        <v>6153</v>
      </c>
      <c r="F992" s="17" t="s">
        <v>6154</v>
      </c>
      <c r="G992" s="17" t="s">
        <v>1941</v>
      </c>
      <c r="H992" s="17">
        <v>92056</v>
      </c>
      <c r="I992" t="s">
        <v>1951</v>
      </c>
    </row>
    <row r="993" spans="1:9" x14ac:dyDescent="0.3">
      <c r="A993" s="17" t="s">
        <v>6155</v>
      </c>
      <c r="B993" s="17" t="s">
        <v>6156</v>
      </c>
      <c r="C993" s="17"/>
      <c r="D993" s="17" t="s">
        <v>6157</v>
      </c>
      <c r="E993" s="17" t="s">
        <v>6158</v>
      </c>
      <c r="F993" s="17" t="s">
        <v>2678</v>
      </c>
      <c r="G993" s="17" t="s">
        <v>1941</v>
      </c>
      <c r="H993" s="17">
        <v>37416</v>
      </c>
      <c r="I993" t="s">
        <v>1942</v>
      </c>
    </row>
    <row r="994" spans="1:9" x14ac:dyDescent="0.3">
      <c r="A994" s="17" t="s">
        <v>1905</v>
      </c>
      <c r="B994" s="17" t="s">
        <v>6159</v>
      </c>
      <c r="C994" s="17"/>
      <c r="D994" s="17" t="s">
        <v>6160</v>
      </c>
      <c r="E994" s="17" t="s">
        <v>6161</v>
      </c>
      <c r="F994" s="17" t="s">
        <v>3967</v>
      </c>
      <c r="G994" s="17" t="s">
        <v>1949</v>
      </c>
      <c r="H994" s="17" t="s">
        <v>2771</v>
      </c>
      <c r="I994" t="s">
        <v>1951</v>
      </c>
    </row>
    <row r="995" spans="1:9" x14ac:dyDescent="0.3">
      <c r="A995" s="17" t="s">
        <v>1907</v>
      </c>
      <c r="B995" s="17" t="s">
        <v>6162</v>
      </c>
      <c r="C995" s="17"/>
      <c r="D995" s="17" t="s">
        <v>6163</v>
      </c>
      <c r="E995" s="17" t="s">
        <v>6164</v>
      </c>
      <c r="F995" s="17" t="s">
        <v>2017</v>
      </c>
      <c r="G995" s="17" t="s">
        <v>1941</v>
      </c>
      <c r="H995" s="17">
        <v>19125</v>
      </c>
      <c r="I995" t="s">
        <v>1951</v>
      </c>
    </row>
    <row r="996" spans="1:9" x14ac:dyDescent="0.3">
      <c r="A996" s="17" t="s">
        <v>1909</v>
      </c>
      <c r="B996" s="17" t="s">
        <v>6165</v>
      </c>
      <c r="C996" s="17"/>
      <c r="D996" s="17" t="s">
        <v>6166</v>
      </c>
      <c r="E996" s="17" t="s">
        <v>6167</v>
      </c>
      <c r="F996" s="17" t="s">
        <v>3912</v>
      </c>
      <c r="G996" s="17" t="s">
        <v>1949</v>
      </c>
      <c r="H996" s="17" t="s">
        <v>3913</v>
      </c>
      <c r="I996" t="s">
        <v>1951</v>
      </c>
    </row>
    <row r="997" spans="1:9" x14ac:dyDescent="0.3">
      <c r="A997" s="17" t="s">
        <v>1911</v>
      </c>
      <c r="B997" s="17" t="s">
        <v>6168</v>
      </c>
      <c r="C997" s="17" t="s">
        <v>6169</v>
      </c>
      <c r="D997" s="17" t="s">
        <v>6170</v>
      </c>
      <c r="E997" s="17" t="s">
        <v>6171</v>
      </c>
      <c r="F997" s="17" t="s">
        <v>2325</v>
      </c>
      <c r="G997" s="17" t="s">
        <v>1941</v>
      </c>
      <c r="H997" s="17">
        <v>75210</v>
      </c>
      <c r="I997" t="s">
        <v>1951</v>
      </c>
    </row>
    <row r="998" spans="1:9" x14ac:dyDescent="0.3">
      <c r="A998" s="17" t="s">
        <v>1903</v>
      </c>
      <c r="B998" s="17" t="s">
        <v>6172</v>
      </c>
      <c r="C998" s="17"/>
      <c r="D998" s="17" t="s">
        <v>6173</v>
      </c>
      <c r="E998" s="17" t="s">
        <v>6174</v>
      </c>
      <c r="F998" s="17" t="s">
        <v>5028</v>
      </c>
      <c r="G998" s="17" t="s">
        <v>1941</v>
      </c>
      <c r="H998" s="17">
        <v>72905</v>
      </c>
      <c r="I998" t="s">
        <v>1951</v>
      </c>
    </row>
    <row r="999" spans="1:9" x14ac:dyDescent="0.3">
      <c r="A999" s="17" t="s">
        <v>6175</v>
      </c>
      <c r="B999" s="17" t="s">
        <v>6176</v>
      </c>
      <c r="C999" s="17"/>
      <c r="D999" s="17" t="s">
        <v>6177</v>
      </c>
      <c r="E999" s="17" t="s">
        <v>6178</v>
      </c>
      <c r="F999" s="17" t="s">
        <v>2340</v>
      </c>
      <c r="G999" s="17" t="s">
        <v>1941</v>
      </c>
      <c r="H999" s="17">
        <v>80920</v>
      </c>
      <c r="I999" t="s">
        <v>1942</v>
      </c>
    </row>
    <row r="1000" spans="1:9" x14ac:dyDescent="0.3">
      <c r="A1000" s="17" t="s">
        <v>1915</v>
      </c>
      <c r="B1000" s="17" t="s">
        <v>6179</v>
      </c>
      <c r="C1000" s="17" t="s">
        <v>6180</v>
      </c>
      <c r="D1000" s="17" t="s">
        <v>6181</v>
      </c>
      <c r="E1000" s="17" t="s">
        <v>6182</v>
      </c>
      <c r="F1000" s="17" t="s">
        <v>2758</v>
      </c>
      <c r="G1000" s="17" t="s">
        <v>1941</v>
      </c>
      <c r="H1000" s="17">
        <v>90610</v>
      </c>
      <c r="I1000" t="s">
        <v>1951</v>
      </c>
    </row>
    <row r="1001" spans="1:9" x14ac:dyDescent="0.3">
      <c r="A1001" s="17" t="s">
        <v>1917</v>
      </c>
      <c r="B1001" s="17" t="s">
        <v>6183</v>
      </c>
      <c r="C1001" s="17"/>
      <c r="D1001" s="17" t="s">
        <v>6184</v>
      </c>
      <c r="E1001" s="17" t="s">
        <v>6185</v>
      </c>
      <c r="F1001" s="17" t="s">
        <v>4485</v>
      </c>
      <c r="G1001" s="17" t="s">
        <v>2116</v>
      </c>
      <c r="H1001" s="17" t="s">
        <v>6186</v>
      </c>
      <c r="I1001" t="s">
        <v>1942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9"/>
  <sheetViews>
    <sheetView topLeftCell="A13" workbookViewId="0">
      <selection sqref="A1:G1"/>
    </sheetView>
  </sheetViews>
  <sheetFormatPr defaultRowHeight="14.4" x14ac:dyDescent="0.3"/>
  <cols>
    <col min="2" max="2" width="10.6640625" bestFit="1" customWidth="1"/>
    <col min="3" max="3" width="9.88671875" bestFit="1" customWidth="1"/>
  </cols>
  <sheetData>
    <row r="1" spans="1:7" x14ac:dyDescent="0.3">
      <c r="A1" s="13" t="s">
        <v>1921</v>
      </c>
      <c r="B1" s="14" t="s">
        <v>1926</v>
      </c>
      <c r="C1" s="15" t="s">
        <v>1927</v>
      </c>
      <c r="D1" s="15" t="s">
        <v>1928</v>
      </c>
      <c r="E1" s="15" t="s">
        <v>1929</v>
      </c>
      <c r="F1" s="16" t="s">
        <v>6187</v>
      </c>
      <c r="G1" s="15" t="s">
        <v>6188</v>
      </c>
    </row>
    <row r="2" spans="1:7" x14ac:dyDescent="0.3">
      <c r="A2" t="s">
        <v>115</v>
      </c>
      <c r="B2" t="s">
        <v>6189</v>
      </c>
      <c r="C2" t="s">
        <v>6190</v>
      </c>
      <c r="D2" s="18">
        <v>0.2</v>
      </c>
      <c r="E2">
        <v>3.8849999999999998</v>
      </c>
      <c r="F2">
        <v>1.9424999999999999</v>
      </c>
      <c r="G2">
        <v>0.34964999999999996</v>
      </c>
    </row>
    <row r="3" spans="1:7" x14ac:dyDescent="0.3">
      <c r="A3" t="s">
        <v>192</v>
      </c>
      <c r="B3" t="s">
        <v>6189</v>
      </c>
      <c r="C3" t="s">
        <v>6190</v>
      </c>
      <c r="D3" s="18">
        <v>0.5</v>
      </c>
      <c r="E3">
        <v>7.77</v>
      </c>
      <c r="F3">
        <v>1.5539999999999998</v>
      </c>
      <c r="G3">
        <v>0.69929999999999992</v>
      </c>
    </row>
    <row r="4" spans="1:7" x14ac:dyDescent="0.3">
      <c r="A4" t="s">
        <v>6</v>
      </c>
      <c r="B4" t="s">
        <v>6189</v>
      </c>
      <c r="C4" t="s">
        <v>6190</v>
      </c>
      <c r="D4" s="18">
        <v>1</v>
      </c>
      <c r="E4">
        <v>12.95</v>
      </c>
      <c r="F4">
        <v>1.2949999999999999</v>
      </c>
      <c r="G4">
        <v>1.1655</v>
      </c>
    </row>
    <row r="5" spans="1:7" x14ac:dyDescent="0.3">
      <c r="A5" t="s">
        <v>204</v>
      </c>
      <c r="B5" t="s">
        <v>6189</v>
      </c>
      <c r="C5" t="s">
        <v>6190</v>
      </c>
      <c r="D5" s="18">
        <v>2.5</v>
      </c>
      <c r="E5">
        <v>29.784999999999997</v>
      </c>
      <c r="F5">
        <v>1.1913999999999998</v>
      </c>
      <c r="G5">
        <v>2.6806499999999995</v>
      </c>
    </row>
    <row r="6" spans="1:7" x14ac:dyDescent="0.3">
      <c r="A6" t="s">
        <v>44</v>
      </c>
      <c r="B6" t="s">
        <v>6189</v>
      </c>
      <c r="C6" t="s">
        <v>6191</v>
      </c>
      <c r="D6" s="18">
        <v>0.2</v>
      </c>
      <c r="E6">
        <v>3.375</v>
      </c>
      <c r="F6">
        <v>1.6875</v>
      </c>
      <c r="G6">
        <v>0.30374999999999996</v>
      </c>
    </row>
    <row r="7" spans="1:7" x14ac:dyDescent="0.3">
      <c r="A7" t="s">
        <v>67</v>
      </c>
      <c r="B7" t="s">
        <v>6189</v>
      </c>
      <c r="C7" t="s">
        <v>6191</v>
      </c>
      <c r="D7" s="18">
        <v>0.5</v>
      </c>
      <c r="E7">
        <v>6.75</v>
      </c>
      <c r="F7">
        <v>1.35</v>
      </c>
      <c r="G7">
        <v>0.60749999999999993</v>
      </c>
    </row>
    <row r="8" spans="1:7" x14ac:dyDescent="0.3">
      <c r="A8" t="s">
        <v>61</v>
      </c>
      <c r="B8" t="s">
        <v>6189</v>
      </c>
      <c r="C8" t="s">
        <v>6191</v>
      </c>
      <c r="D8" s="18">
        <v>1</v>
      </c>
      <c r="E8">
        <v>11.25</v>
      </c>
      <c r="F8">
        <v>1.125</v>
      </c>
      <c r="G8">
        <v>1.0125</v>
      </c>
    </row>
    <row r="9" spans="1:7" x14ac:dyDescent="0.3">
      <c r="A9" t="s">
        <v>171</v>
      </c>
      <c r="B9" t="s">
        <v>6189</v>
      </c>
      <c r="C9" t="s">
        <v>6191</v>
      </c>
      <c r="D9" s="18">
        <v>2.5</v>
      </c>
      <c r="E9">
        <v>25.874999999999996</v>
      </c>
      <c r="F9">
        <v>1.0349999999999999</v>
      </c>
      <c r="G9">
        <v>2.3287499999999994</v>
      </c>
    </row>
    <row r="10" spans="1:7" x14ac:dyDescent="0.3">
      <c r="A10" t="s">
        <v>54</v>
      </c>
      <c r="B10" t="s">
        <v>6189</v>
      </c>
      <c r="C10" t="s">
        <v>6192</v>
      </c>
      <c r="D10" s="18">
        <v>0.2</v>
      </c>
      <c r="E10">
        <v>2.9849999999999999</v>
      </c>
      <c r="F10">
        <v>1.4924999999999999</v>
      </c>
      <c r="G10">
        <v>0.26865</v>
      </c>
    </row>
    <row r="11" spans="1:7" x14ac:dyDescent="0.3">
      <c r="A11" t="s">
        <v>72</v>
      </c>
      <c r="B11" t="s">
        <v>6189</v>
      </c>
      <c r="C11" t="s">
        <v>6192</v>
      </c>
      <c r="D11" s="18">
        <v>0.5</v>
      </c>
      <c r="E11">
        <v>5.97</v>
      </c>
      <c r="F11">
        <v>1.194</v>
      </c>
      <c r="G11">
        <v>0.5373</v>
      </c>
    </row>
    <row r="12" spans="1:7" x14ac:dyDescent="0.3">
      <c r="A12" t="s">
        <v>27</v>
      </c>
      <c r="B12" t="s">
        <v>6189</v>
      </c>
      <c r="C12" t="s">
        <v>6192</v>
      </c>
      <c r="D12" s="18">
        <v>1</v>
      </c>
      <c r="E12">
        <v>9.9499999999999993</v>
      </c>
      <c r="F12">
        <v>0.99499999999999988</v>
      </c>
      <c r="G12">
        <v>0.89549999999999985</v>
      </c>
    </row>
    <row r="13" spans="1:7" x14ac:dyDescent="0.3">
      <c r="A13" t="s">
        <v>118</v>
      </c>
      <c r="B13" t="s">
        <v>6189</v>
      </c>
      <c r="C13" t="s">
        <v>6192</v>
      </c>
      <c r="D13" s="18">
        <v>2.5</v>
      </c>
      <c r="E13">
        <v>22.884999999999998</v>
      </c>
      <c r="F13">
        <v>0.91539999999999988</v>
      </c>
      <c r="G13">
        <v>2.0596499999999995</v>
      </c>
    </row>
    <row r="14" spans="1:7" x14ac:dyDescent="0.3">
      <c r="A14" t="s">
        <v>182</v>
      </c>
      <c r="B14" t="s">
        <v>6193</v>
      </c>
      <c r="C14" t="s">
        <v>6190</v>
      </c>
      <c r="D14" s="18">
        <v>0.2</v>
      </c>
      <c r="E14">
        <v>3.5849999999999995</v>
      </c>
      <c r="F14">
        <v>1.7924999999999998</v>
      </c>
      <c r="G14">
        <v>0.21509999999999996</v>
      </c>
    </row>
    <row r="15" spans="1:7" x14ac:dyDescent="0.3">
      <c r="A15" t="s">
        <v>157</v>
      </c>
      <c r="B15" t="s">
        <v>6193</v>
      </c>
      <c r="C15" t="s">
        <v>6190</v>
      </c>
      <c r="D15" s="18">
        <v>0.5</v>
      </c>
      <c r="E15">
        <v>7.169999999999999</v>
      </c>
      <c r="F15">
        <v>1.4339999999999997</v>
      </c>
      <c r="G15">
        <v>0.43019999999999992</v>
      </c>
    </row>
    <row r="16" spans="1:7" x14ac:dyDescent="0.3">
      <c r="A16" t="s">
        <v>189</v>
      </c>
      <c r="B16" t="s">
        <v>6193</v>
      </c>
      <c r="C16" t="s">
        <v>6190</v>
      </c>
      <c r="D16" s="18">
        <v>1</v>
      </c>
      <c r="E16">
        <v>11.95</v>
      </c>
      <c r="F16">
        <v>1.1949999999999998</v>
      </c>
      <c r="G16">
        <v>0.71699999999999997</v>
      </c>
    </row>
    <row r="17" spans="1:7" x14ac:dyDescent="0.3">
      <c r="A17" t="s">
        <v>10</v>
      </c>
      <c r="B17" t="s">
        <v>6193</v>
      </c>
      <c r="C17" t="s">
        <v>6190</v>
      </c>
      <c r="D17" s="18">
        <v>2.5</v>
      </c>
      <c r="E17">
        <v>27.484999999999996</v>
      </c>
      <c r="F17">
        <v>1.0993999999999999</v>
      </c>
      <c r="G17">
        <v>1.6490999999999998</v>
      </c>
    </row>
    <row r="18" spans="1:7" x14ac:dyDescent="0.3">
      <c r="A18" t="s">
        <v>162</v>
      </c>
      <c r="B18" t="s">
        <v>6193</v>
      </c>
      <c r="C18" t="s">
        <v>6191</v>
      </c>
      <c r="D18" s="18">
        <v>0.2</v>
      </c>
      <c r="E18">
        <v>2.9849999999999999</v>
      </c>
      <c r="F18">
        <v>1.4924999999999999</v>
      </c>
      <c r="G18">
        <v>0.17909999999999998</v>
      </c>
    </row>
    <row r="19" spans="1:7" x14ac:dyDescent="0.3">
      <c r="A19" t="s">
        <v>22</v>
      </c>
      <c r="B19" t="s">
        <v>6193</v>
      </c>
      <c r="C19" t="s">
        <v>6191</v>
      </c>
      <c r="D19" s="18">
        <v>0.5</v>
      </c>
      <c r="E19">
        <v>5.97</v>
      </c>
      <c r="F19">
        <v>1.194</v>
      </c>
      <c r="G19">
        <v>0.35819999999999996</v>
      </c>
    </row>
    <row r="20" spans="1:7" x14ac:dyDescent="0.3">
      <c r="A20" t="s">
        <v>2</v>
      </c>
      <c r="B20" t="s">
        <v>6193</v>
      </c>
      <c r="C20" t="s">
        <v>6191</v>
      </c>
      <c r="D20" s="18">
        <v>1</v>
      </c>
      <c r="E20">
        <v>9.9499999999999993</v>
      </c>
      <c r="F20">
        <v>0.99499999999999988</v>
      </c>
      <c r="G20">
        <v>0.59699999999999998</v>
      </c>
    </row>
    <row r="21" spans="1:7" x14ac:dyDescent="0.3">
      <c r="A21" t="s">
        <v>41</v>
      </c>
      <c r="B21" t="s">
        <v>6193</v>
      </c>
      <c r="C21" t="s">
        <v>6191</v>
      </c>
      <c r="D21" s="18">
        <v>2.5</v>
      </c>
      <c r="E21">
        <v>22.884999999999998</v>
      </c>
      <c r="F21">
        <v>0.91539999999999988</v>
      </c>
      <c r="G21">
        <v>1.3730999999999998</v>
      </c>
    </row>
    <row r="22" spans="1:7" x14ac:dyDescent="0.3">
      <c r="A22" t="s">
        <v>101</v>
      </c>
      <c r="B22" t="s">
        <v>6193</v>
      </c>
      <c r="C22" t="s">
        <v>6192</v>
      </c>
      <c r="D22" s="18">
        <v>0.2</v>
      </c>
      <c r="E22">
        <v>2.6849999999999996</v>
      </c>
      <c r="F22">
        <v>1.3424999999999998</v>
      </c>
      <c r="G22">
        <v>0.16109999999999997</v>
      </c>
    </row>
    <row r="23" spans="1:7" x14ac:dyDescent="0.3">
      <c r="A23" t="s">
        <v>146</v>
      </c>
      <c r="B23" t="s">
        <v>6193</v>
      </c>
      <c r="C23" t="s">
        <v>6192</v>
      </c>
      <c r="D23" s="18">
        <v>0.5</v>
      </c>
      <c r="E23">
        <v>5.3699999999999992</v>
      </c>
      <c r="F23">
        <v>1.0739999999999998</v>
      </c>
      <c r="G23">
        <v>0.32219999999999993</v>
      </c>
    </row>
    <row r="24" spans="1:7" x14ac:dyDescent="0.3">
      <c r="A24" t="s">
        <v>179</v>
      </c>
      <c r="B24" t="s">
        <v>6193</v>
      </c>
      <c r="C24" t="s">
        <v>6192</v>
      </c>
      <c r="D24" s="18">
        <v>1</v>
      </c>
      <c r="E24">
        <v>8.9499999999999993</v>
      </c>
      <c r="F24">
        <v>0.89499999999999991</v>
      </c>
      <c r="G24">
        <v>0.53699999999999992</v>
      </c>
    </row>
    <row r="25" spans="1:7" x14ac:dyDescent="0.3">
      <c r="A25" t="s">
        <v>35</v>
      </c>
      <c r="B25" t="s">
        <v>6193</v>
      </c>
      <c r="C25" t="s">
        <v>6192</v>
      </c>
      <c r="D25" s="18">
        <v>2.5</v>
      </c>
      <c r="E25">
        <v>20.584999999999997</v>
      </c>
      <c r="F25">
        <v>0.82339999999999991</v>
      </c>
      <c r="G25">
        <v>1.2350999999999999</v>
      </c>
    </row>
    <row r="26" spans="1:7" x14ac:dyDescent="0.3">
      <c r="A26" t="s">
        <v>19</v>
      </c>
      <c r="B26" t="s">
        <v>6194</v>
      </c>
      <c r="C26" t="s">
        <v>6190</v>
      </c>
      <c r="D26" s="18">
        <v>0.2</v>
      </c>
      <c r="E26">
        <v>4.7549999999999999</v>
      </c>
      <c r="F26">
        <v>2.3774999999999999</v>
      </c>
      <c r="G26">
        <v>0.61814999999999998</v>
      </c>
    </row>
    <row r="27" spans="1:7" x14ac:dyDescent="0.3">
      <c r="A27" t="s">
        <v>83</v>
      </c>
      <c r="B27" t="s">
        <v>6194</v>
      </c>
      <c r="C27" t="s">
        <v>6190</v>
      </c>
      <c r="D27" s="18">
        <v>0.5</v>
      </c>
      <c r="E27">
        <v>9.51</v>
      </c>
      <c r="F27">
        <v>1.9019999999999999</v>
      </c>
      <c r="G27">
        <v>1.2363</v>
      </c>
    </row>
    <row r="28" spans="1:7" x14ac:dyDescent="0.3">
      <c r="A28" t="s">
        <v>132</v>
      </c>
      <c r="B28" t="s">
        <v>6194</v>
      </c>
      <c r="C28" t="s">
        <v>6190</v>
      </c>
      <c r="D28" s="18">
        <v>1</v>
      </c>
      <c r="E28">
        <v>15.85</v>
      </c>
      <c r="F28">
        <v>1.585</v>
      </c>
      <c r="G28">
        <v>2.0605000000000002</v>
      </c>
    </row>
    <row r="29" spans="1:7" x14ac:dyDescent="0.3">
      <c r="A29" t="s">
        <v>104</v>
      </c>
      <c r="B29" t="s">
        <v>6194</v>
      </c>
      <c r="C29" t="s">
        <v>6190</v>
      </c>
      <c r="D29" s="18">
        <v>2.5</v>
      </c>
      <c r="E29">
        <v>36.454999999999998</v>
      </c>
      <c r="F29">
        <v>1.4581999999999999</v>
      </c>
      <c r="G29">
        <v>4.7391499999999995</v>
      </c>
    </row>
    <row r="30" spans="1:7" x14ac:dyDescent="0.3">
      <c r="A30" t="s">
        <v>77</v>
      </c>
      <c r="B30" t="s">
        <v>6194</v>
      </c>
      <c r="C30" t="s">
        <v>6191</v>
      </c>
      <c r="D30" s="18">
        <v>0.2</v>
      </c>
      <c r="E30">
        <v>4.3650000000000002</v>
      </c>
      <c r="F30">
        <v>2.1825000000000001</v>
      </c>
      <c r="G30">
        <v>0.56745000000000001</v>
      </c>
    </row>
    <row r="31" spans="1:7" x14ac:dyDescent="0.3">
      <c r="A31" t="s">
        <v>78</v>
      </c>
      <c r="B31" t="s">
        <v>6194</v>
      </c>
      <c r="C31" t="s">
        <v>6191</v>
      </c>
      <c r="D31" s="18">
        <v>0.5</v>
      </c>
      <c r="E31">
        <v>8.73</v>
      </c>
      <c r="F31">
        <v>1.746</v>
      </c>
      <c r="G31">
        <v>1.1349</v>
      </c>
    </row>
    <row r="32" spans="1:7" x14ac:dyDescent="0.3">
      <c r="A32" t="s">
        <v>96</v>
      </c>
      <c r="B32" t="s">
        <v>6194</v>
      </c>
      <c r="C32" t="s">
        <v>6191</v>
      </c>
      <c r="D32" s="18">
        <v>1</v>
      </c>
      <c r="E32">
        <v>14.55</v>
      </c>
      <c r="F32">
        <v>1.4550000000000001</v>
      </c>
      <c r="G32">
        <v>1.8915000000000002</v>
      </c>
    </row>
    <row r="33" spans="1:7" x14ac:dyDescent="0.3">
      <c r="A33" t="s">
        <v>197</v>
      </c>
      <c r="B33" t="s">
        <v>6194</v>
      </c>
      <c r="C33" t="s">
        <v>6191</v>
      </c>
      <c r="D33" s="18">
        <v>2.5</v>
      </c>
      <c r="E33">
        <v>33.464999999999996</v>
      </c>
      <c r="F33">
        <v>1.3385999999999998</v>
      </c>
      <c r="G33">
        <v>4.3504499999999995</v>
      </c>
    </row>
    <row r="34" spans="1:7" x14ac:dyDescent="0.3">
      <c r="A34" t="s">
        <v>38</v>
      </c>
      <c r="B34" t="s">
        <v>6194</v>
      </c>
      <c r="C34" t="s">
        <v>6192</v>
      </c>
      <c r="D34" s="18">
        <v>0.2</v>
      </c>
      <c r="E34">
        <v>3.8849999999999998</v>
      </c>
      <c r="F34">
        <v>1.9424999999999999</v>
      </c>
      <c r="G34">
        <v>0.50505</v>
      </c>
    </row>
    <row r="35" spans="1:7" x14ac:dyDescent="0.3">
      <c r="A35" t="s">
        <v>123</v>
      </c>
      <c r="B35" t="s">
        <v>6194</v>
      </c>
      <c r="C35" t="s">
        <v>6192</v>
      </c>
      <c r="D35" s="18">
        <v>0.5</v>
      </c>
      <c r="E35">
        <v>7.77</v>
      </c>
      <c r="F35">
        <v>1.5539999999999998</v>
      </c>
      <c r="G35">
        <v>1.0101</v>
      </c>
    </row>
    <row r="36" spans="1:7" x14ac:dyDescent="0.3">
      <c r="A36" t="s">
        <v>13</v>
      </c>
      <c r="B36" t="s">
        <v>6194</v>
      </c>
      <c r="C36" t="s">
        <v>6192</v>
      </c>
      <c r="D36" s="18">
        <v>1</v>
      </c>
      <c r="E36">
        <v>12.95</v>
      </c>
      <c r="F36">
        <v>1.2949999999999999</v>
      </c>
      <c r="G36">
        <v>1.6835</v>
      </c>
    </row>
    <row r="37" spans="1:7" x14ac:dyDescent="0.3">
      <c r="A37" t="s">
        <v>109</v>
      </c>
      <c r="B37" t="s">
        <v>6194</v>
      </c>
      <c r="C37" t="s">
        <v>6192</v>
      </c>
      <c r="D37" s="18">
        <v>2.5</v>
      </c>
      <c r="E37">
        <v>29.784999999999997</v>
      </c>
      <c r="F37">
        <v>1.1913999999999998</v>
      </c>
      <c r="G37">
        <v>3.8720499999999998</v>
      </c>
    </row>
    <row r="38" spans="1:7" x14ac:dyDescent="0.3">
      <c r="A38" t="s">
        <v>254</v>
      </c>
      <c r="B38" t="s">
        <v>6195</v>
      </c>
      <c r="C38" t="s">
        <v>6190</v>
      </c>
      <c r="D38" s="18">
        <v>0.2</v>
      </c>
      <c r="E38">
        <v>4.4550000000000001</v>
      </c>
      <c r="F38">
        <v>2.2275</v>
      </c>
      <c r="G38">
        <v>0.49004999999999999</v>
      </c>
    </row>
    <row r="39" spans="1:7" x14ac:dyDescent="0.3">
      <c r="A39" t="s">
        <v>176</v>
      </c>
      <c r="B39" t="s">
        <v>6195</v>
      </c>
      <c r="C39" t="s">
        <v>6190</v>
      </c>
      <c r="D39" s="18">
        <v>0.5</v>
      </c>
      <c r="E39">
        <v>8.91</v>
      </c>
      <c r="F39">
        <v>1.782</v>
      </c>
      <c r="G39">
        <v>0.98009999999999997</v>
      </c>
    </row>
    <row r="40" spans="1:7" x14ac:dyDescent="0.3">
      <c r="A40" t="s">
        <v>137</v>
      </c>
      <c r="B40" t="s">
        <v>6195</v>
      </c>
      <c r="C40" t="s">
        <v>6190</v>
      </c>
      <c r="D40" s="18">
        <v>1</v>
      </c>
      <c r="E40">
        <v>14.85</v>
      </c>
      <c r="F40">
        <v>1.4849999999999999</v>
      </c>
      <c r="G40">
        <v>1.6335</v>
      </c>
    </row>
    <row r="41" spans="1:7" x14ac:dyDescent="0.3">
      <c r="A41" t="s">
        <v>30</v>
      </c>
      <c r="B41" t="s">
        <v>6195</v>
      </c>
      <c r="C41" t="s">
        <v>6190</v>
      </c>
      <c r="D41" s="18">
        <v>2.5</v>
      </c>
      <c r="E41">
        <v>34.154999999999994</v>
      </c>
      <c r="F41">
        <v>1.3661999999999999</v>
      </c>
      <c r="G41">
        <v>3.7570499999999996</v>
      </c>
    </row>
    <row r="42" spans="1:7" x14ac:dyDescent="0.3">
      <c r="A42" t="s">
        <v>64</v>
      </c>
      <c r="B42" t="s">
        <v>6195</v>
      </c>
      <c r="C42" t="s">
        <v>6191</v>
      </c>
      <c r="D42" s="18">
        <v>0.2</v>
      </c>
      <c r="E42">
        <v>4.125</v>
      </c>
      <c r="F42">
        <v>2.0625</v>
      </c>
      <c r="G42">
        <v>0.45374999999999999</v>
      </c>
    </row>
    <row r="43" spans="1:7" x14ac:dyDescent="0.3">
      <c r="A43" t="s">
        <v>3</v>
      </c>
      <c r="B43" t="s">
        <v>6195</v>
      </c>
      <c r="C43" t="s">
        <v>6191</v>
      </c>
      <c r="D43" s="18">
        <v>0.5</v>
      </c>
      <c r="E43">
        <v>8.25</v>
      </c>
      <c r="F43">
        <v>1.65</v>
      </c>
      <c r="G43">
        <v>0.90749999999999997</v>
      </c>
    </row>
    <row r="44" spans="1:7" x14ac:dyDescent="0.3">
      <c r="A44" t="s">
        <v>9</v>
      </c>
      <c r="B44" t="s">
        <v>6195</v>
      </c>
      <c r="C44" t="s">
        <v>6191</v>
      </c>
      <c r="D44" s="18">
        <v>1</v>
      </c>
      <c r="E44">
        <v>13.75</v>
      </c>
      <c r="F44">
        <v>1.375</v>
      </c>
      <c r="G44">
        <v>1.5125</v>
      </c>
    </row>
    <row r="45" spans="1:7" x14ac:dyDescent="0.3">
      <c r="A45" t="s">
        <v>112</v>
      </c>
      <c r="B45" t="s">
        <v>6195</v>
      </c>
      <c r="C45" t="s">
        <v>6191</v>
      </c>
      <c r="D45" s="18">
        <v>2.5</v>
      </c>
      <c r="E45">
        <v>31.624999999999996</v>
      </c>
      <c r="F45">
        <v>1.2649999999999999</v>
      </c>
      <c r="G45">
        <v>3.4787499999999998</v>
      </c>
    </row>
    <row r="46" spans="1:7" x14ac:dyDescent="0.3">
      <c r="A46" t="s">
        <v>51</v>
      </c>
      <c r="B46" t="s">
        <v>6195</v>
      </c>
      <c r="C46" t="s">
        <v>6192</v>
      </c>
      <c r="D46" s="18">
        <v>0.2</v>
      </c>
      <c r="E46">
        <v>3.645</v>
      </c>
      <c r="F46">
        <v>1.8225</v>
      </c>
      <c r="G46">
        <v>0.40095000000000003</v>
      </c>
    </row>
    <row r="47" spans="1:7" x14ac:dyDescent="0.3">
      <c r="A47" t="s">
        <v>16</v>
      </c>
      <c r="B47" t="s">
        <v>6195</v>
      </c>
      <c r="C47" t="s">
        <v>6192</v>
      </c>
      <c r="D47" s="18">
        <v>0.5</v>
      </c>
      <c r="E47">
        <v>7.29</v>
      </c>
      <c r="F47">
        <v>1.458</v>
      </c>
      <c r="G47">
        <v>0.80190000000000006</v>
      </c>
    </row>
    <row r="48" spans="1:7" x14ac:dyDescent="0.3">
      <c r="A48" t="s">
        <v>245</v>
      </c>
      <c r="B48" t="s">
        <v>6195</v>
      </c>
      <c r="C48" t="s">
        <v>6192</v>
      </c>
      <c r="D48" s="18">
        <v>1</v>
      </c>
      <c r="E48">
        <v>12.15</v>
      </c>
      <c r="F48">
        <v>1.2150000000000001</v>
      </c>
      <c r="G48">
        <v>1.3365</v>
      </c>
    </row>
    <row r="49" spans="1:7" x14ac:dyDescent="0.3">
      <c r="A49" t="s">
        <v>530</v>
      </c>
      <c r="B49" t="s">
        <v>6195</v>
      </c>
      <c r="C49" t="s">
        <v>6192</v>
      </c>
      <c r="D49" s="18">
        <v>2.5</v>
      </c>
      <c r="E49">
        <v>27.945</v>
      </c>
      <c r="F49">
        <v>1.1177999999999999</v>
      </c>
      <c r="G49">
        <v>3.07395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08599-D089-437F-96F1-EC7A744DBAC5}">
  <dimension ref="A1:I1002"/>
  <sheetViews>
    <sheetView workbookViewId="0">
      <selection activeCell="K2" sqref="K2"/>
    </sheetView>
  </sheetViews>
  <sheetFormatPr defaultRowHeight="14.4" x14ac:dyDescent="0.3"/>
  <cols>
    <col min="1" max="1" width="15.109375" bestFit="1" customWidth="1"/>
    <col min="2" max="2" width="12.109375" bestFit="1" customWidth="1"/>
    <col min="3" max="3" width="15.88671875" bestFit="1" customWidth="1"/>
    <col min="4" max="4" width="15.88671875" customWidth="1"/>
    <col min="5" max="5" width="9.6640625" bestFit="1" customWidth="1"/>
    <col min="6" max="6" width="8.109375" bestFit="1" customWidth="1"/>
    <col min="7" max="7" width="6.6640625" bestFit="1" customWidth="1"/>
    <col min="8" max="8" width="8.88671875" bestFit="1" customWidth="1"/>
    <col min="9" max="9" width="7.44140625" bestFit="1" customWidth="1"/>
  </cols>
  <sheetData>
    <row r="1" spans="1:9" x14ac:dyDescent="0.3">
      <c r="A1" s="13" t="s">
        <v>1918</v>
      </c>
      <c r="B1" s="14" t="s">
        <v>1919</v>
      </c>
      <c r="C1" s="15" t="s">
        <v>1920</v>
      </c>
      <c r="D1" s="19" t="str">
        <f>INDEX('Customers (2)'!B:B,MATCH('Customers (2)'!A1,'Customers (2)'!A:A,0))</f>
        <v>Customer Name</v>
      </c>
      <c r="E1" s="15" t="s">
        <v>1921</v>
      </c>
      <c r="F1" s="15" t="s">
        <v>1922</v>
      </c>
      <c r="G1" s="16" t="s">
        <v>1928</v>
      </c>
      <c r="H1" s="15" t="s">
        <v>1929</v>
      </c>
      <c r="I1" s="15" t="s">
        <v>1930</v>
      </c>
    </row>
    <row r="2" spans="1:9" x14ac:dyDescent="0.3">
      <c r="A2" s="1" t="s">
        <v>0</v>
      </c>
      <c r="B2" s="2">
        <v>43713</v>
      </c>
      <c r="C2" s="3" t="s">
        <v>1</v>
      </c>
      <c r="D2" s="3" t="str">
        <f>INDEX('Customers (2)'!B:B,MATCH('Customers (2)'!A2,'Customers (2)'!A:A,0))</f>
        <v>Aloisia Allner</v>
      </c>
      <c r="E2" s="4" t="s">
        <v>2</v>
      </c>
      <c r="F2" s="3">
        <v>2</v>
      </c>
      <c r="G2" s="5">
        <f>INDEX([1]products!$A$1:$G$49,MATCH([1]orders!$D2,[1]products!$A$1:$A$49,0),MATCH([1]orders!K$1,[1]products!$A$1:$G$1,0))</f>
        <v>1</v>
      </c>
      <c r="H2" s="6">
        <f>INDEX([1]products!$A$1:$G$49,MATCH([1]orders!$D2,[1]products!$A$1:$A$49,0),MATCH([1]orders!L$1,[1]products!$A$1:$G$1,0))</f>
        <v>9.9499999999999993</v>
      </c>
      <c r="I2" s="6">
        <f t="shared" ref="I2:I65" si="0">F2*H2</f>
        <v>19.899999999999999</v>
      </c>
    </row>
    <row r="3" spans="1:9" x14ac:dyDescent="0.3">
      <c r="A3" s="1" t="s">
        <v>0</v>
      </c>
      <c r="B3" s="2">
        <v>43713</v>
      </c>
      <c r="C3" s="3" t="s">
        <v>1</v>
      </c>
      <c r="D3" s="3" t="str">
        <f>INDEX('Customers (2)'!B:B,MATCH('Customers (2)'!A3,'Customers (2)'!A:A,0))</f>
        <v>Piotr Bote</v>
      </c>
      <c r="E3" s="4" t="s">
        <v>3</v>
      </c>
      <c r="F3" s="3">
        <v>5</v>
      </c>
      <c r="G3" s="5">
        <f>INDEX([1]products!$A$1:$G$49,MATCH([1]orders!$D3,[1]products!$A$1:$A$49,0),MATCH([1]orders!K$1,[1]products!$A$1:$G$1,0))</f>
        <v>0.5</v>
      </c>
      <c r="H3" s="6">
        <f>INDEX([1]products!$A$1:$G$49,MATCH([1]orders!$D3,[1]products!$A$1:$A$49,0),MATCH([1]orders!L$1,[1]products!$A$1:$G$1,0))</f>
        <v>8.25</v>
      </c>
      <c r="I3" s="6">
        <f t="shared" si="0"/>
        <v>41.25</v>
      </c>
    </row>
    <row r="4" spans="1:9" x14ac:dyDescent="0.3">
      <c r="A4" s="1" t="s">
        <v>4</v>
      </c>
      <c r="B4" s="2">
        <v>44364</v>
      </c>
      <c r="C4" s="3" t="s">
        <v>5</v>
      </c>
      <c r="D4" s="3" t="str">
        <f>INDEX('Customers (2)'!B:B,MATCH('Customers (2)'!A4,'Customers (2)'!A:A,0))</f>
        <v>Jami Redholes</v>
      </c>
      <c r="E4" s="4" t="s">
        <v>6</v>
      </c>
      <c r="F4" s="3">
        <v>1</v>
      </c>
      <c r="G4" s="5">
        <f>INDEX([1]products!$A$1:$G$49,MATCH([1]orders!$D4,[1]products!$A$1:$A$49,0),MATCH([1]orders!K$1,[1]products!$A$1:$G$1,0))</f>
        <v>1</v>
      </c>
      <c r="H4" s="6">
        <f>INDEX([1]products!$A$1:$G$49,MATCH([1]orders!$D4,[1]products!$A$1:$A$49,0),MATCH([1]orders!L$1,[1]products!$A$1:$G$1,0))</f>
        <v>12.95</v>
      </c>
      <c r="I4" s="6">
        <f t="shared" si="0"/>
        <v>12.95</v>
      </c>
    </row>
    <row r="5" spans="1:9" x14ac:dyDescent="0.3">
      <c r="A5" s="1" t="s">
        <v>7</v>
      </c>
      <c r="B5" s="2">
        <v>44392</v>
      </c>
      <c r="C5" s="3" t="s">
        <v>8</v>
      </c>
      <c r="D5" s="3" t="str">
        <f>INDEX('Customers (2)'!B:B,MATCH('Customers (2)'!A5,'Customers (2)'!A:A,0))</f>
        <v>Dene Azema</v>
      </c>
      <c r="E5" s="4" t="s">
        <v>9</v>
      </c>
      <c r="F5" s="3">
        <v>2</v>
      </c>
      <c r="G5" s="5">
        <f>INDEX([1]products!$A$1:$G$49,MATCH([1]orders!$D5,[1]products!$A$1:$A$49,0),MATCH([1]orders!K$1,[1]products!$A$1:$G$1,0))</f>
        <v>1</v>
      </c>
      <c r="H5" s="6">
        <f>INDEX([1]products!$A$1:$G$49,MATCH([1]orders!$D5,[1]products!$A$1:$A$49,0),MATCH([1]orders!L$1,[1]products!$A$1:$G$1,0))</f>
        <v>13.75</v>
      </c>
      <c r="I5" s="6">
        <f t="shared" si="0"/>
        <v>27.5</v>
      </c>
    </row>
    <row r="6" spans="1:9" x14ac:dyDescent="0.3">
      <c r="A6" s="1" t="s">
        <v>7</v>
      </c>
      <c r="B6" s="2">
        <v>44392</v>
      </c>
      <c r="C6" s="3" t="s">
        <v>8</v>
      </c>
      <c r="D6" s="3" t="str">
        <f>INDEX('Customers (2)'!B:B,MATCH('Customers (2)'!A6,'Customers (2)'!A:A,0))</f>
        <v>Christoffer O' Shea</v>
      </c>
      <c r="E6" s="4" t="s">
        <v>10</v>
      </c>
      <c r="F6" s="3">
        <v>2</v>
      </c>
      <c r="G6" s="5">
        <f>INDEX([1]products!$A$1:$G$49,MATCH([1]orders!$D6,[1]products!$A$1:$A$49,0),MATCH([1]orders!K$1,[1]products!$A$1:$G$1,0))</f>
        <v>2.5</v>
      </c>
      <c r="H6" s="6">
        <f>INDEX([1]products!$A$1:$G$49,MATCH([1]orders!$D6,[1]products!$A$1:$A$49,0),MATCH([1]orders!L$1,[1]products!$A$1:$G$1,0))</f>
        <v>27.484999999999996</v>
      </c>
      <c r="I6" s="6">
        <f t="shared" si="0"/>
        <v>54.969999999999992</v>
      </c>
    </row>
    <row r="7" spans="1:9" x14ac:dyDescent="0.3">
      <c r="A7" s="1" t="s">
        <v>11</v>
      </c>
      <c r="B7" s="2">
        <v>44412</v>
      </c>
      <c r="C7" s="3" t="s">
        <v>12</v>
      </c>
      <c r="D7" s="3" t="str">
        <f>INDEX('Customers (2)'!B:B,MATCH('Customers (2)'!A7,'Customers (2)'!A:A,0))</f>
        <v>Beryle Cottier</v>
      </c>
      <c r="E7" s="4" t="s">
        <v>13</v>
      </c>
      <c r="F7" s="3">
        <v>3</v>
      </c>
      <c r="G7" s="5">
        <f>INDEX([1]products!$A$1:$G$49,MATCH([1]orders!$D7,[1]products!$A$1:$A$49,0),MATCH([1]orders!K$1,[1]products!$A$1:$G$1,0))</f>
        <v>1</v>
      </c>
      <c r="H7" s="6">
        <f>INDEX([1]products!$A$1:$G$49,MATCH([1]orders!$D7,[1]products!$A$1:$A$49,0),MATCH([1]orders!L$1,[1]products!$A$1:$G$1,0))</f>
        <v>12.95</v>
      </c>
      <c r="I7" s="6">
        <f t="shared" si="0"/>
        <v>38.849999999999994</v>
      </c>
    </row>
    <row r="8" spans="1:9" x14ac:dyDescent="0.3">
      <c r="A8" s="1" t="s">
        <v>14</v>
      </c>
      <c r="B8" s="2">
        <v>44582</v>
      </c>
      <c r="C8" s="3" t="s">
        <v>15</v>
      </c>
      <c r="D8" s="3" t="str">
        <f>INDEX('Customers (2)'!B:B,MATCH('Customers (2)'!A8,'Customers (2)'!A:A,0))</f>
        <v>Shaylynn Lobe</v>
      </c>
      <c r="E8" s="4" t="s">
        <v>16</v>
      </c>
      <c r="F8" s="3">
        <v>3</v>
      </c>
      <c r="G8" s="5">
        <f>INDEX([1]products!$A$1:$G$49,MATCH([1]orders!$D8,[1]products!$A$1:$A$49,0),MATCH([1]orders!K$1,[1]products!$A$1:$G$1,0))</f>
        <v>0.5</v>
      </c>
      <c r="H8" s="6">
        <f>INDEX([1]products!$A$1:$G$49,MATCH([1]orders!$D8,[1]products!$A$1:$A$49,0),MATCH([1]orders!L$1,[1]products!$A$1:$G$1,0))</f>
        <v>7.29</v>
      </c>
      <c r="I8" s="6">
        <f t="shared" si="0"/>
        <v>21.87</v>
      </c>
    </row>
    <row r="9" spans="1:9" x14ac:dyDescent="0.3">
      <c r="A9" s="1" t="s">
        <v>17</v>
      </c>
      <c r="B9" s="2">
        <v>44701</v>
      </c>
      <c r="C9" s="3" t="s">
        <v>18</v>
      </c>
      <c r="D9" s="3" t="str">
        <f>INDEX('Customers (2)'!B:B,MATCH('Customers (2)'!A9,'Customers (2)'!A:A,0))</f>
        <v>Melvin Wharfe</v>
      </c>
      <c r="E9" s="4" t="s">
        <v>19</v>
      </c>
      <c r="F9" s="3">
        <v>1</v>
      </c>
      <c r="G9" s="5">
        <f>INDEX([1]products!$A$1:$G$49,MATCH([1]orders!$D9,[1]products!$A$1:$A$49,0),MATCH([1]orders!K$1,[1]products!$A$1:$G$1,0))</f>
        <v>0.2</v>
      </c>
      <c r="H9" s="6">
        <f>INDEX([1]products!$A$1:$G$49,MATCH([1]orders!$D9,[1]products!$A$1:$A$49,0),MATCH([1]orders!L$1,[1]products!$A$1:$G$1,0))</f>
        <v>4.7549999999999999</v>
      </c>
      <c r="I9" s="6">
        <f t="shared" si="0"/>
        <v>4.7549999999999999</v>
      </c>
    </row>
    <row r="10" spans="1:9" x14ac:dyDescent="0.3">
      <c r="A10" s="1" t="s">
        <v>20</v>
      </c>
      <c r="B10" s="2">
        <v>43467</v>
      </c>
      <c r="C10" s="3" t="s">
        <v>21</v>
      </c>
      <c r="D10" s="3" t="str">
        <f>INDEX('Customers (2)'!B:B,MATCH('Customers (2)'!A10,'Customers (2)'!A:A,0))</f>
        <v>Guthrey Petracci</v>
      </c>
      <c r="E10" s="4" t="s">
        <v>22</v>
      </c>
      <c r="F10" s="3">
        <v>3</v>
      </c>
      <c r="G10" s="5">
        <f>INDEX([1]products!$A$1:$G$49,MATCH([1]orders!$D10,[1]products!$A$1:$A$49,0),MATCH([1]orders!K$1,[1]products!$A$1:$G$1,0))</f>
        <v>0.5</v>
      </c>
      <c r="H10" s="6">
        <f>INDEX([1]products!$A$1:$G$49,MATCH([1]orders!$D10,[1]products!$A$1:$A$49,0),MATCH([1]orders!L$1,[1]products!$A$1:$G$1,0))</f>
        <v>5.97</v>
      </c>
      <c r="I10" s="6">
        <f t="shared" si="0"/>
        <v>17.91</v>
      </c>
    </row>
    <row r="11" spans="1:9" x14ac:dyDescent="0.3">
      <c r="A11" s="1" t="s">
        <v>23</v>
      </c>
      <c r="B11" s="2">
        <v>43713</v>
      </c>
      <c r="C11" s="3" t="s">
        <v>24</v>
      </c>
      <c r="D11" s="3" t="str">
        <f>INDEX('Customers (2)'!B:B,MATCH('Customers (2)'!A11,'Customers (2)'!A:A,0))</f>
        <v>Rodger Raven</v>
      </c>
      <c r="E11" s="4" t="s">
        <v>22</v>
      </c>
      <c r="F11" s="3">
        <v>1</v>
      </c>
      <c r="G11" s="5">
        <f>INDEX([1]products!$A$1:$G$49,MATCH([1]orders!$D11,[1]products!$A$1:$A$49,0),MATCH([1]orders!K$1,[1]products!$A$1:$G$1,0))</f>
        <v>0.5</v>
      </c>
      <c r="H11" s="6">
        <f>INDEX([1]products!$A$1:$G$49,MATCH([1]orders!$D11,[1]products!$A$1:$A$49,0),MATCH([1]orders!L$1,[1]products!$A$1:$G$1,0))</f>
        <v>5.97</v>
      </c>
      <c r="I11" s="6">
        <f t="shared" si="0"/>
        <v>5.97</v>
      </c>
    </row>
    <row r="12" spans="1:9" x14ac:dyDescent="0.3">
      <c r="A12" s="1" t="s">
        <v>25</v>
      </c>
      <c r="B12" s="2">
        <v>44263</v>
      </c>
      <c r="C12" s="3" t="s">
        <v>26</v>
      </c>
      <c r="D12" s="3" t="str">
        <f>INDEX('Customers (2)'!B:B,MATCH('Customers (2)'!A12,'Customers (2)'!A:A,0))</f>
        <v>Ferrell Ferber</v>
      </c>
      <c r="E12" s="4" t="s">
        <v>27</v>
      </c>
      <c r="F12" s="3">
        <v>4</v>
      </c>
      <c r="G12" s="5">
        <f>INDEX([1]products!$A$1:$G$49,MATCH([1]orders!$D12,[1]products!$A$1:$A$49,0),MATCH([1]orders!K$1,[1]products!$A$1:$G$1,0))</f>
        <v>1</v>
      </c>
      <c r="H12" s="6">
        <f>INDEX([1]products!$A$1:$G$49,MATCH([1]orders!$D12,[1]products!$A$1:$A$49,0),MATCH([1]orders!L$1,[1]products!$A$1:$G$1,0))</f>
        <v>9.9499999999999993</v>
      </c>
      <c r="I12" s="6">
        <f t="shared" si="0"/>
        <v>39.799999999999997</v>
      </c>
    </row>
    <row r="13" spans="1:9" x14ac:dyDescent="0.3">
      <c r="A13" s="1" t="s">
        <v>28</v>
      </c>
      <c r="B13" s="2">
        <v>44132</v>
      </c>
      <c r="C13" s="3" t="s">
        <v>29</v>
      </c>
      <c r="D13" s="3" t="str">
        <f>INDEX('Customers (2)'!B:B,MATCH('Customers (2)'!A13,'Customers (2)'!A:A,0))</f>
        <v>Duky Phizackerly</v>
      </c>
      <c r="E13" s="4" t="s">
        <v>30</v>
      </c>
      <c r="F13" s="3">
        <v>5</v>
      </c>
      <c r="G13" s="5">
        <f>INDEX([1]products!$A$1:$G$49,MATCH([1]orders!$D13,[1]products!$A$1:$A$49,0),MATCH([1]orders!K$1,[1]products!$A$1:$G$1,0))</f>
        <v>2.5</v>
      </c>
      <c r="H13" s="6">
        <f>INDEX([1]products!$A$1:$G$49,MATCH([1]orders!$D13,[1]products!$A$1:$A$49,0),MATCH([1]orders!L$1,[1]products!$A$1:$G$1,0))</f>
        <v>34.154999999999994</v>
      </c>
      <c r="I13" s="6">
        <f t="shared" si="0"/>
        <v>170.77499999999998</v>
      </c>
    </row>
    <row r="14" spans="1:9" x14ac:dyDescent="0.3">
      <c r="A14" s="1" t="s">
        <v>31</v>
      </c>
      <c r="B14" s="2">
        <v>44744</v>
      </c>
      <c r="C14" s="3" t="s">
        <v>32</v>
      </c>
      <c r="D14" s="3" t="str">
        <f>INDEX('Customers (2)'!B:B,MATCH('Customers (2)'!A14,'Customers (2)'!A:A,0))</f>
        <v>Rosaleen Scholar</v>
      </c>
      <c r="E14" s="4" t="s">
        <v>2</v>
      </c>
      <c r="F14" s="3">
        <v>5</v>
      </c>
      <c r="G14" s="5">
        <f>INDEX([1]products!$A$1:$G$49,MATCH([1]orders!$D14,[1]products!$A$1:$A$49,0),MATCH([1]orders!K$1,[1]products!$A$1:$G$1,0))</f>
        <v>1</v>
      </c>
      <c r="H14" s="6">
        <f>INDEX([1]products!$A$1:$G$49,MATCH([1]orders!$D14,[1]products!$A$1:$A$49,0),MATCH([1]orders!L$1,[1]products!$A$1:$G$1,0))</f>
        <v>9.9499999999999993</v>
      </c>
      <c r="I14" s="6">
        <f t="shared" si="0"/>
        <v>49.75</v>
      </c>
    </row>
    <row r="15" spans="1:9" x14ac:dyDescent="0.3">
      <c r="A15" s="1" t="s">
        <v>33</v>
      </c>
      <c r="B15" s="2">
        <v>43973</v>
      </c>
      <c r="C15" s="3" t="s">
        <v>34</v>
      </c>
      <c r="D15" s="3" t="str">
        <f>INDEX('Customers (2)'!B:B,MATCH('Customers (2)'!A15,'Customers (2)'!A:A,0))</f>
        <v>Terence Vanyutin</v>
      </c>
      <c r="E15" s="4" t="s">
        <v>35</v>
      </c>
      <c r="F15" s="3">
        <v>2</v>
      </c>
      <c r="G15" s="5">
        <f>INDEX([1]products!$A$1:$G$49,MATCH([1]orders!$D15,[1]products!$A$1:$A$49,0),MATCH([1]orders!K$1,[1]products!$A$1:$G$1,0))</f>
        <v>2.5</v>
      </c>
      <c r="H15" s="6">
        <f>INDEX([1]products!$A$1:$G$49,MATCH([1]orders!$D15,[1]products!$A$1:$A$49,0),MATCH([1]orders!L$1,[1]products!$A$1:$G$1,0))</f>
        <v>20.584999999999997</v>
      </c>
      <c r="I15" s="6">
        <f t="shared" si="0"/>
        <v>41.169999999999995</v>
      </c>
    </row>
    <row r="16" spans="1:9" x14ac:dyDescent="0.3">
      <c r="A16" s="1" t="s">
        <v>36</v>
      </c>
      <c r="B16" s="2">
        <v>44656</v>
      </c>
      <c r="C16" s="3" t="s">
        <v>37</v>
      </c>
      <c r="D16" s="3" t="str">
        <f>INDEX('Customers (2)'!B:B,MATCH('Customers (2)'!A16,'Customers (2)'!A:A,0))</f>
        <v>Patrice Trobe</v>
      </c>
      <c r="E16" s="4" t="s">
        <v>38</v>
      </c>
      <c r="F16" s="3">
        <v>3</v>
      </c>
      <c r="G16" s="5">
        <f>INDEX([1]products!$A$1:$G$49,MATCH([1]orders!$D16,[1]products!$A$1:$A$49,0),MATCH([1]orders!K$1,[1]products!$A$1:$G$1,0))</f>
        <v>0.2</v>
      </c>
      <c r="H16" s="6">
        <f>INDEX([1]products!$A$1:$G$49,MATCH([1]orders!$D16,[1]products!$A$1:$A$49,0),MATCH([1]orders!L$1,[1]products!$A$1:$G$1,0))</f>
        <v>3.8849999999999998</v>
      </c>
      <c r="I16" s="6">
        <f t="shared" si="0"/>
        <v>11.654999999999999</v>
      </c>
    </row>
    <row r="17" spans="1:9" x14ac:dyDescent="0.3">
      <c r="A17" s="1" t="s">
        <v>39</v>
      </c>
      <c r="B17" s="2">
        <v>44719</v>
      </c>
      <c r="C17" s="3" t="s">
        <v>40</v>
      </c>
      <c r="D17" s="3" t="str">
        <f>INDEX('Customers (2)'!B:B,MATCH('Customers (2)'!A17,'Customers (2)'!A:A,0))</f>
        <v>Llywellyn Oscroft</v>
      </c>
      <c r="E17" s="4" t="s">
        <v>41</v>
      </c>
      <c r="F17" s="3">
        <v>5</v>
      </c>
      <c r="G17" s="5">
        <f>INDEX([1]products!$A$1:$G$49,MATCH([1]orders!$D17,[1]products!$A$1:$A$49,0),MATCH([1]orders!K$1,[1]products!$A$1:$G$1,0))</f>
        <v>2.5</v>
      </c>
      <c r="H17" s="6">
        <f>INDEX([1]products!$A$1:$G$49,MATCH([1]orders!$D17,[1]products!$A$1:$A$49,0),MATCH([1]orders!L$1,[1]products!$A$1:$G$1,0))</f>
        <v>22.884999999999998</v>
      </c>
      <c r="I17" s="6">
        <f t="shared" si="0"/>
        <v>114.42499999999998</v>
      </c>
    </row>
    <row r="18" spans="1:9" x14ac:dyDescent="0.3">
      <c r="A18" s="1" t="s">
        <v>42</v>
      </c>
      <c r="B18" s="2">
        <v>43544</v>
      </c>
      <c r="C18" s="3" t="s">
        <v>43</v>
      </c>
      <c r="D18" s="3" t="str">
        <f>INDEX('Customers (2)'!B:B,MATCH('Customers (2)'!A18,'Customers (2)'!A:A,0))</f>
        <v>Minni Alabaster</v>
      </c>
      <c r="E18" s="4" t="s">
        <v>44</v>
      </c>
      <c r="F18" s="3">
        <v>6</v>
      </c>
      <c r="G18" s="5">
        <f>INDEX([1]products!$A$1:$G$49,MATCH([1]orders!$D18,[1]products!$A$1:$A$49,0),MATCH([1]orders!K$1,[1]products!$A$1:$G$1,0))</f>
        <v>0.2</v>
      </c>
      <c r="H18" s="6">
        <f>INDEX([1]products!$A$1:$G$49,MATCH([1]orders!$D18,[1]products!$A$1:$A$49,0),MATCH([1]orders!L$1,[1]products!$A$1:$G$1,0))</f>
        <v>3.375</v>
      </c>
      <c r="I18" s="6">
        <f t="shared" si="0"/>
        <v>20.25</v>
      </c>
    </row>
    <row r="19" spans="1:9" x14ac:dyDescent="0.3">
      <c r="A19" s="1" t="s">
        <v>45</v>
      </c>
      <c r="B19" s="2">
        <v>43757</v>
      </c>
      <c r="C19" s="3" t="s">
        <v>46</v>
      </c>
      <c r="D19" s="3" t="str">
        <f>INDEX('Customers (2)'!B:B,MATCH('Customers (2)'!A19,'Customers (2)'!A:A,0))</f>
        <v>Rhianon Broxup</v>
      </c>
      <c r="E19" s="4" t="s">
        <v>6</v>
      </c>
      <c r="F19" s="3">
        <v>6</v>
      </c>
      <c r="G19" s="5">
        <f>INDEX([1]products!$A$1:$G$49,MATCH([1]orders!$D19,[1]products!$A$1:$A$49,0),MATCH([1]orders!K$1,[1]products!$A$1:$G$1,0))</f>
        <v>1</v>
      </c>
      <c r="H19" s="6">
        <f>INDEX([1]products!$A$1:$G$49,MATCH([1]orders!$D19,[1]products!$A$1:$A$49,0),MATCH([1]orders!L$1,[1]products!$A$1:$G$1,0))</f>
        <v>12.95</v>
      </c>
      <c r="I19" s="6">
        <f t="shared" si="0"/>
        <v>77.699999999999989</v>
      </c>
    </row>
    <row r="20" spans="1:9" x14ac:dyDescent="0.3">
      <c r="A20" s="1" t="s">
        <v>47</v>
      </c>
      <c r="B20" s="2">
        <v>43629</v>
      </c>
      <c r="C20" s="3" t="s">
        <v>48</v>
      </c>
      <c r="D20" s="3" t="str">
        <f>INDEX('Customers (2)'!B:B,MATCH('Customers (2)'!A20,'Customers (2)'!A:A,0))</f>
        <v>Pall Redford</v>
      </c>
      <c r="E20" s="4" t="s">
        <v>35</v>
      </c>
      <c r="F20" s="3">
        <v>4</v>
      </c>
      <c r="G20" s="5">
        <f>INDEX([1]products!$A$1:$G$49,MATCH([1]orders!$D20,[1]products!$A$1:$A$49,0),MATCH([1]orders!K$1,[1]products!$A$1:$G$1,0))</f>
        <v>2.5</v>
      </c>
      <c r="H20" s="6">
        <f>INDEX([1]products!$A$1:$G$49,MATCH([1]orders!$D20,[1]products!$A$1:$A$49,0),MATCH([1]orders!L$1,[1]products!$A$1:$G$1,0))</f>
        <v>20.584999999999997</v>
      </c>
      <c r="I20" s="6">
        <f t="shared" si="0"/>
        <v>82.339999999999989</v>
      </c>
    </row>
    <row r="21" spans="1:9" x14ac:dyDescent="0.3">
      <c r="A21" s="1" t="s">
        <v>49</v>
      </c>
      <c r="B21" s="2">
        <v>44169</v>
      </c>
      <c r="C21" s="3" t="s">
        <v>50</v>
      </c>
      <c r="D21" s="3" t="str">
        <f>INDEX('Customers (2)'!B:B,MATCH('Customers (2)'!A21,'Customers (2)'!A:A,0))</f>
        <v>Aurea Corradino</v>
      </c>
      <c r="E21" s="4" t="s">
        <v>44</v>
      </c>
      <c r="F21" s="3">
        <v>5</v>
      </c>
      <c r="G21" s="5">
        <f>INDEX([1]products!$A$1:$G$49,MATCH([1]orders!$D21,[1]products!$A$1:$A$49,0),MATCH([1]orders!K$1,[1]products!$A$1:$G$1,0))</f>
        <v>0.2</v>
      </c>
      <c r="H21" s="6">
        <f>INDEX([1]products!$A$1:$G$49,MATCH([1]orders!$D21,[1]products!$A$1:$A$49,0),MATCH([1]orders!L$1,[1]products!$A$1:$G$1,0))</f>
        <v>3.375</v>
      </c>
      <c r="I21" s="6">
        <f t="shared" si="0"/>
        <v>16.875</v>
      </c>
    </row>
    <row r="22" spans="1:9" x14ac:dyDescent="0.3">
      <c r="A22" s="1" t="s">
        <v>49</v>
      </c>
      <c r="B22" s="2">
        <v>44169</v>
      </c>
      <c r="C22" s="3" t="s">
        <v>50</v>
      </c>
      <c r="D22" s="3" t="str">
        <f>INDEX('Customers (2)'!B:B,MATCH('Customers (2)'!A22,'Customers (2)'!A:A,0))</f>
        <v>Kendal Scardefield</v>
      </c>
      <c r="E22" s="4" t="s">
        <v>51</v>
      </c>
      <c r="F22" s="3">
        <v>4</v>
      </c>
      <c r="G22" s="5">
        <f>INDEX([1]products!$A$1:$G$49,MATCH([1]orders!$D22,[1]products!$A$1:$A$49,0),MATCH([1]orders!K$1,[1]products!$A$1:$G$1,0))</f>
        <v>0.2</v>
      </c>
      <c r="H22" s="6">
        <f>INDEX([1]products!$A$1:$G$49,MATCH([1]orders!$D22,[1]products!$A$1:$A$49,0),MATCH([1]orders!L$1,[1]products!$A$1:$G$1,0))</f>
        <v>3.645</v>
      </c>
      <c r="I22" s="6">
        <f t="shared" si="0"/>
        <v>14.58</v>
      </c>
    </row>
    <row r="23" spans="1:9" x14ac:dyDescent="0.3">
      <c r="A23" s="1" t="s">
        <v>52</v>
      </c>
      <c r="B23" s="2">
        <v>44169</v>
      </c>
      <c r="C23" s="3" t="s">
        <v>53</v>
      </c>
      <c r="D23" s="3" t="str">
        <f>INDEX('Customers (2)'!B:B,MATCH('Customers (2)'!A23,'Customers (2)'!A:A,0))</f>
        <v>Avrit Davidowsky</v>
      </c>
      <c r="E23" s="4" t="s">
        <v>54</v>
      </c>
      <c r="F23" s="3">
        <v>6</v>
      </c>
      <c r="G23" s="5">
        <f>INDEX([1]products!$A$1:$G$49,MATCH([1]orders!$D23,[1]products!$A$1:$A$49,0),MATCH([1]orders!K$1,[1]products!$A$1:$G$1,0))</f>
        <v>0.2</v>
      </c>
      <c r="H23" s="6">
        <f>INDEX([1]products!$A$1:$G$49,MATCH([1]orders!$D23,[1]products!$A$1:$A$49,0),MATCH([1]orders!L$1,[1]products!$A$1:$G$1,0))</f>
        <v>2.9849999999999999</v>
      </c>
      <c r="I23" s="6">
        <f t="shared" si="0"/>
        <v>17.91</v>
      </c>
    </row>
    <row r="24" spans="1:9" x14ac:dyDescent="0.3">
      <c r="A24" s="1" t="s">
        <v>55</v>
      </c>
      <c r="B24" s="2">
        <v>44218</v>
      </c>
      <c r="C24" s="3" t="s">
        <v>56</v>
      </c>
      <c r="D24" s="3" t="str">
        <f>INDEX('Customers (2)'!B:B,MATCH('Customers (2)'!A24,'Customers (2)'!A:A,0))</f>
        <v>Annabel Antuk</v>
      </c>
      <c r="E24" s="4" t="s">
        <v>41</v>
      </c>
      <c r="F24" s="3">
        <v>4</v>
      </c>
      <c r="G24" s="5">
        <f>INDEX([1]products!$A$1:$G$49,MATCH([1]orders!$D24,[1]products!$A$1:$A$49,0),MATCH([1]orders!K$1,[1]products!$A$1:$G$1,0))</f>
        <v>2.5</v>
      </c>
      <c r="H24" s="6">
        <f>INDEX([1]products!$A$1:$G$49,MATCH([1]orders!$D24,[1]products!$A$1:$A$49,0),MATCH([1]orders!L$1,[1]products!$A$1:$G$1,0))</f>
        <v>22.884999999999998</v>
      </c>
      <c r="I24" s="6">
        <f t="shared" si="0"/>
        <v>91.539999999999992</v>
      </c>
    </row>
    <row r="25" spans="1:9" x14ac:dyDescent="0.3">
      <c r="A25" s="1" t="s">
        <v>57</v>
      </c>
      <c r="B25" s="2">
        <v>44603</v>
      </c>
      <c r="C25" s="3" t="s">
        <v>58</v>
      </c>
      <c r="D25" s="3" t="str">
        <f>INDEX('Customers (2)'!B:B,MATCH('Customers (2)'!A25,'Customers (2)'!A:A,0))</f>
        <v>Iorgo Kleinert</v>
      </c>
      <c r="E25" s="4" t="s">
        <v>54</v>
      </c>
      <c r="F25" s="3">
        <v>4</v>
      </c>
      <c r="G25" s="5">
        <f>INDEX([1]products!$A$1:$G$49,MATCH([1]orders!$D25,[1]products!$A$1:$A$49,0),MATCH([1]orders!K$1,[1]products!$A$1:$G$1,0))</f>
        <v>0.2</v>
      </c>
      <c r="H25" s="6">
        <f>INDEX([1]products!$A$1:$G$49,MATCH([1]orders!$D25,[1]products!$A$1:$A$49,0),MATCH([1]orders!L$1,[1]products!$A$1:$G$1,0))</f>
        <v>2.9849999999999999</v>
      </c>
      <c r="I25" s="6">
        <f t="shared" si="0"/>
        <v>11.94</v>
      </c>
    </row>
    <row r="26" spans="1:9" x14ac:dyDescent="0.3">
      <c r="A26" s="1" t="s">
        <v>59</v>
      </c>
      <c r="B26" s="2">
        <v>44454</v>
      </c>
      <c r="C26" s="3" t="s">
        <v>60</v>
      </c>
      <c r="D26" s="3" t="str">
        <f>INDEX('Customers (2)'!B:B,MATCH('Customers (2)'!A26,'Customers (2)'!A:A,0))</f>
        <v>Chrisy Blofeld</v>
      </c>
      <c r="E26" s="4" t="s">
        <v>61</v>
      </c>
      <c r="F26" s="3">
        <v>1</v>
      </c>
      <c r="G26" s="5">
        <f>INDEX([1]products!$A$1:$G$49,MATCH([1]orders!$D26,[1]products!$A$1:$A$49,0),MATCH([1]orders!K$1,[1]products!$A$1:$G$1,0))</f>
        <v>1</v>
      </c>
      <c r="H26" s="6">
        <f>INDEX([1]products!$A$1:$G$49,MATCH([1]orders!$D26,[1]products!$A$1:$A$49,0),MATCH([1]orders!L$1,[1]products!$A$1:$G$1,0))</f>
        <v>11.25</v>
      </c>
      <c r="I26" s="6">
        <f t="shared" si="0"/>
        <v>11.25</v>
      </c>
    </row>
    <row r="27" spans="1:9" x14ac:dyDescent="0.3">
      <c r="A27" s="1" t="s">
        <v>62</v>
      </c>
      <c r="B27" s="2">
        <v>44128</v>
      </c>
      <c r="C27" s="3" t="s">
        <v>63</v>
      </c>
      <c r="D27" s="3" t="str">
        <f>INDEX('Customers (2)'!B:B,MATCH('Customers (2)'!A27,'Customers (2)'!A:A,0))</f>
        <v>Culley Farris</v>
      </c>
      <c r="E27" s="4" t="s">
        <v>64</v>
      </c>
      <c r="F27" s="3">
        <v>3</v>
      </c>
      <c r="G27" s="5">
        <f>INDEX([1]products!$A$1:$G$49,MATCH([1]orders!$D27,[1]products!$A$1:$A$49,0),MATCH([1]orders!K$1,[1]products!$A$1:$G$1,0))</f>
        <v>0.2</v>
      </c>
      <c r="H27" s="6">
        <f>INDEX([1]products!$A$1:$G$49,MATCH([1]orders!$D27,[1]products!$A$1:$A$49,0),MATCH([1]orders!L$1,[1]products!$A$1:$G$1,0))</f>
        <v>4.125</v>
      </c>
      <c r="I27" s="6">
        <f t="shared" si="0"/>
        <v>12.375</v>
      </c>
    </row>
    <row r="28" spans="1:9" x14ac:dyDescent="0.3">
      <c r="A28" s="1" t="s">
        <v>65</v>
      </c>
      <c r="B28" s="2">
        <v>43516</v>
      </c>
      <c r="C28" s="3" t="s">
        <v>66</v>
      </c>
      <c r="D28" s="3" t="str">
        <f>INDEX('Customers (2)'!B:B,MATCH('Customers (2)'!A28,'Customers (2)'!A:A,0))</f>
        <v>Selene Shales</v>
      </c>
      <c r="E28" s="4" t="s">
        <v>67</v>
      </c>
      <c r="F28" s="3">
        <v>4</v>
      </c>
      <c r="G28" s="5">
        <f>INDEX([1]products!$A$1:$G$49,MATCH([1]orders!$D28,[1]products!$A$1:$A$49,0),MATCH([1]orders!K$1,[1]products!$A$1:$G$1,0))</f>
        <v>0.5</v>
      </c>
      <c r="H28" s="6">
        <f>INDEX([1]products!$A$1:$G$49,MATCH([1]orders!$D28,[1]products!$A$1:$A$49,0),MATCH([1]orders!L$1,[1]products!$A$1:$G$1,0))</f>
        <v>6.75</v>
      </c>
      <c r="I28" s="6">
        <f t="shared" si="0"/>
        <v>27</v>
      </c>
    </row>
    <row r="29" spans="1:9" x14ac:dyDescent="0.3">
      <c r="A29" s="1" t="s">
        <v>68</v>
      </c>
      <c r="B29" s="2">
        <v>43746</v>
      </c>
      <c r="C29" s="3" t="s">
        <v>69</v>
      </c>
      <c r="D29" s="3" t="str">
        <f>INDEX('Customers (2)'!B:B,MATCH('Customers (2)'!A29,'Customers (2)'!A:A,0))</f>
        <v>Vivie Danneil</v>
      </c>
      <c r="E29" s="4" t="s">
        <v>44</v>
      </c>
      <c r="F29" s="3">
        <v>5</v>
      </c>
      <c r="G29" s="5">
        <f>INDEX([1]products!$A$1:$G$49,MATCH([1]orders!$D29,[1]products!$A$1:$A$49,0),MATCH([1]orders!K$1,[1]products!$A$1:$G$1,0))</f>
        <v>0.2</v>
      </c>
      <c r="H29" s="6">
        <f>INDEX([1]products!$A$1:$G$49,MATCH([1]orders!$D29,[1]products!$A$1:$A$49,0),MATCH([1]orders!L$1,[1]products!$A$1:$G$1,0))</f>
        <v>3.375</v>
      </c>
      <c r="I29" s="6">
        <f t="shared" si="0"/>
        <v>16.875</v>
      </c>
    </row>
    <row r="30" spans="1:9" x14ac:dyDescent="0.3">
      <c r="A30" s="1" t="s">
        <v>70</v>
      </c>
      <c r="B30" s="2">
        <v>44775</v>
      </c>
      <c r="C30" s="3" t="s">
        <v>71</v>
      </c>
      <c r="D30" s="3" t="str">
        <f>INDEX('Customers (2)'!B:B,MATCH('Customers (2)'!A30,'Customers (2)'!A:A,0))</f>
        <v>Theresita Newbury</v>
      </c>
      <c r="E30" s="4" t="s">
        <v>72</v>
      </c>
      <c r="F30" s="3">
        <v>3</v>
      </c>
      <c r="G30" s="5">
        <f>INDEX([1]products!$A$1:$G$49,MATCH([1]orders!$D30,[1]products!$A$1:$A$49,0),MATCH([1]orders!K$1,[1]products!$A$1:$G$1,0))</f>
        <v>0.5</v>
      </c>
      <c r="H30" s="6">
        <f>INDEX([1]products!$A$1:$G$49,MATCH([1]orders!$D30,[1]products!$A$1:$A$49,0),MATCH([1]orders!L$1,[1]products!$A$1:$G$1,0))</f>
        <v>5.97</v>
      </c>
      <c r="I30" s="6">
        <f t="shared" si="0"/>
        <v>17.91</v>
      </c>
    </row>
    <row r="31" spans="1:9" x14ac:dyDescent="0.3">
      <c r="A31" s="1" t="s">
        <v>73</v>
      </c>
      <c r="B31" s="2">
        <v>43516</v>
      </c>
      <c r="C31" s="3" t="s">
        <v>74</v>
      </c>
      <c r="D31" s="3" t="str">
        <f>INDEX('Customers (2)'!B:B,MATCH('Customers (2)'!A31,'Customers (2)'!A:A,0))</f>
        <v>Mozelle Calcutt</v>
      </c>
      <c r="E31" s="4" t="s">
        <v>27</v>
      </c>
      <c r="F31" s="3">
        <v>4</v>
      </c>
      <c r="G31" s="5">
        <f>INDEX([1]products!$A$1:$G$49,MATCH([1]orders!$D31,[1]products!$A$1:$A$49,0),MATCH([1]orders!K$1,[1]products!$A$1:$G$1,0))</f>
        <v>1</v>
      </c>
      <c r="H31" s="6">
        <f>INDEX([1]products!$A$1:$G$49,MATCH([1]orders!$D31,[1]products!$A$1:$A$49,0),MATCH([1]orders!L$1,[1]products!$A$1:$G$1,0))</f>
        <v>9.9499999999999993</v>
      </c>
      <c r="I31" s="6">
        <f t="shared" si="0"/>
        <v>39.799999999999997</v>
      </c>
    </row>
    <row r="32" spans="1:9" x14ac:dyDescent="0.3">
      <c r="A32" s="1" t="s">
        <v>75</v>
      </c>
      <c r="B32" s="2">
        <v>44464</v>
      </c>
      <c r="C32" s="3" t="s">
        <v>76</v>
      </c>
      <c r="D32" s="3" t="str">
        <f>INDEX('Customers (2)'!B:B,MATCH('Customers (2)'!A32,'Customers (2)'!A:A,0))</f>
        <v>Adrian Swaine</v>
      </c>
      <c r="E32" s="4" t="s">
        <v>77</v>
      </c>
      <c r="F32" s="3">
        <v>5</v>
      </c>
      <c r="G32" s="5">
        <f>INDEX([1]products!$A$1:$G$49,MATCH([1]orders!$D32,[1]products!$A$1:$A$49,0),MATCH([1]orders!K$1,[1]products!$A$1:$G$1,0))</f>
        <v>0.2</v>
      </c>
      <c r="H32" s="6">
        <f>INDEX([1]products!$A$1:$G$49,MATCH([1]orders!$D32,[1]products!$A$1:$A$49,0),MATCH([1]orders!L$1,[1]products!$A$1:$G$1,0))</f>
        <v>4.3650000000000002</v>
      </c>
      <c r="I32" s="6">
        <f t="shared" si="0"/>
        <v>21.825000000000003</v>
      </c>
    </row>
    <row r="33" spans="1:9" x14ac:dyDescent="0.3">
      <c r="A33" s="1" t="s">
        <v>75</v>
      </c>
      <c r="B33" s="2">
        <v>44464</v>
      </c>
      <c r="C33" s="3" t="s">
        <v>76</v>
      </c>
      <c r="D33" s="3" t="str">
        <f>INDEX('Customers (2)'!B:B,MATCH('Customers (2)'!A33,'Customers (2)'!A:A,0))</f>
        <v>Ray Leivesley</v>
      </c>
      <c r="E33" s="4" t="s">
        <v>72</v>
      </c>
      <c r="F33" s="3">
        <v>6</v>
      </c>
      <c r="G33" s="5">
        <f>INDEX([1]products!$A$1:$G$49,MATCH([1]orders!$D33,[1]products!$A$1:$A$49,0),MATCH([1]orders!K$1,[1]products!$A$1:$G$1,0))</f>
        <v>0.5</v>
      </c>
      <c r="H33" s="6">
        <f>INDEX([1]products!$A$1:$G$49,MATCH([1]orders!$D33,[1]products!$A$1:$A$49,0),MATCH([1]orders!L$1,[1]products!$A$1:$G$1,0))</f>
        <v>5.97</v>
      </c>
      <c r="I33" s="6">
        <f t="shared" si="0"/>
        <v>35.82</v>
      </c>
    </row>
    <row r="34" spans="1:9" x14ac:dyDescent="0.3">
      <c r="A34" s="1" t="s">
        <v>75</v>
      </c>
      <c r="B34" s="2">
        <v>44464</v>
      </c>
      <c r="C34" s="3" t="s">
        <v>76</v>
      </c>
      <c r="D34" s="3" t="str">
        <f>INDEX('Customers (2)'!B:B,MATCH('Customers (2)'!A34,'Customers (2)'!A:A,0))</f>
        <v>Nelly Basezzi</v>
      </c>
      <c r="E34" s="4" t="s">
        <v>78</v>
      </c>
      <c r="F34" s="3">
        <v>6</v>
      </c>
      <c r="G34" s="5">
        <f>INDEX([1]products!$A$1:$G$49,MATCH([1]orders!$D34,[1]products!$A$1:$A$49,0),MATCH([1]orders!K$1,[1]products!$A$1:$G$1,0))</f>
        <v>0.5</v>
      </c>
      <c r="H34" s="6">
        <f>INDEX([1]products!$A$1:$G$49,MATCH([1]orders!$D34,[1]products!$A$1:$A$49,0),MATCH([1]orders!L$1,[1]products!$A$1:$G$1,0))</f>
        <v>8.73</v>
      </c>
      <c r="I34" s="6">
        <f t="shared" si="0"/>
        <v>52.38</v>
      </c>
    </row>
    <row r="35" spans="1:9" x14ac:dyDescent="0.3">
      <c r="A35" s="1" t="s">
        <v>79</v>
      </c>
      <c r="B35" s="2">
        <v>44394</v>
      </c>
      <c r="C35" s="3" t="s">
        <v>80</v>
      </c>
      <c r="D35" s="3" t="str">
        <f>INDEX('Customers (2)'!B:B,MATCH('Customers (2)'!A35,'Customers (2)'!A:A,0))</f>
        <v>Gallard Gatheral</v>
      </c>
      <c r="E35" s="4" t="s">
        <v>19</v>
      </c>
      <c r="F35" s="3">
        <v>5</v>
      </c>
      <c r="G35" s="5">
        <f>INDEX([1]products!$A$1:$G$49,MATCH([1]orders!$D35,[1]products!$A$1:$A$49,0),MATCH([1]orders!K$1,[1]products!$A$1:$G$1,0))</f>
        <v>0.2</v>
      </c>
      <c r="H35" s="6">
        <f>INDEX([1]products!$A$1:$G$49,MATCH([1]orders!$D35,[1]products!$A$1:$A$49,0),MATCH([1]orders!L$1,[1]products!$A$1:$G$1,0))</f>
        <v>4.7549999999999999</v>
      </c>
      <c r="I35" s="6">
        <f t="shared" si="0"/>
        <v>23.774999999999999</v>
      </c>
    </row>
    <row r="36" spans="1:9" x14ac:dyDescent="0.3">
      <c r="A36" s="1" t="s">
        <v>81</v>
      </c>
      <c r="B36" s="2">
        <v>44011</v>
      </c>
      <c r="C36" s="3" t="s">
        <v>82</v>
      </c>
      <c r="D36" s="3" t="str">
        <f>INDEX('Customers (2)'!B:B,MATCH('Customers (2)'!A36,'Customers (2)'!A:A,0))</f>
        <v>Una Welberry</v>
      </c>
      <c r="E36" s="4" t="s">
        <v>83</v>
      </c>
      <c r="F36" s="3">
        <v>6</v>
      </c>
      <c r="G36" s="5">
        <f>INDEX([1]products!$A$1:$G$49,MATCH([1]orders!$D36,[1]products!$A$1:$A$49,0),MATCH([1]orders!K$1,[1]products!$A$1:$G$1,0))</f>
        <v>0.5</v>
      </c>
      <c r="H36" s="6">
        <f>INDEX([1]products!$A$1:$G$49,MATCH([1]orders!$D36,[1]products!$A$1:$A$49,0),MATCH([1]orders!L$1,[1]products!$A$1:$G$1,0))</f>
        <v>9.51</v>
      </c>
      <c r="I36" s="6">
        <f t="shared" si="0"/>
        <v>57.06</v>
      </c>
    </row>
    <row r="37" spans="1:9" x14ac:dyDescent="0.3">
      <c r="A37" s="1" t="s">
        <v>84</v>
      </c>
      <c r="B37" s="2">
        <v>44348</v>
      </c>
      <c r="C37" s="3" t="s">
        <v>85</v>
      </c>
      <c r="D37" s="3" t="str">
        <f>INDEX('Customers (2)'!B:B,MATCH('Customers (2)'!A37,'Customers (2)'!A:A,0))</f>
        <v>Faber Eilhart</v>
      </c>
      <c r="E37" s="4" t="s">
        <v>72</v>
      </c>
      <c r="F37" s="3">
        <v>6</v>
      </c>
      <c r="G37" s="5">
        <f>INDEX([1]products!$A$1:$G$49,MATCH([1]orders!$D37,[1]products!$A$1:$A$49,0),MATCH([1]orders!K$1,[1]products!$A$1:$G$1,0))</f>
        <v>0.5</v>
      </c>
      <c r="H37" s="6">
        <f>INDEX([1]products!$A$1:$G$49,MATCH([1]orders!$D37,[1]products!$A$1:$A$49,0),MATCH([1]orders!L$1,[1]products!$A$1:$G$1,0))</f>
        <v>5.97</v>
      </c>
      <c r="I37" s="6">
        <f t="shared" si="0"/>
        <v>35.82</v>
      </c>
    </row>
    <row r="38" spans="1:9" x14ac:dyDescent="0.3">
      <c r="A38" s="1" t="s">
        <v>86</v>
      </c>
      <c r="B38" s="2">
        <v>44233</v>
      </c>
      <c r="C38" s="3" t="s">
        <v>87</v>
      </c>
      <c r="D38" s="3" t="str">
        <f>INDEX('Customers (2)'!B:B,MATCH('Customers (2)'!A38,'Customers (2)'!A:A,0))</f>
        <v>Zorina Ponting</v>
      </c>
      <c r="E38" s="4" t="s">
        <v>77</v>
      </c>
      <c r="F38" s="3">
        <v>2</v>
      </c>
      <c r="G38" s="5">
        <f>INDEX([1]products!$A$1:$G$49,MATCH([1]orders!$D38,[1]products!$A$1:$A$49,0),MATCH([1]orders!K$1,[1]products!$A$1:$G$1,0))</f>
        <v>0.2</v>
      </c>
      <c r="H38" s="6">
        <f>INDEX([1]products!$A$1:$G$49,MATCH([1]orders!$D38,[1]products!$A$1:$A$49,0),MATCH([1]orders!L$1,[1]products!$A$1:$G$1,0))</f>
        <v>4.3650000000000002</v>
      </c>
      <c r="I38" s="6">
        <f t="shared" si="0"/>
        <v>8.73</v>
      </c>
    </row>
    <row r="39" spans="1:9" x14ac:dyDescent="0.3">
      <c r="A39" s="1" t="s">
        <v>88</v>
      </c>
      <c r="B39" s="2">
        <v>43580</v>
      </c>
      <c r="C39" s="3" t="s">
        <v>89</v>
      </c>
      <c r="D39" s="3" t="str">
        <f>INDEX('Customers (2)'!B:B,MATCH('Customers (2)'!A39,'Customers (2)'!A:A,0))</f>
        <v>Silvio Strase</v>
      </c>
      <c r="E39" s="4" t="s">
        <v>83</v>
      </c>
      <c r="F39" s="3">
        <v>3</v>
      </c>
      <c r="G39" s="5">
        <f>INDEX([1]products!$A$1:$G$49,MATCH([1]orders!$D39,[1]products!$A$1:$A$49,0),MATCH([1]orders!K$1,[1]products!$A$1:$G$1,0))</f>
        <v>0.5</v>
      </c>
      <c r="H39" s="6">
        <f>INDEX([1]products!$A$1:$G$49,MATCH([1]orders!$D39,[1]products!$A$1:$A$49,0),MATCH([1]orders!L$1,[1]products!$A$1:$G$1,0))</f>
        <v>9.51</v>
      </c>
      <c r="I39" s="6">
        <f t="shared" si="0"/>
        <v>28.53</v>
      </c>
    </row>
    <row r="40" spans="1:9" x14ac:dyDescent="0.3">
      <c r="A40" s="1" t="s">
        <v>90</v>
      </c>
      <c r="B40" s="2">
        <v>43946</v>
      </c>
      <c r="C40" s="3" t="s">
        <v>91</v>
      </c>
      <c r="D40" s="3" t="str">
        <f>INDEX('Customers (2)'!B:B,MATCH('Customers (2)'!A40,'Customers (2)'!A:A,0))</f>
        <v>Dorie de la Tremoille</v>
      </c>
      <c r="E40" s="4" t="s">
        <v>41</v>
      </c>
      <c r="F40" s="3">
        <v>5</v>
      </c>
      <c r="G40" s="5">
        <f>INDEX([1]products!$A$1:$G$49,MATCH([1]orders!$D40,[1]products!$A$1:$A$49,0),MATCH([1]orders!K$1,[1]products!$A$1:$G$1,0))</f>
        <v>2.5</v>
      </c>
      <c r="H40" s="6">
        <f>INDEX([1]products!$A$1:$G$49,MATCH([1]orders!$D40,[1]products!$A$1:$A$49,0),MATCH([1]orders!L$1,[1]products!$A$1:$G$1,0))</f>
        <v>22.884999999999998</v>
      </c>
      <c r="I40" s="6">
        <f t="shared" si="0"/>
        <v>114.42499999999998</v>
      </c>
    </row>
    <row r="41" spans="1:9" x14ac:dyDescent="0.3">
      <c r="A41" s="1" t="s">
        <v>92</v>
      </c>
      <c r="B41" s="2">
        <v>44524</v>
      </c>
      <c r="C41" s="3" t="s">
        <v>93</v>
      </c>
      <c r="D41" s="3" t="str">
        <f>INDEX('Customers (2)'!B:B,MATCH('Customers (2)'!A41,'Customers (2)'!A:A,0))</f>
        <v>Hy Zanetto</v>
      </c>
      <c r="E41" s="4" t="s">
        <v>2</v>
      </c>
      <c r="F41" s="3">
        <v>6</v>
      </c>
      <c r="G41" s="5">
        <f>INDEX([1]products!$A$1:$G$49,MATCH([1]orders!$D41,[1]products!$A$1:$A$49,0),MATCH([1]orders!K$1,[1]products!$A$1:$G$1,0))</f>
        <v>1</v>
      </c>
      <c r="H41" s="6">
        <f>INDEX([1]products!$A$1:$G$49,MATCH([1]orders!$D41,[1]products!$A$1:$A$49,0),MATCH([1]orders!L$1,[1]products!$A$1:$G$1,0))</f>
        <v>9.9499999999999993</v>
      </c>
      <c r="I41" s="6">
        <f t="shared" si="0"/>
        <v>59.699999999999996</v>
      </c>
    </row>
    <row r="42" spans="1:9" x14ac:dyDescent="0.3">
      <c r="A42" s="1" t="s">
        <v>94</v>
      </c>
      <c r="B42" s="2">
        <v>44305</v>
      </c>
      <c r="C42" s="3" t="s">
        <v>95</v>
      </c>
      <c r="D42" s="3" t="str">
        <f>INDEX('Customers (2)'!B:B,MATCH('Customers (2)'!A42,'Customers (2)'!A:A,0))</f>
        <v>Jessica McNess</v>
      </c>
      <c r="E42" s="4" t="s">
        <v>96</v>
      </c>
      <c r="F42" s="3">
        <v>3</v>
      </c>
      <c r="G42" s="5">
        <f>INDEX([1]products!$A$1:$G$49,MATCH([1]orders!$D42,[1]products!$A$1:$A$49,0),MATCH([1]orders!K$1,[1]products!$A$1:$G$1,0))</f>
        <v>1</v>
      </c>
      <c r="H42" s="6">
        <f>INDEX([1]products!$A$1:$G$49,MATCH([1]orders!$D42,[1]products!$A$1:$A$49,0),MATCH([1]orders!L$1,[1]products!$A$1:$G$1,0))</f>
        <v>14.55</v>
      </c>
      <c r="I42" s="6">
        <f t="shared" si="0"/>
        <v>43.650000000000006</v>
      </c>
    </row>
    <row r="43" spans="1:9" x14ac:dyDescent="0.3">
      <c r="A43" s="1" t="s">
        <v>97</v>
      </c>
      <c r="B43" s="2">
        <v>44749</v>
      </c>
      <c r="C43" s="3" t="s">
        <v>98</v>
      </c>
      <c r="D43" s="3" t="str">
        <f>INDEX('Customers (2)'!B:B,MATCH('Customers (2)'!A43,'Customers (2)'!A:A,0))</f>
        <v>Lorenzo Yeoland</v>
      </c>
      <c r="E43" s="4" t="s">
        <v>51</v>
      </c>
      <c r="F43" s="3">
        <v>2</v>
      </c>
      <c r="G43" s="5">
        <f>INDEX([1]products!$A$1:$G$49,MATCH([1]orders!$D43,[1]products!$A$1:$A$49,0),MATCH([1]orders!K$1,[1]products!$A$1:$G$1,0))</f>
        <v>0.2</v>
      </c>
      <c r="H43" s="6">
        <f>INDEX([1]products!$A$1:$G$49,MATCH([1]orders!$D43,[1]products!$A$1:$A$49,0),MATCH([1]orders!L$1,[1]products!$A$1:$G$1,0))</f>
        <v>3.645</v>
      </c>
      <c r="I43" s="6">
        <f t="shared" si="0"/>
        <v>7.29</v>
      </c>
    </row>
    <row r="44" spans="1:9" x14ac:dyDescent="0.3">
      <c r="A44" s="1" t="s">
        <v>99</v>
      </c>
      <c r="B44" s="2">
        <v>43607</v>
      </c>
      <c r="C44" s="3" t="s">
        <v>100</v>
      </c>
      <c r="D44" s="3" t="str">
        <f>INDEX('Customers (2)'!B:B,MATCH('Customers (2)'!A44,'Customers (2)'!A:A,0))</f>
        <v>Abigail Tolworthy</v>
      </c>
      <c r="E44" s="4" t="s">
        <v>101</v>
      </c>
      <c r="F44" s="3">
        <v>3</v>
      </c>
      <c r="G44" s="5">
        <f>INDEX([1]products!$A$1:$G$49,MATCH([1]orders!$D44,[1]products!$A$1:$A$49,0),MATCH([1]orders!K$1,[1]products!$A$1:$G$1,0))</f>
        <v>0.2</v>
      </c>
      <c r="H44" s="6">
        <f>INDEX([1]products!$A$1:$G$49,MATCH([1]orders!$D44,[1]products!$A$1:$A$49,0),MATCH([1]orders!L$1,[1]products!$A$1:$G$1,0))</f>
        <v>2.6849999999999996</v>
      </c>
      <c r="I44" s="6">
        <f t="shared" si="0"/>
        <v>8.0549999999999997</v>
      </c>
    </row>
    <row r="45" spans="1:9" x14ac:dyDescent="0.3">
      <c r="A45" s="1" t="s">
        <v>102</v>
      </c>
      <c r="B45" s="2">
        <v>44473</v>
      </c>
      <c r="C45" s="3" t="s">
        <v>103</v>
      </c>
      <c r="D45" s="3" t="str">
        <f>INDEX('Customers (2)'!B:B,MATCH('Customers (2)'!A45,'Customers (2)'!A:A,0))</f>
        <v>Maurie Bartol</v>
      </c>
      <c r="E45" s="4" t="s">
        <v>104</v>
      </c>
      <c r="F45" s="3">
        <v>2</v>
      </c>
      <c r="G45" s="5">
        <f>INDEX([1]products!$A$1:$G$49,MATCH([1]orders!$D45,[1]products!$A$1:$A$49,0),MATCH([1]orders!K$1,[1]products!$A$1:$G$1,0))</f>
        <v>2.5</v>
      </c>
      <c r="H45" s="6">
        <f>INDEX([1]products!$A$1:$G$49,MATCH([1]orders!$D45,[1]products!$A$1:$A$49,0),MATCH([1]orders!L$1,[1]products!$A$1:$G$1,0))</f>
        <v>36.454999999999998</v>
      </c>
      <c r="I45" s="6">
        <f t="shared" si="0"/>
        <v>72.91</v>
      </c>
    </row>
    <row r="46" spans="1:9" x14ac:dyDescent="0.3">
      <c r="A46" s="1" t="s">
        <v>105</v>
      </c>
      <c r="B46" s="2">
        <v>43932</v>
      </c>
      <c r="C46" s="3" t="s">
        <v>106</v>
      </c>
      <c r="D46" s="3" t="str">
        <f>INDEX('Customers (2)'!B:B,MATCH('Customers (2)'!A46,'Customers (2)'!A:A,0))</f>
        <v>Olag Baudassi</v>
      </c>
      <c r="E46" s="4" t="s">
        <v>3</v>
      </c>
      <c r="F46" s="3">
        <v>2</v>
      </c>
      <c r="G46" s="5">
        <f>INDEX([1]products!$A$1:$G$49,MATCH([1]orders!$D46,[1]products!$A$1:$A$49,0),MATCH([1]orders!K$1,[1]products!$A$1:$G$1,0))</f>
        <v>0.5</v>
      </c>
      <c r="H46" s="6">
        <f>INDEX([1]products!$A$1:$G$49,MATCH([1]orders!$D46,[1]products!$A$1:$A$49,0),MATCH([1]orders!L$1,[1]products!$A$1:$G$1,0))</f>
        <v>8.25</v>
      </c>
      <c r="I46" s="6">
        <f t="shared" si="0"/>
        <v>16.5</v>
      </c>
    </row>
    <row r="47" spans="1:9" x14ac:dyDescent="0.3">
      <c r="A47" s="1" t="s">
        <v>107</v>
      </c>
      <c r="B47" s="2">
        <v>44592</v>
      </c>
      <c r="C47" s="3" t="s">
        <v>108</v>
      </c>
      <c r="D47" s="3" t="str">
        <f>INDEX('Customers (2)'!B:B,MATCH('Customers (2)'!A47,'Customers (2)'!A:A,0))</f>
        <v>Petey Kingsbury</v>
      </c>
      <c r="E47" s="4" t="s">
        <v>109</v>
      </c>
      <c r="F47" s="3">
        <v>6</v>
      </c>
      <c r="G47" s="5">
        <f>INDEX([1]products!$A$1:$G$49,MATCH([1]orders!$D47,[1]products!$A$1:$A$49,0),MATCH([1]orders!K$1,[1]products!$A$1:$G$1,0))</f>
        <v>2.5</v>
      </c>
      <c r="H47" s="6">
        <f>INDEX([1]products!$A$1:$G$49,MATCH([1]orders!$D47,[1]products!$A$1:$A$49,0),MATCH([1]orders!L$1,[1]products!$A$1:$G$1,0))</f>
        <v>29.784999999999997</v>
      </c>
      <c r="I47" s="6">
        <f t="shared" si="0"/>
        <v>178.70999999999998</v>
      </c>
    </row>
    <row r="48" spans="1:9" x14ac:dyDescent="0.3">
      <c r="A48" s="1" t="s">
        <v>110</v>
      </c>
      <c r="B48" s="2">
        <v>43776</v>
      </c>
      <c r="C48" s="3" t="s">
        <v>111</v>
      </c>
      <c r="D48" s="3" t="str">
        <f>INDEX('Customers (2)'!B:B,MATCH('Customers (2)'!A48,'Customers (2)'!A:A,0))</f>
        <v>Donna Baskeyfied</v>
      </c>
      <c r="E48" s="4" t="s">
        <v>112</v>
      </c>
      <c r="F48" s="3">
        <v>2</v>
      </c>
      <c r="G48" s="5">
        <f>INDEX([1]products!$A$1:$G$49,MATCH([1]orders!$D48,[1]products!$A$1:$A$49,0),MATCH([1]orders!K$1,[1]products!$A$1:$G$1,0))</f>
        <v>2.5</v>
      </c>
      <c r="H48" s="6">
        <f>INDEX([1]products!$A$1:$G$49,MATCH([1]orders!$D48,[1]products!$A$1:$A$49,0),MATCH([1]orders!L$1,[1]products!$A$1:$G$1,0))</f>
        <v>31.624999999999996</v>
      </c>
      <c r="I48" s="6">
        <f t="shared" si="0"/>
        <v>63.249999999999993</v>
      </c>
    </row>
    <row r="49" spans="1:9" x14ac:dyDescent="0.3">
      <c r="A49" s="1" t="s">
        <v>113</v>
      </c>
      <c r="B49" s="2">
        <v>43644</v>
      </c>
      <c r="C49" s="3" t="s">
        <v>114</v>
      </c>
      <c r="D49" s="3" t="str">
        <f>INDEX('Customers (2)'!B:B,MATCH('Customers (2)'!A49,'Customers (2)'!A:A,0))</f>
        <v>Arda Curley</v>
      </c>
      <c r="E49" s="4" t="s">
        <v>115</v>
      </c>
      <c r="F49" s="3">
        <v>2</v>
      </c>
      <c r="G49" s="5">
        <f>INDEX([1]products!$A$1:$G$49,MATCH([1]orders!$D49,[1]products!$A$1:$A$49,0),MATCH([1]orders!K$1,[1]products!$A$1:$G$1,0))</f>
        <v>0.2</v>
      </c>
      <c r="H49" s="6">
        <f>INDEX([1]products!$A$1:$G$49,MATCH([1]orders!$D49,[1]products!$A$1:$A$49,0),MATCH([1]orders!L$1,[1]products!$A$1:$G$1,0))</f>
        <v>3.8849999999999998</v>
      </c>
      <c r="I49" s="6">
        <f t="shared" si="0"/>
        <v>7.77</v>
      </c>
    </row>
    <row r="50" spans="1:9" x14ac:dyDescent="0.3">
      <c r="A50" s="1" t="s">
        <v>116</v>
      </c>
      <c r="B50" s="2">
        <v>44085</v>
      </c>
      <c r="C50" s="3" t="s">
        <v>117</v>
      </c>
      <c r="D50" s="3" t="str">
        <f>INDEX('Customers (2)'!B:B,MATCH('Customers (2)'!A50,'Customers (2)'!A:A,0))</f>
        <v>Raynor McGilvary</v>
      </c>
      <c r="E50" s="4" t="s">
        <v>118</v>
      </c>
      <c r="F50" s="3">
        <v>4</v>
      </c>
      <c r="G50" s="5">
        <f>INDEX([1]products!$A$1:$G$49,MATCH([1]orders!$D50,[1]products!$A$1:$A$49,0),MATCH([1]orders!K$1,[1]products!$A$1:$G$1,0))</f>
        <v>2.5</v>
      </c>
      <c r="H50" s="6">
        <f>INDEX([1]products!$A$1:$G$49,MATCH([1]orders!$D50,[1]products!$A$1:$A$49,0),MATCH([1]orders!L$1,[1]products!$A$1:$G$1,0))</f>
        <v>22.884999999999998</v>
      </c>
      <c r="I50" s="6">
        <f t="shared" si="0"/>
        <v>91.539999999999992</v>
      </c>
    </row>
    <row r="51" spans="1:9" x14ac:dyDescent="0.3">
      <c r="A51" s="1" t="s">
        <v>119</v>
      </c>
      <c r="B51" s="2">
        <v>44790</v>
      </c>
      <c r="C51" s="3" t="s">
        <v>120</v>
      </c>
      <c r="D51" s="3" t="str">
        <f>INDEX('Customers (2)'!B:B,MATCH('Customers (2)'!A51,'Customers (2)'!A:A,0))</f>
        <v>Isis Pikett</v>
      </c>
      <c r="E51" s="4" t="s">
        <v>6</v>
      </c>
      <c r="F51" s="3">
        <v>3</v>
      </c>
      <c r="G51" s="5">
        <f>INDEX([1]products!$A$1:$G$49,MATCH([1]orders!$D51,[1]products!$A$1:$A$49,0),MATCH([1]orders!K$1,[1]products!$A$1:$G$1,0))</f>
        <v>1</v>
      </c>
      <c r="H51" s="6">
        <f>INDEX([1]products!$A$1:$G$49,MATCH([1]orders!$D51,[1]products!$A$1:$A$49,0),MATCH([1]orders!L$1,[1]products!$A$1:$G$1,0))</f>
        <v>12.95</v>
      </c>
      <c r="I51" s="6">
        <f t="shared" si="0"/>
        <v>38.849999999999994</v>
      </c>
    </row>
    <row r="52" spans="1:9" x14ac:dyDescent="0.3">
      <c r="A52" s="1" t="s">
        <v>121</v>
      </c>
      <c r="B52" s="2">
        <v>44792</v>
      </c>
      <c r="C52" s="3" t="s">
        <v>122</v>
      </c>
      <c r="D52" s="3" t="str">
        <f>INDEX('Customers (2)'!B:B,MATCH('Customers (2)'!A52,'Customers (2)'!A:A,0))</f>
        <v>Inger Bouldon</v>
      </c>
      <c r="E52" s="4" t="s">
        <v>123</v>
      </c>
      <c r="F52" s="3">
        <v>2</v>
      </c>
      <c r="G52" s="5">
        <f>INDEX([1]products!$A$1:$G$49,MATCH([1]orders!$D52,[1]products!$A$1:$A$49,0),MATCH([1]orders!K$1,[1]products!$A$1:$G$1,0))</f>
        <v>0.5</v>
      </c>
      <c r="H52" s="6">
        <f>INDEX([1]products!$A$1:$G$49,MATCH([1]orders!$D52,[1]products!$A$1:$A$49,0),MATCH([1]orders!L$1,[1]products!$A$1:$G$1,0))</f>
        <v>7.77</v>
      </c>
      <c r="I52" s="6">
        <f t="shared" si="0"/>
        <v>15.54</v>
      </c>
    </row>
    <row r="53" spans="1:9" x14ac:dyDescent="0.3">
      <c r="A53" s="1" t="s">
        <v>124</v>
      </c>
      <c r="B53" s="2">
        <v>43600</v>
      </c>
      <c r="C53" s="3" t="s">
        <v>125</v>
      </c>
      <c r="D53" s="3" t="str">
        <f>INDEX('Customers (2)'!B:B,MATCH('Customers (2)'!A53,'Customers (2)'!A:A,0))</f>
        <v>Karry Flanders</v>
      </c>
      <c r="E53" s="4" t="s">
        <v>104</v>
      </c>
      <c r="F53" s="3">
        <v>4</v>
      </c>
      <c r="G53" s="5">
        <f>INDEX([1]products!$A$1:$G$49,MATCH([1]orders!$D53,[1]products!$A$1:$A$49,0),MATCH([1]orders!K$1,[1]products!$A$1:$G$1,0))</f>
        <v>2.5</v>
      </c>
      <c r="H53" s="6">
        <f>INDEX([1]products!$A$1:$G$49,MATCH([1]orders!$D53,[1]products!$A$1:$A$49,0),MATCH([1]orders!L$1,[1]products!$A$1:$G$1,0))</f>
        <v>36.454999999999998</v>
      </c>
      <c r="I53" s="6">
        <f t="shared" si="0"/>
        <v>145.82</v>
      </c>
    </row>
    <row r="54" spans="1:9" x14ac:dyDescent="0.3">
      <c r="A54" s="1" t="s">
        <v>126</v>
      </c>
      <c r="B54" s="2">
        <v>43719</v>
      </c>
      <c r="C54" s="3" t="s">
        <v>127</v>
      </c>
      <c r="D54" s="3" t="str">
        <f>INDEX('Customers (2)'!B:B,MATCH('Customers (2)'!A54,'Customers (2)'!A:A,0))</f>
        <v>Hartley Mattioli</v>
      </c>
      <c r="E54" s="4" t="s">
        <v>22</v>
      </c>
      <c r="F54" s="3">
        <v>5</v>
      </c>
      <c r="G54" s="5">
        <f>INDEX([1]products!$A$1:$G$49,MATCH([1]orders!$D54,[1]products!$A$1:$A$49,0),MATCH([1]orders!K$1,[1]products!$A$1:$G$1,0))</f>
        <v>0.5</v>
      </c>
      <c r="H54" s="6">
        <f>INDEX([1]products!$A$1:$G$49,MATCH([1]orders!$D54,[1]products!$A$1:$A$49,0),MATCH([1]orders!L$1,[1]products!$A$1:$G$1,0))</f>
        <v>5.97</v>
      </c>
      <c r="I54" s="6">
        <f t="shared" si="0"/>
        <v>29.849999999999998</v>
      </c>
    </row>
    <row r="55" spans="1:9" x14ac:dyDescent="0.3">
      <c r="A55" s="1" t="s">
        <v>126</v>
      </c>
      <c r="B55" s="2">
        <v>43719</v>
      </c>
      <c r="C55" s="3" t="s">
        <v>127</v>
      </c>
      <c r="D55" s="3" t="str">
        <f>INDEX('Customers (2)'!B:B,MATCH('Customers (2)'!A55,'Customers (2)'!A:A,0))</f>
        <v>Horatio Rubberts</v>
      </c>
      <c r="E55" s="4" t="s">
        <v>104</v>
      </c>
      <c r="F55" s="3">
        <v>2</v>
      </c>
      <c r="G55" s="5">
        <f>INDEX([1]products!$A$1:$G$49,MATCH([1]orders!$D55,[1]products!$A$1:$A$49,0),MATCH([1]orders!K$1,[1]products!$A$1:$G$1,0))</f>
        <v>2.5</v>
      </c>
      <c r="H55" s="6">
        <f>INDEX([1]products!$A$1:$G$49,MATCH([1]orders!$D55,[1]products!$A$1:$A$49,0),MATCH([1]orders!L$1,[1]products!$A$1:$G$1,0))</f>
        <v>36.454999999999998</v>
      </c>
      <c r="I55" s="6">
        <f t="shared" si="0"/>
        <v>72.91</v>
      </c>
    </row>
    <row r="56" spans="1:9" x14ac:dyDescent="0.3">
      <c r="A56" s="1" t="s">
        <v>128</v>
      </c>
      <c r="B56" s="2">
        <v>44271</v>
      </c>
      <c r="C56" s="3" t="s">
        <v>129</v>
      </c>
      <c r="D56" s="3" t="str">
        <f>INDEX('Customers (2)'!B:B,MATCH('Customers (2)'!A56,'Customers (2)'!A:A,0))</f>
        <v>Archambault Gillard</v>
      </c>
      <c r="E56" s="4" t="s">
        <v>96</v>
      </c>
      <c r="F56" s="3">
        <v>5</v>
      </c>
      <c r="G56" s="5">
        <f>INDEX([1]products!$A$1:$G$49,MATCH([1]orders!$D56,[1]products!$A$1:$A$49,0),MATCH([1]orders!K$1,[1]products!$A$1:$G$1,0))</f>
        <v>1</v>
      </c>
      <c r="H56" s="6">
        <f>INDEX([1]products!$A$1:$G$49,MATCH([1]orders!$D56,[1]products!$A$1:$A$49,0),MATCH([1]orders!L$1,[1]products!$A$1:$G$1,0))</f>
        <v>14.55</v>
      </c>
      <c r="I56" s="6">
        <f t="shared" si="0"/>
        <v>72.75</v>
      </c>
    </row>
    <row r="57" spans="1:9" x14ac:dyDescent="0.3">
      <c r="A57" s="1" t="s">
        <v>130</v>
      </c>
      <c r="B57" s="2">
        <v>44168</v>
      </c>
      <c r="C57" s="3" t="s">
        <v>131</v>
      </c>
      <c r="D57" s="3" t="str">
        <f>INDEX('Customers (2)'!B:B,MATCH('Customers (2)'!A57,'Customers (2)'!A:A,0))</f>
        <v>Salomo Cushworth</v>
      </c>
      <c r="E57" s="4" t="s">
        <v>132</v>
      </c>
      <c r="F57" s="3">
        <v>3</v>
      </c>
      <c r="G57" s="5">
        <f>INDEX([1]products!$A$1:$G$49,MATCH([1]orders!$D57,[1]products!$A$1:$A$49,0),MATCH([1]orders!K$1,[1]products!$A$1:$G$1,0))</f>
        <v>1</v>
      </c>
      <c r="H57" s="6">
        <f>INDEX([1]products!$A$1:$G$49,MATCH([1]orders!$D57,[1]products!$A$1:$A$49,0),MATCH([1]orders!L$1,[1]products!$A$1:$G$1,0))</f>
        <v>15.85</v>
      </c>
      <c r="I57" s="6">
        <f t="shared" si="0"/>
        <v>47.55</v>
      </c>
    </row>
    <row r="58" spans="1:9" x14ac:dyDescent="0.3">
      <c r="A58" s="1" t="s">
        <v>133</v>
      </c>
      <c r="B58" s="2">
        <v>43857</v>
      </c>
      <c r="C58" s="3" t="s">
        <v>134</v>
      </c>
      <c r="D58" s="3" t="str">
        <f>INDEX('Customers (2)'!B:B,MATCH('Customers (2)'!A58,'Customers (2)'!A:A,0))</f>
        <v>Theda Grizard</v>
      </c>
      <c r="E58" s="4" t="s">
        <v>51</v>
      </c>
      <c r="F58" s="3">
        <v>3</v>
      </c>
      <c r="G58" s="5">
        <f>INDEX([1]products!$A$1:$G$49,MATCH([1]orders!$D58,[1]products!$A$1:$A$49,0),MATCH([1]orders!K$1,[1]products!$A$1:$G$1,0))</f>
        <v>0.2</v>
      </c>
      <c r="H58" s="6">
        <f>INDEX([1]products!$A$1:$G$49,MATCH([1]orders!$D58,[1]products!$A$1:$A$49,0),MATCH([1]orders!L$1,[1]products!$A$1:$G$1,0))</f>
        <v>3.645</v>
      </c>
      <c r="I58" s="6">
        <f t="shared" si="0"/>
        <v>10.935</v>
      </c>
    </row>
    <row r="59" spans="1:9" x14ac:dyDescent="0.3">
      <c r="A59" s="1" t="s">
        <v>135</v>
      </c>
      <c r="B59" s="2">
        <v>44759</v>
      </c>
      <c r="C59" s="3" t="s">
        <v>136</v>
      </c>
      <c r="D59" s="3" t="str">
        <f>INDEX('Customers (2)'!B:B,MATCH('Customers (2)'!A59,'Customers (2)'!A:A,0))</f>
        <v>Rozele Relton</v>
      </c>
      <c r="E59" s="4" t="s">
        <v>137</v>
      </c>
      <c r="F59" s="3">
        <v>4</v>
      </c>
      <c r="G59" s="5">
        <f>INDEX([1]products!$A$1:$G$49,MATCH([1]orders!$D59,[1]products!$A$1:$A$49,0),MATCH([1]orders!K$1,[1]products!$A$1:$G$1,0))</f>
        <v>1</v>
      </c>
      <c r="H59" s="6">
        <f>INDEX([1]products!$A$1:$G$49,MATCH([1]orders!$D59,[1]products!$A$1:$A$49,0),MATCH([1]orders!L$1,[1]products!$A$1:$G$1,0))</f>
        <v>14.85</v>
      </c>
      <c r="I59" s="6">
        <f t="shared" si="0"/>
        <v>59.4</v>
      </c>
    </row>
    <row r="60" spans="1:9" x14ac:dyDescent="0.3">
      <c r="A60" s="1" t="s">
        <v>138</v>
      </c>
      <c r="B60" s="2">
        <v>44624</v>
      </c>
      <c r="C60" s="3" t="s">
        <v>139</v>
      </c>
      <c r="D60" s="3" t="str">
        <f>INDEX('Customers (2)'!B:B,MATCH('Customers (2)'!A60,'Customers (2)'!A:A,0))</f>
        <v>Willa Rolling</v>
      </c>
      <c r="E60" s="4" t="s">
        <v>109</v>
      </c>
      <c r="F60" s="3">
        <v>3</v>
      </c>
      <c r="G60" s="5">
        <f>INDEX([1]products!$A$1:$G$49,MATCH([1]orders!$D60,[1]products!$A$1:$A$49,0),MATCH([1]orders!K$1,[1]products!$A$1:$G$1,0))</f>
        <v>2.5</v>
      </c>
      <c r="H60" s="6">
        <f>INDEX([1]products!$A$1:$G$49,MATCH([1]orders!$D60,[1]products!$A$1:$A$49,0),MATCH([1]orders!L$1,[1]products!$A$1:$G$1,0))</f>
        <v>29.784999999999997</v>
      </c>
      <c r="I60" s="6">
        <f t="shared" si="0"/>
        <v>89.35499999999999</v>
      </c>
    </row>
    <row r="61" spans="1:9" x14ac:dyDescent="0.3">
      <c r="A61" s="1" t="s">
        <v>140</v>
      </c>
      <c r="B61" s="2">
        <v>44537</v>
      </c>
      <c r="C61" s="3" t="s">
        <v>141</v>
      </c>
      <c r="D61" s="3" t="str">
        <f>INDEX('Customers (2)'!B:B,MATCH('Customers (2)'!A61,'Customers (2)'!A:A,0))</f>
        <v>Stanislaus Gilroy</v>
      </c>
      <c r="E61" s="4" t="s">
        <v>78</v>
      </c>
      <c r="F61" s="3">
        <v>3</v>
      </c>
      <c r="G61" s="5">
        <f>INDEX([1]products!$A$1:$G$49,MATCH([1]orders!$D61,[1]products!$A$1:$A$49,0),MATCH([1]orders!K$1,[1]products!$A$1:$G$1,0))</f>
        <v>0.5</v>
      </c>
      <c r="H61" s="6">
        <f>INDEX([1]products!$A$1:$G$49,MATCH([1]orders!$D61,[1]products!$A$1:$A$49,0),MATCH([1]orders!L$1,[1]products!$A$1:$G$1,0))</f>
        <v>8.73</v>
      </c>
      <c r="I61" s="6">
        <f t="shared" si="0"/>
        <v>26.19</v>
      </c>
    </row>
    <row r="62" spans="1:9" x14ac:dyDescent="0.3">
      <c r="A62" s="1" t="s">
        <v>142</v>
      </c>
      <c r="B62" s="2">
        <v>44252</v>
      </c>
      <c r="C62" s="3" t="s">
        <v>143</v>
      </c>
      <c r="D62" s="3" t="str">
        <f>INDEX('Customers (2)'!B:B,MATCH('Customers (2)'!A62,'Customers (2)'!A:A,0))</f>
        <v>Correy Cottingham</v>
      </c>
      <c r="E62" s="4" t="s">
        <v>118</v>
      </c>
      <c r="F62" s="3">
        <v>5</v>
      </c>
      <c r="G62" s="5">
        <f>INDEX([1]products!$A$1:$G$49,MATCH([1]orders!$D62,[1]products!$A$1:$A$49,0),MATCH([1]orders!K$1,[1]products!$A$1:$G$1,0))</f>
        <v>2.5</v>
      </c>
      <c r="H62" s="6">
        <f>INDEX([1]products!$A$1:$G$49,MATCH([1]orders!$D62,[1]products!$A$1:$A$49,0),MATCH([1]orders!L$1,[1]products!$A$1:$G$1,0))</f>
        <v>22.884999999999998</v>
      </c>
      <c r="I62" s="6">
        <f t="shared" si="0"/>
        <v>114.42499999999998</v>
      </c>
    </row>
    <row r="63" spans="1:9" x14ac:dyDescent="0.3">
      <c r="A63" s="1" t="s">
        <v>144</v>
      </c>
      <c r="B63" s="2">
        <v>43521</v>
      </c>
      <c r="C63" s="3" t="s">
        <v>145</v>
      </c>
      <c r="D63" s="3" t="str">
        <f>INDEX('Customers (2)'!B:B,MATCH('Customers (2)'!A63,'Customers (2)'!A:A,0))</f>
        <v>Pammi Endacott</v>
      </c>
      <c r="E63" s="4" t="s">
        <v>146</v>
      </c>
      <c r="F63" s="3">
        <v>5</v>
      </c>
      <c r="G63" s="5">
        <f>INDEX([1]products!$A$1:$G$49,MATCH([1]orders!$D63,[1]products!$A$1:$A$49,0),MATCH([1]orders!K$1,[1]products!$A$1:$G$1,0))</f>
        <v>0.5</v>
      </c>
      <c r="H63" s="6">
        <f>INDEX([1]products!$A$1:$G$49,MATCH([1]orders!$D63,[1]products!$A$1:$A$49,0),MATCH([1]orders!L$1,[1]products!$A$1:$G$1,0))</f>
        <v>5.3699999999999992</v>
      </c>
      <c r="I63" s="6">
        <f t="shared" si="0"/>
        <v>26.849999999999994</v>
      </c>
    </row>
    <row r="64" spans="1:9" x14ac:dyDescent="0.3">
      <c r="A64" s="1" t="s">
        <v>147</v>
      </c>
      <c r="B64" s="2">
        <v>43505</v>
      </c>
      <c r="C64" s="3" t="s">
        <v>148</v>
      </c>
      <c r="D64" s="3" t="str">
        <f>INDEX('Customers (2)'!B:B,MATCH('Customers (2)'!A64,'Customers (2)'!A:A,0))</f>
        <v>Nona Linklater</v>
      </c>
      <c r="E64" s="4" t="s">
        <v>19</v>
      </c>
      <c r="F64" s="3">
        <v>5</v>
      </c>
      <c r="G64" s="5">
        <f>INDEX([1]products!$A$1:$G$49,MATCH([1]orders!$D64,[1]products!$A$1:$A$49,0),MATCH([1]orders!K$1,[1]products!$A$1:$G$1,0))</f>
        <v>0.2</v>
      </c>
      <c r="H64" s="6">
        <f>INDEX([1]products!$A$1:$G$49,MATCH([1]orders!$D64,[1]products!$A$1:$A$49,0),MATCH([1]orders!L$1,[1]products!$A$1:$G$1,0))</f>
        <v>4.7549999999999999</v>
      </c>
      <c r="I64" s="6">
        <f t="shared" si="0"/>
        <v>23.774999999999999</v>
      </c>
    </row>
    <row r="65" spans="1:9" x14ac:dyDescent="0.3">
      <c r="A65" s="1" t="s">
        <v>149</v>
      </c>
      <c r="B65" s="2">
        <v>43868</v>
      </c>
      <c r="C65" s="3" t="s">
        <v>150</v>
      </c>
      <c r="D65" s="3" t="str">
        <f>INDEX('Customers (2)'!B:B,MATCH('Customers (2)'!A65,'Customers (2)'!A:A,0))</f>
        <v>Annadiane Dykes</v>
      </c>
      <c r="E65" s="4" t="s">
        <v>67</v>
      </c>
      <c r="F65" s="3">
        <v>1</v>
      </c>
      <c r="G65" s="5">
        <f>INDEX([1]products!$A$1:$G$49,MATCH([1]orders!$D65,[1]products!$A$1:$A$49,0),MATCH([1]orders!K$1,[1]products!$A$1:$G$1,0))</f>
        <v>0.5</v>
      </c>
      <c r="H65" s="6">
        <f>INDEX([1]products!$A$1:$G$49,MATCH([1]orders!$D65,[1]products!$A$1:$A$49,0),MATCH([1]orders!L$1,[1]products!$A$1:$G$1,0))</f>
        <v>6.75</v>
      </c>
      <c r="I65" s="6">
        <f t="shared" si="0"/>
        <v>6.75</v>
      </c>
    </row>
    <row r="66" spans="1:9" x14ac:dyDescent="0.3">
      <c r="A66" s="1" t="s">
        <v>151</v>
      </c>
      <c r="B66" s="2">
        <v>43913</v>
      </c>
      <c r="C66" s="3" t="s">
        <v>152</v>
      </c>
      <c r="D66" s="3" t="str">
        <f>INDEX('Customers (2)'!B:B,MATCH('Customers (2)'!A66,'Customers (2)'!A:A,0))</f>
        <v>Felecia Dodgson</v>
      </c>
      <c r="E66" s="4" t="s">
        <v>22</v>
      </c>
      <c r="F66" s="3">
        <v>6</v>
      </c>
      <c r="G66" s="5">
        <f>INDEX([1]products!$A$1:$G$49,MATCH([1]orders!$D66,[1]products!$A$1:$A$49,0),MATCH([1]orders!K$1,[1]products!$A$1:$G$1,0))</f>
        <v>0.5</v>
      </c>
      <c r="H66" s="6">
        <f>INDEX([1]products!$A$1:$G$49,MATCH([1]orders!$D66,[1]products!$A$1:$A$49,0),MATCH([1]orders!L$1,[1]products!$A$1:$G$1,0))</f>
        <v>5.97</v>
      </c>
      <c r="I66" s="6">
        <f t="shared" ref="I66:I129" si="1">F66*H66</f>
        <v>35.82</v>
      </c>
    </row>
    <row r="67" spans="1:9" x14ac:dyDescent="0.3">
      <c r="A67" s="1" t="s">
        <v>153</v>
      </c>
      <c r="B67" s="2">
        <v>44626</v>
      </c>
      <c r="C67" s="3" t="s">
        <v>154</v>
      </c>
      <c r="D67" s="3" t="str">
        <f>INDEX('Customers (2)'!B:B,MATCH('Customers (2)'!A67,'Customers (2)'!A:A,0))</f>
        <v>Angelia Cockrem</v>
      </c>
      <c r="E67" s="4" t="s">
        <v>35</v>
      </c>
      <c r="F67" s="3">
        <v>4</v>
      </c>
      <c r="G67" s="5">
        <f>INDEX([1]products!$A$1:$G$49,MATCH([1]orders!$D67,[1]products!$A$1:$A$49,0),MATCH([1]orders!K$1,[1]products!$A$1:$G$1,0))</f>
        <v>2.5</v>
      </c>
      <c r="H67" s="6">
        <f>INDEX([1]products!$A$1:$G$49,MATCH([1]orders!$D67,[1]products!$A$1:$A$49,0),MATCH([1]orders!L$1,[1]products!$A$1:$G$1,0))</f>
        <v>20.584999999999997</v>
      </c>
      <c r="I67" s="6">
        <f t="shared" si="1"/>
        <v>82.339999999999989</v>
      </c>
    </row>
    <row r="68" spans="1:9" x14ac:dyDescent="0.3">
      <c r="A68" s="1" t="s">
        <v>155</v>
      </c>
      <c r="B68" s="2">
        <v>44666</v>
      </c>
      <c r="C68" s="3" t="s">
        <v>156</v>
      </c>
      <c r="D68" s="3" t="str">
        <f>INDEX('Customers (2)'!B:B,MATCH('Customers (2)'!A68,'Customers (2)'!A:A,0))</f>
        <v>Belvia Umpleby</v>
      </c>
      <c r="E68" s="4" t="s">
        <v>157</v>
      </c>
      <c r="F68" s="3">
        <v>1</v>
      </c>
      <c r="G68" s="5">
        <f>INDEX([1]products!$A$1:$G$49,MATCH([1]orders!$D68,[1]products!$A$1:$A$49,0),MATCH([1]orders!K$1,[1]products!$A$1:$G$1,0))</f>
        <v>0.5</v>
      </c>
      <c r="H68" s="6">
        <f>INDEX([1]products!$A$1:$G$49,MATCH([1]orders!$D68,[1]products!$A$1:$A$49,0),MATCH([1]orders!L$1,[1]products!$A$1:$G$1,0))</f>
        <v>7.169999999999999</v>
      </c>
      <c r="I68" s="6">
        <f t="shared" si="1"/>
        <v>7.169999999999999</v>
      </c>
    </row>
    <row r="69" spans="1:9" x14ac:dyDescent="0.3">
      <c r="A69" s="1" t="s">
        <v>158</v>
      </c>
      <c r="B69" s="2">
        <v>44519</v>
      </c>
      <c r="C69" s="3" t="s">
        <v>159</v>
      </c>
      <c r="D69" s="3" t="str">
        <f>INDEX('Customers (2)'!B:B,MATCH('Customers (2)'!A69,'Customers (2)'!A:A,0))</f>
        <v>Nat Saleway</v>
      </c>
      <c r="E69" s="4" t="s">
        <v>19</v>
      </c>
      <c r="F69" s="3">
        <v>2</v>
      </c>
      <c r="G69" s="5">
        <f>INDEX([1]products!$A$1:$G$49,MATCH([1]orders!$D69,[1]products!$A$1:$A$49,0),MATCH([1]orders!K$1,[1]products!$A$1:$G$1,0))</f>
        <v>0.2</v>
      </c>
      <c r="H69" s="6">
        <f>INDEX([1]products!$A$1:$G$49,MATCH([1]orders!$D69,[1]products!$A$1:$A$49,0),MATCH([1]orders!L$1,[1]products!$A$1:$G$1,0))</f>
        <v>4.7549999999999999</v>
      </c>
      <c r="I69" s="6">
        <f t="shared" si="1"/>
        <v>9.51</v>
      </c>
    </row>
    <row r="70" spans="1:9" x14ac:dyDescent="0.3">
      <c r="A70" s="1" t="s">
        <v>160</v>
      </c>
      <c r="B70" s="2">
        <v>43754</v>
      </c>
      <c r="C70" s="3" t="s">
        <v>161</v>
      </c>
      <c r="D70" s="3" t="str">
        <f>INDEX('Customers (2)'!B:B,MATCH('Customers (2)'!A70,'Customers (2)'!A:A,0))</f>
        <v>Hayward Goulter</v>
      </c>
      <c r="E70" s="4" t="s">
        <v>162</v>
      </c>
      <c r="F70" s="3">
        <v>1</v>
      </c>
      <c r="G70" s="5">
        <f>INDEX([1]products!$A$1:$G$49,MATCH([1]orders!$D70,[1]products!$A$1:$A$49,0),MATCH([1]orders!K$1,[1]products!$A$1:$G$1,0))</f>
        <v>0.2</v>
      </c>
      <c r="H70" s="6">
        <f>INDEX([1]products!$A$1:$G$49,MATCH([1]orders!$D70,[1]products!$A$1:$A$49,0),MATCH([1]orders!L$1,[1]products!$A$1:$G$1,0))</f>
        <v>2.9849999999999999</v>
      </c>
      <c r="I70" s="6">
        <f t="shared" si="1"/>
        <v>2.9849999999999999</v>
      </c>
    </row>
    <row r="71" spans="1:9" x14ac:dyDescent="0.3">
      <c r="A71" s="1" t="s">
        <v>163</v>
      </c>
      <c r="B71" s="2">
        <v>43795</v>
      </c>
      <c r="C71" s="3" t="s">
        <v>164</v>
      </c>
      <c r="D71" s="3" t="str">
        <f>INDEX('Customers (2)'!B:B,MATCH('Customers (2)'!A71,'Customers (2)'!A:A,0))</f>
        <v>Gay Rizzello</v>
      </c>
      <c r="E71" s="4" t="s">
        <v>2</v>
      </c>
      <c r="F71" s="3">
        <v>6</v>
      </c>
      <c r="G71" s="5">
        <f>INDEX([1]products!$A$1:$G$49,MATCH([1]orders!$D71,[1]products!$A$1:$A$49,0),MATCH([1]orders!K$1,[1]products!$A$1:$G$1,0))</f>
        <v>1</v>
      </c>
      <c r="H71" s="6">
        <f>INDEX([1]products!$A$1:$G$49,MATCH([1]orders!$D71,[1]products!$A$1:$A$49,0),MATCH([1]orders!L$1,[1]products!$A$1:$G$1,0))</f>
        <v>9.9499999999999993</v>
      </c>
      <c r="I71" s="6">
        <f t="shared" si="1"/>
        <v>59.699999999999996</v>
      </c>
    </row>
    <row r="72" spans="1:9" x14ac:dyDescent="0.3">
      <c r="A72" s="1" t="s">
        <v>165</v>
      </c>
      <c r="B72" s="2">
        <v>43646</v>
      </c>
      <c r="C72" s="3" t="s">
        <v>166</v>
      </c>
      <c r="D72" s="3" t="str">
        <f>INDEX('Customers (2)'!B:B,MATCH('Customers (2)'!A72,'Customers (2)'!A:A,0))</f>
        <v>Shannon List</v>
      </c>
      <c r="E72" s="4" t="s">
        <v>30</v>
      </c>
      <c r="F72" s="3">
        <v>4</v>
      </c>
      <c r="G72" s="5">
        <f>INDEX([1]products!$A$1:$G$49,MATCH([1]orders!$D72,[1]products!$A$1:$A$49,0),MATCH([1]orders!K$1,[1]products!$A$1:$G$1,0))</f>
        <v>2.5</v>
      </c>
      <c r="H72" s="6">
        <f>INDEX([1]products!$A$1:$G$49,MATCH([1]orders!$D72,[1]products!$A$1:$A$49,0),MATCH([1]orders!L$1,[1]products!$A$1:$G$1,0))</f>
        <v>34.154999999999994</v>
      </c>
      <c r="I72" s="6">
        <f t="shared" si="1"/>
        <v>136.61999999999998</v>
      </c>
    </row>
    <row r="73" spans="1:9" x14ac:dyDescent="0.3">
      <c r="A73" s="1" t="s">
        <v>167</v>
      </c>
      <c r="B73" s="2">
        <v>44200</v>
      </c>
      <c r="C73" s="3" t="s">
        <v>168</v>
      </c>
      <c r="D73" s="3" t="str">
        <f>INDEX('Customers (2)'!B:B,MATCH('Customers (2)'!A73,'Customers (2)'!A:A,0))</f>
        <v>Shirlene Edmondson</v>
      </c>
      <c r="E73" s="4" t="s">
        <v>19</v>
      </c>
      <c r="F73" s="3">
        <v>2</v>
      </c>
      <c r="G73" s="5">
        <f>INDEX([1]products!$A$1:$G$49,MATCH([1]orders!$D73,[1]products!$A$1:$A$49,0),MATCH([1]orders!K$1,[1]products!$A$1:$G$1,0))</f>
        <v>0.2</v>
      </c>
      <c r="H73" s="6">
        <f>INDEX([1]products!$A$1:$G$49,MATCH([1]orders!$D73,[1]products!$A$1:$A$49,0),MATCH([1]orders!L$1,[1]products!$A$1:$G$1,0))</f>
        <v>4.7549999999999999</v>
      </c>
      <c r="I73" s="6">
        <f t="shared" si="1"/>
        <v>9.51</v>
      </c>
    </row>
    <row r="74" spans="1:9" x14ac:dyDescent="0.3">
      <c r="A74" s="1" t="s">
        <v>169</v>
      </c>
      <c r="B74" s="2">
        <v>44131</v>
      </c>
      <c r="C74" s="3" t="s">
        <v>170</v>
      </c>
      <c r="D74" s="3" t="str">
        <f>INDEX('Customers (2)'!B:B,MATCH('Customers (2)'!A74,'Customers (2)'!A:A,0))</f>
        <v>Aurlie McCarl</v>
      </c>
      <c r="E74" s="4" t="s">
        <v>171</v>
      </c>
      <c r="F74" s="3">
        <v>3</v>
      </c>
      <c r="G74" s="5">
        <f>INDEX([1]products!$A$1:$G$49,MATCH([1]orders!$D74,[1]products!$A$1:$A$49,0),MATCH([1]orders!K$1,[1]products!$A$1:$G$1,0))</f>
        <v>2.5</v>
      </c>
      <c r="H74" s="6">
        <f>INDEX([1]products!$A$1:$G$49,MATCH([1]orders!$D74,[1]products!$A$1:$A$49,0),MATCH([1]orders!L$1,[1]products!$A$1:$G$1,0))</f>
        <v>25.874999999999996</v>
      </c>
      <c r="I74" s="6">
        <f t="shared" si="1"/>
        <v>77.624999999999986</v>
      </c>
    </row>
    <row r="75" spans="1:9" x14ac:dyDescent="0.3">
      <c r="A75" s="1" t="s">
        <v>172</v>
      </c>
      <c r="B75" s="2">
        <v>44362</v>
      </c>
      <c r="C75" s="3" t="s">
        <v>173</v>
      </c>
      <c r="D75" s="3" t="str">
        <f>INDEX('Customers (2)'!B:B,MATCH('Customers (2)'!A75,'Customers (2)'!A:A,0))</f>
        <v>Alikee Carryer</v>
      </c>
      <c r="E75" s="4" t="s">
        <v>77</v>
      </c>
      <c r="F75" s="3">
        <v>5</v>
      </c>
      <c r="G75" s="5">
        <f>INDEX([1]products!$A$1:$G$49,MATCH([1]orders!$D75,[1]products!$A$1:$A$49,0),MATCH([1]orders!K$1,[1]products!$A$1:$G$1,0))</f>
        <v>0.2</v>
      </c>
      <c r="H75" s="6">
        <f>INDEX([1]products!$A$1:$G$49,MATCH([1]orders!$D75,[1]products!$A$1:$A$49,0),MATCH([1]orders!L$1,[1]products!$A$1:$G$1,0))</f>
        <v>4.3650000000000002</v>
      </c>
      <c r="I75" s="6">
        <f t="shared" si="1"/>
        <v>21.825000000000003</v>
      </c>
    </row>
    <row r="76" spans="1:9" x14ac:dyDescent="0.3">
      <c r="A76" s="1" t="s">
        <v>174</v>
      </c>
      <c r="B76" s="2">
        <v>44396</v>
      </c>
      <c r="C76" s="3" t="s">
        <v>175</v>
      </c>
      <c r="D76" s="3" t="str">
        <f>INDEX('Customers (2)'!B:B,MATCH('Customers (2)'!A76,'Customers (2)'!A:A,0))</f>
        <v>Jennifer Rangall</v>
      </c>
      <c r="E76" s="4" t="s">
        <v>176</v>
      </c>
      <c r="F76" s="3">
        <v>2</v>
      </c>
      <c r="G76" s="5">
        <f>INDEX([1]products!$A$1:$G$49,MATCH([1]orders!$D76,[1]products!$A$1:$A$49,0),MATCH([1]orders!K$1,[1]products!$A$1:$G$1,0))</f>
        <v>0.5</v>
      </c>
      <c r="H76" s="6">
        <f>INDEX([1]products!$A$1:$G$49,MATCH([1]orders!$D76,[1]products!$A$1:$A$49,0),MATCH([1]orders!L$1,[1]products!$A$1:$G$1,0))</f>
        <v>8.91</v>
      </c>
      <c r="I76" s="6">
        <f t="shared" si="1"/>
        <v>17.82</v>
      </c>
    </row>
    <row r="77" spans="1:9" x14ac:dyDescent="0.3">
      <c r="A77" s="1" t="s">
        <v>177</v>
      </c>
      <c r="B77" s="2">
        <v>44400</v>
      </c>
      <c r="C77" s="3" t="s">
        <v>178</v>
      </c>
      <c r="D77" s="3" t="str">
        <f>INDEX('Customers (2)'!B:B,MATCH('Customers (2)'!A77,'Customers (2)'!A:A,0))</f>
        <v>Kipper Boorn</v>
      </c>
      <c r="E77" s="4" t="s">
        <v>179</v>
      </c>
      <c r="F77" s="3">
        <v>6</v>
      </c>
      <c r="G77" s="5">
        <f>INDEX([1]products!$A$1:$G$49,MATCH([1]orders!$D77,[1]products!$A$1:$A$49,0),MATCH([1]orders!K$1,[1]products!$A$1:$G$1,0))</f>
        <v>1</v>
      </c>
      <c r="H77" s="6">
        <f>INDEX([1]products!$A$1:$G$49,MATCH([1]orders!$D77,[1]products!$A$1:$A$49,0),MATCH([1]orders!L$1,[1]products!$A$1:$G$1,0))</f>
        <v>8.9499999999999993</v>
      </c>
      <c r="I77" s="6">
        <f t="shared" si="1"/>
        <v>53.699999999999996</v>
      </c>
    </row>
    <row r="78" spans="1:9" x14ac:dyDescent="0.3">
      <c r="A78" s="1" t="s">
        <v>180</v>
      </c>
      <c r="B78" s="2">
        <v>43855</v>
      </c>
      <c r="C78" s="3" t="s">
        <v>181</v>
      </c>
      <c r="D78" s="3" t="str">
        <f>INDEX('Customers (2)'!B:B,MATCH('Customers (2)'!A78,'Customers (2)'!A:A,0))</f>
        <v>Melania Beadle</v>
      </c>
      <c r="E78" s="4" t="s">
        <v>182</v>
      </c>
      <c r="F78" s="3">
        <v>1</v>
      </c>
      <c r="G78" s="5">
        <f>INDEX([1]products!$A$1:$G$49,MATCH([1]orders!$D78,[1]products!$A$1:$A$49,0),MATCH([1]orders!K$1,[1]products!$A$1:$G$1,0))</f>
        <v>0.2</v>
      </c>
      <c r="H78" s="6">
        <f>INDEX([1]products!$A$1:$G$49,MATCH([1]orders!$D78,[1]products!$A$1:$A$49,0),MATCH([1]orders!L$1,[1]products!$A$1:$G$1,0))</f>
        <v>3.5849999999999995</v>
      </c>
      <c r="I78" s="6">
        <f t="shared" si="1"/>
        <v>3.5849999999999995</v>
      </c>
    </row>
    <row r="79" spans="1:9" x14ac:dyDescent="0.3">
      <c r="A79" s="1" t="s">
        <v>183</v>
      </c>
      <c r="B79" s="2">
        <v>43594</v>
      </c>
      <c r="C79" s="3" t="s">
        <v>184</v>
      </c>
      <c r="D79" s="3" t="str">
        <f>INDEX('Customers (2)'!B:B,MATCH('Customers (2)'!A79,'Customers (2)'!A:A,0))</f>
        <v>Colene Elgey</v>
      </c>
      <c r="E79" s="4" t="s">
        <v>51</v>
      </c>
      <c r="F79" s="3">
        <v>2</v>
      </c>
      <c r="G79" s="5">
        <f>INDEX([1]products!$A$1:$G$49,MATCH([1]orders!$D79,[1]products!$A$1:$A$49,0),MATCH([1]orders!K$1,[1]products!$A$1:$G$1,0))</f>
        <v>0.2</v>
      </c>
      <c r="H79" s="6">
        <f>INDEX([1]products!$A$1:$G$49,MATCH([1]orders!$D79,[1]products!$A$1:$A$49,0),MATCH([1]orders!L$1,[1]products!$A$1:$G$1,0))</f>
        <v>3.645</v>
      </c>
      <c r="I79" s="6">
        <f t="shared" si="1"/>
        <v>7.29</v>
      </c>
    </row>
    <row r="80" spans="1:9" x14ac:dyDescent="0.3">
      <c r="A80" s="1" t="s">
        <v>185</v>
      </c>
      <c r="B80" s="2">
        <v>43920</v>
      </c>
      <c r="C80" s="3" t="s">
        <v>186</v>
      </c>
      <c r="D80" s="3" t="str">
        <f>INDEX('Customers (2)'!B:B,MATCH('Customers (2)'!A80,'Customers (2)'!A:A,0))</f>
        <v>Lothaire Mizzi</v>
      </c>
      <c r="E80" s="4" t="s">
        <v>67</v>
      </c>
      <c r="F80" s="3">
        <v>6</v>
      </c>
      <c r="G80" s="5">
        <f>INDEX([1]products!$A$1:$G$49,MATCH([1]orders!$D80,[1]products!$A$1:$A$49,0),MATCH([1]orders!K$1,[1]products!$A$1:$G$1,0))</f>
        <v>0.5</v>
      </c>
      <c r="H80" s="6">
        <f>INDEX([1]products!$A$1:$G$49,MATCH([1]orders!$D80,[1]products!$A$1:$A$49,0),MATCH([1]orders!L$1,[1]products!$A$1:$G$1,0))</f>
        <v>6.75</v>
      </c>
      <c r="I80" s="6">
        <f t="shared" si="1"/>
        <v>40.5</v>
      </c>
    </row>
    <row r="81" spans="1:9" x14ac:dyDescent="0.3">
      <c r="A81" s="1" t="s">
        <v>187</v>
      </c>
      <c r="B81" s="2">
        <v>44633</v>
      </c>
      <c r="C81" s="3" t="s">
        <v>188</v>
      </c>
      <c r="D81" s="3" t="str">
        <f>INDEX('Customers (2)'!B:B,MATCH('Customers (2)'!A81,'Customers (2)'!A:A,0))</f>
        <v>Cletis Giacomazzo</v>
      </c>
      <c r="E81" s="4" t="s">
        <v>189</v>
      </c>
      <c r="F81" s="3">
        <v>4</v>
      </c>
      <c r="G81" s="5">
        <f>INDEX([1]products!$A$1:$G$49,MATCH([1]orders!$D81,[1]products!$A$1:$A$49,0),MATCH([1]orders!K$1,[1]products!$A$1:$G$1,0))</f>
        <v>1</v>
      </c>
      <c r="H81" s="6">
        <f>INDEX([1]products!$A$1:$G$49,MATCH([1]orders!$D81,[1]products!$A$1:$A$49,0),MATCH([1]orders!L$1,[1]products!$A$1:$G$1,0))</f>
        <v>11.95</v>
      </c>
      <c r="I81" s="6">
        <f t="shared" si="1"/>
        <v>47.8</v>
      </c>
    </row>
    <row r="82" spans="1:9" x14ac:dyDescent="0.3">
      <c r="A82" s="1" t="s">
        <v>190</v>
      </c>
      <c r="B82" s="2">
        <v>43572</v>
      </c>
      <c r="C82" s="3" t="s">
        <v>191</v>
      </c>
      <c r="D82" s="3" t="str">
        <f>INDEX('Customers (2)'!B:B,MATCH('Customers (2)'!A82,'Customers (2)'!A:A,0))</f>
        <v>Ami Arnow</v>
      </c>
      <c r="E82" s="4" t="s">
        <v>192</v>
      </c>
      <c r="F82" s="3">
        <v>5</v>
      </c>
      <c r="G82" s="5">
        <f>INDEX([1]products!$A$1:$G$49,MATCH([1]orders!$D82,[1]products!$A$1:$A$49,0),MATCH([1]orders!K$1,[1]products!$A$1:$G$1,0))</f>
        <v>0.5</v>
      </c>
      <c r="H82" s="6">
        <f>INDEX([1]products!$A$1:$G$49,MATCH([1]orders!$D82,[1]products!$A$1:$A$49,0),MATCH([1]orders!L$1,[1]products!$A$1:$G$1,0))</f>
        <v>7.77</v>
      </c>
      <c r="I82" s="6">
        <f t="shared" si="1"/>
        <v>38.849999999999994</v>
      </c>
    </row>
    <row r="83" spans="1:9" x14ac:dyDescent="0.3">
      <c r="A83" s="1" t="s">
        <v>193</v>
      </c>
      <c r="B83" s="2">
        <v>43763</v>
      </c>
      <c r="C83" s="3" t="s">
        <v>194</v>
      </c>
      <c r="D83" s="3" t="str">
        <f>INDEX('Customers (2)'!B:B,MATCH('Customers (2)'!A83,'Customers (2)'!A:A,0))</f>
        <v>Sheppard Yann</v>
      </c>
      <c r="E83" s="4" t="s">
        <v>104</v>
      </c>
      <c r="F83" s="3">
        <v>3</v>
      </c>
      <c r="G83" s="5">
        <f>INDEX([1]products!$A$1:$G$49,MATCH([1]orders!$D83,[1]products!$A$1:$A$49,0),MATCH([1]orders!K$1,[1]products!$A$1:$G$1,0))</f>
        <v>2.5</v>
      </c>
      <c r="H83" s="6">
        <f>INDEX([1]products!$A$1:$G$49,MATCH([1]orders!$D83,[1]products!$A$1:$A$49,0),MATCH([1]orders!L$1,[1]products!$A$1:$G$1,0))</f>
        <v>36.454999999999998</v>
      </c>
      <c r="I83" s="6">
        <f t="shared" si="1"/>
        <v>109.36499999999999</v>
      </c>
    </row>
    <row r="84" spans="1:9" x14ac:dyDescent="0.3">
      <c r="A84" s="1" t="s">
        <v>195</v>
      </c>
      <c r="B84" s="2">
        <v>43721</v>
      </c>
      <c r="C84" s="3" t="s">
        <v>196</v>
      </c>
      <c r="D84" s="3" t="str">
        <f>INDEX('Customers (2)'!B:B,MATCH('Customers (2)'!A84,'Customers (2)'!A:A,0))</f>
        <v>Bunny Naulls</v>
      </c>
      <c r="E84" s="4" t="s">
        <v>197</v>
      </c>
      <c r="F84" s="3">
        <v>3</v>
      </c>
      <c r="G84" s="5">
        <f>INDEX([1]products!$A$1:$G$49,MATCH([1]orders!$D84,[1]products!$A$1:$A$49,0),MATCH([1]orders!K$1,[1]products!$A$1:$G$1,0))</f>
        <v>2.5</v>
      </c>
      <c r="H84" s="6">
        <f>INDEX([1]products!$A$1:$G$49,MATCH([1]orders!$D84,[1]products!$A$1:$A$49,0),MATCH([1]orders!L$1,[1]products!$A$1:$G$1,0))</f>
        <v>33.464999999999996</v>
      </c>
      <c r="I84" s="6">
        <f t="shared" si="1"/>
        <v>100.39499999999998</v>
      </c>
    </row>
    <row r="85" spans="1:9" x14ac:dyDescent="0.3">
      <c r="A85" s="1" t="s">
        <v>198</v>
      </c>
      <c r="B85" s="2">
        <v>43933</v>
      </c>
      <c r="C85" s="3" t="s">
        <v>199</v>
      </c>
      <c r="D85" s="3" t="str">
        <f>INDEX('Customers (2)'!B:B,MATCH('Customers (2)'!A85,'Customers (2)'!A:A,0))</f>
        <v>Hally Lorait</v>
      </c>
      <c r="E85" s="4" t="s">
        <v>35</v>
      </c>
      <c r="F85" s="3">
        <v>4</v>
      </c>
      <c r="G85" s="5">
        <f>INDEX([1]products!$A$1:$G$49,MATCH([1]orders!$D85,[1]products!$A$1:$A$49,0),MATCH([1]orders!K$1,[1]products!$A$1:$G$1,0))</f>
        <v>2.5</v>
      </c>
      <c r="H85" s="6">
        <f>INDEX([1]products!$A$1:$G$49,MATCH([1]orders!$D85,[1]products!$A$1:$A$49,0),MATCH([1]orders!L$1,[1]products!$A$1:$G$1,0))</f>
        <v>20.584999999999997</v>
      </c>
      <c r="I85" s="6">
        <f t="shared" si="1"/>
        <v>82.339999999999989</v>
      </c>
    </row>
    <row r="86" spans="1:9" x14ac:dyDescent="0.3">
      <c r="A86" s="1" t="s">
        <v>200</v>
      </c>
      <c r="B86" s="2">
        <v>43783</v>
      </c>
      <c r="C86" s="3" t="s">
        <v>201</v>
      </c>
      <c r="D86" s="3" t="str">
        <f>INDEX('Customers (2)'!B:B,MATCH('Customers (2)'!A86,'Customers (2)'!A:A,0))</f>
        <v>Zaccaria Sherewood</v>
      </c>
      <c r="E86" s="4" t="s">
        <v>83</v>
      </c>
      <c r="F86" s="3">
        <v>1</v>
      </c>
      <c r="G86" s="5">
        <f>INDEX([1]products!$A$1:$G$49,MATCH([1]orders!$D86,[1]products!$A$1:$A$49,0),MATCH([1]orders!K$1,[1]products!$A$1:$G$1,0))</f>
        <v>0.5</v>
      </c>
      <c r="H86" s="6">
        <f>INDEX([1]products!$A$1:$G$49,MATCH([1]orders!$D86,[1]products!$A$1:$A$49,0),MATCH([1]orders!L$1,[1]products!$A$1:$G$1,0))</f>
        <v>9.51</v>
      </c>
      <c r="I86" s="6">
        <f t="shared" si="1"/>
        <v>9.51</v>
      </c>
    </row>
    <row r="87" spans="1:9" x14ac:dyDescent="0.3">
      <c r="A87" s="1" t="s">
        <v>202</v>
      </c>
      <c r="B87" s="2">
        <v>43664</v>
      </c>
      <c r="C87" s="3" t="s">
        <v>203</v>
      </c>
      <c r="D87" s="3" t="str">
        <f>INDEX('Customers (2)'!B:B,MATCH('Customers (2)'!A87,'Customers (2)'!A:A,0))</f>
        <v>Jeffrey Dufaire</v>
      </c>
      <c r="E87" s="4" t="s">
        <v>204</v>
      </c>
      <c r="F87" s="3">
        <v>3</v>
      </c>
      <c r="G87" s="5">
        <f>INDEX([1]products!$A$1:$G$49,MATCH([1]orders!$D87,[1]products!$A$1:$A$49,0),MATCH([1]orders!K$1,[1]products!$A$1:$G$1,0))</f>
        <v>2.5</v>
      </c>
      <c r="H87" s="6">
        <f>INDEX([1]products!$A$1:$G$49,MATCH([1]orders!$D87,[1]products!$A$1:$A$49,0),MATCH([1]orders!L$1,[1]products!$A$1:$G$1,0))</f>
        <v>29.784999999999997</v>
      </c>
      <c r="I87" s="6">
        <f t="shared" si="1"/>
        <v>89.35499999999999</v>
      </c>
    </row>
    <row r="88" spans="1:9" x14ac:dyDescent="0.3">
      <c r="A88" s="1" t="s">
        <v>202</v>
      </c>
      <c r="B88" s="2">
        <v>43664</v>
      </c>
      <c r="C88" s="3" t="s">
        <v>203</v>
      </c>
      <c r="D88" s="3" t="str">
        <f>INDEX('Customers (2)'!B:B,MATCH('Customers (2)'!A88,'Customers (2)'!A:A,0))</f>
        <v>Blancha McAmish</v>
      </c>
      <c r="E88" s="4" t="s">
        <v>54</v>
      </c>
      <c r="F88" s="3">
        <v>4</v>
      </c>
      <c r="G88" s="5">
        <f>INDEX([1]products!$A$1:$G$49,MATCH([1]orders!$D88,[1]products!$A$1:$A$49,0),MATCH([1]orders!K$1,[1]products!$A$1:$G$1,0))</f>
        <v>0.2</v>
      </c>
      <c r="H88" s="6">
        <f>INDEX([1]products!$A$1:$G$49,MATCH([1]orders!$D88,[1]products!$A$1:$A$49,0),MATCH([1]orders!L$1,[1]products!$A$1:$G$1,0))</f>
        <v>2.9849999999999999</v>
      </c>
      <c r="I88" s="6">
        <f t="shared" si="1"/>
        <v>11.94</v>
      </c>
    </row>
    <row r="89" spans="1:9" x14ac:dyDescent="0.3">
      <c r="A89" s="1" t="s">
        <v>205</v>
      </c>
      <c r="B89" s="2">
        <v>44289</v>
      </c>
      <c r="C89" s="3" t="s">
        <v>206</v>
      </c>
      <c r="D89" s="3" t="str">
        <f>INDEX('Customers (2)'!B:B,MATCH('Customers (2)'!A89,'Customers (2)'!A:A,0))</f>
        <v>Beitris Keaveney</v>
      </c>
      <c r="E89" s="4" t="s">
        <v>61</v>
      </c>
      <c r="F89" s="3">
        <v>3</v>
      </c>
      <c r="G89" s="5">
        <f>INDEX([1]products!$A$1:$G$49,MATCH([1]orders!$D89,[1]products!$A$1:$A$49,0),MATCH([1]orders!K$1,[1]products!$A$1:$G$1,0))</f>
        <v>1</v>
      </c>
      <c r="H89" s="6">
        <f>INDEX([1]products!$A$1:$G$49,MATCH([1]orders!$D89,[1]products!$A$1:$A$49,0),MATCH([1]orders!L$1,[1]products!$A$1:$G$1,0))</f>
        <v>11.25</v>
      </c>
      <c r="I89" s="6">
        <f t="shared" si="1"/>
        <v>33.75</v>
      </c>
    </row>
    <row r="90" spans="1:9" x14ac:dyDescent="0.3">
      <c r="A90" s="1" t="s">
        <v>207</v>
      </c>
      <c r="B90" s="2">
        <v>44284</v>
      </c>
      <c r="C90" s="3" t="s">
        <v>208</v>
      </c>
      <c r="D90" s="3" t="str">
        <f>INDEX('Customers (2)'!B:B,MATCH('Customers (2)'!A90,'Customers (2)'!A:A,0))</f>
        <v>Elna Grise</v>
      </c>
      <c r="E90" s="4" t="s">
        <v>189</v>
      </c>
      <c r="F90" s="3">
        <v>3</v>
      </c>
      <c r="G90" s="5">
        <f>INDEX([1]products!$A$1:$G$49,MATCH([1]orders!$D90,[1]products!$A$1:$A$49,0),MATCH([1]orders!K$1,[1]products!$A$1:$G$1,0))</f>
        <v>1</v>
      </c>
      <c r="H90" s="6">
        <f>INDEX([1]products!$A$1:$G$49,MATCH([1]orders!$D90,[1]products!$A$1:$A$49,0),MATCH([1]orders!L$1,[1]products!$A$1:$G$1,0))</f>
        <v>11.95</v>
      </c>
      <c r="I90" s="6">
        <f t="shared" si="1"/>
        <v>35.849999999999994</v>
      </c>
    </row>
    <row r="91" spans="1:9" x14ac:dyDescent="0.3">
      <c r="A91" s="1" t="s">
        <v>209</v>
      </c>
      <c r="B91" s="2">
        <v>44545</v>
      </c>
      <c r="C91" s="3" t="s">
        <v>210</v>
      </c>
      <c r="D91" s="3" t="str">
        <f>INDEX('Customers (2)'!B:B,MATCH('Customers (2)'!A91,'Customers (2)'!A:A,0))</f>
        <v>Torie Gottelier</v>
      </c>
      <c r="E91" s="4" t="s">
        <v>6</v>
      </c>
      <c r="F91" s="3">
        <v>6</v>
      </c>
      <c r="G91" s="5">
        <f>INDEX([1]products!$A$1:$G$49,MATCH([1]orders!$D91,[1]products!$A$1:$A$49,0),MATCH([1]orders!K$1,[1]products!$A$1:$G$1,0))</f>
        <v>1</v>
      </c>
      <c r="H91" s="6">
        <f>INDEX([1]products!$A$1:$G$49,MATCH([1]orders!$D91,[1]products!$A$1:$A$49,0),MATCH([1]orders!L$1,[1]products!$A$1:$G$1,0))</f>
        <v>12.95</v>
      </c>
      <c r="I91" s="6">
        <f t="shared" si="1"/>
        <v>77.699999999999989</v>
      </c>
    </row>
    <row r="92" spans="1:9" x14ac:dyDescent="0.3">
      <c r="A92" s="1" t="s">
        <v>211</v>
      </c>
      <c r="B92" s="2">
        <v>43971</v>
      </c>
      <c r="C92" s="3" t="s">
        <v>212</v>
      </c>
      <c r="D92" s="3" t="str">
        <f>INDEX('Customers (2)'!B:B,MATCH('Customers (2)'!A92,'Customers (2)'!A:A,0))</f>
        <v>Loydie Langlais</v>
      </c>
      <c r="E92" s="4" t="s">
        <v>6</v>
      </c>
      <c r="F92" s="3">
        <v>4</v>
      </c>
      <c r="G92" s="5">
        <f>INDEX([1]products!$A$1:$G$49,MATCH([1]orders!$D92,[1]products!$A$1:$A$49,0),MATCH([1]orders!K$1,[1]products!$A$1:$G$1,0))</f>
        <v>1</v>
      </c>
      <c r="H92" s="6">
        <f>INDEX([1]products!$A$1:$G$49,MATCH([1]orders!$D92,[1]products!$A$1:$A$49,0),MATCH([1]orders!L$1,[1]products!$A$1:$G$1,0))</f>
        <v>12.95</v>
      </c>
      <c r="I92" s="6">
        <f t="shared" si="1"/>
        <v>51.8</v>
      </c>
    </row>
    <row r="93" spans="1:9" x14ac:dyDescent="0.3">
      <c r="A93" s="1" t="s">
        <v>213</v>
      </c>
      <c r="B93" s="2">
        <v>44137</v>
      </c>
      <c r="C93" s="3" t="s">
        <v>214</v>
      </c>
      <c r="D93" s="3" t="str">
        <f>INDEX('Customers (2)'!B:B,MATCH('Customers (2)'!A93,'Customers (2)'!A:A,0))</f>
        <v>Adham Greenhead</v>
      </c>
      <c r="E93" s="4" t="s">
        <v>171</v>
      </c>
      <c r="F93" s="3">
        <v>4</v>
      </c>
      <c r="G93" s="5">
        <f>INDEX([1]products!$A$1:$G$49,MATCH([1]orders!$D93,[1]products!$A$1:$A$49,0),MATCH([1]orders!K$1,[1]products!$A$1:$G$1,0))</f>
        <v>2.5</v>
      </c>
      <c r="H93" s="6">
        <f>INDEX([1]products!$A$1:$G$49,MATCH([1]orders!$D93,[1]products!$A$1:$A$49,0),MATCH([1]orders!L$1,[1]products!$A$1:$G$1,0))</f>
        <v>25.874999999999996</v>
      </c>
      <c r="I93" s="6">
        <f t="shared" si="1"/>
        <v>103.49999999999999</v>
      </c>
    </row>
    <row r="94" spans="1:9" x14ac:dyDescent="0.3">
      <c r="A94" s="1" t="s">
        <v>215</v>
      </c>
      <c r="B94" s="2">
        <v>44037</v>
      </c>
      <c r="C94" s="3" t="s">
        <v>216</v>
      </c>
      <c r="D94" s="3" t="str">
        <f>INDEX('Customers (2)'!B:B,MATCH('Customers (2)'!A94,'Customers (2)'!A:A,0))</f>
        <v>Hamish MacSherry</v>
      </c>
      <c r="E94" s="4" t="s">
        <v>137</v>
      </c>
      <c r="F94" s="3">
        <v>3</v>
      </c>
      <c r="G94" s="5">
        <f>INDEX([1]products!$A$1:$G$49,MATCH([1]orders!$D94,[1]products!$A$1:$A$49,0),MATCH([1]orders!K$1,[1]products!$A$1:$G$1,0))</f>
        <v>1</v>
      </c>
      <c r="H94" s="6">
        <f>INDEX([1]products!$A$1:$G$49,MATCH([1]orders!$D94,[1]products!$A$1:$A$49,0),MATCH([1]orders!L$1,[1]products!$A$1:$G$1,0))</f>
        <v>14.85</v>
      </c>
      <c r="I94" s="6">
        <f t="shared" si="1"/>
        <v>44.55</v>
      </c>
    </row>
    <row r="95" spans="1:9" x14ac:dyDescent="0.3">
      <c r="A95" s="1" t="s">
        <v>217</v>
      </c>
      <c r="B95" s="2">
        <v>43538</v>
      </c>
      <c r="C95" s="3" t="s">
        <v>218</v>
      </c>
      <c r="D95" s="3" t="str">
        <f>INDEX('Customers (2)'!B:B,MATCH('Customers (2)'!A95,'Customers (2)'!A:A,0))</f>
        <v>Else Langcaster</v>
      </c>
      <c r="E95" s="4" t="s">
        <v>176</v>
      </c>
      <c r="F95" s="3">
        <v>4</v>
      </c>
      <c r="G95" s="5">
        <f>INDEX([1]products!$A$1:$G$49,MATCH([1]orders!$D95,[1]products!$A$1:$A$49,0),MATCH([1]orders!K$1,[1]products!$A$1:$G$1,0))</f>
        <v>0.5</v>
      </c>
      <c r="H95" s="6">
        <f>INDEX([1]products!$A$1:$G$49,MATCH([1]orders!$D95,[1]products!$A$1:$A$49,0),MATCH([1]orders!L$1,[1]products!$A$1:$G$1,0))</f>
        <v>8.91</v>
      </c>
      <c r="I95" s="6">
        <f t="shared" si="1"/>
        <v>35.64</v>
      </c>
    </row>
    <row r="96" spans="1:9" x14ac:dyDescent="0.3">
      <c r="A96" s="1" t="s">
        <v>219</v>
      </c>
      <c r="B96" s="2">
        <v>44014</v>
      </c>
      <c r="C96" s="3" t="s">
        <v>220</v>
      </c>
      <c r="D96" s="3" t="str">
        <f>INDEX('Customers (2)'!B:B,MATCH('Customers (2)'!A96,'Customers (2)'!A:A,0))</f>
        <v>Rudy Farquharson</v>
      </c>
      <c r="E96" s="4" t="s">
        <v>54</v>
      </c>
      <c r="F96" s="3">
        <v>6</v>
      </c>
      <c r="G96" s="5">
        <f>INDEX([1]products!$A$1:$G$49,MATCH([1]orders!$D96,[1]products!$A$1:$A$49,0),MATCH([1]orders!K$1,[1]products!$A$1:$G$1,0))</f>
        <v>0.2</v>
      </c>
      <c r="H96" s="6">
        <f>INDEX([1]products!$A$1:$G$49,MATCH([1]orders!$D96,[1]products!$A$1:$A$49,0),MATCH([1]orders!L$1,[1]products!$A$1:$G$1,0))</f>
        <v>2.9849999999999999</v>
      </c>
      <c r="I96" s="6">
        <f t="shared" si="1"/>
        <v>17.91</v>
      </c>
    </row>
    <row r="97" spans="1:9" x14ac:dyDescent="0.3">
      <c r="A97" s="1" t="s">
        <v>221</v>
      </c>
      <c r="B97" s="2">
        <v>43816</v>
      </c>
      <c r="C97" s="3" t="s">
        <v>222</v>
      </c>
      <c r="D97" s="3" t="str">
        <f>INDEX('Customers (2)'!B:B,MATCH('Customers (2)'!A97,'Customers (2)'!A:A,0))</f>
        <v>Norene Magauran</v>
      </c>
      <c r="E97" s="4" t="s">
        <v>171</v>
      </c>
      <c r="F97" s="3">
        <v>6</v>
      </c>
      <c r="G97" s="5">
        <f>INDEX([1]products!$A$1:$G$49,MATCH([1]orders!$D97,[1]products!$A$1:$A$49,0),MATCH([1]orders!K$1,[1]products!$A$1:$G$1,0))</f>
        <v>2.5</v>
      </c>
      <c r="H97" s="6">
        <f>INDEX([1]products!$A$1:$G$49,MATCH([1]orders!$D97,[1]products!$A$1:$A$49,0),MATCH([1]orders!L$1,[1]products!$A$1:$G$1,0))</f>
        <v>25.874999999999996</v>
      </c>
      <c r="I97" s="6">
        <f t="shared" si="1"/>
        <v>155.24999999999997</v>
      </c>
    </row>
    <row r="98" spans="1:9" x14ac:dyDescent="0.3">
      <c r="A98" s="1" t="s">
        <v>223</v>
      </c>
      <c r="B98" s="2">
        <v>44171</v>
      </c>
      <c r="C98" s="3" t="s">
        <v>224</v>
      </c>
      <c r="D98" s="3" t="str">
        <f>INDEX('Customers (2)'!B:B,MATCH('Customers (2)'!A98,'Customers (2)'!A:A,0))</f>
        <v>Vicki Kirdsch</v>
      </c>
      <c r="E98" s="4" t="s">
        <v>54</v>
      </c>
      <c r="F98" s="3">
        <v>2</v>
      </c>
      <c r="G98" s="5">
        <f>INDEX([1]products!$A$1:$G$49,MATCH([1]orders!$D98,[1]products!$A$1:$A$49,0),MATCH([1]orders!K$1,[1]products!$A$1:$G$1,0))</f>
        <v>0.2</v>
      </c>
      <c r="H98" s="6">
        <f>INDEX([1]products!$A$1:$G$49,MATCH([1]orders!$D98,[1]products!$A$1:$A$49,0),MATCH([1]orders!L$1,[1]products!$A$1:$G$1,0))</f>
        <v>2.9849999999999999</v>
      </c>
      <c r="I98" s="6">
        <f t="shared" si="1"/>
        <v>5.97</v>
      </c>
    </row>
    <row r="99" spans="1:9" x14ac:dyDescent="0.3">
      <c r="A99" s="1" t="s">
        <v>225</v>
      </c>
      <c r="B99" s="2">
        <v>44259</v>
      </c>
      <c r="C99" s="3" t="s">
        <v>226</v>
      </c>
      <c r="D99" s="3" t="str">
        <f>INDEX('Customers (2)'!B:B,MATCH('Customers (2)'!A99,'Customers (2)'!A:A,0))</f>
        <v>Ilysa Whapple</v>
      </c>
      <c r="E99" s="4" t="s">
        <v>67</v>
      </c>
      <c r="F99" s="3">
        <v>2</v>
      </c>
      <c r="G99" s="5">
        <f>INDEX([1]products!$A$1:$G$49,MATCH([1]orders!$D99,[1]products!$A$1:$A$49,0),MATCH([1]orders!K$1,[1]products!$A$1:$G$1,0))</f>
        <v>0.5</v>
      </c>
      <c r="H99" s="6">
        <f>INDEX([1]products!$A$1:$G$49,MATCH([1]orders!$D99,[1]products!$A$1:$A$49,0),MATCH([1]orders!L$1,[1]products!$A$1:$G$1,0))</f>
        <v>6.75</v>
      </c>
      <c r="I99" s="6">
        <f t="shared" si="1"/>
        <v>13.5</v>
      </c>
    </row>
    <row r="100" spans="1:9" x14ac:dyDescent="0.3">
      <c r="A100" s="1" t="s">
        <v>227</v>
      </c>
      <c r="B100" s="2">
        <v>44394</v>
      </c>
      <c r="C100" s="3" t="s">
        <v>228</v>
      </c>
      <c r="D100" s="3" t="str">
        <f>INDEX('Customers (2)'!B:B,MATCH('Customers (2)'!A100,'Customers (2)'!A:A,0))</f>
        <v>Ruy Cancellieri</v>
      </c>
      <c r="E100" s="4" t="s">
        <v>54</v>
      </c>
      <c r="F100" s="3">
        <v>1</v>
      </c>
      <c r="G100" s="5">
        <f>INDEX([1]products!$A$1:$G$49,MATCH([1]orders!$D100,[1]products!$A$1:$A$49,0),MATCH([1]orders!K$1,[1]products!$A$1:$G$1,0))</f>
        <v>0.2</v>
      </c>
      <c r="H100" s="6">
        <f>INDEX([1]products!$A$1:$G$49,MATCH([1]orders!$D100,[1]products!$A$1:$A$49,0),MATCH([1]orders!L$1,[1]products!$A$1:$G$1,0))</f>
        <v>2.9849999999999999</v>
      </c>
      <c r="I100" s="6">
        <f t="shared" si="1"/>
        <v>2.9849999999999999</v>
      </c>
    </row>
    <row r="101" spans="1:9" x14ac:dyDescent="0.3">
      <c r="A101" s="1" t="s">
        <v>229</v>
      </c>
      <c r="B101" s="2">
        <v>44139</v>
      </c>
      <c r="C101" s="3" t="s">
        <v>230</v>
      </c>
      <c r="D101" s="3" t="str">
        <f>INDEX('Customers (2)'!B:B,MATCH('Customers (2)'!A101,'Customers (2)'!A:A,0))</f>
        <v>Aube Follett</v>
      </c>
      <c r="E101" s="4" t="s">
        <v>77</v>
      </c>
      <c r="F101" s="3">
        <v>3</v>
      </c>
      <c r="G101" s="5">
        <f>INDEX([1]products!$A$1:$G$49,MATCH([1]orders!$D101,[1]products!$A$1:$A$49,0),MATCH([1]orders!K$1,[1]products!$A$1:$G$1,0))</f>
        <v>0.2</v>
      </c>
      <c r="H101" s="6">
        <f>INDEX([1]products!$A$1:$G$49,MATCH([1]orders!$D101,[1]products!$A$1:$A$49,0),MATCH([1]orders!L$1,[1]products!$A$1:$G$1,0))</f>
        <v>4.3650000000000002</v>
      </c>
      <c r="I101" s="6">
        <f t="shared" si="1"/>
        <v>13.095000000000001</v>
      </c>
    </row>
    <row r="102" spans="1:9" x14ac:dyDescent="0.3">
      <c r="A102" s="1" t="s">
        <v>231</v>
      </c>
      <c r="B102" s="2">
        <v>44291</v>
      </c>
      <c r="C102" s="3" t="s">
        <v>232</v>
      </c>
      <c r="D102" s="3" t="str">
        <f>INDEX('Customers (2)'!B:B,MATCH('Customers (2)'!A102,'Customers (2)'!A:A,0))</f>
        <v>Rudiger Di Bartolomeo</v>
      </c>
      <c r="E102" s="4" t="s">
        <v>115</v>
      </c>
      <c r="F102" s="3">
        <v>2</v>
      </c>
      <c r="G102" s="5">
        <f>INDEX([1]products!$A$1:$G$49,MATCH([1]orders!$D102,[1]products!$A$1:$A$49,0),MATCH([1]orders!K$1,[1]products!$A$1:$G$1,0))</f>
        <v>0.2</v>
      </c>
      <c r="H102" s="6">
        <f>INDEX([1]products!$A$1:$G$49,MATCH([1]orders!$D102,[1]products!$A$1:$A$49,0),MATCH([1]orders!L$1,[1]products!$A$1:$G$1,0))</f>
        <v>3.8849999999999998</v>
      </c>
      <c r="I102" s="6">
        <f t="shared" si="1"/>
        <v>7.77</v>
      </c>
    </row>
    <row r="103" spans="1:9" x14ac:dyDescent="0.3">
      <c r="A103" s="1" t="s">
        <v>233</v>
      </c>
      <c r="B103" s="2">
        <v>43891</v>
      </c>
      <c r="C103" s="3" t="s">
        <v>234</v>
      </c>
      <c r="D103" s="3" t="str">
        <f>INDEX('Customers (2)'!B:B,MATCH('Customers (2)'!A103,'Customers (2)'!A:A,0))</f>
        <v>Nickey Youles</v>
      </c>
      <c r="E103" s="4" t="s">
        <v>109</v>
      </c>
      <c r="F103" s="3">
        <v>5</v>
      </c>
      <c r="G103" s="5">
        <f>INDEX([1]products!$A$1:$G$49,MATCH([1]orders!$D103,[1]products!$A$1:$A$49,0),MATCH([1]orders!K$1,[1]products!$A$1:$G$1,0))</f>
        <v>2.5</v>
      </c>
      <c r="H103" s="6">
        <f>INDEX([1]products!$A$1:$G$49,MATCH([1]orders!$D103,[1]products!$A$1:$A$49,0),MATCH([1]orders!L$1,[1]products!$A$1:$G$1,0))</f>
        <v>29.784999999999997</v>
      </c>
      <c r="I103" s="6">
        <f t="shared" si="1"/>
        <v>148.92499999999998</v>
      </c>
    </row>
    <row r="104" spans="1:9" x14ac:dyDescent="0.3">
      <c r="A104" s="1" t="s">
        <v>235</v>
      </c>
      <c r="B104" s="2">
        <v>44488</v>
      </c>
      <c r="C104" s="3" t="s">
        <v>236</v>
      </c>
      <c r="D104" s="3" t="str">
        <f>INDEX('Customers (2)'!B:B,MATCH('Customers (2)'!A104,'Customers (2)'!A:A,0))</f>
        <v>Dyanna Aizikovitz</v>
      </c>
      <c r="E104" s="4" t="s">
        <v>13</v>
      </c>
      <c r="F104" s="3">
        <v>3</v>
      </c>
      <c r="G104" s="5">
        <f>INDEX([1]products!$A$1:$G$49,MATCH([1]orders!$D104,[1]products!$A$1:$A$49,0),MATCH([1]orders!K$1,[1]products!$A$1:$G$1,0))</f>
        <v>1</v>
      </c>
      <c r="H104" s="6">
        <f>INDEX([1]products!$A$1:$G$49,MATCH([1]orders!$D104,[1]products!$A$1:$A$49,0),MATCH([1]orders!L$1,[1]products!$A$1:$G$1,0))</f>
        <v>12.95</v>
      </c>
      <c r="I104" s="6">
        <f t="shared" si="1"/>
        <v>38.849999999999994</v>
      </c>
    </row>
    <row r="105" spans="1:9" x14ac:dyDescent="0.3">
      <c r="A105" s="1" t="s">
        <v>237</v>
      </c>
      <c r="B105" s="2">
        <v>44750</v>
      </c>
      <c r="C105" s="3" t="s">
        <v>238</v>
      </c>
      <c r="D105" s="3" t="str">
        <f>INDEX('Customers (2)'!B:B,MATCH('Customers (2)'!A105,'Customers (2)'!A:A,0))</f>
        <v>Bram Revel</v>
      </c>
      <c r="E105" s="4" t="s">
        <v>162</v>
      </c>
      <c r="F105" s="3">
        <v>4</v>
      </c>
      <c r="G105" s="5">
        <f>INDEX([1]products!$A$1:$G$49,MATCH([1]orders!$D105,[1]products!$A$1:$A$49,0),MATCH([1]orders!K$1,[1]products!$A$1:$G$1,0))</f>
        <v>0.2</v>
      </c>
      <c r="H105" s="6">
        <f>INDEX([1]products!$A$1:$G$49,MATCH([1]orders!$D105,[1]products!$A$1:$A$49,0),MATCH([1]orders!L$1,[1]products!$A$1:$G$1,0))</f>
        <v>2.9849999999999999</v>
      </c>
      <c r="I105" s="6">
        <f t="shared" si="1"/>
        <v>11.94</v>
      </c>
    </row>
    <row r="106" spans="1:9" x14ac:dyDescent="0.3">
      <c r="A106" s="1" t="s">
        <v>239</v>
      </c>
      <c r="B106" s="2">
        <v>43694</v>
      </c>
      <c r="C106" s="3" t="s">
        <v>240</v>
      </c>
      <c r="D106" s="3" t="str">
        <f>INDEX('Customers (2)'!B:B,MATCH('Customers (2)'!A106,'Customers (2)'!A:A,0))</f>
        <v>Emiline Priddis</v>
      </c>
      <c r="E106" s="4" t="s">
        <v>96</v>
      </c>
      <c r="F106" s="3">
        <v>6</v>
      </c>
      <c r="G106" s="5">
        <f>INDEX([1]products!$A$1:$G$49,MATCH([1]orders!$D106,[1]products!$A$1:$A$49,0),MATCH([1]orders!K$1,[1]products!$A$1:$G$1,0))</f>
        <v>1</v>
      </c>
      <c r="H106" s="6">
        <f>INDEX([1]products!$A$1:$G$49,MATCH([1]orders!$D106,[1]products!$A$1:$A$49,0),MATCH([1]orders!L$1,[1]products!$A$1:$G$1,0))</f>
        <v>14.55</v>
      </c>
      <c r="I106" s="6">
        <f t="shared" si="1"/>
        <v>87.300000000000011</v>
      </c>
    </row>
    <row r="107" spans="1:9" x14ac:dyDescent="0.3">
      <c r="A107" s="1" t="s">
        <v>241</v>
      </c>
      <c r="B107" s="2">
        <v>43982</v>
      </c>
      <c r="C107" s="3" t="s">
        <v>242</v>
      </c>
      <c r="D107" s="3" t="str">
        <f>INDEX('Customers (2)'!B:B,MATCH('Customers (2)'!A107,'Customers (2)'!A:A,0))</f>
        <v>Queenie Veel</v>
      </c>
      <c r="E107" s="4" t="s">
        <v>67</v>
      </c>
      <c r="F107" s="3">
        <v>6</v>
      </c>
      <c r="G107" s="5">
        <f>INDEX([1]products!$A$1:$G$49,MATCH([1]orders!$D107,[1]products!$A$1:$A$49,0),MATCH([1]orders!K$1,[1]products!$A$1:$G$1,0))</f>
        <v>0.5</v>
      </c>
      <c r="H107" s="6">
        <f>INDEX([1]products!$A$1:$G$49,MATCH([1]orders!$D107,[1]products!$A$1:$A$49,0),MATCH([1]orders!L$1,[1]products!$A$1:$G$1,0))</f>
        <v>6.75</v>
      </c>
      <c r="I107" s="6">
        <f t="shared" si="1"/>
        <v>40.5</v>
      </c>
    </row>
    <row r="108" spans="1:9" x14ac:dyDescent="0.3">
      <c r="A108" s="1" t="s">
        <v>243</v>
      </c>
      <c r="B108" s="2">
        <v>43956</v>
      </c>
      <c r="C108" s="3" t="s">
        <v>244</v>
      </c>
      <c r="D108" s="3" t="str">
        <f>INDEX('Customers (2)'!B:B,MATCH('Customers (2)'!A108,'Customers (2)'!A:A,0))</f>
        <v>Lind Conyers</v>
      </c>
      <c r="E108" s="4" t="s">
        <v>245</v>
      </c>
      <c r="F108" s="3">
        <v>2</v>
      </c>
      <c r="G108" s="5">
        <f>INDEX([1]products!$A$1:$G$49,MATCH([1]orders!$D108,[1]products!$A$1:$A$49,0),MATCH([1]orders!K$1,[1]products!$A$1:$G$1,0))</f>
        <v>1</v>
      </c>
      <c r="H108" s="6">
        <f>INDEX([1]products!$A$1:$G$49,MATCH([1]orders!$D108,[1]products!$A$1:$A$49,0),MATCH([1]orders!L$1,[1]products!$A$1:$G$1,0))</f>
        <v>12.15</v>
      </c>
      <c r="I108" s="6">
        <f t="shared" si="1"/>
        <v>24.3</v>
      </c>
    </row>
    <row r="109" spans="1:9" x14ac:dyDescent="0.3">
      <c r="A109" s="1" t="s">
        <v>246</v>
      </c>
      <c r="B109" s="2">
        <v>43569</v>
      </c>
      <c r="C109" s="3" t="s">
        <v>247</v>
      </c>
      <c r="D109" s="3" t="str">
        <f>INDEX('Customers (2)'!B:B,MATCH('Customers (2)'!A109,'Customers (2)'!A:A,0))</f>
        <v>Pen Wye</v>
      </c>
      <c r="E109" s="4" t="s">
        <v>22</v>
      </c>
      <c r="F109" s="3">
        <v>3</v>
      </c>
      <c r="G109" s="5">
        <f>INDEX([1]products!$A$1:$G$49,MATCH([1]orders!$D109,[1]products!$A$1:$A$49,0),MATCH([1]orders!K$1,[1]products!$A$1:$G$1,0))</f>
        <v>0.5</v>
      </c>
      <c r="H109" s="6">
        <f>INDEX([1]products!$A$1:$G$49,MATCH([1]orders!$D109,[1]products!$A$1:$A$49,0),MATCH([1]orders!L$1,[1]products!$A$1:$G$1,0))</f>
        <v>5.97</v>
      </c>
      <c r="I109" s="6">
        <f t="shared" si="1"/>
        <v>17.91</v>
      </c>
    </row>
    <row r="110" spans="1:9" x14ac:dyDescent="0.3">
      <c r="A110" s="1" t="s">
        <v>248</v>
      </c>
      <c r="B110" s="2">
        <v>44041</v>
      </c>
      <c r="C110" s="3" t="s">
        <v>249</v>
      </c>
      <c r="D110" s="3" t="str">
        <f>INDEX('Customers (2)'!B:B,MATCH('Customers (2)'!A110,'Customers (2)'!A:A,0))</f>
        <v>Isahella Hagland</v>
      </c>
      <c r="E110" s="4" t="s">
        <v>67</v>
      </c>
      <c r="F110" s="3">
        <v>4</v>
      </c>
      <c r="G110" s="5">
        <f>INDEX([1]products!$A$1:$G$49,MATCH([1]orders!$D110,[1]products!$A$1:$A$49,0),MATCH([1]orders!K$1,[1]products!$A$1:$G$1,0))</f>
        <v>0.5</v>
      </c>
      <c r="H110" s="6">
        <f>INDEX([1]products!$A$1:$G$49,MATCH([1]orders!$D110,[1]products!$A$1:$A$49,0),MATCH([1]orders!L$1,[1]products!$A$1:$G$1,0))</f>
        <v>6.75</v>
      </c>
      <c r="I110" s="6">
        <f t="shared" si="1"/>
        <v>27</v>
      </c>
    </row>
    <row r="111" spans="1:9" x14ac:dyDescent="0.3">
      <c r="A111" s="1" t="s">
        <v>250</v>
      </c>
      <c r="B111" s="2">
        <v>43811</v>
      </c>
      <c r="C111" s="3" t="s">
        <v>251</v>
      </c>
      <c r="D111" s="3" t="str">
        <f>INDEX('Customers (2)'!B:B,MATCH('Customers (2)'!A111,'Customers (2)'!A:A,0))</f>
        <v>Terry Sheryn</v>
      </c>
      <c r="E111" s="4" t="s">
        <v>123</v>
      </c>
      <c r="F111" s="3">
        <v>1</v>
      </c>
      <c r="G111" s="5">
        <f>INDEX([1]products!$A$1:$G$49,MATCH([1]orders!$D111,[1]products!$A$1:$A$49,0),MATCH([1]orders!K$1,[1]products!$A$1:$G$1,0))</f>
        <v>0.5</v>
      </c>
      <c r="H111" s="6">
        <f>INDEX([1]products!$A$1:$G$49,MATCH([1]orders!$D111,[1]products!$A$1:$A$49,0),MATCH([1]orders!L$1,[1]products!$A$1:$G$1,0))</f>
        <v>7.77</v>
      </c>
      <c r="I111" s="6">
        <f t="shared" si="1"/>
        <v>7.77</v>
      </c>
    </row>
    <row r="112" spans="1:9" x14ac:dyDescent="0.3">
      <c r="A112" s="1" t="s">
        <v>252</v>
      </c>
      <c r="B112" s="2">
        <v>44727</v>
      </c>
      <c r="C112" s="3" t="s">
        <v>253</v>
      </c>
      <c r="D112" s="3" t="str">
        <f>INDEX('Customers (2)'!B:B,MATCH('Customers (2)'!A112,'Customers (2)'!A:A,0))</f>
        <v>Marie-jeanne Redgrave</v>
      </c>
      <c r="E112" s="4" t="s">
        <v>254</v>
      </c>
      <c r="F112" s="3">
        <v>3</v>
      </c>
      <c r="G112" s="5">
        <f>INDEX([1]products!$A$1:$G$49,MATCH([1]orders!$D112,[1]products!$A$1:$A$49,0),MATCH([1]orders!K$1,[1]products!$A$1:$G$1,0))</f>
        <v>0.2</v>
      </c>
      <c r="H112" s="6">
        <f>INDEX([1]products!$A$1:$G$49,MATCH([1]orders!$D112,[1]products!$A$1:$A$49,0),MATCH([1]orders!L$1,[1]products!$A$1:$G$1,0))</f>
        <v>4.4550000000000001</v>
      </c>
      <c r="I112" s="6">
        <f t="shared" si="1"/>
        <v>13.365</v>
      </c>
    </row>
    <row r="113" spans="1:9" x14ac:dyDescent="0.3">
      <c r="A113" s="1" t="s">
        <v>255</v>
      </c>
      <c r="B113" s="2">
        <v>43642</v>
      </c>
      <c r="C113" s="3" t="s">
        <v>256</v>
      </c>
      <c r="D113" s="3" t="str">
        <f>INDEX('Customers (2)'!B:B,MATCH('Customers (2)'!A113,'Customers (2)'!A:A,0))</f>
        <v>Betty Fominov</v>
      </c>
      <c r="E113" s="4" t="s">
        <v>146</v>
      </c>
      <c r="F113" s="3">
        <v>5</v>
      </c>
      <c r="G113" s="5">
        <f>INDEX([1]products!$A$1:$G$49,MATCH([1]orders!$D113,[1]products!$A$1:$A$49,0),MATCH([1]orders!K$1,[1]products!$A$1:$G$1,0))</f>
        <v>0.5</v>
      </c>
      <c r="H113" s="6">
        <f>INDEX([1]products!$A$1:$G$49,MATCH([1]orders!$D113,[1]products!$A$1:$A$49,0),MATCH([1]orders!L$1,[1]products!$A$1:$G$1,0))</f>
        <v>5.3699999999999992</v>
      </c>
      <c r="I113" s="6">
        <f t="shared" si="1"/>
        <v>26.849999999999994</v>
      </c>
    </row>
    <row r="114" spans="1:9" x14ac:dyDescent="0.3">
      <c r="A114" s="1" t="s">
        <v>257</v>
      </c>
      <c r="B114" s="2">
        <v>44481</v>
      </c>
      <c r="C114" s="3" t="s">
        <v>258</v>
      </c>
      <c r="D114" s="3" t="str">
        <f>INDEX('Customers (2)'!B:B,MATCH('Customers (2)'!A114,'Customers (2)'!A:A,0))</f>
        <v>Shawnee Critchlow</v>
      </c>
      <c r="E114" s="4" t="s">
        <v>61</v>
      </c>
      <c r="F114" s="3">
        <v>1</v>
      </c>
      <c r="G114" s="5">
        <f>INDEX([1]products!$A$1:$G$49,MATCH([1]orders!$D114,[1]products!$A$1:$A$49,0),MATCH([1]orders!K$1,[1]products!$A$1:$G$1,0))</f>
        <v>1</v>
      </c>
      <c r="H114" s="6">
        <f>INDEX([1]products!$A$1:$G$49,MATCH([1]orders!$D114,[1]products!$A$1:$A$49,0),MATCH([1]orders!L$1,[1]products!$A$1:$G$1,0))</f>
        <v>11.25</v>
      </c>
      <c r="I114" s="6">
        <f t="shared" si="1"/>
        <v>11.25</v>
      </c>
    </row>
    <row r="115" spans="1:9" x14ac:dyDescent="0.3">
      <c r="A115" s="1" t="s">
        <v>259</v>
      </c>
      <c r="B115" s="2">
        <v>43556</v>
      </c>
      <c r="C115" s="3" t="s">
        <v>260</v>
      </c>
      <c r="D115" s="3" t="str">
        <f>INDEX('Customers (2)'!B:B,MATCH('Customers (2)'!A115,'Customers (2)'!A:A,0))</f>
        <v>Merrel Steptow</v>
      </c>
      <c r="E115" s="4" t="s">
        <v>96</v>
      </c>
      <c r="F115" s="3">
        <v>1</v>
      </c>
      <c r="G115" s="5">
        <f>INDEX([1]products!$A$1:$G$49,MATCH([1]orders!$D115,[1]products!$A$1:$A$49,0),MATCH([1]orders!K$1,[1]products!$A$1:$G$1,0))</f>
        <v>1</v>
      </c>
      <c r="H115" s="6">
        <f>INDEX([1]products!$A$1:$G$49,MATCH([1]orders!$D115,[1]products!$A$1:$A$49,0),MATCH([1]orders!L$1,[1]products!$A$1:$G$1,0))</f>
        <v>14.55</v>
      </c>
      <c r="I115" s="6">
        <f t="shared" si="1"/>
        <v>14.55</v>
      </c>
    </row>
    <row r="116" spans="1:9" x14ac:dyDescent="0.3">
      <c r="A116" s="1" t="s">
        <v>261</v>
      </c>
      <c r="B116" s="2">
        <v>44265</v>
      </c>
      <c r="C116" s="3" t="s">
        <v>262</v>
      </c>
      <c r="D116" s="3" t="str">
        <f>INDEX('Customers (2)'!B:B,MATCH('Customers (2)'!A116,'Customers (2)'!A:A,0))</f>
        <v>Carmina Hubbuck</v>
      </c>
      <c r="E116" s="4" t="s">
        <v>182</v>
      </c>
      <c r="F116" s="3">
        <v>4</v>
      </c>
      <c r="G116" s="5">
        <f>INDEX([1]products!$A$1:$G$49,MATCH([1]orders!$D116,[1]products!$A$1:$A$49,0),MATCH([1]orders!K$1,[1]products!$A$1:$G$1,0))</f>
        <v>0.2</v>
      </c>
      <c r="H116" s="6">
        <f>INDEX([1]products!$A$1:$G$49,MATCH([1]orders!$D116,[1]products!$A$1:$A$49,0),MATCH([1]orders!L$1,[1]products!$A$1:$G$1,0))</f>
        <v>3.5849999999999995</v>
      </c>
      <c r="I116" s="6">
        <f t="shared" si="1"/>
        <v>14.339999999999998</v>
      </c>
    </row>
    <row r="117" spans="1:9" x14ac:dyDescent="0.3">
      <c r="A117" s="1" t="s">
        <v>263</v>
      </c>
      <c r="B117" s="2">
        <v>43693</v>
      </c>
      <c r="C117" s="3" t="s">
        <v>264</v>
      </c>
      <c r="D117" s="3" t="str">
        <f>INDEX('Customers (2)'!B:B,MATCH('Customers (2)'!A117,'Customers (2)'!A:A,0))</f>
        <v>Ingeberg Mulliner</v>
      </c>
      <c r="E117" s="4" t="s">
        <v>132</v>
      </c>
      <c r="F117" s="3">
        <v>1</v>
      </c>
      <c r="G117" s="5">
        <f>INDEX([1]products!$A$1:$G$49,MATCH([1]orders!$D117,[1]products!$A$1:$A$49,0),MATCH([1]orders!K$1,[1]products!$A$1:$G$1,0))</f>
        <v>1</v>
      </c>
      <c r="H117" s="6">
        <f>INDEX([1]products!$A$1:$G$49,MATCH([1]orders!$D117,[1]products!$A$1:$A$49,0),MATCH([1]orders!L$1,[1]products!$A$1:$G$1,0))</f>
        <v>15.85</v>
      </c>
      <c r="I117" s="6">
        <f t="shared" si="1"/>
        <v>15.85</v>
      </c>
    </row>
    <row r="118" spans="1:9" x14ac:dyDescent="0.3">
      <c r="A118" s="1" t="s">
        <v>265</v>
      </c>
      <c r="B118" s="2">
        <v>44054</v>
      </c>
      <c r="C118" s="3" t="s">
        <v>266</v>
      </c>
      <c r="D118" s="3" t="str">
        <f>INDEX('Customers (2)'!B:B,MATCH('Customers (2)'!A118,'Customers (2)'!A:A,0))</f>
        <v>Geneva Standley</v>
      </c>
      <c r="E118" s="4" t="s">
        <v>19</v>
      </c>
      <c r="F118" s="3">
        <v>4</v>
      </c>
      <c r="G118" s="5">
        <f>INDEX([1]products!$A$1:$G$49,MATCH([1]orders!$D118,[1]products!$A$1:$A$49,0),MATCH([1]orders!K$1,[1]products!$A$1:$G$1,0))</f>
        <v>0.2</v>
      </c>
      <c r="H118" s="6">
        <f>INDEX([1]products!$A$1:$G$49,MATCH([1]orders!$D118,[1]products!$A$1:$A$49,0),MATCH([1]orders!L$1,[1]products!$A$1:$G$1,0))</f>
        <v>4.7549999999999999</v>
      </c>
      <c r="I118" s="6">
        <f t="shared" si="1"/>
        <v>19.02</v>
      </c>
    </row>
    <row r="119" spans="1:9" x14ac:dyDescent="0.3">
      <c r="A119" s="1" t="s">
        <v>267</v>
      </c>
      <c r="B119" s="2">
        <v>44656</v>
      </c>
      <c r="C119" s="3" t="s">
        <v>268</v>
      </c>
      <c r="D119" s="3" t="str">
        <f>INDEX('Customers (2)'!B:B,MATCH('Customers (2)'!A119,'Customers (2)'!A:A,0))</f>
        <v>Brook Drage</v>
      </c>
      <c r="E119" s="4" t="s">
        <v>83</v>
      </c>
      <c r="F119" s="3">
        <v>4</v>
      </c>
      <c r="G119" s="5">
        <f>INDEX([1]products!$A$1:$G$49,MATCH([1]orders!$D119,[1]products!$A$1:$A$49,0),MATCH([1]orders!K$1,[1]products!$A$1:$G$1,0))</f>
        <v>0.5</v>
      </c>
      <c r="H119" s="6">
        <f>INDEX([1]products!$A$1:$G$49,MATCH([1]orders!$D119,[1]products!$A$1:$A$49,0),MATCH([1]orders!L$1,[1]products!$A$1:$G$1,0))</f>
        <v>9.51</v>
      </c>
      <c r="I119" s="6">
        <f t="shared" si="1"/>
        <v>38.04</v>
      </c>
    </row>
    <row r="120" spans="1:9" x14ac:dyDescent="0.3">
      <c r="A120" s="1" t="s">
        <v>269</v>
      </c>
      <c r="B120" s="2">
        <v>43760</v>
      </c>
      <c r="C120" s="3" t="s">
        <v>270</v>
      </c>
      <c r="D120" s="3" t="str">
        <f>INDEX('Customers (2)'!B:B,MATCH('Customers (2)'!A120,'Customers (2)'!A:A,0))</f>
        <v>Muffin Yallop</v>
      </c>
      <c r="E120" s="4" t="s">
        <v>16</v>
      </c>
      <c r="F120" s="3">
        <v>3</v>
      </c>
      <c r="G120" s="5">
        <f>INDEX([1]products!$A$1:$G$49,MATCH([1]orders!$D120,[1]products!$A$1:$A$49,0),MATCH([1]orders!K$1,[1]products!$A$1:$G$1,0))</f>
        <v>0.5</v>
      </c>
      <c r="H120" s="6">
        <f>INDEX([1]products!$A$1:$G$49,MATCH([1]orders!$D120,[1]products!$A$1:$A$49,0),MATCH([1]orders!L$1,[1]products!$A$1:$G$1,0))</f>
        <v>7.29</v>
      </c>
      <c r="I120" s="6">
        <f t="shared" si="1"/>
        <v>21.87</v>
      </c>
    </row>
    <row r="121" spans="1:9" x14ac:dyDescent="0.3">
      <c r="A121" s="1" t="s">
        <v>271</v>
      </c>
      <c r="B121" s="2">
        <v>44471</v>
      </c>
      <c r="C121" s="3" t="s">
        <v>272</v>
      </c>
      <c r="D121" s="3" t="str">
        <f>INDEX('Customers (2)'!B:B,MATCH('Customers (2)'!A121,'Customers (2)'!A:A,0))</f>
        <v>Cordi Switsur</v>
      </c>
      <c r="E121" s="4" t="s">
        <v>64</v>
      </c>
      <c r="F121" s="3">
        <v>1</v>
      </c>
      <c r="G121" s="5">
        <f>INDEX([1]products!$A$1:$G$49,MATCH([1]orders!$D121,[1]products!$A$1:$A$49,0),MATCH([1]orders!K$1,[1]products!$A$1:$G$1,0))</f>
        <v>0.2</v>
      </c>
      <c r="H121" s="6">
        <f>INDEX([1]products!$A$1:$G$49,MATCH([1]orders!$D121,[1]products!$A$1:$A$49,0),MATCH([1]orders!L$1,[1]products!$A$1:$G$1,0))</f>
        <v>4.125</v>
      </c>
      <c r="I121" s="6">
        <f t="shared" si="1"/>
        <v>4.125</v>
      </c>
    </row>
    <row r="122" spans="1:9" x14ac:dyDescent="0.3">
      <c r="A122" s="1" t="s">
        <v>271</v>
      </c>
      <c r="B122" s="2">
        <v>44471</v>
      </c>
      <c r="C122" s="3" t="s">
        <v>272</v>
      </c>
      <c r="D122" s="3" t="str">
        <f>INDEX('Customers (2)'!B:B,MATCH('Customers (2)'!A122,'Customers (2)'!A:A,0))</f>
        <v>Ezri Hows</v>
      </c>
      <c r="E122" s="4" t="s">
        <v>115</v>
      </c>
      <c r="F122" s="3">
        <v>1</v>
      </c>
      <c r="G122" s="5">
        <f>INDEX([1]products!$A$1:$G$49,MATCH([1]orders!$D122,[1]products!$A$1:$A$49,0),MATCH([1]orders!K$1,[1]products!$A$1:$G$1,0))</f>
        <v>0.2</v>
      </c>
      <c r="H122" s="6">
        <f>INDEX([1]products!$A$1:$G$49,MATCH([1]orders!$D122,[1]products!$A$1:$A$49,0),MATCH([1]orders!L$1,[1]products!$A$1:$G$1,0))</f>
        <v>3.8849999999999998</v>
      </c>
      <c r="I122" s="6">
        <f t="shared" si="1"/>
        <v>3.8849999999999998</v>
      </c>
    </row>
    <row r="123" spans="1:9" x14ac:dyDescent="0.3">
      <c r="A123" s="1" t="s">
        <v>271</v>
      </c>
      <c r="B123" s="2">
        <v>44471</v>
      </c>
      <c r="C123" s="3" t="s">
        <v>272</v>
      </c>
      <c r="D123" s="3" t="str">
        <f>INDEX('Customers (2)'!B:B,MATCH('Customers (2)'!A123,'Customers (2)'!A:A,0))</f>
        <v>Sylas Becaris</v>
      </c>
      <c r="E123" s="4" t="s">
        <v>9</v>
      </c>
      <c r="F123" s="3">
        <v>5</v>
      </c>
      <c r="G123" s="5">
        <f>INDEX([1]products!$A$1:$G$49,MATCH([1]orders!$D123,[1]products!$A$1:$A$49,0),MATCH([1]orders!K$1,[1]products!$A$1:$G$1,0))</f>
        <v>1</v>
      </c>
      <c r="H123" s="6">
        <f>INDEX([1]products!$A$1:$G$49,MATCH([1]orders!$D123,[1]products!$A$1:$A$49,0),MATCH([1]orders!L$1,[1]products!$A$1:$G$1,0))</f>
        <v>13.75</v>
      </c>
      <c r="I123" s="6">
        <f t="shared" si="1"/>
        <v>68.75</v>
      </c>
    </row>
    <row r="124" spans="1:9" x14ac:dyDescent="0.3">
      <c r="A124" s="1" t="s">
        <v>273</v>
      </c>
      <c r="B124" s="2">
        <v>44268</v>
      </c>
      <c r="C124" s="3" t="s">
        <v>274</v>
      </c>
      <c r="D124" s="3" t="str">
        <f>INDEX('Customers (2)'!B:B,MATCH('Customers (2)'!A124,'Customers (2)'!A:A,0))</f>
        <v>Mahala Ludwell</v>
      </c>
      <c r="E124" s="4" t="s">
        <v>72</v>
      </c>
      <c r="F124" s="3">
        <v>4</v>
      </c>
      <c r="G124" s="5">
        <f>INDEX([1]products!$A$1:$G$49,MATCH([1]orders!$D124,[1]products!$A$1:$A$49,0),MATCH([1]orders!K$1,[1]products!$A$1:$G$1,0))</f>
        <v>0.5</v>
      </c>
      <c r="H124" s="6">
        <f>INDEX([1]products!$A$1:$G$49,MATCH([1]orders!$D124,[1]products!$A$1:$A$49,0),MATCH([1]orders!L$1,[1]products!$A$1:$G$1,0))</f>
        <v>5.97</v>
      </c>
      <c r="I124" s="6">
        <f t="shared" si="1"/>
        <v>23.88</v>
      </c>
    </row>
    <row r="125" spans="1:9" x14ac:dyDescent="0.3">
      <c r="A125" s="1" t="s">
        <v>275</v>
      </c>
      <c r="B125" s="2">
        <v>44724</v>
      </c>
      <c r="C125" s="3" t="s">
        <v>276</v>
      </c>
      <c r="D125" s="3" t="str">
        <f>INDEX('Customers (2)'!B:B,MATCH('Customers (2)'!A125,'Customers (2)'!A:A,0))</f>
        <v>Doll Beauchamp</v>
      </c>
      <c r="E125" s="4" t="s">
        <v>104</v>
      </c>
      <c r="F125" s="3">
        <v>4</v>
      </c>
      <c r="G125" s="5">
        <f>INDEX([1]products!$A$1:$G$49,MATCH([1]orders!$D125,[1]products!$A$1:$A$49,0),MATCH([1]orders!K$1,[1]products!$A$1:$G$1,0))</f>
        <v>2.5</v>
      </c>
      <c r="H125" s="6">
        <f>INDEX([1]products!$A$1:$G$49,MATCH([1]orders!$D125,[1]products!$A$1:$A$49,0),MATCH([1]orders!L$1,[1]products!$A$1:$G$1,0))</f>
        <v>36.454999999999998</v>
      </c>
      <c r="I125" s="6">
        <f t="shared" si="1"/>
        <v>145.82</v>
      </c>
    </row>
    <row r="126" spans="1:9" x14ac:dyDescent="0.3">
      <c r="A126" s="1" t="s">
        <v>277</v>
      </c>
      <c r="B126" s="2">
        <v>43582</v>
      </c>
      <c r="C126" s="3" t="s">
        <v>278</v>
      </c>
      <c r="D126" s="3" t="str">
        <f>INDEX('Customers (2)'!B:B,MATCH('Customers (2)'!A126,'Customers (2)'!A:A,0))</f>
        <v>Stanford Rodliff</v>
      </c>
      <c r="E126" s="4" t="s">
        <v>77</v>
      </c>
      <c r="F126" s="3">
        <v>5</v>
      </c>
      <c r="G126" s="5">
        <f>INDEX([1]products!$A$1:$G$49,MATCH([1]orders!$D126,[1]products!$A$1:$A$49,0),MATCH([1]orders!K$1,[1]products!$A$1:$G$1,0))</f>
        <v>0.2</v>
      </c>
      <c r="H126" s="6">
        <f>INDEX([1]products!$A$1:$G$49,MATCH([1]orders!$D126,[1]products!$A$1:$A$49,0),MATCH([1]orders!L$1,[1]products!$A$1:$G$1,0))</f>
        <v>4.3650000000000002</v>
      </c>
      <c r="I126" s="6">
        <f t="shared" si="1"/>
        <v>21.825000000000003</v>
      </c>
    </row>
    <row r="127" spans="1:9" x14ac:dyDescent="0.3">
      <c r="A127" s="1" t="s">
        <v>279</v>
      </c>
      <c r="B127" s="2">
        <v>43608</v>
      </c>
      <c r="C127" s="3" t="s">
        <v>280</v>
      </c>
      <c r="D127" s="3" t="str">
        <f>INDEX('Customers (2)'!B:B,MATCH('Customers (2)'!A127,'Customers (2)'!A:A,0))</f>
        <v>Stevana Woodham</v>
      </c>
      <c r="E127" s="4" t="s">
        <v>78</v>
      </c>
      <c r="F127" s="3">
        <v>3</v>
      </c>
      <c r="G127" s="5">
        <f>INDEX([1]products!$A$1:$G$49,MATCH([1]orders!$D127,[1]products!$A$1:$A$49,0),MATCH([1]orders!K$1,[1]products!$A$1:$G$1,0))</f>
        <v>0.5</v>
      </c>
      <c r="H127" s="6">
        <f>INDEX([1]products!$A$1:$G$49,MATCH([1]orders!$D127,[1]products!$A$1:$A$49,0),MATCH([1]orders!L$1,[1]products!$A$1:$G$1,0))</f>
        <v>8.73</v>
      </c>
      <c r="I127" s="6">
        <f t="shared" si="1"/>
        <v>26.19</v>
      </c>
    </row>
    <row r="128" spans="1:9" x14ac:dyDescent="0.3">
      <c r="A128" s="1" t="s">
        <v>281</v>
      </c>
      <c r="B128" s="2">
        <v>44026</v>
      </c>
      <c r="C128" s="3" t="s">
        <v>282</v>
      </c>
      <c r="D128" s="3" t="str">
        <f>INDEX('Customers (2)'!B:B,MATCH('Customers (2)'!A128,'Customers (2)'!A:A,0))</f>
        <v>Hewet Synnot</v>
      </c>
      <c r="E128" s="4" t="s">
        <v>61</v>
      </c>
      <c r="F128" s="3">
        <v>1</v>
      </c>
      <c r="G128" s="5">
        <f>INDEX([1]products!$A$1:$G$49,MATCH([1]orders!$D128,[1]products!$A$1:$A$49,0),MATCH([1]orders!K$1,[1]products!$A$1:$G$1,0))</f>
        <v>1</v>
      </c>
      <c r="H128" s="6">
        <f>INDEX([1]products!$A$1:$G$49,MATCH([1]orders!$D128,[1]products!$A$1:$A$49,0),MATCH([1]orders!L$1,[1]products!$A$1:$G$1,0))</f>
        <v>11.25</v>
      </c>
      <c r="I128" s="6">
        <f t="shared" si="1"/>
        <v>11.25</v>
      </c>
    </row>
    <row r="129" spans="1:9" x14ac:dyDescent="0.3">
      <c r="A129" s="1" t="s">
        <v>283</v>
      </c>
      <c r="B129" s="2">
        <v>44510</v>
      </c>
      <c r="C129" s="3" t="s">
        <v>284</v>
      </c>
      <c r="D129" s="3" t="str">
        <f>INDEX('Customers (2)'!B:B,MATCH('Customers (2)'!A129,'Customers (2)'!A:A,0))</f>
        <v>Raleigh Lepere</v>
      </c>
      <c r="E129" s="4" t="s">
        <v>13</v>
      </c>
      <c r="F129" s="3">
        <v>6</v>
      </c>
      <c r="G129" s="5">
        <f>INDEX([1]products!$A$1:$G$49,MATCH([1]orders!$D129,[1]products!$A$1:$A$49,0),MATCH([1]orders!K$1,[1]products!$A$1:$G$1,0))</f>
        <v>1</v>
      </c>
      <c r="H129" s="6">
        <f>INDEX([1]products!$A$1:$G$49,MATCH([1]orders!$D129,[1]products!$A$1:$A$49,0),MATCH([1]orders!L$1,[1]products!$A$1:$G$1,0))</f>
        <v>12.95</v>
      </c>
      <c r="I129" s="6">
        <f t="shared" si="1"/>
        <v>77.699999999999989</v>
      </c>
    </row>
    <row r="130" spans="1:9" x14ac:dyDescent="0.3">
      <c r="A130" s="1" t="s">
        <v>285</v>
      </c>
      <c r="B130" s="2">
        <v>44439</v>
      </c>
      <c r="C130" s="3" t="s">
        <v>286</v>
      </c>
      <c r="D130" s="3" t="str">
        <f>INDEX('Customers (2)'!B:B,MATCH('Customers (2)'!A130,'Customers (2)'!A:A,0))</f>
        <v>Timofei Woofinden</v>
      </c>
      <c r="E130" s="4" t="s">
        <v>67</v>
      </c>
      <c r="F130" s="3">
        <v>1</v>
      </c>
      <c r="G130" s="5">
        <f>INDEX([1]products!$A$1:$G$49,MATCH([1]orders!$D130,[1]products!$A$1:$A$49,0),MATCH([1]orders!K$1,[1]products!$A$1:$G$1,0))</f>
        <v>0.5</v>
      </c>
      <c r="H130" s="6">
        <f>INDEX([1]products!$A$1:$G$49,MATCH([1]orders!$D130,[1]products!$A$1:$A$49,0),MATCH([1]orders!L$1,[1]products!$A$1:$G$1,0))</f>
        <v>6.75</v>
      </c>
      <c r="I130" s="6">
        <f t="shared" ref="I130:I193" si="2">F130*H130</f>
        <v>6.75</v>
      </c>
    </row>
    <row r="131" spans="1:9" x14ac:dyDescent="0.3">
      <c r="A131" s="1" t="s">
        <v>287</v>
      </c>
      <c r="B131" s="2">
        <v>43652</v>
      </c>
      <c r="C131" s="3" t="s">
        <v>288</v>
      </c>
      <c r="D131" s="3" t="str">
        <f>INDEX('Customers (2)'!B:B,MATCH('Customers (2)'!A131,'Customers (2)'!A:A,0))</f>
        <v>Evelina Dacca</v>
      </c>
      <c r="E131" s="4" t="s">
        <v>245</v>
      </c>
      <c r="F131" s="3">
        <v>1</v>
      </c>
      <c r="G131" s="5">
        <f>INDEX([1]products!$A$1:$G$49,MATCH([1]orders!$D131,[1]products!$A$1:$A$49,0),MATCH([1]orders!K$1,[1]products!$A$1:$G$1,0))</f>
        <v>1</v>
      </c>
      <c r="H131" s="6">
        <f>INDEX([1]products!$A$1:$G$49,MATCH([1]orders!$D131,[1]products!$A$1:$A$49,0),MATCH([1]orders!L$1,[1]products!$A$1:$G$1,0))</f>
        <v>12.15</v>
      </c>
      <c r="I131" s="6">
        <f t="shared" si="2"/>
        <v>12.15</v>
      </c>
    </row>
    <row r="132" spans="1:9" x14ac:dyDescent="0.3">
      <c r="A132" s="1" t="s">
        <v>289</v>
      </c>
      <c r="B132" s="2">
        <v>44624</v>
      </c>
      <c r="C132" s="3" t="s">
        <v>290</v>
      </c>
      <c r="D132" s="3" t="str">
        <f>INDEX('Customers (2)'!B:B,MATCH('Customers (2)'!A132,'Customers (2)'!A:A,0))</f>
        <v>Bidget Tremellier</v>
      </c>
      <c r="E132" s="4" t="s">
        <v>204</v>
      </c>
      <c r="F132" s="3">
        <v>5</v>
      </c>
      <c r="G132" s="5">
        <f>INDEX([1]products!$A$1:$G$49,MATCH([1]orders!$D132,[1]products!$A$1:$A$49,0),MATCH([1]orders!K$1,[1]products!$A$1:$G$1,0))</f>
        <v>2.5</v>
      </c>
      <c r="H132" s="6">
        <f>INDEX([1]products!$A$1:$G$49,MATCH([1]orders!$D132,[1]products!$A$1:$A$49,0),MATCH([1]orders!L$1,[1]products!$A$1:$G$1,0))</f>
        <v>29.784999999999997</v>
      </c>
      <c r="I132" s="6">
        <f t="shared" si="2"/>
        <v>148.92499999999998</v>
      </c>
    </row>
    <row r="133" spans="1:9" x14ac:dyDescent="0.3">
      <c r="A133" s="1" t="s">
        <v>291</v>
      </c>
      <c r="B133" s="2">
        <v>44196</v>
      </c>
      <c r="C133" s="3" t="s">
        <v>292</v>
      </c>
      <c r="D133" s="3" t="str">
        <f>INDEX('Customers (2)'!B:B,MATCH('Customers (2)'!A133,'Customers (2)'!A:A,0))</f>
        <v>Bobinette Hindsberg</v>
      </c>
      <c r="E133" s="4" t="s">
        <v>16</v>
      </c>
      <c r="F133" s="3">
        <v>2</v>
      </c>
      <c r="G133" s="5">
        <f>INDEX([1]products!$A$1:$G$49,MATCH([1]orders!$D133,[1]products!$A$1:$A$49,0),MATCH([1]orders!K$1,[1]products!$A$1:$G$1,0))</f>
        <v>0.5</v>
      </c>
      <c r="H133" s="6">
        <f>INDEX([1]products!$A$1:$G$49,MATCH([1]orders!$D133,[1]products!$A$1:$A$49,0),MATCH([1]orders!L$1,[1]products!$A$1:$G$1,0))</f>
        <v>7.29</v>
      </c>
      <c r="I133" s="6">
        <f t="shared" si="2"/>
        <v>14.58</v>
      </c>
    </row>
    <row r="134" spans="1:9" x14ac:dyDescent="0.3">
      <c r="A134" s="1" t="s">
        <v>293</v>
      </c>
      <c r="B134" s="2">
        <v>44043</v>
      </c>
      <c r="C134" s="3" t="s">
        <v>294</v>
      </c>
      <c r="D134" s="3" t="str">
        <f>INDEX('Customers (2)'!B:B,MATCH('Customers (2)'!A134,'Customers (2)'!A:A,0))</f>
        <v>Osbert Robins</v>
      </c>
      <c r="E134" s="4" t="s">
        <v>204</v>
      </c>
      <c r="F134" s="3">
        <v>5</v>
      </c>
      <c r="G134" s="5">
        <f>INDEX([1]products!$A$1:$G$49,MATCH([1]orders!$D134,[1]products!$A$1:$A$49,0),MATCH([1]orders!K$1,[1]products!$A$1:$G$1,0))</f>
        <v>2.5</v>
      </c>
      <c r="H134" s="6">
        <f>INDEX([1]products!$A$1:$G$49,MATCH([1]orders!$D134,[1]products!$A$1:$A$49,0),MATCH([1]orders!L$1,[1]products!$A$1:$G$1,0))</f>
        <v>29.784999999999997</v>
      </c>
      <c r="I134" s="6">
        <f t="shared" si="2"/>
        <v>148.92499999999998</v>
      </c>
    </row>
    <row r="135" spans="1:9" x14ac:dyDescent="0.3">
      <c r="A135" s="1" t="s">
        <v>295</v>
      </c>
      <c r="B135" s="2">
        <v>44340</v>
      </c>
      <c r="C135" s="3" t="s">
        <v>296</v>
      </c>
      <c r="D135" s="3" t="str">
        <f>INDEX('Customers (2)'!B:B,MATCH('Customers (2)'!A135,'Customers (2)'!A:A,0))</f>
        <v>Othello Syseland</v>
      </c>
      <c r="E135" s="4" t="s">
        <v>13</v>
      </c>
      <c r="F135" s="3">
        <v>1</v>
      </c>
      <c r="G135" s="5">
        <f>INDEX([1]products!$A$1:$G$49,MATCH([1]orders!$D135,[1]products!$A$1:$A$49,0),MATCH([1]orders!K$1,[1]products!$A$1:$G$1,0))</f>
        <v>1</v>
      </c>
      <c r="H135" s="6">
        <f>INDEX([1]products!$A$1:$G$49,MATCH([1]orders!$D135,[1]products!$A$1:$A$49,0),MATCH([1]orders!L$1,[1]products!$A$1:$G$1,0))</f>
        <v>12.95</v>
      </c>
      <c r="I135" s="6">
        <f t="shared" si="2"/>
        <v>12.95</v>
      </c>
    </row>
    <row r="136" spans="1:9" x14ac:dyDescent="0.3">
      <c r="A136" s="1" t="s">
        <v>297</v>
      </c>
      <c r="B136" s="2">
        <v>44758</v>
      </c>
      <c r="C136" s="3" t="s">
        <v>298</v>
      </c>
      <c r="D136" s="3" t="str">
        <f>INDEX('Customers (2)'!B:B,MATCH('Customers (2)'!A136,'Customers (2)'!A:A,0))</f>
        <v>Ewell Hanby</v>
      </c>
      <c r="E136" s="4" t="s">
        <v>112</v>
      </c>
      <c r="F136" s="3">
        <v>3</v>
      </c>
      <c r="G136" s="5">
        <f>INDEX([1]products!$A$1:$G$49,MATCH([1]orders!$D136,[1]products!$A$1:$A$49,0),MATCH([1]orders!K$1,[1]products!$A$1:$G$1,0))</f>
        <v>2.5</v>
      </c>
      <c r="H136" s="6">
        <f>INDEX([1]products!$A$1:$G$49,MATCH([1]orders!$D136,[1]products!$A$1:$A$49,0),MATCH([1]orders!L$1,[1]products!$A$1:$G$1,0))</f>
        <v>31.624999999999996</v>
      </c>
      <c r="I136" s="6">
        <f t="shared" si="2"/>
        <v>94.874999999999986</v>
      </c>
    </row>
    <row r="137" spans="1:9" x14ac:dyDescent="0.3">
      <c r="A137" s="1" t="s">
        <v>299</v>
      </c>
      <c r="B137" s="2">
        <v>44232</v>
      </c>
      <c r="C137" s="3" t="s">
        <v>300</v>
      </c>
      <c r="D137" s="3" t="str">
        <f>INDEX('Customers (2)'!B:B,MATCH('Customers (2)'!A137,'Customers (2)'!A:A,0))</f>
        <v>Chalmers Havenhand</v>
      </c>
      <c r="E137" s="4" t="s">
        <v>192</v>
      </c>
      <c r="F137" s="3">
        <v>5</v>
      </c>
      <c r="G137" s="5">
        <f>INDEX([1]products!$A$1:$G$49,MATCH([1]orders!$D137,[1]products!$A$1:$A$49,0),MATCH([1]orders!K$1,[1]products!$A$1:$G$1,0))</f>
        <v>0.5</v>
      </c>
      <c r="H137" s="6">
        <f>INDEX([1]products!$A$1:$G$49,MATCH([1]orders!$D137,[1]products!$A$1:$A$49,0),MATCH([1]orders!L$1,[1]products!$A$1:$G$1,0))</f>
        <v>7.77</v>
      </c>
      <c r="I137" s="6">
        <f t="shared" si="2"/>
        <v>38.849999999999994</v>
      </c>
    </row>
    <row r="138" spans="1:9" x14ac:dyDescent="0.3">
      <c r="A138" s="1" t="s">
        <v>301</v>
      </c>
      <c r="B138" s="2">
        <v>44406</v>
      </c>
      <c r="C138" s="3" t="s">
        <v>302</v>
      </c>
      <c r="D138" s="3" t="str">
        <f>INDEX('Customers (2)'!B:B,MATCH('Customers (2)'!A138,'Customers (2)'!A:A,0))</f>
        <v>Lowell Keenleyside</v>
      </c>
      <c r="E138" s="4" t="s">
        <v>54</v>
      </c>
      <c r="F138" s="3">
        <v>4</v>
      </c>
      <c r="G138" s="5">
        <f>INDEX([1]products!$A$1:$G$49,MATCH([1]orders!$D138,[1]products!$A$1:$A$49,0),MATCH([1]orders!K$1,[1]products!$A$1:$G$1,0))</f>
        <v>0.2</v>
      </c>
      <c r="H138" s="6">
        <f>INDEX([1]products!$A$1:$G$49,MATCH([1]orders!$D138,[1]products!$A$1:$A$49,0),MATCH([1]orders!L$1,[1]products!$A$1:$G$1,0))</f>
        <v>2.9849999999999999</v>
      </c>
      <c r="I138" s="6">
        <f t="shared" si="2"/>
        <v>11.94</v>
      </c>
    </row>
    <row r="139" spans="1:9" x14ac:dyDescent="0.3">
      <c r="A139" s="1" t="s">
        <v>303</v>
      </c>
      <c r="B139" s="2">
        <v>44637</v>
      </c>
      <c r="C139" s="3" t="s">
        <v>304</v>
      </c>
      <c r="D139" s="3" t="str">
        <f>INDEX('Customers (2)'!B:B,MATCH('Customers (2)'!A139,'Customers (2)'!A:A,0))</f>
        <v>Elonore Joliffe</v>
      </c>
      <c r="E139" s="4" t="s">
        <v>30</v>
      </c>
      <c r="F139" s="3">
        <v>3</v>
      </c>
      <c r="G139" s="5">
        <f>INDEX([1]products!$A$1:$G$49,MATCH([1]orders!$D139,[1]products!$A$1:$A$49,0),MATCH([1]orders!K$1,[1]products!$A$1:$G$1,0))</f>
        <v>2.5</v>
      </c>
      <c r="H139" s="6">
        <f>INDEX([1]products!$A$1:$G$49,MATCH([1]orders!$D139,[1]products!$A$1:$A$49,0),MATCH([1]orders!L$1,[1]products!$A$1:$G$1,0))</f>
        <v>34.154999999999994</v>
      </c>
      <c r="I139" s="6">
        <f t="shared" si="2"/>
        <v>102.46499999999997</v>
      </c>
    </row>
    <row r="140" spans="1:9" x14ac:dyDescent="0.3">
      <c r="A140" s="1" t="s">
        <v>305</v>
      </c>
      <c r="B140" s="2">
        <v>44238</v>
      </c>
      <c r="C140" s="3" t="s">
        <v>306</v>
      </c>
      <c r="D140" s="3" t="str">
        <f>INDEX('Customers (2)'!B:B,MATCH('Customers (2)'!A140,'Customers (2)'!A:A,0))</f>
        <v>Abraham Coleman</v>
      </c>
      <c r="E140" s="4" t="s">
        <v>245</v>
      </c>
      <c r="F140" s="3">
        <v>4</v>
      </c>
      <c r="G140" s="5">
        <f>INDEX([1]products!$A$1:$G$49,MATCH([1]orders!$D140,[1]products!$A$1:$A$49,0),MATCH([1]orders!K$1,[1]products!$A$1:$G$1,0))</f>
        <v>1</v>
      </c>
      <c r="H140" s="6">
        <f>INDEX([1]products!$A$1:$G$49,MATCH([1]orders!$D140,[1]products!$A$1:$A$49,0),MATCH([1]orders!L$1,[1]products!$A$1:$G$1,0))</f>
        <v>12.15</v>
      </c>
      <c r="I140" s="6">
        <f t="shared" si="2"/>
        <v>48.6</v>
      </c>
    </row>
    <row r="141" spans="1:9" x14ac:dyDescent="0.3">
      <c r="A141" s="1" t="s">
        <v>307</v>
      </c>
      <c r="B141" s="2">
        <v>43509</v>
      </c>
      <c r="C141" s="3" t="s">
        <v>308</v>
      </c>
      <c r="D141" s="3" t="str">
        <f>INDEX('Customers (2)'!B:B,MATCH('Customers (2)'!A141,'Customers (2)'!A:A,0))</f>
        <v>Rivy Farington</v>
      </c>
      <c r="E141" s="4" t="s">
        <v>13</v>
      </c>
      <c r="F141" s="3">
        <v>6</v>
      </c>
      <c r="G141" s="5">
        <f>INDEX([1]products!$A$1:$G$49,MATCH([1]orders!$D141,[1]products!$A$1:$A$49,0),MATCH([1]orders!K$1,[1]products!$A$1:$G$1,0))</f>
        <v>1</v>
      </c>
      <c r="H141" s="6">
        <f>INDEX([1]products!$A$1:$G$49,MATCH([1]orders!$D141,[1]products!$A$1:$A$49,0),MATCH([1]orders!L$1,[1]products!$A$1:$G$1,0))</f>
        <v>12.95</v>
      </c>
      <c r="I141" s="6">
        <f t="shared" si="2"/>
        <v>77.699999999999989</v>
      </c>
    </row>
    <row r="142" spans="1:9" x14ac:dyDescent="0.3">
      <c r="A142" s="1" t="s">
        <v>309</v>
      </c>
      <c r="B142" s="2">
        <v>44694</v>
      </c>
      <c r="C142" s="3" t="s">
        <v>310</v>
      </c>
      <c r="D142" s="3" t="str">
        <f>INDEX('Customers (2)'!B:B,MATCH('Customers (2)'!A142,'Customers (2)'!A:A,0))</f>
        <v>Vallie Kundt</v>
      </c>
      <c r="E142" s="4" t="s">
        <v>109</v>
      </c>
      <c r="F142" s="3">
        <v>1</v>
      </c>
      <c r="G142" s="5">
        <f>INDEX([1]products!$A$1:$G$49,MATCH([1]orders!$D142,[1]products!$A$1:$A$49,0),MATCH([1]orders!K$1,[1]products!$A$1:$G$1,0))</f>
        <v>2.5</v>
      </c>
      <c r="H142" s="6">
        <f>INDEX([1]products!$A$1:$G$49,MATCH([1]orders!$D142,[1]products!$A$1:$A$49,0),MATCH([1]orders!L$1,[1]products!$A$1:$G$1,0))</f>
        <v>29.784999999999997</v>
      </c>
      <c r="I142" s="6">
        <f t="shared" si="2"/>
        <v>29.784999999999997</v>
      </c>
    </row>
    <row r="143" spans="1:9" x14ac:dyDescent="0.3">
      <c r="A143" s="1" t="s">
        <v>311</v>
      </c>
      <c r="B143" s="2">
        <v>43970</v>
      </c>
      <c r="C143" s="3" t="s">
        <v>312</v>
      </c>
      <c r="D143" s="3" t="str">
        <f>INDEX('Customers (2)'!B:B,MATCH('Customers (2)'!A143,'Customers (2)'!A:A,0))</f>
        <v>Boyd Bett</v>
      </c>
      <c r="E143" s="4" t="s">
        <v>115</v>
      </c>
      <c r="F143" s="3">
        <v>4</v>
      </c>
      <c r="G143" s="5">
        <f>INDEX([1]products!$A$1:$G$49,MATCH([1]orders!$D143,[1]products!$A$1:$A$49,0),MATCH([1]orders!K$1,[1]products!$A$1:$G$1,0))</f>
        <v>0.2</v>
      </c>
      <c r="H143" s="6">
        <f>INDEX([1]products!$A$1:$G$49,MATCH([1]orders!$D143,[1]products!$A$1:$A$49,0),MATCH([1]orders!L$1,[1]products!$A$1:$G$1,0))</f>
        <v>3.8849999999999998</v>
      </c>
      <c r="I143" s="6">
        <f t="shared" si="2"/>
        <v>15.54</v>
      </c>
    </row>
    <row r="144" spans="1:9" x14ac:dyDescent="0.3">
      <c r="A144" s="1" t="s">
        <v>313</v>
      </c>
      <c r="B144" s="2">
        <v>44678</v>
      </c>
      <c r="C144" s="3" t="s">
        <v>314</v>
      </c>
      <c r="D144" s="3" t="str">
        <f>INDEX('Customers (2)'!B:B,MATCH('Customers (2)'!A144,'Customers (2)'!A:A,0))</f>
        <v>Julio Armytage</v>
      </c>
      <c r="E144" s="4" t="s">
        <v>30</v>
      </c>
      <c r="F144" s="3">
        <v>4</v>
      </c>
      <c r="G144" s="5">
        <f>INDEX([1]products!$A$1:$G$49,MATCH([1]orders!$D144,[1]products!$A$1:$A$49,0),MATCH([1]orders!K$1,[1]products!$A$1:$G$1,0))</f>
        <v>2.5</v>
      </c>
      <c r="H144" s="6">
        <f>INDEX([1]products!$A$1:$G$49,MATCH([1]orders!$D144,[1]products!$A$1:$A$49,0),MATCH([1]orders!L$1,[1]products!$A$1:$G$1,0))</f>
        <v>34.154999999999994</v>
      </c>
      <c r="I144" s="6">
        <f t="shared" si="2"/>
        <v>136.61999999999998</v>
      </c>
    </row>
    <row r="145" spans="1:9" x14ac:dyDescent="0.3">
      <c r="A145" s="1" t="s">
        <v>315</v>
      </c>
      <c r="B145" s="2">
        <v>44083</v>
      </c>
      <c r="C145" s="3" t="s">
        <v>316</v>
      </c>
      <c r="D145" s="3" t="str">
        <f>INDEX('Customers (2)'!B:B,MATCH('Customers (2)'!A145,'Customers (2)'!A:A,0))</f>
        <v>Deana Staite</v>
      </c>
      <c r="E145" s="4" t="s">
        <v>78</v>
      </c>
      <c r="F145" s="3">
        <v>2</v>
      </c>
      <c r="G145" s="5">
        <f>INDEX([1]products!$A$1:$G$49,MATCH([1]orders!$D145,[1]products!$A$1:$A$49,0),MATCH([1]orders!K$1,[1]products!$A$1:$G$1,0))</f>
        <v>0.5</v>
      </c>
      <c r="H145" s="6">
        <f>INDEX([1]products!$A$1:$G$49,MATCH([1]orders!$D145,[1]products!$A$1:$A$49,0),MATCH([1]orders!L$1,[1]products!$A$1:$G$1,0))</f>
        <v>8.73</v>
      </c>
      <c r="I145" s="6">
        <f t="shared" si="2"/>
        <v>17.46</v>
      </c>
    </row>
    <row r="146" spans="1:9" x14ac:dyDescent="0.3">
      <c r="A146" s="1" t="s">
        <v>317</v>
      </c>
      <c r="B146" s="2">
        <v>44265</v>
      </c>
      <c r="C146" s="3" t="s">
        <v>318</v>
      </c>
      <c r="D146" s="3" t="str">
        <f>INDEX('Customers (2)'!B:B,MATCH('Customers (2)'!A146,'Customers (2)'!A:A,0))</f>
        <v>Winn Keyse</v>
      </c>
      <c r="E146" s="4" t="s">
        <v>30</v>
      </c>
      <c r="F146" s="3">
        <v>2</v>
      </c>
      <c r="G146" s="5">
        <f>INDEX([1]products!$A$1:$G$49,MATCH([1]orders!$D146,[1]products!$A$1:$A$49,0),MATCH([1]orders!K$1,[1]products!$A$1:$G$1,0))</f>
        <v>2.5</v>
      </c>
      <c r="H146" s="6">
        <f>INDEX([1]products!$A$1:$G$49,MATCH([1]orders!$D146,[1]products!$A$1:$A$49,0),MATCH([1]orders!L$1,[1]products!$A$1:$G$1,0))</f>
        <v>34.154999999999994</v>
      </c>
      <c r="I146" s="6">
        <f t="shared" si="2"/>
        <v>68.309999999999988</v>
      </c>
    </row>
    <row r="147" spans="1:9" x14ac:dyDescent="0.3">
      <c r="A147" s="1" t="s">
        <v>319</v>
      </c>
      <c r="B147" s="2">
        <v>43562</v>
      </c>
      <c r="C147" s="3" t="s">
        <v>320</v>
      </c>
      <c r="D147" s="3" t="str">
        <f>INDEX('Customers (2)'!B:B,MATCH('Customers (2)'!A147,'Customers (2)'!A:A,0))</f>
        <v>Osmund Clausen-Thue</v>
      </c>
      <c r="E147" s="4" t="s">
        <v>77</v>
      </c>
      <c r="F147" s="3">
        <v>4</v>
      </c>
      <c r="G147" s="5">
        <f>INDEX([1]products!$A$1:$G$49,MATCH([1]orders!$D147,[1]products!$A$1:$A$49,0),MATCH([1]orders!K$1,[1]products!$A$1:$G$1,0))</f>
        <v>0.2</v>
      </c>
      <c r="H147" s="6">
        <f>INDEX([1]products!$A$1:$G$49,MATCH([1]orders!$D147,[1]products!$A$1:$A$49,0),MATCH([1]orders!L$1,[1]products!$A$1:$G$1,0))</f>
        <v>4.3650000000000002</v>
      </c>
      <c r="I147" s="6">
        <f t="shared" si="2"/>
        <v>17.46</v>
      </c>
    </row>
    <row r="148" spans="1:9" x14ac:dyDescent="0.3">
      <c r="A148" s="1" t="s">
        <v>321</v>
      </c>
      <c r="B148" s="2">
        <v>44024</v>
      </c>
      <c r="C148" s="3" t="s">
        <v>322</v>
      </c>
      <c r="D148" s="3" t="str">
        <f>INDEX('Customers (2)'!B:B,MATCH('Customers (2)'!A148,'Customers (2)'!A:A,0))</f>
        <v>Leonore Francisco</v>
      </c>
      <c r="E148" s="4" t="s">
        <v>96</v>
      </c>
      <c r="F148" s="3">
        <v>3</v>
      </c>
      <c r="G148" s="5">
        <f>INDEX([1]products!$A$1:$G$49,MATCH([1]orders!$D148,[1]products!$A$1:$A$49,0),MATCH([1]orders!K$1,[1]products!$A$1:$G$1,0))</f>
        <v>1</v>
      </c>
      <c r="H148" s="6">
        <f>INDEX([1]products!$A$1:$G$49,MATCH([1]orders!$D148,[1]products!$A$1:$A$49,0),MATCH([1]orders!L$1,[1]products!$A$1:$G$1,0))</f>
        <v>14.55</v>
      </c>
      <c r="I148" s="6">
        <f t="shared" si="2"/>
        <v>43.650000000000006</v>
      </c>
    </row>
    <row r="149" spans="1:9" x14ac:dyDescent="0.3">
      <c r="A149" s="1" t="s">
        <v>321</v>
      </c>
      <c r="B149" s="2">
        <v>44024</v>
      </c>
      <c r="C149" s="3" t="s">
        <v>322</v>
      </c>
      <c r="D149" s="3" t="str">
        <f>INDEX('Customers (2)'!B:B,MATCH('Customers (2)'!A149,'Customers (2)'!A:A,0))</f>
        <v>Adey Lowseley</v>
      </c>
      <c r="E149" s="4" t="s">
        <v>9</v>
      </c>
      <c r="F149" s="3">
        <v>2</v>
      </c>
      <c r="G149" s="5">
        <f>INDEX([1]products!$A$1:$G$49,MATCH([1]orders!$D149,[1]products!$A$1:$A$49,0),MATCH([1]orders!K$1,[1]products!$A$1:$G$1,0))</f>
        <v>1</v>
      </c>
      <c r="H149" s="6">
        <f>INDEX([1]products!$A$1:$G$49,MATCH([1]orders!$D149,[1]products!$A$1:$A$49,0),MATCH([1]orders!L$1,[1]products!$A$1:$G$1,0))</f>
        <v>13.75</v>
      </c>
      <c r="I149" s="6">
        <f t="shared" si="2"/>
        <v>27.5</v>
      </c>
    </row>
    <row r="150" spans="1:9" x14ac:dyDescent="0.3">
      <c r="A150" s="1" t="s">
        <v>323</v>
      </c>
      <c r="B150" s="2">
        <v>44551</v>
      </c>
      <c r="C150" s="3" t="s">
        <v>324</v>
      </c>
      <c r="D150" s="3" t="str">
        <f>INDEX('Customers (2)'!B:B,MATCH('Customers (2)'!A150,'Customers (2)'!A:A,0))</f>
        <v>Giacobo Skingle</v>
      </c>
      <c r="E150" s="4" t="s">
        <v>51</v>
      </c>
      <c r="F150" s="3">
        <v>5</v>
      </c>
      <c r="G150" s="5">
        <f>INDEX([1]products!$A$1:$G$49,MATCH([1]orders!$D150,[1]products!$A$1:$A$49,0),MATCH([1]orders!K$1,[1]products!$A$1:$G$1,0))</f>
        <v>0.2</v>
      </c>
      <c r="H150" s="6">
        <f>INDEX([1]products!$A$1:$G$49,MATCH([1]orders!$D150,[1]products!$A$1:$A$49,0),MATCH([1]orders!L$1,[1]products!$A$1:$G$1,0))</f>
        <v>3.645</v>
      </c>
      <c r="I150" s="6">
        <f t="shared" si="2"/>
        <v>18.225000000000001</v>
      </c>
    </row>
    <row r="151" spans="1:9" x14ac:dyDescent="0.3">
      <c r="A151" s="1" t="s">
        <v>325</v>
      </c>
      <c r="B151" s="2">
        <v>44108</v>
      </c>
      <c r="C151" s="3" t="s">
        <v>326</v>
      </c>
      <c r="D151" s="3" t="str">
        <f>INDEX('Customers (2)'!B:B,MATCH('Customers (2)'!A151,'Customers (2)'!A:A,0))</f>
        <v>Gerard Pirdy</v>
      </c>
      <c r="E151" s="4" t="s">
        <v>171</v>
      </c>
      <c r="F151" s="3">
        <v>2</v>
      </c>
      <c r="G151" s="5">
        <f>INDEX([1]products!$A$1:$G$49,MATCH([1]orders!$D151,[1]products!$A$1:$A$49,0),MATCH([1]orders!K$1,[1]products!$A$1:$G$1,0))</f>
        <v>2.5</v>
      </c>
      <c r="H151" s="6">
        <f>INDEX([1]products!$A$1:$G$49,MATCH([1]orders!$D151,[1]products!$A$1:$A$49,0),MATCH([1]orders!L$1,[1]products!$A$1:$G$1,0))</f>
        <v>25.874999999999996</v>
      </c>
      <c r="I151" s="6">
        <f t="shared" si="2"/>
        <v>51.749999999999993</v>
      </c>
    </row>
    <row r="152" spans="1:9" x14ac:dyDescent="0.3">
      <c r="A152" s="1" t="s">
        <v>327</v>
      </c>
      <c r="B152" s="2">
        <v>44051</v>
      </c>
      <c r="C152" s="3" t="s">
        <v>328</v>
      </c>
      <c r="D152" s="3" t="str">
        <f>INDEX('Customers (2)'!B:B,MATCH('Customers (2)'!A152,'Customers (2)'!A:A,0))</f>
        <v>Jacinthe Balsillie</v>
      </c>
      <c r="E152" s="4" t="s">
        <v>13</v>
      </c>
      <c r="F152" s="3">
        <v>1</v>
      </c>
      <c r="G152" s="5">
        <f>INDEX([1]products!$A$1:$G$49,MATCH([1]orders!$D152,[1]products!$A$1:$A$49,0),MATCH([1]orders!K$1,[1]products!$A$1:$G$1,0))</f>
        <v>1</v>
      </c>
      <c r="H152" s="6">
        <f>INDEX([1]products!$A$1:$G$49,MATCH([1]orders!$D152,[1]products!$A$1:$A$49,0),MATCH([1]orders!L$1,[1]products!$A$1:$G$1,0))</f>
        <v>12.95</v>
      </c>
      <c r="I152" s="6">
        <f t="shared" si="2"/>
        <v>12.95</v>
      </c>
    </row>
    <row r="153" spans="1:9" x14ac:dyDescent="0.3">
      <c r="A153" s="1" t="s">
        <v>329</v>
      </c>
      <c r="B153" s="2">
        <v>44115</v>
      </c>
      <c r="C153" s="3" t="s">
        <v>330</v>
      </c>
      <c r="D153" s="3" t="str">
        <f>INDEX('Customers (2)'!B:B,MATCH('Customers (2)'!A153,'Customers (2)'!A:A,0))</f>
        <v>Quinton Fouracres</v>
      </c>
      <c r="E153" s="4" t="s">
        <v>61</v>
      </c>
      <c r="F153" s="3">
        <v>3</v>
      </c>
      <c r="G153" s="5">
        <f>INDEX([1]products!$A$1:$G$49,MATCH([1]orders!$D153,[1]products!$A$1:$A$49,0),MATCH([1]orders!K$1,[1]products!$A$1:$G$1,0))</f>
        <v>1</v>
      </c>
      <c r="H153" s="6">
        <f>INDEX([1]products!$A$1:$G$49,MATCH([1]orders!$D153,[1]products!$A$1:$A$49,0),MATCH([1]orders!L$1,[1]products!$A$1:$G$1,0))</f>
        <v>11.25</v>
      </c>
      <c r="I153" s="6">
        <f t="shared" si="2"/>
        <v>33.75</v>
      </c>
    </row>
    <row r="154" spans="1:9" x14ac:dyDescent="0.3">
      <c r="A154" s="1" t="s">
        <v>331</v>
      </c>
      <c r="B154" s="2">
        <v>44510</v>
      </c>
      <c r="C154" s="3" t="s">
        <v>332</v>
      </c>
      <c r="D154" s="3" t="str">
        <f>INDEX('Customers (2)'!B:B,MATCH('Customers (2)'!A154,'Customers (2)'!A:A,0))</f>
        <v>Bettina Leffek</v>
      </c>
      <c r="E154" s="4" t="s">
        <v>41</v>
      </c>
      <c r="F154" s="3">
        <v>3</v>
      </c>
      <c r="G154" s="5">
        <f>INDEX([1]products!$A$1:$G$49,MATCH([1]orders!$D154,[1]products!$A$1:$A$49,0),MATCH([1]orders!K$1,[1]products!$A$1:$G$1,0))</f>
        <v>2.5</v>
      </c>
      <c r="H154" s="6">
        <f>INDEX([1]products!$A$1:$G$49,MATCH([1]orders!$D154,[1]products!$A$1:$A$49,0),MATCH([1]orders!L$1,[1]products!$A$1:$G$1,0))</f>
        <v>22.884999999999998</v>
      </c>
      <c r="I154" s="6">
        <f t="shared" si="2"/>
        <v>68.655000000000001</v>
      </c>
    </row>
    <row r="155" spans="1:9" x14ac:dyDescent="0.3">
      <c r="A155" s="1" t="s">
        <v>333</v>
      </c>
      <c r="B155" s="2">
        <v>44367</v>
      </c>
      <c r="C155" s="3" t="s">
        <v>334</v>
      </c>
      <c r="D155" s="3" t="str">
        <f>INDEX('Customers (2)'!B:B,MATCH('Customers (2)'!A155,'Customers (2)'!A:A,0))</f>
        <v>Hetti Penson</v>
      </c>
      <c r="E155" s="4" t="s">
        <v>101</v>
      </c>
      <c r="F155" s="3">
        <v>1</v>
      </c>
      <c r="G155" s="5">
        <f>INDEX([1]products!$A$1:$G$49,MATCH([1]orders!$D155,[1]products!$A$1:$A$49,0),MATCH([1]orders!K$1,[1]products!$A$1:$G$1,0))</f>
        <v>0.2</v>
      </c>
      <c r="H155" s="6">
        <f>INDEX([1]products!$A$1:$G$49,MATCH([1]orders!$D155,[1]products!$A$1:$A$49,0),MATCH([1]orders!L$1,[1]products!$A$1:$G$1,0))</f>
        <v>2.6849999999999996</v>
      </c>
      <c r="I155" s="6">
        <f t="shared" si="2"/>
        <v>2.6849999999999996</v>
      </c>
    </row>
    <row r="156" spans="1:9" x14ac:dyDescent="0.3">
      <c r="A156" s="1" t="s">
        <v>335</v>
      </c>
      <c r="B156" s="2">
        <v>44473</v>
      </c>
      <c r="C156" s="3" t="s">
        <v>336</v>
      </c>
      <c r="D156" s="3" t="str">
        <f>INDEX('Customers (2)'!B:B,MATCH('Customers (2)'!A156,'Customers (2)'!A:A,0))</f>
        <v>Jocko Pray</v>
      </c>
      <c r="E156" s="4" t="s">
        <v>118</v>
      </c>
      <c r="F156" s="3">
        <v>5</v>
      </c>
      <c r="G156" s="5">
        <f>INDEX([1]products!$A$1:$G$49,MATCH([1]orders!$D156,[1]products!$A$1:$A$49,0),MATCH([1]orders!K$1,[1]products!$A$1:$G$1,0))</f>
        <v>2.5</v>
      </c>
      <c r="H156" s="6">
        <f>INDEX([1]products!$A$1:$G$49,MATCH([1]orders!$D156,[1]products!$A$1:$A$49,0),MATCH([1]orders!L$1,[1]products!$A$1:$G$1,0))</f>
        <v>22.884999999999998</v>
      </c>
      <c r="I156" s="6">
        <f t="shared" si="2"/>
        <v>114.42499999999998</v>
      </c>
    </row>
    <row r="157" spans="1:9" x14ac:dyDescent="0.3">
      <c r="A157" s="1" t="s">
        <v>337</v>
      </c>
      <c r="B157" s="2">
        <v>43640</v>
      </c>
      <c r="C157" s="3" t="s">
        <v>338</v>
      </c>
      <c r="D157" s="3" t="str">
        <f>INDEX('Customers (2)'!B:B,MATCH('Customers (2)'!A157,'Customers (2)'!A:A,0))</f>
        <v>Grete Holborn</v>
      </c>
      <c r="E157" s="4" t="s">
        <v>171</v>
      </c>
      <c r="F157" s="3">
        <v>6</v>
      </c>
      <c r="G157" s="5">
        <f>INDEX([1]products!$A$1:$G$49,MATCH([1]orders!$D157,[1]products!$A$1:$A$49,0),MATCH([1]orders!K$1,[1]products!$A$1:$G$1,0))</f>
        <v>2.5</v>
      </c>
      <c r="H157" s="6">
        <f>INDEX([1]products!$A$1:$G$49,MATCH([1]orders!$D157,[1]products!$A$1:$A$49,0),MATCH([1]orders!L$1,[1]products!$A$1:$G$1,0))</f>
        <v>25.874999999999996</v>
      </c>
      <c r="I157" s="6">
        <f t="shared" si="2"/>
        <v>155.24999999999997</v>
      </c>
    </row>
    <row r="158" spans="1:9" x14ac:dyDescent="0.3">
      <c r="A158" s="1" t="s">
        <v>339</v>
      </c>
      <c r="B158" s="2">
        <v>43764</v>
      </c>
      <c r="C158" s="3" t="s">
        <v>340</v>
      </c>
      <c r="D158" s="3" t="str">
        <f>INDEX('Customers (2)'!B:B,MATCH('Customers (2)'!A158,'Customers (2)'!A:A,0))</f>
        <v>Fielding Keinrat</v>
      </c>
      <c r="E158" s="4" t="s">
        <v>171</v>
      </c>
      <c r="F158" s="3">
        <v>3</v>
      </c>
      <c r="G158" s="5">
        <f>INDEX([1]products!$A$1:$G$49,MATCH([1]orders!$D158,[1]products!$A$1:$A$49,0),MATCH([1]orders!K$1,[1]products!$A$1:$G$1,0))</f>
        <v>2.5</v>
      </c>
      <c r="H158" s="6">
        <f>INDEX([1]products!$A$1:$G$49,MATCH([1]orders!$D158,[1]products!$A$1:$A$49,0),MATCH([1]orders!L$1,[1]products!$A$1:$G$1,0))</f>
        <v>25.874999999999996</v>
      </c>
      <c r="I158" s="6">
        <f t="shared" si="2"/>
        <v>77.624999999999986</v>
      </c>
    </row>
    <row r="159" spans="1:9" x14ac:dyDescent="0.3">
      <c r="A159" s="1" t="s">
        <v>341</v>
      </c>
      <c r="B159" s="2">
        <v>44374</v>
      </c>
      <c r="C159" s="3" t="s">
        <v>342</v>
      </c>
      <c r="D159" s="3" t="str">
        <f>INDEX('Customers (2)'!B:B,MATCH('Customers (2)'!A159,'Customers (2)'!A:A,0))</f>
        <v>Paulo Yea</v>
      </c>
      <c r="E159" s="4" t="s">
        <v>35</v>
      </c>
      <c r="F159" s="3">
        <v>3</v>
      </c>
      <c r="G159" s="5">
        <f>INDEX([1]products!$A$1:$G$49,MATCH([1]orders!$D159,[1]products!$A$1:$A$49,0),MATCH([1]orders!K$1,[1]products!$A$1:$G$1,0))</f>
        <v>2.5</v>
      </c>
      <c r="H159" s="6">
        <f>INDEX([1]products!$A$1:$G$49,MATCH([1]orders!$D159,[1]products!$A$1:$A$49,0),MATCH([1]orders!L$1,[1]products!$A$1:$G$1,0))</f>
        <v>20.584999999999997</v>
      </c>
      <c r="I159" s="6">
        <f t="shared" si="2"/>
        <v>61.754999999999995</v>
      </c>
    </row>
    <row r="160" spans="1:9" x14ac:dyDescent="0.3">
      <c r="A160" s="1" t="s">
        <v>343</v>
      </c>
      <c r="B160" s="2">
        <v>43714</v>
      </c>
      <c r="C160" s="3" t="s">
        <v>344</v>
      </c>
      <c r="D160" s="3" t="str">
        <f>INDEX('Customers (2)'!B:B,MATCH('Customers (2)'!A160,'Customers (2)'!A:A,0))</f>
        <v>Say Risborough</v>
      </c>
      <c r="E160" s="4" t="s">
        <v>35</v>
      </c>
      <c r="F160" s="3">
        <v>6</v>
      </c>
      <c r="G160" s="5">
        <f>INDEX([1]products!$A$1:$G$49,MATCH([1]orders!$D160,[1]products!$A$1:$A$49,0),MATCH([1]orders!K$1,[1]products!$A$1:$G$1,0))</f>
        <v>2.5</v>
      </c>
      <c r="H160" s="6">
        <f>INDEX([1]products!$A$1:$G$49,MATCH([1]orders!$D160,[1]products!$A$1:$A$49,0),MATCH([1]orders!L$1,[1]products!$A$1:$G$1,0))</f>
        <v>20.584999999999997</v>
      </c>
      <c r="I160" s="6">
        <f t="shared" si="2"/>
        <v>123.50999999999999</v>
      </c>
    </row>
    <row r="161" spans="1:9" x14ac:dyDescent="0.3">
      <c r="A161" s="1" t="s">
        <v>345</v>
      </c>
      <c r="B161" s="2">
        <v>44316</v>
      </c>
      <c r="C161" s="3" t="s">
        <v>346</v>
      </c>
      <c r="D161" s="3" t="str">
        <f>INDEX('Customers (2)'!B:B,MATCH('Customers (2)'!A161,'Customers (2)'!A:A,0))</f>
        <v>Alexa Sizey</v>
      </c>
      <c r="E161" s="4" t="s">
        <v>104</v>
      </c>
      <c r="F161" s="3">
        <v>6</v>
      </c>
      <c r="G161" s="5">
        <f>INDEX([1]products!$A$1:$G$49,MATCH([1]orders!$D161,[1]products!$A$1:$A$49,0),MATCH([1]orders!K$1,[1]products!$A$1:$G$1,0))</f>
        <v>2.5</v>
      </c>
      <c r="H161" s="6">
        <f>INDEX([1]products!$A$1:$G$49,MATCH([1]orders!$D161,[1]products!$A$1:$A$49,0),MATCH([1]orders!L$1,[1]products!$A$1:$G$1,0))</f>
        <v>36.454999999999998</v>
      </c>
      <c r="I161" s="6">
        <f t="shared" si="2"/>
        <v>218.73</v>
      </c>
    </row>
    <row r="162" spans="1:9" x14ac:dyDescent="0.3">
      <c r="A162" s="1" t="s">
        <v>347</v>
      </c>
      <c r="B162" s="2">
        <v>43837</v>
      </c>
      <c r="C162" s="3" t="s">
        <v>348</v>
      </c>
      <c r="D162" s="3" t="str">
        <f>INDEX('Customers (2)'!B:B,MATCH('Customers (2)'!A162,'Customers (2)'!A:A,0))</f>
        <v>Kari Swede</v>
      </c>
      <c r="E162" s="4" t="s">
        <v>3</v>
      </c>
      <c r="F162" s="3">
        <v>4</v>
      </c>
      <c r="G162" s="5">
        <f>INDEX([1]products!$A$1:$G$49,MATCH([1]orders!$D162,[1]products!$A$1:$A$49,0),MATCH([1]orders!K$1,[1]products!$A$1:$G$1,0))</f>
        <v>0.5</v>
      </c>
      <c r="H162" s="6">
        <f>INDEX([1]products!$A$1:$G$49,MATCH([1]orders!$D162,[1]products!$A$1:$A$49,0),MATCH([1]orders!L$1,[1]products!$A$1:$G$1,0))</f>
        <v>8.25</v>
      </c>
      <c r="I162" s="6">
        <f t="shared" si="2"/>
        <v>33</v>
      </c>
    </row>
    <row r="163" spans="1:9" x14ac:dyDescent="0.3">
      <c r="A163" s="1" t="s">
        <v>349</v>
      </c>
      <c r="B163" s="2">
        <v>44207</v>
      </c>
      <c r="C163" s="3" t="s">
        <v>350</v>
      </c>
      <c r="D163" s="3" t="str">
        <f>INDEX('Customers (2)'!B:B,MATCH('Customers (2)'!A163,'Customers (2)'!A:A,0))</f>
        <v>Leontine Rubrow</v>
      </c>
      <c r="E163" s="4" t="s">
        <v>192</v>
      </c>
      <c r="F163" s="3">
        <v>3</v>
      </c>
      <c r="G163" s="5">
        <f>INDEX([1]products!$A$1:$G$49,MATCH([1]orders!$D163,[1]products!$A$1:$A$49,0),MATCH([1]orders!K$1,[1]products!$A$1:$G$1,0))</f>
        <v>0.5</v>
      </c>
      <c r="H163" s="6">
        <f>INDEX([1]products!$A$1:$G$49,MATCH([1]orders!$D163,[1]products!$A$1:$A$49,0),MATCH([1]orders!L$1,[1]products!$A$1:$G$1,0))</f>
        <v>7.77</v>
      </c>
      <c r="I163" s="6">
        <f t="shared" si="2"/>
        <v>23.31</v>
      </c>
    </row>
    <row r="164" spans="1:9" x14ac:dyDescent="0.3">
      <c r="A164" s="1" t="s">
        <v>351</v>
      </c>
      <c r="B164" s="2">
        <v>44515</v>
      </c>
      <c r="C164" s="3" t="s">
        <v>352</v>
      </c>
      <c r="D164" s="3" t="str">
        <f>INDEX('Customers (2)'!B:B,MATCH('Customers (2)'!A164,'Customers (2)'!A:A,0))</f>
        <v>Dottie Tift</v>
      </c>
      <c r="E164" s="4" t="s">
        <v>16</v>
      </c>
      <c r="F164" s="3">
        <v>3</v>
      </c>
      <c r="G164" s="5">
        <f>INDEX([1]products!$A$1:$G$49,MATCH([1]orders!$D164,[1]products!$A$1:$A$49,0),MATCH([1]orders!K$1,[1]products!$A$1:$G$1,0))</f>
        <v>0.5</v>
      </c>
      <c r="H164" s="6">
        <f>INDEX([1]products!$A$1:$G$49,MATCH([1]orders!$D164,[1]products!$A$1:$A$49,0),MATCH([1]orders!L$1,[1]products!$A$1:$G$1,0))</f>
        <v>7.29</v>
      </c>
      <c r="I164" s="6">
        <f t="shared" si="2"/>
        <v>21.87</v>
      </c>
    </row>
    <row r="165" spans="1:9" x14ac:dyDescent="0.3">
      <c r="A165" s="1" t="s">
        <v>353</v>
      </c>
      <c r="B165" s="2">
        <v>43619</v>
      </c>
      <c r="C165" s="3" t="s">
        <v>354</v>
      </c>
      <c r="D165" s="3" t="str">
        <f>INDEX('Customers (2)'!B:B,MATCH('Customers (2)'!A165,'Customers (2)'!A:A,0))</f>
        <v>Gerardo Schonfeld</v>
      </c>
      <c r="E165" s="4" t="s">
        <v>101</v>
      </c>
      <c r="F165" s="3">
        <v>6</v>
      </c>
      <c r="G165" s="5">
        <f>INDEX([1]products!$A$1:$G$49,MATCH([1]orders!$D165,[1]products!$A$1:$A$49,0),MATCH([1]orders!K$1,[1]products!$A$1:$G$1,0))</f>
        <v>0.2</v>
      </c>
      <c r="H165" s="6">
        <f>INDEX([1]products!$A$1:$G$49,MATCH([1]orders!$D165,[1]products!$A$1:$A$49,0),MATCH([1]orders!L$1,[1]products!$A$1:$G$1,0))</f>
        <v>2.6849999999999996</v>
      </c>
      <c r="I165" s="6">
        <f t="shared" si="2"/>
        <v>16.11</v>
      </c>
    </row>
    <row r="166" spans="1:9" x14ac:dyDescent="0.3">
      <c r="A166" s="1" t="s">
        <v>355</v>
      </c>
      <c r="B166" s="2">
        <v>44182</v>
      </c>
      <c r="C166" s="3" t="s">
        <v>356</v>
      </c>
      <c r="D166" s="3" t="str">
        <f>INDEX('Customers (2)'!B:B,MATCH('Customers (2)'!A166,'Customers (2)'!A:A,0))</f>
        <v>Claiborne Feye</v>
      </c>
      <c r="E166" s="4" t="s">
        <v>16</v>
      </c>
      <c r="F166" s="3">
        <v>4</v>
      </c>
      <c r="G166" s="5">
        <f>INDEX([1]products!$A$1:$G$49,MATCH([1]orders!$D166,[1]products!$A$1:$A$49,0),MATCH([1]orders!K$1,[1]products!$A$1:$G$1,0))</f>
        <v>0.5</v>
      </c>
      <c r="H166" s="6">
        <f>INDEX([1]products!$A$1:$G$49,MATCH([1]orders!$D166,[1]products!$A$1:$A$49,0),MATCH([1]orders!L$1,[1]products!$A$1:$G$1,0))</f>
        <v>7.29</v>
      </c>
      <c r="I166" s="6">
        <f t="shared" si="2"/>
        <v>29.16</v>
      </c>
    </row>
    <row r="167" spans="1:9" x14ac:dyDescent="0.3">
      <c r="A167" s="1" t="s">
        <v>357</v>
      </c>
      <c r="B167" s="2">
        <v>44234</v>
      </c>
      <c r="C167" s="3" t="s">
        <v>358</v>
      </c>
      <c r="D167" s="3" t="str">
        <f>INDEX('Customers (2)'!B:B,MATCH('Customers (2)'!A167,'Customers (2)'!A:A,0))</f>
        <v>Mina Elstone</v>
      </c>
      <c r="E167" s="4" t="s">
        <v>179</v>
      </c>
      <c r="F167" s="3">
        <v>6</v>
      </c>
      <c r="G167" s="5">
        <f>INDEX([1]products!$A$1:$G$49,MATCH([1]orders!$D167,[1]products!$A$1:$A$49,0),MATCH([1]orders!K$1,[1]products!$A$1:$G$1,0))</f>
        <v>1</v>
      </c>
      <c r="H167" s="6">
        <f>INDEX([1]products!$A$1:$G$49,MATCH([1]orders!$D167,[1]products!$A$1:$A$49,0),MATCH([1]orders!L$1,[1]products!$A$1:$G$1,0))</f>
        <v>8.9499999999999993</v>
      </c>
      <c r="I167" s="6">
        <f t="shared" si="2"/>
        <v>53.699999999999996</v>
      </c>
    </row>
    <row r="168" spans="1:9" x14ac:dyDescent="0.3">
      <c r="A168" s="1" t="s">
        <v>359</v>
      </c>
      <c r="B168" s="2">
        <v>44270</v>
      </c>
      <c r="C168" s="3" t="s">
        <v>360</v>
      </c>
      <c r="D168" s="3" t="str">
        <f>INDEX('Customers (2)'!B:B,MATCH('Customers (2)'!A168,'Customers (2)'!A:A,0))</f>
        <v>Sherman Mewrcik</v>
      </c>
      <c r="E168" s="4" t="s">
        <v>146</v>
      </c>
      <c r="F168" s="3">
        <v>5</v>
      </c>
      <c r="G168" s="5">
        <f>INDEX([1]products!$A$1:$G$49,MATCH([1]orders!$D168,[1]products!$A$1:$A$49,0),MATCH([1]orders!K$1,[1]products!$A$1:$G$1,0))</f>
        <v>0.5</v>
      </c>
      <c r="H168" s="6">
        <f>INDEX([1]products!$A$1:$G$49,MATCH([1]orders!$D168,[1]products!$A$1:$A$49,0),MATCH([1]orders!L$1,[1]products!$A$1:$G$1,0))</f>
        <v>5.3699999999999992</v>
      </c>
      <c r="I168" s="6">
        <f t="shared" si="2"/>
        <v>26.849999999999994</v>
      </c>
    </row>
    <row r="169" spans="1:9" x14ac:dyDescent="0.3">
      <c r="A169" s="1" t="s">
        <v>361</v>
      </c>
      <c r="B169" s="2">
        <v>44777</v>
      </c>
      <c r="C169" s="3" t="s">
        <v>362</v>
      </c>
      <c r="D169" s="3" t="str">
        <f>INDEX('Customers (2)'!B:B,MATCH('Customers (2)'!A169,'Customers (2)'!A:A,0))</f>
        <v>Tamarah Fero</v>
      </c>
      <c r="E169" s="4" t="s">
        <v>3</v>
      </c>
      <c r="F169" s="3">
        <v>5</v>
      </c>
      <c r="G169" s="5">
        <f>INDEX([1]products!$A$1:$G$49,MATCH([1]orders!$D169,[1]products!$A$1:$A$49,0),MATCH([1]orders!K$1,[1]products!$A$1:$G$1,0))</f>
        <v>0.5</v>
      </c>
      <c r="H169" s="6">
        <f>INDEX([1]products!$A$1:$G$49,MATCH([1]orders!$D169,[1]products!$A$1:$A$49,0),MATCH([1]orders!L$1,[1]products!$A$1:$G$1,0))</f>
        <v>8.25</v>
      </c>
      <c r="I169" s="6">
        <f t="shared" si="2"/>
        <v>41.25</v>
      </c>
    </row>
    <row r="170" spans="1:9" x14ac:dyDescent="0.3">
      <c r="A170" s="1" t="s">
        <v>363</v>
      </c>
      <c r="B170" s="2">
        <v>43484</v>
      </c>
      <c r="C170" s="3" t="s">
        <v>364</v>
      </c>
      <c r="D170" s="3" t="str">
        <f>INDEX('Customers (2)'!B:B,MATCH('Customers (2)'!A170,'Customers (2)'!A:A,0))</f>
        <v>Stanislaus Valsler</v>
      </c>
      <c r="E170" s="4" t="s">
        <v>67</v>
      </c>
      <c r="F170" s="3">
        <v>6</v>
      </c>
      <c r="G170" s="5">
        <f>INDEX([1]products!$A$1:$G$49,MATCH([1]orders!$D170,[1]products!$A$1:$A$49,0),MATCH([1]orders!K$1,[1]products!$A$1:$G$1,0))</f>
        <v>0.5</v>
      </c>
      <c r="H170" s="6">
        <f>INDEX([1]products!$A$1:$G$49,MATCH([1]orders!$D170,[1]products!$A$1:$A$49,0),MATCH([1]orders!L$1,[1]products!$A$1:$G$1,0))</f>
        <v>6.75</v>
      </c>
      <c r="I170" s="6">
        <f t="shared" si="2"/>
        <v>40.5</v>
      </c>
    </row>
    <row r="171" spans="1:9" x14ac:dyDescent="0.3">
      <c r="A171" s="1" t="s">
        <v>365</v>
      </c>
      <c r="B171" s="2">
        <v>44643</v>
      </c>
      <c r="C171" s="3" t="s">
        <v>366</v>
      </c>
      <c r="D171" s="3" t="str">
        <f>INDEX('Customers (2)'!B:B,MATCH('Customers (2)'!A171,'Customers (2)'!A:A,0))</f>
        <v>Felita Dauney</v>
      </c>
      <c r="E171" s="4" t="s">
        <v>179</v>
      </c>
      <c r="F171" s="3">
        <v>2</v>
      </c>
      <c r="G171" s="5">
        <f>INDEX([1]products!$A$1:$G$49,MATCH([1]orders!$D171,[1]products!$A$1:$A$49,0),MATCH([1]orders!K$1,[1]products!$A$1:$G$1,0))</f>
        <v>1</v>
      </c>
      <c r="H171" s="6">
        <f>INDEX([1]products!$A$1:$G$49,MATCH([1]orders!$D171,[1]products!$A$1:$A$49,0),MATCH([1]orders!L$1,[1]products!$A$1:$G$1,0))</f>
        <v>8.9499999999999993</v>
      </c>
      <c r="I171" s="6">
        <f t="shared" si="2"/>
        <v>17.899999999999999</v>
      </c>
    </row>
    <row r="172" spans="1:9" x14ac:dyDescent="0.3">
      <c r="A172" s="1" t="s">
        <v>367</v>
      </c>
      <c r="B172" s="2">
        <v>44476</v>
      </c>
      <c r="C172" s="3" t="s">
        <v>368</v>
      </c>
      <c r="D172" s="3" t="str">
        <f>INDEX('Customers (2)'!B:B,MATCH('Customers (2)'!A172,'Customers (2)'!A:A,0))</f>
        <v>Serena Earley</v>
      </c>
      <c r="E172" s="4" t="s">
        <v>30</v>
      </c>
      <c r="F172" s="3">
        <v>2</v>
      </c>
      <c r="G172" s="5">
        <f>INDEX([1]products!$A$1:$G$49,MATCH([1]orders!$D172,[1]products!$A$1:$A$49,0),MATCH([1]orders!K$1,[1]products!$A$1:$G$1,0))</f>
        <v>2.5</v>
      </c>
      <c r="H172" s="6">
        <f>INDEX([1]products!$A$1:$G$49,MATCH([1]orders!$D172,[1]products!$A$1:$A$49,0),MATCH([1]orders!L$1,[1]products!$A$1:$G$1,0))</f>
        <v>34.154999999999994</v>
      </c>
      <c r="I172" s="6">
        <f t="shared" si="2"/>
        <v>68.309999999999988</v>
      </c>
    </row>
    <row r="173" spans="1:9" x14ac:dyDescent="0.3">
      <c r="A173" s="1" t="s">
        <v>369</v>
      </c>
      <c r="B173" s="2">
        <v>43544</v>
      </c>
      <c r="C173" s="3" t="s">
        <v>370</v>
      </c>
      <c r="D173" s="3" t="str">
        <f>INDEX('Customers (2)'!B:B,MATCH('Customers (2)'!A173,'Customers (2)'!A:A,0))</f>
        <v>Minny Chamberlayne</v>
      </c>
      <c r="E173" s="4" t="s">
        <v>112</v>
      </c>
      <c r="F173" s="3">
        <v>2</v>
      </c>
      <c r="G173" s="5">
        <f>INDEX([1]products!$A$1:$G$49,MATCH([1]orders!$D173,[1]products!$A$1:$A$49,0),MATCH([1]orders!K$1,[1]products!$A$1:$G$1,0))</f>
        <v>2.5</v>
      </c>
      <c r="H173" s="6">
        <f>INDEX([1]products!$A$1:$G$49,MATCH([1]orders!$D173,[1]products!$A$1:$A$49,0),MATCH([1]orders!L$1,[1]products!$A$1:$G$1,0))</f>
        <v>31.624999999999996</v>
      </c>
      <c r="I173" s="6">
        <f t="shared" si="2"/>
        <v>63.249999999999993</v>
      </c>
    </row>
    <row r="174" spans="1:9" x14ac:dyDescent="0.3">
      <c r="A174" s="1" t="s">
        <v>371</v>
      </c>
      <c r="B174" s="2">
        <v>44545</v>
      </c>
      <c r="C174" s="3" t="s">
        <v>372</v>
      </c>
      <c r="D174" s="3" t="str">
        <f>INDEX('Customers (2)'!B:B,MATCH('Customers (2)'!A174,'Customers (2)'!A:A,0))</f>
        <v>Bartholemy Flaherty</v>
      </c>
      <c r="E174" s="4" t="s">
        <v>16</v>
      </c>
      <c r="F174" s="3">
        <v>3</v>
      </c>
      <c r="G174" s="5">
        <f>INDEX([1]products!$A$1:$G$49,MATCH([1]orders!$D174,[1]products!$A$1:$A$49,0),MATCH([1]orders!K$1,[1]products!$A$1:$G$1,0))</f>
        <v>0.5</v>
      </c>
      <c r="H174" s="6">
        <f>INDEX([1]products!$A$1:$G$49,MATCH([1]orders!$D174,[1]products!$A$1:$A$49,0),MATCH([1]orders!L$1,[1]products!$A$1:$G$1,0))</f>
        <v>7.29</v>
      </c>
      <c r="I174" s="6">
        <f t="shared" si="2"/>
        <v>21.87</v>
      </c>
    </row>
    <row r="175" spans="1:9" x14ac:dyDescent="0.3">
      <c r="A175" s="1" t="s">
        <v>373</v>
      </c>
      <c r="B175" s="2">
        <v>44720</v>
      </c>
      <c r="C175" s="3" t="s">
        <v>374</v>
      </c>
      <c r="D175" s="3" t="str">
        <f>INDEX('Customers (2)'!B:B,MATCH('Customers (2)'!A175,'Customers (2)'!A:A,0))</f>
        <v>Oran Colbeck</v>
      </c>
      <c r="E175" s="4" t="s">
        <v>41</v>
      </c>
      <c r="F175" s="3">
        <v>4</v>
      </c>
      <c r="G175" s="5">
        <f>INDEX([1]products!$A$1:$G$49,MATCH([1]orders!$D175,[1]products!$A$1:$A$49,0),MATCH([1]orders!K$1,[1]products!$A$1:$G$1,0))</f>
        <v>2.5</v>
      </c>
      <c r="H175" s="6">
        <f>INDEX([1]products!$A$1:$G$49,MATCH([1]orders!$D175,[1]products!$A$1:$A$49,0),MATCH([1]orders!L$1,[1]products!$A$1:$G$1,0))</f>
        <v>22.884999999999998</v>
      </c>
      <c r="I175" s="6">
        <f t="shared" si="2"/>
        <v>91.539999999999992</v>
      </c>
    </row>
    <row r="176" spans="1:9" x14ac:dyDescent="0.3">
      <c r="A176" s="1" t="s">
        <v>375</v>
      </c>
      <c r="B176" s="2">
        <v>43813</v>
      </c>
      <c r="C176" s="3" t="s">
        <v>376</v>
      </c>
      <c r="D176" s="3" t="str">
        <f>INDEX('Customers (2)'!B:B,MATCH('Customers (2)'!A176,'Customers (2)'!A:A,0))</f>
        <v>Elysee Sketch</v>
      </c>
      <c r="E176" s="4" t="s">
        <v>30</v>
      </c>
      <c r="F176" s="3">
        <v>6</v>
      </c>
      <c r="G176" s="5">
        <f>INDEX([1]products!$A$1:$G$49,MATCH([1]orders!$D176,[1]products!$A$1:$A$49,0),MATCH([1]orders!K$1,[1]products!$A$1:$G$1,0))</f>
        <v>2.5</v>
      </c>
      <c r="H176" s="6">
        <f>INDEX([1]products!$A$1:$G$49,MATCH([1]orders!$D176,[1]products!$A$1:$A$49,0),MATCH([1]orders!L$1,[1]products!$A$1:$G$1,0))</f>
        <v>34.154999999999994</v>
      </c>
      <c r="I176" s="6">
        <f t="shared" si="2"/>
        <v>204.92999999999995</v>
      </c>
    </row>
    <row r="177" spans="1:9" x14ac:dyDescent="0.3">
      <c r="A177" s="1" t="s">
        <v>377</v>
      </c>
      <c r="B177" s="2">
        <v>44296</v>
      </c>
      <c r="C177" s="3" t="s">
        <v>378</v>
      </c>
      <c r="D177" s="3" t="str">
        <f>INDEX('Customers (2)'!B:B,MATCH('Customers (2)'!A177,'Customers (2)'!A:A,0))</f>
        <v>Ethelda Hobbing</v>
      </c>
      <c r="E177" s="4" t="s">
        <v>112</v>
      </c>
      <c r="F177" s="3">
        <v>2</v>
      </c>
      <c r="G177" s="5">
        <f>INDEX([1]products!$A$1:$G$49,MATCH([1]orders!$D177,[1]products!$A$1:$A$49,0),MATCH([1]orders!K$1,[1]products!$A$1:$G$1,0))</f>
        <v>2.5</v>
      </c>
      <c r="H177" s="6">
        <f>INDEX([1]products!$A$1:$G$49,MATCH([1]orders!$D177,[1]products!$A$1:$A$49,0),MATCH([1]orders!L$1,[1]products!$A$1:$G$1,0))</f>
        <v>31.624999999999996</v>
      </c>
      <c r="I177" s="6">
        <f t="shared" si="2"/>
        <v>63.249999999999993</v>
      </c>
    </row>
    <row r="178" spans="1:9" x14ac:dyDescent="0.3">
      <c r="A178" s="1" t="s">
        <v>379</v>
      </c>
      <c r="B178" s="2">
        <v>43900</v>
      </c>
      <c r="C178" s="3" t="s">
        <v>380</v>
      </c>
      <c r="D178" s="3" t="str">
        <f>INDEX('Customers (2)'!B:B,MATCH('Customers (2)'!A178,'Customers (2)'!A:A,0))</f>
        <v>Odille Thynne</v>
      </c>
      <c r="E178" s="4" t="s">
        <v>30</v>
      </c>
      <c r="F178" s="3">
        <v>1</v>
      </c>
      <c r="G178" s="5">
        <f>INDEX([1]products!$A$1:$G$49,MATCH([1]orders!$D178,[1]products!$A$1:$A$49,0),MATCH([1]orders!K$1,[1]products!$A$1:$G$1,0))</f>
        <v>2.5</v>
      </c>
      <c r="H178" s="6">
        <f>INDEX([1]products!$A$1:$G$49,MATCH([1]orders!$D178,[1]products!$A$1:$A$49,0),MATCH([1]orders!L$1,[1]products!$A$1:$G$1,0))</f>
        <v>34.154999999999994</v>
      </c>
      <c r="I178" s="6">
        <f t="shared" si="2"/>
        <v>34.154999999999994</v>
      </c>
    </row>
    <row r="179" spans="1:9" x14ac:dyDescent="0.3">
      <c r="A179" s="1" t="s">
        <v>381</v>
      </c>
      <c r="B179" s="2">
        <v>44120</v>
      </c>
      <c r="C179" s="3" t="s">
        <v>382</v>
      </c>
      <c r="D179" s="3" t="str">
        <f>INDEX('Customers (2)'!B:B,MATCH('Customers (2)'!A179,'Customers (2)'!A:A,0))</f>
        <v>Emlynne Heining</v>
      </c>
      <c r="E179" s="4" t="s">
        <v>10</v>
      </c>
      <c r="F179" s="3">
        <v>4</v>
      </c>
      <c r="G179" s="5">
        <f>INDEX([1]products!$A$1:$G$49,MATCH([1]orders!$D179,[1]products!$A$1:$A$49,0),MATCH([1]orders!K$1,[1]products!$A$1:$G$1,0))</f>
        <v>2.5</v>
      </c>
      <c r="H179" s="6">
        <f>INDEX([1]products!$A$1:$G$49,MATCH([1]orders!$D179,[1]products!$A$1:$A$49,0),MATCH([1]orders!L$1,[1]products!$A$1:$G$1,0))</f>
        <v>27.484999999999996</v>
      </c>
      <c r="I179" s="6">
        <f t="shared" si="2"/>
        <v>109.93999999999998</v>
      </c>
    </row>
    <row r="180" spans="1:9" x14ac:dyDescent="0.3">
      <c r="A180" s="1" t="s">
        <v>383</v>
      </c>
      <c r="B180" s="2">
        <v>43746</v>
      </c>
      <c r="C180" s="3" t="s">
        <v>384</v>
      </c>
      <c r="D180" s="3" t="str">
        <f>INDEX('Customers (2)'!B:B,MATCH('Customers (2)'!A180,'Customers (2)'!A:A,0))</f>
        <v>Katerina Melloi</v>
      </c>
      <c r="E180" s="4" t="s">
        <v>6</v>
      </c>
      <c r="F180" s="3">
        <v>2</v>
      </c>
      <c r="G180" s="5">
        <f>INDEX([1]products!$A$1:$G$49,MATCH([1]orders!$D180,[1]products!$A$1:$A$49,0),MATCH([1]orders!K$1,[1]products!$A$1:$G$1,0))</f>
        <v>1</v>
      </c>
      <c r="H180" s="6">
        <f>INDEX([1]products!$A$1:$G$49,MATCH([1]orders!$D180,[1]products!$A$1:$A$49,0),MATCH([1]orders!L$1,[1]products!$A$1:$G$1,0))</f>
        <v>12.95</v>
      </c>
      <c r="I180" s="6">
        <f t="shared" si="2"/>
        <v>25.9</v>
      </c>
    </row>
    <row r="181" spans="1:9" x14ac:dyDescent="0.3">
      <c r="A181" s="1" t="s">
        <v>385</v>
      </c>
      <c r="B181" s="2">
        <v>43830</v>
      </c>
      <c r="C181" s="3" t="s">
        <v>386</v>
      </c>
      <c r="D181" s="3" t="str">
        <f>INDEX('Customers (2)'!B:B,MATCH('Customers (2)'!A181,'Customers (2)'!A:A,0))</f>
        <v>Tiffany Scardafield</v>
      </c>
      <c r="E181" s="4" t="s">
        <v>54</v>
      </c>
      <c r="F181" s="3">
        <v>1</v>
      </c>
      <c r="G181" s="5">
        <f>INDEX([1]products!$A$1:$G$49,MATCH([1]orders!$D181,[1]products!$A$1:$A$49,0),MATCH([1]orders!K$1,[1]products!$A$1:$G$1,0))</f>
        <v>0.2</v>
      </c>
      <c r="H181" s="6">
        <f>INDEX([1]products!$A$1:$G$49,MATCH([1]orders!$D181,[1]products!$A$1:$A$49,0),MATCH([1]orders!L$1,[1]products!$A$1:$G$1,0))</f>
        <v>2.9849999999999999</v>
      </c>
      <c r="I181" s="6">
        <f t="shared" si="2"/>
        <v>2.9849999999999999</v>
      </c>
    </row>
    <row r="182" spans="1:9" x14ac:dyDescent="0.3">
      <c r="A182" s="1" t="s">
        <v>387</v>
      </c>
      <c r="B182" s="2">
        <v>43910</v>
      </c>
      <c r="C182" s="3" t="s">
        <v>388</v>
      </c>
      <c r="D182" s="3" t="str">
        <f>INDEX('Customers (2)'!B:B,MATCH('Customers (2)'!A182,'Customers (2)'!A:A,0))</f>
        <v>Abrahan Mussen</v>
      </c>
      <c r="E182" s="4" t="s">
        <v>254</v>
      </c>
      <c r="F182" s="3">
        <v>5</v>
      </c>
      <c r="G182" s="5">
        <f>INDEX([1]products!$A$1:$G$49,MATCH([1]orders!$D182,[1]products!$A$1:$A$49,0),MATCH([1]orders!K$1,[1]products!$A$1:$G$1,0))</f>
        <v>0.2</v>
      </c>
      <c r="H182" s="6">
        <f>INDEX([1]products!$A$1:$G$49,MATCH([1]orders!$D182,[1]products!$A$1:$A$49,0),MATCH([1]orders!L$1,[1]products!$A$1:$G$1,0))</f>
        <v>4.4550000000000001</v>
      </c>
      <c r="I182" s="6">
        <f t="shared" si="2"/>
        <v>22.274999999999999</v>
      </c>
    </row>
    <row r="183" spans="1:9" x14ac:dyDescent="0.3">
      <c r="A183" s="1" t="s">
        <v>387</v>
      </c>
      <c r="B183" s="2">
        <v>43910</v>
      </c>
      <c r="C183" s="3" t="s">
        <v>388</v>
      </c>
      <c r="D183" s="3" t="str">
        <f>INDEX('Customers (2)'!B:B,MATCH('Customers (2)'!A183,'Customers (2)'!A:A,0))</f>
        <v>Essie Nellies</v>
      </c>
      <c r="E183" s="4" t="s">
        <v>72</v>
      </c>
      <c r="F183" s="3">
        <v>5</v>
      </c>
      <c r="G183" s="5">
        <f>INDEX([1]products!$A$1:$G$49,MATCH([1]orders!$D183,[1]products!$A$1:$A$49,0),MATCH([1]orders!K$1,[1]products!$A$1:$G$1,0))</f>
        <v>0.5</v>
      </c>
      <c r="H183" s="6">
        <f>INDEX([1]products!$A$1:$G$49,MATCH([1]orders!$D183,[1]products!$A$1:$A$49,0),MATCH([1]orders!L$1,[1]products!$A$1:$G$1,0))</f>
        <v>5.97</v>
      </c>
      <c r="I183" s="6">
        <f t="shared" si="2"/>
        <v>29.849999999999998</v>
      </c>
    </row>
    <row r="184" spans="1:9" x14ac:dyDescent="0.3">
      <c r="A184" s="1" t="s">
        <v>389</v>
      </c>
      <c r="B184" s="2">
        <v>44284</v>
      </c>
      <c r="C184" s="3" t="s">
        <v>390</v>
      </c>
      <c r="D184" s="3" t="str">
        <f>INDEX('Customers (2)'!B:B,MATCH('Customers (2)'!A184,'Customers (2)'!A:A,0))</f>
        <v>Anny Mundford</v>
      </c>
      <c r="E184" s="4" t="s">
        <v>146</v>
      </c>
      <c r="F184" s="3">
        <v>6</v>
      </c>
      <c r="G184" s="5">
        <f>INDEX([1]products!$A$1:$G$49,MATCH([1]orders!$D184,[1]products!$A$1:$A$49,0),MATCH([1]orders!K$1,[1]products!$A$1:$G$1,0))</f>
        <v>0.5</v>
      </c>
      <c r="H184" s="6">
        <f>INDEX([1]products!$A$1:$G$49,MATCH([1]orders!$D184,[1]products!$A$1:$A$49,0),MATCH([1]orders!L$1,[1]products!$A$1:$G$1,0))</f>
        <v>5.3699999999999992</v>
      </c>
      <c r="I184" s="6">
        <f t="shared" si="2"/>
        <v>32.22</v>
      </c>
    </row>
    <row r="185" spans="1:9" x14ac:dyDescent="0.3">
      <c r="A185" s="1" t="s">
        <v>391</v>
      </c>
      <c r="B185" s="2">
        <v>44512</v>
      </c>
      <c r="C185" s="3" t="s">
        <v>392</v>
      </c>
      <c r="D185" s="3" t="str">
        <f>INDEX('Customers (2)'!B:B,MATCH('Customers (2)'!A185,'Customers (2)'!A:A,0))</f>
        <v>Tory Walas</v>
      </c>
      <c r="E185" s="4" t="s">
        <v>64</v>
      </c>
      <c r="F185" s="3">
        <v>2</v>
      </c>
      <c r="G185" s="5">
        <f>INDEX([1]products!$A$1:$G$49,MATCH([1]orders!$D185,[1]products!$A$1:$A$49,0),MATCH([1]orders!K$1,[1]products!$A$1:$G$1,0))</f>
        <v>0.2</v>
      </c>
      <c r="H185" s="6">
        <f>INDEX([1]products!$A$1:$G$49,MATCH([1]orders!$D185,[1]products!$A$1:$A$49,0),MATCH([1]orders!L$1,[1]products!$A$1:$G$1,0))</f>
        <v>4.125</v>
      </c>
      <c r="I185" s="6">
        <f t="shared" si="2"/>
        <v>8.25</v>
      </c>
    </row>
    <row r="186" spans="1:9" x14ac:dyDescent="0.3">
      <c r="A186" s="1" t="s">
        <v>393</v>
      </c>
      <c r="B186" s="2">
        <v>44397</v>
      </c>
      <c r="C186" s="3" t="s">
        <v>394</v>
      </c>
      <c r="D186" s="3" t="str">
        <f>INDEX('Customers (2)'!B:B,MATCH('Customers (2)'!A186,'Customers (2)'!A:A,0))</f>
        <v>Isa Blazewicz</v>
      </c>
      <c r="E186" s="4" t="s">
        <v>192</v>
      </c>
      <c r="F186" s="3">
        <v>4</v>
      </c>
      <c r="G186" s="5">
        <f>INDEX([1]products!$A$1:$G$49,MATCH([1]orders!$D186,[1]products!$A$1:$A$49,0),MATCH([1]orders!K$1,[1]products!$A$1:$G$1,0))</f>
        <v>0.5</v>
      </c>
      <c r="H186" s="6">
        <f>INDEX([1]products!$A$1:$G$49,MATCH([1]orders!$D186,[1]products!$A$1:$A$49,0),MATCH([1]orders!L$1,[1]products!$A$1:$G$1,0))</f>
        <v>7.77</v>
      </c>
      <c r="I186" s="6">
        <f t="shared" si="2"/>
        <v>31.08</v>
      </c>
    </row>
    <row r="187" spans="1:9" x14ac:dyDescent="0.3">
      <c r="A187" s="1" t="s">
        <v>395</v>
      </c>
      <c r="B187" s="2">
        <v>43483</v>
      </c>
      <c r="C187" s="3" t="s">
        <v>396</v>
      </c>
      <c r="D187" s="3" t="str">
        <f>INDEX('Customers (2)'!B:B,MATCH('Customers (2)'!A187,'Customers (2)'!A:A,0))</f>
        <v>Angie Rizzetti</v>
      </c>
      <c r="E187" s="4" t="s">
        <v>16</v>
      </c>
      <c r="F187" s="3">
        <v>5</v>
      </c>
      <c r="G187" s="5">
        <f>INDEX([1]products!$A$1:$G$49,MATCH([1]orders!$D187,[1]products!$A$1:$A$49,0),MATCH([1]orders!K$1,[1]products!$A$1:$G$1,0))</f>
        <v>0.5</v>
      </c>
      <c r="H187" s="6">
        <f>INDEX([1]products!$A$1:$G$49,MATCH([1]orders!$D187,[1]products!$A$1:$A$49,0),MATCH([1]orders!L$1,[1]products!$A$1:$G$1,0))</f>
        <v>7.29</v>
      </c>
      <c r="I187" s="6">
        <f t="shared" si="2"/>
        <v>36.450000000000003</v>
      </c>
    </row>
    <row r="188" spans="1:9" x14ac:dyDescent="0.3">
      <c r="A188" s="1" t="s">
        <v>397</v>
      </c>
      <c r="B188" s="2">
        <v>43684</v>
      </c>
      <c r="C188" s="3" t="s">
        <v>398</v>
      </c>
      <c r="D188" s="3" t="str">
        <f>INDEX('Customers (2)'!B:B,MATCH('Customers (2)'!A188,'Customers (2)'!A:A,0))</f>
        <v>Mord Meriet</v>
      </c>
      <c r="E188" s="4" t="s">
        <v>41</v>
      </c>
      <c r="F188" s="3">
        <v>3</v>
      </c>
      <c r="G188" s="5">
        <f>INDEX([1]products!$A$1:$G$49,MATCH([1]orders!$D188,[1]products!$A$1:$A$49,0),MATCH([1]orders!K$1,[1]products!$A$1:$G$1,0))</f>
        <v>2.5</v>
      </c>
      <c r="H188" s="6">
        <f>INDEX([1]products!$A$1:$G$49,MATCH([1]orders!$D188,[1]products!$A$1:$A$49,0),MATCH([1]orders!L$1,[1]products!$A$1:$G$1,0))</f>
        <v>22.884999999999998</v>
      </c>
      <c r="I188" s="6">
        <f t="shared" si="2"/>
        <v>68.655000000000001</v>
      </c>
    </row>
    <row r="189" spans="1:9" x14ac:dyDescent="0.3">
      <c r="A189" s="1" t="s">
        <v>399</v>
      </c>
      <c r="B189" s="2">
        <v>44633</v>
      </c>
      <c r="C189" s="3" t="s">
        <v>400</v>
      </c>
      <c r="D189" s="3" t="str">
        <f>INDEX('Customers (2)'!B:B,MATCH('Customers (2)'!A189,'Customers (2)'!A:A,0))</f>
        <v>Lawrence Pratt</v>
      </c>
      <c r="E189" s="4" t="s">
        <v>78</v>
      </c>
      <c r="F189" s="3">
        <v>5</v>
      </c>
      <c r="G189" s="5">
        <f>INDEX([1]products!$A$1:$G$49,MATCH([1]orders!$D189,[1]products!$A$1:$A$49,0),MATCH([1]orders!K$1,[1]products!$A$1:$G$1,0))</f>
        <v>0.5</v>
      </c>
      <c r="H189" s="6">
        <f>INDEX([1]products!$A$1:$G$49,MATCH([1]orders!$D189,[1]products!$A$1:$A$49,0),MATCH([1]orders!L$1,[1]products!$A$1:$G$1,0))</f>
        <v>8.73</v>
      </c>
      <c r="I189" s="6">
        <f t="shared" si="2"/>
        <v>43.650000000000006</v>
      </c>
    </row>
    <row r="190" spans="1:9" x14ac:dyDescent="0.3">
      <c r="A190" s="1" t="s">
        <v>401</v>
      </c>
      <c r="B190" s="2">
        <v>44698</v>
      </c>
      <c r="C190" s="3" t="s">
        <v>402</v>
      </c>
      <c r="D190" s="3" t="str">
        <f>INDEX('Customers (2)'!B:B,MATCH('Customers (2)'!A190,'Customers (2)'!A:A,0))</f>
        <v>Astrix Kitchingham</v>
      </c>
      <c r="E190" s="4" t="s">
        <v>254</v>
      </c>
      <c r="F190" s="3">
        <v>1</v>
      </c>
      <c r="G190" s="5">
        <f>INDEX([1]products!$A$1:$G$49,MATCH([1]orders!$D190,[1]products!$A$1:$A$49,0),MATCH([1]orders!K$1,[1]products!$A$1:$G$1,0))</f>
        <v>0.2</v>
      </c>
      <c r="H190" s="6">
        <f>INDEX([1]products!$A$1:$G$49,MATCH([1]orders!$D190,[1]products!$A$1:$A$49,0),MATCH([1]orders!L$1,[1]products!$A$1:$G$1,0))</f>
        <v>4.4550000000000001</v>
      </c>
      <c r="I190" s="6">
        <f t="shared" si="2"/>
        <v>4.4550000000000001</v>
      </c>
    </row>
    <row r="191" spans="1:9" x14ac:dyDescent="0.3">
      <c r="A191" s="1" t="s">
        <v>403</v>
      </c>
      <c r="B191" s="2">
        <v>43813</v>
      </c>
      <c r="C191" s="3" t="s">
        <v>404</v>
      </c>
      <c r="D191" s="3" t="str">
        <f>INDEX('Customers (2)'!B:B,MATCH('Customers (2)'!A191,'Customers (2)'!A:A,0))</f>
        <v>Burnard Bartholin</v>
      </c>
      <c r="E191" s="4" t="s">
        <v>96</v>
      </c>
      <c r="F191" s="3">
        <v>3</v>
      </c>
      <c r="G191" s="5">
        <f>INDEX([1]products!$A$1:$G$49,MATCH([1]orders!$D191,[1]products!$A$1:$A$49,0),MATCH([1]orders!K$1,[1]products!$A$1:$G$1,0))</f>
        <v>1</v>
      </c>
      <c r="H191" s="6">
        <f>INDEX([1]products!$A$1:$G$49,MATCH([1]orders!$D191,[1]products!$A$1:$A$49,0),MATCH([1]orders!L$1,[1]products!$A$1:$G$1,0))</f>
        <v>14.55</v>
      </c>
      <c r="I191" s="6">
        <f t="shared" si="2"/>
        <v>43.650000000000006</v>
      </c>
    </row>
    <row r="192" spans="1:9" x14ac:dyDescent="0.3">
      <c r="A192" s="1" t="s">
        <v>405</v>
      </c>
      <c r="B192" s="2">
        <v>43845</v>
      </c>
      <c r="C192" s="3" t="s">
        <v>406</v>
      </c>
      <c r="D192" s="3" t="str">
        <f>INDEX('Customers (2)'!B:B,MATCH('Customers (2)'!A192,'Customers (2)'!A:A,0))</f>
        <v>Madelene Prinn</v>
      </c>
      <c r="E192" s="4" t="s">
        <v>197</v>
      </c>
      <c r="F192" s="3">
        <v>1</v>
      </c>
      <c r="G192" s="5">
        <f>INDEX([1]products!$A$1:$G$49,MATCH([1]orders!$D192,[1]products!$A$1:$A$49,0),MATCH([1]orders!K$1,[1]products!$A$1:$G$1,0))</f>
        <v>2.5</v>
      </c>
      <c r="H192" s="6">
        <f>INDEX([1]products!$A$1:$G$49,MATCH([1]orders!$D192,[1]products!$A$1:$A$49,0),MATCH([1]orders!L$1,[1]products!$A$1:$G$1,0))</f>
        <v>33.464999999999996</v>
      </c>
      <c r="I192" s="6">
        <f t="shared" si="2"/>
        <v>33.464999999999996</v>
      </c>
    </row>
    <row r="193" spans="1:9" x14ac:dyDescent="0.3">
      <c r="A193" s="1" t="s">
        <v>407</v>
      </c>
      <c r="B193" s="2">
        <v>43567</v>
      </c>
      <c r="C193" s="3" t="s">
        <v>408</v>
      </c>
      <c r="D193" s="3" t="str">
        <f>INDEX('Customers (2)'!B:B,MATCH('Customers (2)'!A193,'Customers (2)'!A:A,0))</f>
        <v>Alisun Baudino</v>
      </c>
      <c r="E193" s="4" t="s">
        <v>38</v>
      </c>
      <c r="F193" s="3">
        <v>5</v>
      </c>
      <c r="G193" s="5">
        <f>INDEX([1]products!$A$1:$G$49,MATCH([1]orders!$D193,[1]products!$A$1:$A$49,0),MATCH([1]orders!K$1,[1]products!$A$1:$G$1,0))</f>
        <v>0.2</v>
      </c>
      <c r="H193" s="6">
        <f>INDEX([1]products!$A$1:$G$49,MATCH([1]orders!$D193,[1]products!$A$1:$A$49,0),MATCH([1]orders!L$1,[1]products!$A$1:$G$1,0))</f>
        <v>3.8849999999999998</v>
      </c>
      <c r="I193" s="6">
        <f t="shared" si="2"/>
        <v>19.424999999999997</v>
      </c>
    </row>
    <row r="194" spans="1:9" x14ac:dyDescent="0.3">
      <c r="A194" s="1" t="s">
        <v>409</v>
      </c>
      <c r="B194" s="2">
        <v>43919</v>
      </c>
      <c r="C194" s="3" t="s">
        <v>410</v>
      </c>
      <c r="D194" s="3" t="str">
        <f>INDEX('Customers (2)'!B:B,MATCH('Customers (2)'!A194,'Customers (2)'!A:A,0))</f>
        <v>Philipa Petrushanko</v>
      </c>
      <c r="E194" s="4" t="s">
        <v>245</v>
      </c>
      <c r="F194" s="3">
        <v>6</v>
      </c>
      <c r="G194" s="5">
        <f>INDEX([1]products!$A$1:$G$49,MATCH([1]orders!$D194,[1]products!$A$1:$A$49,0),MATCH([1]orders!K$1,[1]products!$A$1:$G$1,0))</f>
        <v>1</v>
      </c>
      <c r="H194" s="6">
        <f>INDEX([1]products!$A$1:$G$49,MATCH([1]orders!$D194,[1]products!$A$1:$A$49,0),MATCH([1]orders!L$1,[1]products!$A$1:$G$1,0))</f>
        <v>12.15</v>
      </c>
      <c r="I194" s="6">
        <f t="shared" ref="I194:I257" si="3">F194*H194</f>
        <v>72.900000000000006</v>
      </c>
    </row>
    <row r="195" spans="1:9" x14ac:dyDescent="0.3">
      <c r="A195" s="1" t="s">
        <v>411</v>
      </c>
      <c r="B195" s="2">
        <v>44644</v>
      </c>
      <c r="C195" s="3" t="s">
        <v>412</v>
      </c>
      <c r="D195" s="3" t="str">
        <f>INDEX('Customers (2)'!B:B,MATCH('Customers (2)'!A195,'Customers (2)'!A:A,0))</f>
        <v>Kimberli Mustchin</v>
      </c>
      <c r="E195" s="4" t="s">
        <v>137</v>
      </c>
      <c r="F195" s="3">
        <v>3</v>
      </c>
      <c r="G195" s="5">
        <f>INDEX([1]products!$A$1:$G$49,MATCH([1]orders!$D195,[1]products!$A$1:$A$49,0),MATCH([1]orders!K$1,[1]products!$A$1:$G$1,0))</f>
        <v>1</v>
      </c>
      <c r="H195" s="6">
        <f>INDEX([1]products!$A$1:$G$49,MATCH([1]orders!$D195,[1]products!$A$1:$A$49,0),MATCH([1]orders!L$1,[1]products!$A$1:$G$1,0))</f>
        <v>14.85</v>
      </c>
      <c r="I195" s="6">
        <f t="shared" si="3"/>
        <v>44.55</v>
      </c>
    </row>
    <row r="196" spans="1:9" x14ac:dyDescent="0.3">
      <c r="A196" s="1" t="s">
        <v>413</v>
      </c>
      <c r="B196" s="2">
        <v>44398</v>
      </c>
      <c r="C196" s="3" t="s">
        <v>414</v>
      </c>
      <c r="D196" s="3" t="str">
        <f>INDEX('Customers (2)'!B:B,MATCH('Customers (2)'!A196,'Customers (2)'!A:A,0))</f>
        <v>Emlynne Laird</v>
      </c>
      <c r="E196" s="4" t="s">
        <v>16</v>
      </c>
      <c r="F196" s="3">
        <v>5</v>
      </c>
      <c r="G196" s="5">
        <f>INDEX([1]products!$A$1:$G$49,MATCH([1]orders!$D196,[1]products!$A$1:$A$49,0),MATCH([1]orders!K$1,[1]products!$A$1:$G$1,0))</f>
        <v>0.5</v>
      </c>
      <c r="H196" s="6">
        <f>INDEX([1]products!$A$1:$G$49,MATCH([1]orders!$D196,[1]products!$A$1:$A$49,0),MATCH([1]orders!L$1,[1]products!$A$1:$G$1,0))</f>
        <v>7.29</v>
      </c>
      <c r="I196" s="6">
        <f t="shared" si="3"/>
        <v>36.450000000000003</v>
      </c>
    </row>
    <row r="197" spans="1:9" x14ac:dyDescent="0.3">
      <c r="A197" s="1" t="s">
        <v>415</v>
      </c>
      <c r="B197" s="2">
        <v>43683</v>
      </c>
      <c r="C197" s="3" t="s">
        <v>416</v>
      </c>
      <c r="D197" s="3" t="str">
        <f>INDEX('Customers (2)'!B:B,MATCH('Customers (2)'!A197,'Customers (2)'!A:A,0))</f>
        <v>Marlena Howsden</v>
      </c>
      <c r="E197" s="4" t="s">
        <v>6</v>
      </c>
      <c r="F197" s="3">
        <v>3</v>
      </c>
      <c r="G197" s="5">
        <f>INDEX([1]products!$A$1:$G$49,MATCH([1]orders!$D197,[1]products!$A$1:$A$49,0),MATCH([1]orders!K$1,[1]products!$A$1:$G$1,0))</f>
        <v>1</v>
      </c>
      <c r="H197" s="6">
        <f>INDEX([1]products!$A$1:$G$49,MATCH([1]orders!$D197,[1]products!$A$1:$A$49,0),MATCH([1]orders!L$1,[1]products!$A$1:$G$1,0))</f>
        <v>12.95</v>
      </c>
      <c r="I197" s="6">
        <f t="shared" si="3"/>
        <v>38.849999999999994</v>
      </c>
    </row>
    <row r="198" spans="1:9" x14ac:dyDescent="0.3">
      <c r="A198" s="1" t="s">
        <v>417</v>
      </c>
      <c r="B198" s="2">
        <v>44339</v>
      </c>
      <c r="C198" s="3" t="s">
        <v>418</v>
      </c>
      <c r="D198" s="3" t="str">
        <f>INDEX('Customers (2)'!B:B,MATCH('Customers (2)'!A198,'Customers (2)'!A:A,0))</f>
        <v>Nealson Cuttler</v>
      </c>
      <c r="E198" s="4" t="s">
        <v>176</v>
      </c>
      <c r="F198" s="3">
        <v>6</v>
      </c>
      <c r="G198" s="5">
        <f>INDEX([1]products!$A$1:$G$49,MATCH([1]orders!$D198,[1]products!$A$1:$A$49,0),MATCH([1]orders!K$1,[1]products!$A$1:$G$1,0))</f>
        <v>0.5</v>
      </c>
      <c r="H198" s="6">
        <f>INDEX([1]products!$A$1:$G$49,MATCH([1]orders!$D198,[1]products!$A$1:$A$49,0),MATCH([1]orders!L$1,[1]products!$A$1:$G$1,0))</f>
        <v>8.91</v>
      </c>
      <c r="I198" s="6">
        <f t="shared" si="3"/>
        <v>53.46</v>
      </c>
    </row>
    <row r="199" spans="1:9" x14ac:dyDescent="0.3">
      <c r="A199" s="1" t="s">
        <v>417</v>
      </c>
      <c r="B199" s="2">
        <v>44339</v>
      </c>
      <c r="C199" s="3" t="s">
        <v>418</v>
      </c>
      <c r="D199" s="3" t="str">
        <f>INDEX('Customers (2)'!B:B,MATCH('Customers (2)'!A199,'Customers (2)'!A:A,0))</f>
        <v>Crin Vernham</v>
      </c>
      <c r="E199" s="4" t="s">
        <v>109</v>
      </c>
      <c r="F199" s="3">
        <v>2</v>
      </c>
      <c r="G199" s="5">
        <f>INDEX([1]products!$A$1:$G$49,MATCH([1]orders!$D199,[1]products!$A$1:$A$49,0),MATCH([1]orders!K$1,[1]products!$A$1:$G$1,0))</f>
        <v>2.5</v>
      </c>
      <c r="H199" s="6">
        <f>INDEX([1]products!$A$1:$G$49,MATCH([1]orders!$D199,[1]products!$A$1:$A$49,0),MATCH([1]orders!L$1,[1]products!$A$1:$G$1,0))</f>
        <v>29.784999999999997</v>
      </c>
      <c r="I199" s="6">
        <f t="shared" si="3"/>
        <v>59.569999999999993</v>
      </c>
    </row>
    <row r="200" spans="1:9" x14ac:dyDescent="0.3">
      <c r="A200" s="1" t="s">
        <v>417</v>
      </c>
      <c r="B200" s="2">
        <v>44339</v>
      </c>
      <c r="C200" s="3" t="s">
        <v>418</v>
      </c>
      <c r="D200" s="3" t="str">
        <f>INDEX('Customers (2)'!B:B,MATCH('Customers (2)'!A200,'Customers (2)'!A:A,0))</f>
        <v>Jenn Munnings</v>
      </c>
      <c r="E200" s="4" t="s">
        <v>109</v>
      </c>
      <c r="F200" s="3">
        <v>3</v>
      </c>
      <c r="G200" s="5">
        <f>INDEX([1]products!$A$1:$G$49,MATCH([1]orders!$D200,[1]products!$A$1:$A$49,0),MATCH([1]orders!K$1,[1]products!$A$1:$G$1,0))</f>
        <v>2.5</v>
      </c>
      <c r="H200" s="6">
        <f>INDEX([1]products!$A$1:$G$49,MATCH([1]orders!$D200,[1]products!$A$1:$A$49,0),MATCH([1]orders!L$1,[1]products!$A$1:$G$1,0))</f>
        <v>29.784999999999997</v>
      </c>
      <c r="I200" s="6">
        <f t="shared" si="3"/>
        <v>89.35499999999999</v>
      </c>
    </row>
    <row r="201" spans="1:9" x14ac:dyDescent="0.3">
      <c r="A201" s="1" t="s">
        <v>417</v>
      </c>
      <c r="B201" s="2">
        <v>44339</v>
      </c>
      <c r="C201" s="3" t="s">
        <v>418</v>
      </c>
      <c r="D201" s="3" t="str">
        <f>INDEX('Customers (2)'!B:B,MATCH('Customers (2)'!A201,'Customers (2)'!A:A,0))</f>
        <v>Olympie Dautry</v>
      </c>
      <c r="E201" s="4" t="s">
        <v>83</v>
      </c>
      <c r="F201" s="3">
        <v>4</v>
      </c>
      <c r="G201" s="5">
        <f>INDEX([1]products!$A$1:$G$49,MATCH([1]orders!$D201,[1]products!$A$1:$A$49,0),MATCH([1]orders!K$1,[1]products!$A$1:$G$1,0))</f>
        <v>0.5</v>
      </c>
      <c r="H201" s="6">
        <f>INDEX([1]products!$A$1:$G$49,MATCH([1]orders!$D201,[1]products!$A$1:$A$49,0),MATCH([1]orders!L$1,[1]products!$A$1:$G$1,0))</f>
        <v>9.51</v>
      </c>
      <c r="I201" s="6">
        <f t="shared" si="3"/>
        <v>38.04</v>
      </c>
    </row>
    <row r="202" spans="1:9" x14ac:dyDescent="0.3">
      <c r="A202" s="1" t="s">
        <v>417</v>
      </c>
      <c r="B202" s="2">
        <v>44339</v>
      </c>
      <c r="C202" s="3" t="s">
        <v>418</v>
      </c>
      <c r="D202" s="3" t="str">
        <f>INDEX('Customers (2)'!B:B,MATCH('Customers (2)'!A202,'Customers (2)'!A:A,0))</f>
        <v>Ingaborg Dunwoody</v>
      </c>
      <c r="E202" s="4" t="s">
        <v>9</v>
      </c>
      <c r="F202" s="3">
        <v>3</v>
      </c>
      <c r="G202" s="5">
        <f>INDEX([1]products!$A$1:$G$49,MATCH([1]orders!$D202,[1]products!$A$1:$A$49,0),MATCH([1]orders!K$1,[1]products!$A$1:$G$1,0))</f>
        <v>1</v>
      </c>
      <c r="H202" s="6">
        <f>INDEX([1]products!$A$1:$G$49,MATCH([1]orders!$D202,[1]products!$A$1:$A$49,0),MATCH([1]orders!L$1,[1]products!$A$1:$G$1,0))</f>
        <v>13.75</v>
      </c>
      <c r="I202" s="6">
        <f t="shared" si="3"/>
        <v>41.25</v>
      </c>
    </row>
    <row r="203" spans="1:9" x14ac:dyDescent="0.3">
      <c r="A203" s="1" t="s">
        <v>419</v>
      </c>
      <c r="B203" s="2">
        <v>44294</v>
      </c>
      <c r="C203" s="3" t="s">
        <v>420</v>
      </c>
      <c r="D203" s="3" t="str">
        <f>INDEX('Customers (2)'!B:B,MATCH('Customers (2)'!A203,'Customers (2)'!A:A,0))</f>
        <v>Adriana Lazarus</v>
      </c>
      <c r="E203" s="4" t="s">
        <v>83</v>
      </c>
      <c r="F203" s="3">
        <v>6</v>
      </c>
      <c r="G203" s="5">
        <f>INDEX([1]products!$A$1:$G$49,MATCH([1]orders!$D203,[1]products!$A$1:$A$49,0),MATCH([1]orders!K$1,[1]products!$A$1:$G$1,0))</f>
        <v>0.5</v>
      </c>
      <c r="H203" s="6">
        <f>INDEX([1]products!$A$1:$G$49,MATCH([1]orders!$D203,[1]products!$A$1:$A$49,0),MATCH([1]orders!L$1,[1]products!$A$1:$G$1,0))</f>
        <v>9.51</v>
      </c>
      <c r="I203" s="6">
        <f t="shared" si="3"/>
        <v>57.06</v>
      </c>
    </row>
    <row r="204" spans="1:9" x14ac:dyDescent="0.3">
      <c r="A204" s="1" t="s">
        <v>421</v>
      </c>
      <c r="B204" s="2">
        <v>44486</v>
      </c>
      <c r="C204" s="3" t="s">
        <v>422</v>
      </c>
      <c r="D204" s="3" t="str">
        <f>INDEX('Customers (2)'!B:B,MATCH('Customers (2)'!A204,'Customers (2)'!A:A,0))</f>
        <v>Tallie felip</v>
      </c>
      <c r="E204" s="4" t="s">
        <v>109</v>
      </c>
      <c r="F204" s="3">
        <v>6</v>
      </c>
      <c r="G204" s="5">
        <f>INDEX([1]products!$A$1:$G$49,MATCH([1]orders!$D204,[1]products!$A$1:$A$49,0),MATCH([1]orders!K$1,[1]products!$A$1:$G$1,0))</f>
        <v>2.5</v>
      </c>
      <c r="H204" s="6">
        <f>INDEX([1]products!$A$1:$G$49,MATCH([1]orders!$D204,[1]products!$A$1:$A$49,0),MATCH([1]orders!L$1,[1]products!$A$1:$G$1,0))</f>
        <v>29.784999999999997</v>
      </c>
      <c r="I204" s="6">
        <f t="shared" si="3"/>
        <v>178.70999999999998</v>
      </c>
    </row>
    <row r="205" spans="1:9" x14ac:dyDescent="0.3">
      <c r="A205" s="1" t="s">
        <v>423</v>
      </c>
      <c r="B205" s="2">
        <v>44608</v>
      </c>
      <c r="C205" s="3" t="s">
        <v>424</v>
      </c>
      <c r="D205" s="3" t="str">
        <f>INDEX('Customers (2)'!B:B,MATCH('Customers (2)'!A205,'Customers (2)'!A:A,0))</f>
        <v>Vanna Le - Count</v>
      </c>
      <c r="E205" s="4" t="s">
        <v>19</v>
      </c>
      <c r="F205" s="3">
        <v>1</v>
      </c>
      <c r="G205" s="5">
        <f>INDEX([1]products!$A$1:$G$49,MATCH([1]orders!$D205,[1]products!$A$1:$A$49,0),MATCH([1]orders!K$1,[1]products!$A$1:$G$1,0))</f>
        <v>0.2</v>
      </c>
      <c r="H205" s="6">
        <f>INDEX([1]products!$A$1:$G$49,MATCH([1]orders!$D205,[1]products!$A$1:$A$49,0),MATCH([1]orders!L$1,[1]products!$A$1:$G$1,0))</f>
        <v>4.7549999999999999</v>
      </c>
      <c r="I205" s="6">
        <f t="shared" si="3"/>
        <v>4.7549999999999999</v>
      </c>
    </row>
    <row r="206" spans="1:9" x14ac:dyDescent="0.3">
      <c r="A206" s="1" t="s">
        <v>425</v>
      </c>
      <c r="B206" s="2">
        <v>44027</v>
      </c>
      <c r="C206" s="3" t="s">
        <v>426</v>
      </c>
      <c r="D206" s="3" t="str">
        <f>INDEX('Customers (2)'!B:B,MATCH('Customers (2)'!A206,'Customers (2)'!A:A,0))</f>
        <v>Sarette Ducarel</v>
      </c>
      <c r="E206" s="4" t="s">
        <v>9</v>
      </c>
      <c r="F206" s="3">
        <v>6</v>
      </c>
      <c r="G206" s="5">
        <f>INDEX([1]products!$A$1:$G$49,MATCH([1]orders!$D206,[1]products!$A$1:$A$49,0),MATCH([1]orders!K$1,[1]products!$A$1:$G$1,0))</f>
        <v>1</v>
      </c>
      <c r="H206" s="6">
        <f>INDEX([1]products!$A$1:$G$49,MATCH([1]orders!$D206,[1]products!$A$1:$A$49,0),MATCH([1]orders!L$1,[1]products!$A$1:$G$1,0))</f>
        <v>13.75</v>
      </c>
      <c r="I206" s="6">
        <f t="shared" si="3"/>
        <v>82.5</v>
      </c>
    </row>
    <row r="207" spans="1:9" x14ac:dyDescent="0.3">
      <c r="A207" s="1" t="s">
        <v>427</v>
      </c>
      <c r="B207" s="2">
        <v>43883</v>
      </c>
      <c r="C207" s="3" t="s">
        <v>428</v>
      </c>
      <c r="D207" s="3" t="str">
        <f>INDEX('Customers (2)'!B:B,MATCH('Customers (2)'!A207,'Customers (2)'!A:A,0))</f>
        <v>Kendra Glison</v>
      </c>
      <c r="E207" s="4" t="s">
        <v>101</v>
      </c>
      <c r="F207" s="3">
        <v>3</v>
      </c>
      <c r="G207" s="5">
        <f>INDEX([1]products!$A$1:$G$49,MATCH([1]orders!$D207,[1]products!$A$1:$A$49,0),MATCH([1]orders!K$1,[1]products!$A$1:$G$1,0))</f>
        <v>0.2</v>
      </c>
      <c r="H207" s="6">
        <f>INDEX([1]products!$A$1:$G$49,MATCH([1]orders!$D207,[1]products!$A$1:$A$49,0),MATCH([1]orders!L$1,[1]products!$A$1:$G$1,0))</f>
        <v>2.6849999999999996</v>
      </c>
      <c r="I207" s="6">
        <f t="shared" si="3"/>
        <v>8.0549999999999997</v>
      </c>
    </row>
    <row r="208" spans="1:9" x14ac:dyDescent="0.3">
      <c r="A208" s="1" t="s">
        <v>429</v>
      </c>
      <c r="B208" s="2">
        <v>44211</v>
      </c>
      <c r="C208" s="3" t="s">
        <v>430</v>
      </c>
      <c r="D208" s="3" t="str">
        <f>INDEX('Customers (2)'!B:B,MATCH('Customers (2)'!A208,'Customers (2)'!A:A,0))</f>
        <v>Nertie Poolman</v>
      </c>
      <c r="E208" s="4" t="s">
        <v>61</v>
      </c>
      <c r="F208" s="3">
        <v>2</v>
      </c>
      <c r="G208" s="5">
        <f>INDEX([1]products!$A$1:$G$49,MATCH([1]orders!$D208,[1]products!$A$1:$A$49,0),MATCH([1]orders!K$1,[1]products!$A$1:$G$1,0))</f>
        <v>1</v>
      </c>
      <c r="H208" s="6">
        <f>INDEX([1]products!$A$1:$G$49,MATCH([1]orders!$D208,[1]products!$A$1:$A$49,0),MATCH([1]orders!L$1,[1]products!$A$1:$G$1,0))</f>
        <v>11.25</v>
      </c>
      <c r="I208" s="6">
        <f t="shared" si="3"/>
        <v>22.5</v>
      </c>
    </row>
    <row r="209" spans="1:9" x14ac:dyDescent="0.3">
      <c r="A209" s="1" t="s">
        <v>431</v>
      </c>
      <c r="B209" s="2">
        <v>44207</v>
      </c>
      <c r="C209" s="3" t="s">
        <v>432</v>
      </c>
      <c r="D209" s="3" t="str">
        <f>INDEX('Customers (2)'!B:B,MATCH('Customers (2)'!A209,'Customers (2)'!A:A,0))</f>
        <v>Orbadiah Duny</v>
      </c>
      <c r="E209" s="4" t="s">
        <v>67</v>
      </c>
      <c r="F209" s="3">
        <v>6</v>
      </c>
      <c r="G209" s="5">
        <f>INDEX([1]products!$A$1:$G$49,MATCH([1]orders!$D209,[1]products!$A$1:$A$49,0),MATCH([1]orders!K$1,[1]products!$A$1:$G$1,0))</f>
        <v>0.5</v>
      </c>
      <c r="H209" s="6">
        <f>INDEX([1]products!$A$1:$G$49,MATCH([1]orders!$D209,[1]products!$A$1:$A$49,0),MATCH([1]orders!L$1,[1]products!$A$1:$G$1,0))</f>
        <v>6.75</v>
      </c>
      <c r="I209" s="6">
        <f t="shared" si="3"/>
        <v>40.5</v>
      </c>
    </row>
    <row r="210" spans="1:9" x14ac:dyDescent="0.3">
      <c r="A210" s="1" t="s">
        <v>433</v>
      </c>
      <c r="B210" s="2">
        <v>44659</v>
      </c>
      <c r="C210" s="3" t="s">
        <v>434</v>
      </c>
      <c r="D210" s="3" t="str">
        <f>INDEX('Customers (2)'!B:B,MATCH('Customers (2)'!A210,'Customers (2)'!A:A,0))</f>
        <v>Constance Halfhide</v>
      </c>
      <c r="E210" s="4" t="s">
        <v>16</v>
      </c>
      <c r="F210" s="3">
        <v>4</v>
      </c>
      <c r="G210" s="5">
        <f>INDEX([1]products!$A$1:$G$49,MATCH([1]orders!$D210,[1]products!$A$1:$A$49,0),MATCH([1]orders!K$1,[1]products!$A$1:$G$1,0))</f>
        <v>0.5</v>
      </c>
      <c r="H210" s="6">
        <f>INDEX([1]products!$A$1:$G$49,MATCH([1]orders!$D210,[1]products!$A$1:$A$49,0),MATCH([1]orders!L$1,[1]products!$A$1:$G$1,0))</f>
        <v>7.29</v>
      </c>
      <c r="I210" s="6">
        <f t="shared" si="3"/>
        <v>29.16</v>
      </c>
    </row>
    <row r="211" spans="1:9" x14ac:dyDescent="0.3">
      <c r="A211" s="1" t="s">
        <v>435</v>
      </c>
      <c r="B211" s="2">
        <v>44105</v>
      </c>
      <c r="C211" s="3" t="s">
        <v>436</v>
      </c>
      <c r="D211" s="3" t="str">
        <f>INDEX('Customers (2)'!B:B,MATCH('Customers (2)'!A211,'Customers (2)'!A:A,0))</f>
        <v>Fransisco Malecky</v>
      </c>
      <c r="E211" s="4" t="s">
        <v>67</v>
      </c>
      <c r="F211" s="3">
        <v>1</v>
      </c>
      <c r="G211" s="5">
        <f>INDEX([1]products!$A$1:$G$49,MATCH([1]orders!$D211,[1]products!$A$1:$A$49,0),MATCH([1]orders!K$1,[1]products!$A$1:$G$1,0))</f>
        <v>0.5</v>
      </c>
      <c r="H211" s="6">
        <f>INDEX([1]products!$A$1:$G$49,MATCH([1]orders!$D211,[1]products!$A$1:$A$49,0),MATCH([1]orders!L$1,[1]products!$A$1:$G$1,0))</f>
        <v>6.75</v>
      </c>
      <c r="I211" s="6">
        <f t="shared" si="3"/>
        <v>6.75</v>
      </c>
    </row>
    <row r="212" spans="1:9" x14ac:dyDescent="0.3">
      <c r="A212" s="1" t="s">
        <v>437</v>
      </c>
      <c r="B212" s="2">
        <v>43766</v>
      </c>
      <c r="C212" s="3" t="s">
        <v>438</v>
      </c>
      <c r="D212" s="3" t="str">
        <f>INDEX('Customers (2)'!B:B,MATCH('Customers (2)'!A212,'Customers (2)'!A:A,0))</f>
        <v>Anselma Attwater</v>
      </c>
      <c r="E212" s="4" t="s">
        <v>13</v>
      </c>
      <c r="F212" s="3">
        <v>4</v>
      </c>
      <c r="G212" s="5">
        <f>INDEX([1]products!$A$1:$G$49,MATCH([1]orders!$D212,[1]products!$A$1:$A$49,0),MATCH([1]orders!K$1,[1]products!$A$1:$G$1,0))</f>
        <v>1</v>
      </c>
      <c r="H212" s="6">
        <f>INDEX([1]products!$A$1:$G$49,MATCH([1]orders!$D212,[1]products!$A$1:$A$49,0),MATCH([1]orders!L$1,[1]products!$A$1:$G$1,0))</f>
        <v>12.95</v>
      </c>
      <c r="I212" s="6">
        <f t="shared" si="3"/>
        <v>51.8</v>
      </c>
    </row>
    <row r="213" spans="1:9" x14ac:dyDescent="0.3">
      <c r="A213" s="1" t="s">
        <v>439</v>
      </c>
      <c r="B213" s="2">
        <v>44283</v>
      </c>
      <c r="C213" s="3" t="s">
        <v>440</v>
      </c>
      <c r="D213" s="3" t="str">
        <f>INDEX('Customers (2)'!B:B,MATCH('Customers (2)'!A213,'Customers (2)'!A:A,0))</f>
        <v>Minette Whellans</v>
      </c>
      <c r="E213" s="4" t="s">
        <v>176</v>
      </c>
      <c r="F213" s="3">
        <v>6</v>
      </c>
      <c r="G213" s="5">
        <f>INDEX([1]products!$A$1:$G$49,MATCH([1]orders!$D213,[1]products!$A$1:$A$49,0),MATCH([1]orders!K$1,[1]products!$A$1:$G$1,0))</f>
        <v>0.5</v>
      </c>
      <c r="H213" s="6">
        <f>INDEX([1]products!$A$1:$G$49,MATCH([1]orders!$D213,[1]products!$A$1:$A$49,0),MATCH([1]orders!L$1,[1]products!$A$1:$G$1,0))</f>
        <v>8.91</v>
      </c>
      <c r="I213" s="6">
        <f t="shared" si="3"/>
        <v>53.46</v>
      </c>
    </row>
    <row r="214" spans="1:9" x14ac:dyDescent="0.3">
      <c r="A214" s="1" t="s">
        <v>441</v>
      </c>
      <c r="B214" s="2">
        <v>43921</v>
      </c>
      <c r="C214" s="3" t="s">
        <v>442</v>
      </c>
      <c r="D214" s="3" t="str">
        <f>INDEX('Customers (2)'!B:B,MATCH('Customers (2)'!A214,'Customers (2)'!A:A,0))</f>
        <v>Dael Camilletti</v>
      </c>
      <c r="E214" s="4" t="s">
        <v>51</v>
      </c>
      <c r="F214" s="3">
        <v>4</v>
      </c>
      <c r="G214" s="5">
        <f>INDEX([1]products!$A$1:$G$49,MATCH([1]orders!$D214,[1]products!$A$1:$A$49,0),MATCH([1]orders!K$1,[1]products!$A$1:$G$1,0))</f>
        <v>0.2</v>
      </c>
      <c r="H214" s="6">
        <f>INDEX([1]products!$A$1:$G$49,MATCH([1]orders!$D214,[1]products!$A$1:$A$49,0),MATCH([1]orders!L$1,[1]products!$A$1:$G$1,0))</f>
        <v>3.645</v>
      </c>
      <c r="I214" s="6">
        <f t="shared" si="3"/>
        <v>14.58</v>
      </c>
    </row>
    <row r="215" spans="1:9" x14ac:dyDescent="0.3">
      <c r="A215" s="1" t="s">
        <v>443</v>
      </c>
      <c r="B215" s="2">
        <v>44646</v>
      </c>
      <c r="C215" s="3" t="s">
        <v>444</v>
      </c>
      <c r="D215" s="3" t="str">
        <f>INDEX('Customers (2)'!B:B,MATCH('Customers (2)'!A215,'Customers (2)'!A:A,0))</f>
        <v>Emiline Galgey</v>
      </c>
      <c r="E215" s="4" t="s">
        <v>35</v>
      </c>
      <c r="F215" s="3">
        <v>1</v>
      </c>
      <c r="G215" s="5">
        <f>INDEX([1]products!$A$1:$G$49,MATCH([1]orders!$D215,[1]products!$A$1:$A$49,0),MATCH([1]orders!K$1,[1]products!$A$1:$G$1,0))</f>
        <v>2.5</v>
      </c>
      <c r="H215" s="6">
        <f>INDEX([1]products!$A$1:$G$49,MATCH([1]orders!$D215,[1]products!$A$1:$A$49,0),MATCH([1]orders!L$1,[1]products!$A$1:$G$1,0))</f>
        <v>20.584999999999997</v>
      </c>
      <c r="I215" s="6">
        <f t="shared" si="3"/>
        <v>20.584999999999997</v>
      </c>
    </row>
    <row r="216" spans="1:9" x14ac:dyDescent="0.3">
      <c r="A216" s="1" t="s">
        <v>445</v>
      </c>
      <c r="B216" s="2">
        <v>43775</v>
      </c>
      <c r="C216" s="3" t="s">
        <v>446</v>
      </c>
      <c r="D216" s="3" t="str">
        <f>INDEX('Customers (2)'!B:B,MATCH('Customers (2)'!A216,'Customers (2)'!A:A,0))</f>
        <v>Murdock Hame</v>
      </c>
      <c r="E216" s="4" t="s">
        <v>132</v>
      </c>
      <c r="F216" s="3">
        <v>2</v>
      </c>
      <c r="G216" s="5">
        <f>INDEX([1]products!$A$1:$G$49,MATCH([1]orders!$D216,[1]products!$A$1:$A$49,0),MATCH([1]orders!K$1,[1]products!$A$1:$G$1,0))</f>
        <v>1</v>
      </c>
      <c r="H216" s="6">
        <f>INDEX([1]products!$A$1:$G$49,MATCH([1]orders!$D216,[1]products!$A$1:$A$49,0),MATCH([1]orders!L$1,[1]products!$A$1:$G$1,0))</f>
        <v>15.85</v>
      </c>
      <c r="I216" s="6">
        <f t="shared" si="3"/>
        <v>31.7</v>
      </c>
    </row>
    <row r="217" spans="1:9" x14ac:dyDescent="0.3">
      <c r="A217" s="1" t="s">
        <v>447</v>
      </c>
      <c r="B217" s="2">
        <v>43829</v>
      </c>
      <c r="C217" s="3" t="s">
        <v>448</v>
      </c>
      <c r="D217" s="3" t="str">
        <f>INDEX('Customers (2)'!B:B,MATCH('Customers (2)'!A217,'Customers (2)'!A:A,0))</f>
        <v>Ilka Gurnee</v>
      </c>
      <c r="E217" s="4" t="s">
        <v>38</v>
      </c>
      <c r="F217" s="3">
        <v>6</v>
      </c>
      <c r="G217" s="5">
        <f>INDEX([1]products!$A$1:$G$49,MATCH([1]orders!$D217,[1]products!$A$1:$A$49,0),MATCH([1]orders!K$1,[1]products!$A$1:$G$1,0))</f>
        <v>0.2</v>
      </c>
      <c r="H217" s="6">
        <f>INDEX([1]products!$A$1:$G$49,MATCH([1]orders!$D217,[1]products!$A$1:$A$49,0),MATCH([1]orders!L$1,[1]products!$A$1:$G$1,0))</f>
        <v>3.8849999999999998</v>
      </c>
      <c r="I217" s="6">
        <f t="shared" si="3"/>
        <v>23.31</v>
      </c>
    </row>
    <row r="218" spans="1:9" x14ac:dyDescent="0.3">
      <c r="A218" s="1" t="s">
        <v>449</v>
      </c>
      <c r="B218" s="2">
        <v>44470</v>
      </c>
      <c r="C218" s="3" t="s">
        <v>450</v>
      </c>
      <c r="D218" s="3" t="str">
        <f>INDEX('Customers (2)'!B:B,MATCH('Customers (2)'!A218,'Customers (2)'!A:A,0))</f>
        <v>Alfy Snowding</v>
      </c>
      <c r="E218" s="4" t="s">
        <v>96</v>
      </c>
      <c r="F218" s="3">
        <v>4</v>
      </c>
      <c r="G218" s="5">
        <f>INDEX([1]products!$A$1:$G$49,MATCH([1]orders!$D218,[1]products!$A$1:$A$49,0),MATCH([1]orders!K$1,[1]products!$A$1:$G$1,0))</f>
        <v>1</v>
      </c>
      <c r="H218" s="6">
        <f>INDEX([1]products!$A$1:$G$49,MATCH([1]orders!$D218,[1]products!$A$1:$A$49,0),MATCH([1]orders!L$1,[1]products!$A$1:$G$1,0))</f>
        <v>14.55</v>
      </c>
      <c r="I218" s="6">
        <f t="shared" si="3"/>
        <v>58.2</v>
      </c>
    </row>
    <row r="219" spans="1:9" x14ac:dyDescent="0.3">
      <c r="A219" s="1" t="s">
        <v>451</v>
      </c>
      <c r="B219" s="2">
        <v>44174</v>
      </c>
      <c r="C219" s="3" t="s">
        <v>452</v>
      </c>
      <c r="D219" s="3" t="str">
        <f>INDEX('Customers (2)'!B:B,MATCH('Customers (2)'!A219,'Customers (2)'!A:A,0))</f>
        <v>Godfry Poinsett</v>
      </c>
      <c r="E219" s="4" t="s">
        <v>176</v>
      </c>
      <c r="F219" s="3">
        <v>4</v>
      </c>
      <c r="G219" s="5">
        <f>INDEX([1]products!$A$1:$G$49,MATCH([1]orders!$D219,[1]products!$A$1:$A$49,0),MATCH([1]orders!K$1,[1]products!$A$1:$G$1,0))</f>
        <v>0.5</v>
      </c>
      <c r="H219" s="6">
        <f>INDEX([1]products!$A$1:$G$49,MATCH([1]orders!$D219,[1]products!$A$1:$A$49,0),MATCH([1]orders!L$1,[1]products!$A$1:$G$1,0))</f>
        <v>8.91</v>
      </c>
      <c r="I219" s="6">
        <f t="shared" si="3"/>
        <v>35.64</v>
      </c>
    </row>
    <row r="220" spans="1:9" x14ac:dyDescent="0.3">
      <c r="A220" s="1" t="s">
        <v>453</v>
      </c>
      <c r="B220" s="2">
        <v>44317</v>
      </c>
      <c r="C220" s="3" t="s">
        <v>454</v>
      </c>
      <c r="D220" s="3" t="str">
        <f>INDEX('Customers (2)'!B:B,MATCH('Customers (2)'!A220,'Customers (2)'!A:A,0))</f>
        <v>Rem Furman</v>
      </c>
      <c r="E220" s="4" t="s">
        <v>61</v>
      </c>
      <c r="F220" s="3">
        <v>5</v>
      </c>
      <c r="G220" s="5">
        <f>INDEX([1]products!$A$1:$G$49,MATCH([1]orders!$D220,[1]products!$A$1:$A$49,0),MATCH([1]orders!K$1,[1]products!$A$1:$G$1,0))</f>
        <v>1</v>
      </c>
      <c r="H220" s="6">
        <f>INDEX([1]products!$A$1:$G$49,MATCH([1]orders!$D220,[1]products!$A$1:$A$49,0),MATCH([1]orders!L$1,[1]products!$A$1:$G$1,0))</f>
        <v>11.25</v>
      </c>
      <c r="I220" s="6">
        <f t="shared" si="3"/>
        <v>56.25</v>
      </c>
    </row>
    <row r="221" spans="1:9" x14ac:dyDescent="0.3">
      <c r="A221" s="1" t="s">
        <v>455</v>
      </c>
      <c r="B221" s="2">
        <v>44777</v>
      </c>
      <c r="C221" s="3" t="s">
        <v>456</v>
      </c>
      <c r="D221" s="3" t="str">
        <f>INDEX('Customers (2)'!B:B,MATCH('Customers (2)'!A221,'Customers (2)'!A:A,0))</f>
        <v>Charis Crosier</v>
      </c>
      <c r="E221" s="4" t="s">
        <v>182</v>
      </c>
      <c r="F221" s="3">
        <v>3</v>
      </c>
      <c r="G221" s="5">
        <f>INDEX([1]products!$A$1:$G$49,MATCH([1]orders!$D221,[1]products!$A$1:$A$49,0),MATCH([1]orders!K$1,[1]products!$A$1:$G$1,0))</f>
        <v>0.2</v>
      </c>
      <c r="H221" s="6">
        <f>INDEX([1]products!$A$1:$G$49,MATCH([1]orders!$D221,[1]products!$A$1:$A$49,0),MATCH([1]orders!L$1,[1]products!$A$1:$G$1,0))</f>
        <v>3.5849999999999995</v>
      </c>
      <c r="I221" s="6">
        <f t="shared" si="3"/>
        <v>10.754999999999999</v>
      </c>
    </row>
    <row r="222" spans="1:9" x14ac:dyDescent="0.3">
      <c r="A222" s="1" t="s">
        <v>455</v>
      </c>
      <c r="B222" s="2">
        <v>44777</v>
      </c>
      <c r="C222" s="3" t="s">
        <v>456</v>
      </c>
      <c r="D222" s="3" t="str">
        <f>INDEX('Customers (2)'!B:B,MATCH('Customers (2)'!A222,'Customers (2)'!A:A,0))</f>
        <v>Monte Percifull</v>
      </c>
      <c r="E222" s="4" t="s">
        <v>162</v>
      </c>
      <c r="F222" s="3">
        <v>5</v>
      </c>
      <c r="G222" s="5">
        <f>INDEX([1]products!$A$1:$G$49,MATCH([1]orders!$D222,[1]products!$A$1:$A$49,0),MATCH([1]orders!K$1,[1]products!$A$1:$G$1,0))</f>
        <v>0.2</v>
      </c>
      <c r="H222" s="6">
        <f>INDEX([1]products!$A$1:$G$49,MATCH([1]orders!$D222,[1]products!$A$1:$A$49,0),MATCH([1]orders!L$1,[1]products!$A$1:$G$1,0))</f>
        <v>2.9849999999999999</v>
      </c>
      <c r="I222" s="6">
        <f t="shared" si="3"/>
        <v>14.924999999999999</v>
      </c>
    </row>
    <row r="223" spans="1:9" x14ac:dyDescent="0.3">
      <c r="A223" s="1" t="s">
        <v>457</v>
      </c>
      <c r="B223" s="2">
        <v>44513</v>
      </c>
      <c r="C223" s="3" t="s">
        <v>458</v>
      </c>
      <c r="D223" s="3" t="str">
        <f>INDEX('Customers (2)'!B:B,MATCH('Customers (2)'!A223,'Customers (2)'!A:A,0))</f>
        <v>Lenka Rushmer</v>
      </c>
      <c r="E223" s="4" t="s">
        <v>6</v>
      </c>
      <c r="F223" s="3">
        <v>6</v>
      </c>
      <c r="G223" s="5">
        <f>INDEX([1]products!$A$1:$G$49,MATCH([1]orders!$D223,[1]products!$A$1:$A$49,0),MATCH([1]orders!K$1,[1]products!$A$1:$G$1,0))</f>
        <v>1</v>
      </c>
      <c r="H223" s="6">
        <f>INDEX([1]products!$A$1:$G$49,MATCH([1]orders!$D223,[1]products!$A$1:$A$49,0),MATCH([1]orders!L$1,[1]products!$A$1:$G$1,0))</f>
        <v>12.95</v>
      </c>
      <c r="I223" s="6">
        <f t="shared" si="3"/>
        <v>77.699999999999989</v>
      </c>
    </row>
    <row r="224" spans="1:9" x14ac:dyDescent="0.3">
      <c r="A224" s="1" t="s">
        <v>459</v>
      </c>
      <c r="B224" s="2">
        <v>44090</v>
      </c>
      <c r="C224" s="3" t="s">
        <v>460</v>
      </c>
      <c r="D224" s="3" t="str">
        <f>INDEX('Customers (2)'!B:B,MATCH('Customers (2)'!A224,'Customers (2)'!A:A,0))</f>
        <v>Waneta Edinborough</v>
      </c>
      <c r="E224" s="4" t="s">
        <v>123</v>
      </c>
      <c r="F224" s="3">
        <v>3</v>
      </c>
      <c r="G224" s="5">
        <f>INDEX([1]products!$A$1:$G$49,MATCH([1]orders!$D224,[1]products!$A$1:$A$49,0),MATCH([1]orders!K$1,[1]products!$A$1:$G$1,0))</f>
        <v>0.5</v>
      </c>
      <c r="H224" s="6">
        <f>INDEX([1]products!$A$1:$G$49,MATCH([1]orders!$D224,[1]products!$A$1:$A$49,0),MATCH([1]orders!L$1,[1]products!$A$1:$G$1,0))</f>
        <v>7.77</v>
      </c>
      <c r="I224" s="6">
        <f t="shared" si="3"/>
        <v>23.31</v>
      </c>
    </row>
    <row r="225" spans="1:9" x14ac:dyDescent="0.3">
      <c r="A225" s="1" t="s">
        <v>461</v>
      </c>
      <c r="B225" s="2">
        <v>44109</v>
      </c>
      <c r="C225" s="3" t="s">
        <v>462</v>
      </c>
      <c r="D225" s="3" t="str">
        <f>INDEX('Customers (2)'!B:B,MATCH('Customers (2)'!A225,'Customers (2)'!A:A,0))</f>
        <v>Bobbe Piggott</v>
      </c>
      <c r="E225" s="4" t="s">
        <v>137</v>
      </c>
      <c r="F225" s="3">
        <v>4</v>
      </c>
      <c r="G225" s="5">
        <f>INDEX([1]products!$A$1:$G$49,MATCH([1]orders!$D225,[1]products!$A$1:$A$49,0),MATCH([1]orders!K$1,[1]products!$A$1:$G$1,0))</f>
        <v>1</v>
      </c>
      <c r="H225" s="6">
        <f>INDEX([1]products!$A$1:$G$49,MATCH([1]orders!$D225,[1]products!$A$1:$A$49,0),MATCH([1]orders!L$1,[1]products!$A$1:$G$1,0))</f>
        <v>14.85</v>
      </c>
      <c r="I225" s="6">
        <f t="shared" si="3"/>
        <v>59.4</v>
      </c>
    </row>
    <row r="226" spans="1:9" x14ac:dyDescent="0.3">
      <c r="A226" s="1" t="s">
        <v>463</v>
      </c>
      <c r="B226" s="2">
        <v>43836</v>
      </c>
      <c r="C226" s="3" t="s">
        <v>464</v>
      </c>
      <c r="D226" s="3" t="str">
        <f>INDEX('Customers (2)'!B:B,MATCH('Customers (2)'!A226,'Customers (2)'!A:A,0))</f>
        <v>Ketty Bromehead</v>
      </c>
      <c r="E226" s="4" t="s">
        <v>109</v>
      </c>
      <c r="F226" s="3">
        <v>4</v>
      </c>
      <c r="G226" s="5">
        <f>INDEX([1]products!$A$1:$G$49,MATCH([1]orders!$D226,[1]products!$A$1:$A$49,0),MATCH([1]orders!K$1,[1]products!$A$1:$G$1,0))</f>
        <v>2.5</v>
      </c>
      <c r="H226" s="6">
        <f>INDEX([1]products!$A$1:$G$49,MATCH([1]orders!$D226,[1]products!$A$1:$A$49,0),MATCH([1]orders!L$1,[1]products!$A$1:$G$1,0))</f>
        <v>29.784999999999997</v>
      </c>
      <c r="I226" s="6">
        <f t="shared" si="3"/>
        <v>119.13999999999999</v>
      </c>
    </row>
    <row r="227" spans="1:9" x14ac:dyDescent="0.3">
      <c r="A227" s="1" t="s">
        <v>465</v>
      </c>
      <c r="B227" s="2">
        <v>44337</v>
      </c>
      <c r="C227" s="3" t="s">
        <v>466</v>
      </c>
      <c r="D227" s="3" t="str">
        <f>INDEX('Customers (2)'!B:B,MATCH('Customers (2)'!A227,'Customers (2)'!A:A,0))</f>
        <v>Elsbeth Westerman</v>
      </c>
      <c r="E227" s="4" t="s">
        <v>182</v>
      </c>
      <c r="F227" s="3">
        <v>4</v>
      </c>
      <c r="G227" s="5">
        <f>INDEX([1]products!$A$1:$G$49,MATCH([1]orders!$D227,[1]products!$A$1:$A$49,0),MATCH([1]orders!K$1,[1]products!$A$1:$G$1,0))</f>
        <v>0.2</v>
      </c>
      <c r="H227" s="6">
        <f>INDEX([1]products!$A$1:$G$49,MATCH([1]orders!$D227,[1]products!$A$1:$A$49,0),MATCH([1]orders!L$1,[1]products!$A$1:$G$1,0))</f>
        <v>3.5849999999999995</v>
      </c>
      <c r="I227" s="6">
        <f t="shared" si="3"/>
        <v>14.339999999999998</v>
      </c>
    </row>
    <row r="228" spans="1:9" x14ac:dyDescent="0.3">
      <c r="A228" s="1" t="s">
        <v>467</v>
      </c>
      <c r="B228" s="2">
        <v>43887</v>
      </c>
      <c r="C228" s="3" t="s">
        <v>468</v>
      </c>
      <c r="D228" s="3" t="str">
        <f>INDEX('Customers (2)'!B:B,MATCH('Customers (2)'!A228,'Customers (2)'!A:A,0))</f>
        <v>Anabelle Hutchens</v>
      </c>
      <c r="E228" s="4" t="s">
        <v>171</v>
      </c>
      <c r="F228" s="3">
        <v>5</v>
      </c>
      <c r="G228" s="5">
        <f>INDEX([1]products!$A$1:$G$49,MATCH([1]orders!$D228,[1]products!$A$1:$A$49,0),MATCH([1]orders!K$1,[1]products!$A$1:$G$1,0))</f>
        <v>2.5</v>
      </c>
      <c r="H228" s="6">
        <f>INDEX([1]products!$A$1:$G$49,MATCH([1]orders!$D228,[1]products!$A$1:$A$49,0),MATCH([1]orders!L$1,[1]products!$A$1:$G$1,0))</f>
        <v>25.874999999999996</v>
      </c>
      <c r="I228" s="6">
        <f t="shared" si="3"/>
        <v>129.37499999999997</v>
      </c>
    </row>
    <row r="229" spans="1:9" x14ac:dyDescent="0.3">
      <c r="A229" s="1" t="s">
        <v>469</v>
      </c>
      <c r="B229" s="2">
        <v>43880</v>
      </c>
      <c r="C229" s="3" t="s">
        <v>470</v>
      </c>
      <c r="D229" s="3" t="str">
        <f>INDEX('Customers (2)'!B:B,MATCH('Customers (2)'!A229,'Customers (2)'!A:A,0))</f>
        <v>Noak Wyvill</v>
      </c>
      <c r="E229" s="4" t="s">
        <v>101</v>
      </c>
      <c r="F229" s="3">
        <v>6</v>
      </c>
      <c r="G229" s="5">
        <f>INDEX([1]products!$A$1:$G$49,MATCH([1]orders!$D229,[1]products!$A$1:$A$49,0),MATCH([1]orders!K$1,[1]products!$A$1:$G$1,0))</f>
        <v>0.2</v>
      </c>
      <c r="H229" s="6">
        <f>INDEX([1]products!$A$1:$G$49,MATCH([1]orders!$D229,[1]products!$A$1:$A$49,0),MATCH([1]orders!L$1,[1]products!$A$1:$G$1,0))</f>
        <v>2.6849999999999996</v>
      </c>
      <c r="I229" s="6">
        <f t="shared" si="3"/>
        <v>16.11</v>
      </c>
    </row>
    <row r="230" spans="1:9" x14ac:dyDescent="0.3">
      <c r="A230" s="1" t="s">
        <v>471</v>
      </c>
      <c r="B230" s="2">
        <v>44376</v>
      </c>
      <c r="C230" s="3" t="s">
        <v>472</v>
      </c>
      <c r="D230" s="3" t="str">
        <f>INDEX('Customers (2)'!B:B,MATCH('Customers (2)'!A230,'Customers (2)'!A:A,0))</f>
        <v>Beltran Mathon</v>
      </c>
      <c r="E230" s="4" t="s">
        <v>182</v>
      </c>
      <c r="F230" s="3">
        <v>5</v>
      </c>
      <c r="G230" s="5">
        <f>INDEX([1]products!$A$1:$G$49,MATCH([1]orders!$D230,[1]products!$A$1:$A$49,0),MATCH([1]orders!K$1,[1]products!$A$1:$G$1,0))</f>
        <v>0.2</v>
      </c>
      <c r="H230" s="6">
        <f>INDEX([1]products!$A$1:$G$49,MATCH([1]orders!$D230,[1]products!$A$1:$A$49,0),MATCH([1]orders!L$1,[1]products!$A$1:$G$1,0))</f>
        <v>3.5849999999999995</v>
      </c>
      <c r="I230" s="6">
        <f t="shared" si="3"/>
        <v>17.924999999999997</v>
      </c>
    </row>
    <row r="231" spans="1:9" x14ac:dyDescent="0.3">
      <c r="A231" s="1" t="s">
        <v>473</v>
      </c>
      <c r="B231" s="2">
        <v>44282</v>
      </c>
      <c r="C231" s="3" t="s">
        <v>474</v>
      </c>
      <c r="D231" s="3" t="str">
        <f>INDEX('Customers (2)'!B:B,MATCH('Customers (2)'!A231,'Customers (2)'!A:A,0))</f>
        <v>Kristos Streight</v>
      </c>
      <c r="E231" s="4" t="s">
        <v>77</v>
      </c>
      <c r="F231" s="3">
        <v>2</v>
      </c>
      <c r="G231" s="5">
        <f>INDEX([1]products!$A$1:$G$49,MATCH([1]orders!$D231,[1]products!$A$1:$A$49,0),MATCH([1]orders!K$1,[1]products!$A$1:$G$1,0))</f>
        <v>0.2</v>
      </c>
      <c r="H231" s="6">
        <f>INDEX([1]products!$A$1:$G$49,MATCH([1]orders!$D231,[1]products!$A$1:$A$49,0),MATCH([1]orders!L$1,[1]products!$A$1:$G$1,0))</f>
        <v>4.3650000000000002</v>
      </c>
      <c r="I231" s="6">
        <f t="shared" si="3"/>
        <v>8.73</v>
      </c>
    </row>
    <row r="232" spans="1:9" x14ac:dyDescent="0.3">
      <c r="A232" s="1" t="s">
        <v>475</v>
      </c>
      <c r="B232" s="2">
        <v>44496</v>
      </c>
      <c r="C232" s="3" t="s">
        <v>476</v>
      </c>
      <c r="D232" s="3" t="str">
        <f>INDEX('Customers (2)'!B:B,MATCH('Customers (2)'!A232,'Customers (2)'!A:A,0))</f>
        <v>Portie Cutchie</v>
      </c>
      <c r="E232" s="4" t="s">
        <v>171</v>
      </c>
      <c r="F232" s="3">
        <v>2</v>
      </c>
      <c r="G232" s="5">
        <f>INDEX([1]products!$A$1:$G$49,MATCH([1]orders!$D232,[1]products!$A$1:$A$49,0),MATCH([1]orders!K$1,[1]products!$A$1:$G$1,0))</f>
        <v>2.5</v>
      </c>
      <c r="H232" s="6">
        <f>INDEX([1]products!$A$1:$G$49,MATCH([1]orders!$D232,[1]products!$A$1:$A$49,0),MATCH([1]orders!L$1,[1]products!$A$1:$G$1,0))</f>
        <v>25.874999999999996</v>
      </c>
      <c r="I232" s="6">
        <f t="shared" si="3"/>
        <v>51.749999999999993</v>
      </c>
    </row>
    <row r="233" spans="1:9" x14ac:dyDescent="0.3">
      <c r="A233" s="1" t="s">
        <v>477</v>
      </c>
      <c r="B233" s="2">
        <v>43628</v>
      </c>
      <c r="C233" s="3" t="s">
        <v>478</v>
      </c>
      <c r="D233" s="3" t="str">
        <f>INDEX('Customers (2)'!B:B,MATCH('Customers (2)'!A233,'Customers (2)'!A:A,0))</f>
        <v>Sinclare Edsell</v>
      </c>
      <c r="E233" s="4" t="s">
        <v>77</v>
      </c>
      <c r="F233" s="3">
        <v>2</v>
      </c>
      <c r="G233" s="5">
        <f>INDEX([1]products!$A$1:$G$49,MATCH([1]orders!$D233,[1]products!$A$1:$A$49,0),MATCH([1]orders!K$1,[1]products!$A$1:$G$1,0))</f>
        <v>0.2</v>
      </c>
      <c r="H233" s="6">
        <f>INDEX([1]products!$A$1:$G$49,MATCH([1]orders!$D233,[1]products!$A$1:$A$49,0),MATCH([1]orders!L$1,[1]products!$A$1:$G$1,0))</f>
        <v>4.3650000000000002</v>
      </c>
      <c r="I233" s="6">
        <f t="shared" si="3"/>
        <v>8.73</v>
      </c>
    </row>
    <row r="234" spans="1:9" x14ac:dyDescent="0.3">
      <c r="A234" s="1" t="s">
        <v>479</v>
      </c>
      <c r="B234" s="2">
        <v>44010</v>
      </c>
      <c r="C234" s="3" t="s">
        <v>480</v>
      </c>
      <c r="D234" s="3" t="str">
        <f>INDEX('Customers (2)'!B:B,MATCH('Customers (2)'!A234,'Customers (2)'!A:A,0))</f>
        <v>Conny Gheraldi</v>
      </c>
      <c r="E234" s="4" t="s">
        <v>19</v>
      </c>
      <c r="F234" s="3">
        <v>5</v>
      </c>
      <c r="G234" s="5">
        <f>INDEX([1]products!$A$1:$G$49,MATCH([1]orders!$D234,[1]products!$A$1:$A$49,0),MATCH([1]orders!K$1,[1]products!$A$1:$G$1,0))</f>
        <v>0.2</v>
      </c>
      <c r="H234" s="6">
        <f>INDEX([1]products!$A$1:$G$49,MATCH([1]orders!$D234,[1]products!$A$1:$A$49,0),MATCH([1]orders!L$1,[1]products!$A$1:$G$1,0))</f>
        <v>4.7549999999999999</v>
      </c>
      <c r="I234" s="6">
        <f t="shared" si="3"/>
        <v>23.774999999999999</v>
      </c>
    </row>
    <row r="235" spans="1:9" x14ac:dyDescent="0.3">
      <c r="A235" s="1" t="s">
        <v>481</v>
      </c>
      <c r="B235" s="2">
        <v>44278</v>
      </c>
      <c r="C235" s="3" t="s">
        <v>482</v>
      </c>
      <c r="D235" s="3" t="str">
        <f>INDEX('Customers (2)'!B:B,MATCH('Customers (2)'!A235,'Customers (2)'!A:A,0))</f>
        <v>Beryle Kenwell</v>
      </c>
      <c r="E235" s="4" t="s">
        <v>64</v>
      </c>
      <c r="F235" s="3">
        <v>5</v>
      </c>
      <c r="G235" s="5">
        <f>INDEX([1]products!$A$1:$G$49,MATCH([1]orders!$D235,[1]products!$A$1:$A$49,0),MATCH([1]orders!K$1,[1]products!$A$1:$G$1,0))</f>
        <v>0.2</v>
      </c>
      <c r="H235" s="6">
        <f>INDEX([1]products!$A$1:$G$49,MATCH([1]orders!$D235,[1]products!$A$1:$A$49,0),MATCH([1]orders!L$1,[1]products!$A$1:$G$1,0))</f>
        <v>4.125</v>
      </c>
      <c r="I235" s="6">
        <f t="shared" si="3"/>
        <v>20.625</v>
      </c>
    </row>
    <row r="236" spans="1:9" x14ac:dyDescent="0.3">
      <c r="A236" s="1" t="s">
        <v>483</v>
      </c>
      <c r="B236" s="2">
        <v>44602</v>
      </c>
      <c r="C236" s="3" t="s">
        <v>484</v>
      </c>
      <c r="D236" s="3" t="str">
        <f>INDEX('Customers (2)'!B:B,MATCH('Customers (2)'!A236,'Customers (2)'!A:A,0))</f>
        <v>Tomas Sutty</v>
      </c>
      <c r="E236" s="4" t="s">
        <v>104</v>
      </c>
      <c r="F236" s="3">
        <v>1</v>
      </c>
      <c r="G236" s="5">
        <f>INDEX([1]products!$A$1:$G$49,MATCH([1]orders!$D236,[1]products!$A$1:$A$49,0),MATCH([1]orders!K$1,[1]products!$A$1:$G$1,0))</f>
        <v>2.5</v>
      </c>
      <c r="H236" s="6">
        <f>INDEX([1]products!$A$1:$G$49,MATCH([1]orders!$D236,[1]products!$A$1:$A$49,0),MATCH([1]orders!L$1,[1]products!$A$1:$G$1,0))</f>
        <v>36.454999999999998</v>
      </c>
      <c r="I236" s="6">
        <f t="shared" si="3"/>
        <v>36.454999999999998</v>
      </c>
    </row>
    <row r="237" spans="1:9" x14ac:dyDescent="0.3">
      <c r="A237" s="1" t="s">
        <v>485</v>
      </c>
      <c r="B237" s="2">
        <v>43571</v>
      </c>
      <c r="C237" s="3" t="s">
        <v>486</v>
      </c>
      <c r="D237" s="3" t="str">
        <f>INDEX('Customers (2)'!B:B,MATCH('Customers (2)'!A237,'Customers (2)'!A:A,0))</f>
        <v>Samuele Ales0</v>
      </c>
      <c r="E237" s="4" t="s">
        <v>104</v>
      </c>
      <c r="F237" s="3">
        <v>5</v>
      </c>
      <c r="G237" s="5">
        <f>INDEX([1]products!$A$1:$G$49,MATCH([1]orders!$D237,[1]products!$A$1:$A$49,0),MATCH([1]orders!K$1,[1]products!$A$1:$G$1,0))</f>
        <v>2.5</v>
      </c>
      <c r="H237" s="6">
        <f>INDEX([1]products!$A$1:$G$49,MATCH([1]orders!$D237,[1]products!$A$1:$A$49,0),MATCH([1]orders!L$1,[1]products!$A$1:$G$1,0))</f>
        <v>36.454999999999998</v>
      </c>
      <c r="I237" s="6">
        <f t="shared" si="3"/>
        <v>182.27499999999998</v>
      </c>
    </row>
    <row r="238" spans="1:9" x14ac:dyDescent="0.3">
      <c r="A238" s="1" t="s">
        <v>487</v>
      </c>
      <c r="B238" s="2">
        <v>43873</v>
      </c>
      <c r="C238" s="3" t="s">
        <v>488</v>
      </c>
      <c r="D238" s="3" t="str">
        <f>INDEX('Customers (2)'!B:B,MATCH('Customers (2)'!A238,'Customers (2)'!A:A,0))</f>
        <v>Carlie Harce</v>
      </c>
      <c r="E238" s="4" t="s">
        <v>109</v>
      </c>
      <c r="F238" s="3">
        <v>3</v>
      </c>
      <c r="G238" s="5">
        <f>INDEX([1]products!$A$1:$G$49,MATCH([1]orders!$D238,[1]products!$A$1:$A$49,0),MATCH([1]orders!K$1,[1]products!$A$1:$G$1,0))</f>
        <v>2.5</v>
      </c>
      <c r="H238" s="6">
        <f>INDEX([1]products!$A$1:$G$49,MATCH([1]orders!$D238,[1]products!$A$1:$A$49,0),MATCH([1]orders!L$1,[1]products!$A$1:$G$1,0))</f>
        <v>29.784999999999997</v>
      </c>
      <c r="I238" s="6">
        <f t="shared" si="3"/>
        <v>89.35499999999999</v>
      </c>
    </row>
    <row r="239" spans="1:9" x14ac:dyDescent="0.3">
      <c r="A239" s="1" t="s">
        <v>489</v>
      </c>
      <c r="B239" s="2">
        <v>44563</v>
      </c>
      <c r="C239" s="3" t="s">
        <v>490</v>
      </c>
      <c r="D239" s="3" t="str">
        <f>INDEX('Customers (2)'!B:B,MATCH('Customers (2)'!A239,'Customers (2)'!A:A,0))</f>
        <v>Craggy Bril</v>
      </c>
      <c r="E239" s="4" t="s">
        <v>182</v>
      </c>
      <c r="F239" s="3">
        <v>1</v>
      </c>
      <c r="G239" s="5">
        <f>INDEX([1]products!$A$1:$G$49,MATCH([1]orders!$D239,[1]products!$A$1:$A$49,0),MATCH([1]orders!K$1,[1]products!$A$1:$G$1,0))</f>
        <v>0.2</v>
      </c>
      <c r="H239" s="6">
        <f>INDEX([1]products!$A$1:$G$49,MATCH([1]orders!$D239,[1]products!$A$1:$A$49,0),MATCH([1]orders!L$1,[1]products!$A$1:$G$1,0))</f>
        <v>3.5849999999999995</v>
      </c>
      <c r="I239" s="6">
        <f t="shared" si="3"/>
        <v>3.5849999999999995</v>
      </c>
    </row>
    <row r="240" spans="1:9" x14ac:dyDescent="0.3">
      <c r="A240" s="1" t="s">
        <v>491</v>
      </c>
      <c r="B240" s="2">
        <v>44172</v>
      </c>
      <c r="C240" s="3" t="s">
        <v>492</v>
      </c>
      <c r="D240" s="3" t="str">
        <f>INDEX('Customers (2)'!B:B,MATCH('Customers (2)'!A240,'Customers (2)'!A:A,0))</f>
        <v>Friederike Drysdale</v>
      </c>
      <c r="E240" s="4" t="s">
        <v>41</v>
      </c>
      <c r="F240" s="3">
        <v>2</v>
      </c>
      <c r="G240" s="5">
        <f>INDEX([1]products!$A$1:$G$49,MATCH([1]orders!$D240,[1]products!$A$1:$A$49,0),MATCH([1]orders!K$1,[1]products!$A$1:$G$1,0))</f>
        <v>2.5</v>
      </c>
      <c r="H240" s="6">
        <f>INDEX([1]products!$A$1:$G$49,MATCH([1]orders!$D240,[1]products!$A$1:$A$49,0),MATCH([1]orders!L$1,[1]products!$A$1:$G$1,0))</f>
        <v>22.884999999999998</v>
      </c>
      <c r="I240" s="6">
        <f t="shared" si="3"/>
        <v>45.769999999999996</v>
      </c>
    </row>
    <row r="241" spans="1:9" x14ac:dyDescent="0.3">
      <c r="A241" s="1" t="s">
        <v>493</v>
      </c>
      <c r="B241" s="2">
        <v>43881</v>
      </c>
      <c r="C241" s="3" t="s">
        <v>494</v>
      </c>
      <c r="D241" s="3" t="str">
        <f>INDEX('Customers (2)'!B:B,MATCH('Customers (2)'!A241,'Customers (2)'!A:A,0))</f>
        <v>Devon Magowan</v>
      </c>
      <c r="E241" s="4" t="s">
        <v>137</v>
      </c>
      <c r="F241" s="3">
        <v>4</v>
      </c>
      <c r="G241" s="5">
        <f>INDEX([1]products!$A$1:$G$49,MATCH([1]orders!$D241,[1]products!$A$1:$A$49,0),MATCH([1]orders!K$1,[1]products!$A$1:$G$1,0))</f>
        <v>1</v>
      </c>
      <c r="H241" s="6">
        <f>INDEX([1]products!$A$1:$G$49,MATCH([1]orders!$D241,[1]products!$A$1:$A$49,0),MATCH([1]orders!L$1,[1]products!$A$1:$G$1,0))</f>
        <v>14.85</v>
      </c>
      <c r="I241" s="6">
        <f t="shared" si="3"/>
        <v>59.4</v>
      </c>
    </row>
    <row r="242" spans="1:9" x14ac:dyDescent="0.3">
      <c r="A242" s="1" t="s">
        <v>495</v>
      </c>
      <c r="B242" s="2">
        <v>43993</v>
      </c>
      <c r="C242" s="3" t="s">
        <v>496</v>
      </c>
      <c r="D242" s="3" t="str">
        <f>INDEX('Customers (2)'!B:B,MATCH('Customers (2)'!A242,'Customers (2)'!A:A,0))</f>
        <v>Codi Littrell</v>
      </c>
      <c r="E242" s="4" t="s">
        <v>171</v>
      </c>
      <c r="F242" s="3">
        <v>6</v>
      </c>
      <c r="G242" s="5">
        <f>INDEX([1]products!$A$1:$G$49,MATCH([1]orders!$D242,[1]products!$A$1:$A$49,0),MATCH([1]orders!K$1,[1]products!$A$1:$G$1,0))</f>
        <v>2.5</v>
      </c>
      <c r="H242" s="6">
        <f>INDEX([1]products!$A$1:$G$49,MATCH([1]orders!$D242,[1]products!$A$1:$A$49,0),MATCH([1]orders!L$1,[1]products!$A$1:$G$1,0))</f>
        <v>25.874999999999996</v>
      </c>
      <c r="I242" s="6">
        <f t="shared" si="3"/>
        <v>155.24999999999997</v>
      </c>
    </row>
    <row r="243" spans="1:9" x14ac:dyDescent="0.3">
      <c r="A243" s="1" t="s">
        <v>497</v>
      </c>
      <c r="B243" s="2">
        <v>44082</v>
      </c>
      <c r="C243" s="3" t="s">
        <v>498</v>
      </c>
      <c r="D243" s="3" t="str">
        <f>INDEX('Customers (2)'!B:B,MATCH('Customers (2)'!A243,'Customers (2)'!A:A,0))</f>
        <v>Christel Speak</v>
      </c>
      <c r="E243" s="4" t="s">
        <v>41</v>
      </c>
      <c r="F243" s="3">
        <v>2</v>
      </c>
      <c r="G243" s="5">
        <f>INDEX([1]products!$A$1:$G$49,MATCH([1]orders!$D243,[1]products!$A$1:$A$49,0),MATCH([1]orders!K$1,[1]products!$A$1:$G$1,0))</f>
        <v>2.5</v>
      </c>
      <c r="H243" s="6">
        <f>INDEX([1]products!$A$1:$G$49,MATCH([1]orders!$D243,[1]products!$A$1:$A$49,0),MATCH([1]orders!L$1,[1]products!$A$1:$G$1,0))</f>
        <v>22.884999999999998</v>
      </c>
      <c r="I243" s="6">
        <f t="shared" si="3"/>
        <v>45.769999999999996</v>
      </c>
    </row>
    <row r="244" spans="1:9" x14ac:dyDescent="0.3">
      <c r="A244" s="1" t="s">
        <v>499</v>
      </c>
      <c r="B244" s="2">
        <v>43918</v>
      </c>
      <c r="C244" s="3" t="s">
        <v>500</v>
      </c>
      <c r="D244" s="3" t="str">
        <f>INDEX('Customers (2)'!B:B,MATCH('Customers (2)'!A244,'Customers (2)'!A:A,0))</f>
        <v>Sibella Rushbrooke</v>
      </c>
      <c r="E244" s="4" t="s">
        <v>245</v>
      </c>
      <c r="F244" s="3">
        <v>3</v>
      </c>
      <c r="G244" s="5">
        <f>INDEX([1]products!$A$1:$G$49,MATCH([1]orders!$D244,[1]products!$A$1:$A$49,0),MATCH([1]orders!K$1,[1]products!$A$1:$G$1,0))</f>
        <v>1</v>
      </c>
      <c r="H244" s="6">
        <f>INDEX([1]products!$A$1:$G$49,MATCH([1]orders!$D244,[1]products!$A$1:$A$49,0),MATCH([1]orders!L$1,[1]products!$A$1:$G$1,0))</f>
        <v>12.15</v>
      </c>
      <c r="I244" s="6">
        <f t="shared" si="3"/>
        <v>36.450000000000003</v>
      </c>
    </row>
    <row r="245" spans="1:9" x14ac:dyDescent="0.3">
      <c r="A245" s="1" t="s">
        <v>501</v>
      </c>
      <c r="B245" s="2">
        <v>44114</v>
      </c>
      <c r="C245" s="3" t="s">
        <v>502</v>
      </c>
      <c r="D245" s="3" t="str">
        <f>INDEX('Customers (2)'!B:B,MATCH('Customers (2)'!A245,'Customers (2)'!A:A,0))</f>
        <v>Tammie Drynan</v>
      </c>
      <c r="E245" s="4" t="s">
        <v>16</v>
      </c>
      <c r="F245" s="3">
        <v>4</v>
      </c>
      <c r="G245" s="5">
        <f>INDEX([1]products!$A$1:$G$49,MATCH([1]orders!$D245,[1]products!$A$1:$A$49,0),MATCH([1]orders!K$1,[1]products!$A$1:$G$1,0))</f>
        <v>0.5</v>
      </c>
      <c r="H245" s="6">
        <f>INDEX([1]products!$A$1:$G$49,MATCH([1]orders!$D245,[1]products!$A$1:$A$49,0),MATCH([1]orders!L$1,[1]products!$A$1:$G$1,0))</f>
        <v>7.29</v>
      </c>
      <c r="I245" s="6">
        <f t="shared" si="3"/>
        <v>29.16</v>
      </c>
    </row>
    <row r="246" spans="1:9" x14ac:dyDescent="0.3">
      <c r="A246" s="1" t="s">
        <v>503</v>
      </c>
      <c r="B246" s="2">
        <v>44702</v>
      </c>
      <c r="C246" s="3" t="s">
        <v>504</v>
      </c>
      <c r="D246" s="3" t="str">
        <f>INDEX('Customers (2)'!B:B,MATCH('Customers (2)'!A246,'Customers (2)'!A:A,0))</f>
        <v>Effie Yurkov</v>
      </c>
      <c r="E246" s="4" t="s">
        <v>197</v>
      </c>
      <c r="F246" s="3">
        <v>4</v>
      </c>
      <c r="G246" s="5">
        <f>INDEX([1]products!$A$1:$G$49,MATCH([1]orders!$D246,[1]products!$A$1:$A$49,0),MATCH([1]orders!K$1,[1]products!$A$1:$G$1,0))</f>
        <v>2.5</v>
      </c>
      <c r="H246" s="6">
        <f>INDEX([1]products!$A$1:$G$49,MATCH([1]orders!$D246,[1]products!$A$1:$A$49,0),MATCH([1]orders!L$1,[1]products!$A$1:$G$1,0))</f>
        <v>33.464999999999996</v>
      </c>
      <c r="I246" s="6">
        <f t="shared" si="3"/>
        <v>133.85999999999999</v>
      </c>
    </row>
    <row r="247" spans="1:9" x14ac:dyDescent="0.3">
      <c r="A247" s="1" t="s">
        <v>505</v>
      </c>
      <c r="B247" s="2">
        <v>43951</v>
      </c>
      <c r="C247" s="3" t="s">
        <v>506</v>
      </c>
      <c r="D247" s="3" t="str">
        <f>INDEX('Customers (2)'!B:B,MATCH('Customers (2)'!A247,'Customers (2)'!A:A,0))</f>
        <v>Lexie Mallan</v>
      </c>
      <c r="E247" s="4" t="s">
        <v>19</v>
      </c>
      <c r="F247" s="3">
        <v>5</v>
      </c>
      <c r="G247" s="5">
        <f>INDEX([1]products!$A$1:$G$49,MATCH([1]orders!$D247,[1]products!$A$1:$A$49,0),MATCH([1]orders!K$1,[1]products!$A$1:$G$1,0))</f>
        <v>0.2</v>
      </c>
      <c r="H247" s="6">
        <f>INDEX([1]products!$A$1:$G$49,MATCH([1]orders!$D247,[1]products!$A$1:$A$49,0),MATCH([1]orders!L$1,[1]products!$A$1:$G$1,0))</f>
        <v>4.7549999999999999</v>
      </c>
      <c r="I247" s="6">
        <f t="shared" si="3"/>
        <v>23.774999999999999</v>
      </c>
    </row>
    <row r="248" spans="1:9" x14ac:dyDescent="0.3">
      <c r="A248" s="1" t="s">
        <v>507</v>
      </c>
      <c r="B248" s="2">
        <v>44542</v>
      </c>
      <c r="C248" s="3" t="s">
        <v>508</v>
      </c>
      <c r="D248" s="3" t="str">
        <f>INDEX('Customers (2)'!B:B,MATCH('Customers (2)'!A248,'Customers (2)'!A:A,0))</f>
        <v>Georgena Bentjens</v>
      </c>
      <c r="E248" s="4" t="s">
        <v>13</v>
      </c>
      <c r="F248" s="3">
        <v>3</v>
      </c>
      <c r="G248" s="5">
        <f>INDEX([1]products!$A$1:$G$49,MATCH([1]orders!$D248,[1]products!$A$1:$A$49,0),MATCH([1]orders!K$1,[1]products!$A$1:$G$1,0))</f>
        <v>1</v>
      </c>
      <c r="H248" s="6">
        <f>INDEX([1]products!$A$1:$G$49,MATCH([1]orders!$D248,[1]products!$A$1:$A$49,0),MATCH([1]orders!L$1,[1]products!$A$1:$G$1,0))</f>
        <v>12.95</v>
      </c>
      <c r="I248" s="6">
        <f t="shared" si="3"/>
        <v>38.849999999999994</v>
      </c>
    </row>
    <row r="249" spans="1:9" x14ac:dyDescent="0.3">
      <c r="A249" s="1" t="s">
        <v>509</v>
      </c>
      <c r="B249" s="2">
        <v>44131</v>
      </c>
      <c r="C249" s="3" t="s">
        <v>510</v>
      </c>
      <c r="D249" s="3" t="str">
        <f>INDEX('Customers (2)'!B:B,MATCH('Customers (2)'!A249,'Customers (2)'!A:A,0))</f>
        <v>Delmar Beasant</v>
      </c>
      <c r="E249" s="4" t="s">
        <v>182</v>
      </c>
      <c r="F249" s="3">
        <v>6</v>
      </c>
      <c r="G249" s="5">
        <f>INDEX([1]products!$A$1:$G$49,MATCH([1]orders!$D249,[1]products!$A$1:$A$49,0),MATCH([1]orders!K$1,[1]products!$A$1:$G$1,0))</f>
        <v>0.2</v>
      </c>
      <c r="H249" s="6">
        <f>INDEX([1]products!$A$1:$G$49,MATCH([1]orders!$D249,[1]products!$A$1:$A$49,0),MATCH([1]orders!L$1,[1]products!$A$1:$G$1,0))</f>
        <v>3.5849999999999995</v>
      </c>
      <c r="I249" s="6">
        <f t="shared" si="3"/>
        <v>21.509999999999998</v>
      </c>
    </row>
    <row r="250" spans="1:9" x14ac:dyDescent="0.3">
      <c r="A250" s="1" t="s">
        <v>511</v>
      </c>
      <c r="B250" s="2">
        <v>44019</v>
      </c>
      <c r="C250" s="3" t="s">
        <v>512</v>
      </c>
      <c r="D250" s="3" t="str">
        <f>INDEX('Customers (2)'!B:B,MATCH('Customers (2)'!A250,'Customers (2)'!A:A,0))</f>
        <v>Lyn Entwistle</v>
      </c>
      <c r="E250" s="4" t="s">
        <v>27</v>
      </c>
      <c r="F250" s="3">
        <v>1</v>
      </c>
      <c r="G250" s="5">
        <f>INDEX([1]products!$A$1:$G$49,MATCH([1]orders!$D250,[1]products!$A$1:$A$49,0),MATCH([1]orders!K$1,[1]products!$A$1:$G$1,0))</f>
        <v>1</v>
      </c>
      <c r="H250" s="6">
        <f>INDEX([1]products!$A$1:$G$49,MATCH([1]orders!$D250,[1]products!$A$1:$A$49,0),MATCH([1]orders!L$1,[1]products!$A$1:$G$1,0))</f>
        <v>9.9499999999999993</v>
      </c>
      <c r="I250" s="6">
        <f t="shared" si="3"/>
        <v>9.9499999999999993</v>
      </c>
    </row>
    <row r="251" spans="1:9" x14ac:dyDescent="0.3">
      <c r="A251" s="1" t="s">
        <v>513</v>
      </c>
      <c r="B251" s="2">
        <v>43861</v>
      </c>
      <c r="C251" s="3" t="s">
        <v>514</v>
      </c>
      <c r="D251" s="3" t="str">
        <f>INDEX('Customers (2)'!B:B,MATCH('Customers (2)'!A251,'Customers (2)'!A:A,0))</f>
        <v>Stuart Lafee</v>
      </c>
      <c r="E251" s="4" t="s">
        <v>132</v>
      </c>
      <c r="F251" s="3">
        <v>1</v>
      </c>
      <c r="G251" s="5">
        <f>INDEX([1]products!$A$1:$G$49,MATCH([1]orders!$D251,[1]products!$A$1:$A$49,0),MATCH([1]orders!K$1,[1]products!$A$1:$G$1,0))</f>
        <v>1</v>
      </c>
      <c r="H251" s="6">
        <f>INDEX([1]products!$A$1:$G$49,MATCH([1]orders!$D251,[1]products!$A$1:$A$49,0),MATCH([1]orders!L$1,[1]products!$A$1:$G$1,0))</f>
        <v>15.85</v>
      </c>
      <c r="I251" s="6">
        <f t="shared" si="3"/>
        <v>15.85</v>
      </c>
    </row>
    <row r="252" spans="1:9" x14ac:dyDescent="0.3">
      <c r="A252" s="1" t="s">
        <v>515</v>
      </c>
      <c r="B252" s="2">
        <v>43879</v>
      </c>
      <c r="C252" s="3" t="s">
        <v>516</v>
      </c>
      <c r="D252" s="3" t="str">
        <f>INDEX('Customers (2)'!B:B,MATCH('Customers (2)'!A252,'Customers (2)'!A:A,0))</f>
        <v>Mercedes Acott</v>
      </c>
      <c r="E252" s="4" t="s">
        <v>162</v>
      </c>
      <c r="F252" s="3">
        <v>1</v>
      </c>
      <c r="G252" s="5">
        <f>INDEX([1]products!$A$1:$G$49,MATCH([1]orders!$D252,[1]products!$A$1:$A$49,0),MATCH([1]orders!K$1,[1]products!$A$1:$G$1,0))</f>
        <v>0.2</v>
      </c>
      <c r="H252" s="6">
        <f>INDEX([1]products!$A$1:$G$49,MATCH([1]orders!$D252,[1]products!$A$1:$A$49,0),MATCH([1]orders!L$1,[1]products!$A$1:$G$1,0))</f>
        <v>2.9849999999999999</v>
      </c>
      <c r="I252" s="6">
        <f t="shared" si="3"/>
        <v>2.9849999999999999</v>
      </c>
    </row>
    <row r="253" spans="1:9" x14ac:dyDescent="0.3">
      <c r="A253" s="1" t="s">
        <v>517</v>
      </c>
      <c r="B253" s="2">
        <v>44360</v>
      </c>
      <c r="C253" s="3" t="s">
        <v>518</v>
      </c>
      <c r="D253" s="3" t="str">
        <f>INDEX('Customers (2)'!B:B,MATCH('Customers (2)'!A253,'Customers (2)'!A:A,0))</f>
        <v>Connor Heaviside</v>
      </c>
      <c r="E253" s="4" t="s">
        <v>9</v>
      </c>
      <c r="F253" s="3">
        <v>5</v>
      </c>
      <c r="G253" s="5">
        <f>INDEX([1]products!$A$1:$G$49,MATCH([1]orders!$D253,[1]products!$A$1:$A$49,0),MATCH([1]orders!K$1,[1]products!$A$1:$G$1,0))</f>
        <v>1</v>
      </c>
      <c r="H253" s="6">
        <f>INDEX([1]products!$A$1:$G$49,MATCH([1]orders!$D253,[1]products!$A$1:$A$49,0),MATCH([1]orders!L$1,[1]products!$A$1:$G$1,0))</f>
        <v>13.75</v>
      </c>
      <c r="I253" s="6">
        <f t="shared" si="3"/>
        <v>68.75</v>
      </c>
    </row>
    <row r="254" spans="1:9" x14ac:dyDescent="0.3">
      <c r="A254" s="1" t="s">
        <v>519</v>
      </c>
      <c r="B254" s="2">
        <v>44779</v>
      </c>
      <c r="C254" s="3" t="s">
        <v>520</v>
      </c>
      <c r="D254" s="3" t="str">
        <f>INDEX('Customers (2)'!B:B,MATCH('Customers (2)'!A254,'Customers (2)'!A:A,0))</f>
        <v>Devy Bulbrook</v>
      </c>
      <c r="E254" s="4" t="s">
        <v>27</v>
      </c>
      <c r="F254" s="3">
        <v>3</v>
      </c>
      <c r="G254" s="5">
        <f>INDEX([1]products!$A$1:$G$49,MATCH([1]orders!$D254,[1]products!$A$1:$A$49,0),MATCH([1]orders!K$1,[1]products!$A$1:$G$1,0))</f>
        <v>1</v>
      </c>
      <c r="H254" s="6">
        <f>INDEX([1]products!$A$1:$G$49,MATCH([1]orders!$D254,[1]products!$A$1:$A$49,0),MATCH([1]orders!L$1,[1]products!$A$1:$G$1,0))</f>
        <v>9.9499999999999993</v>
      </c>
      <c r="I254" s="6">
        <f t="shared" si="3"/>
        <v>29.849999999999998</v>
      </c>
    </row>
    <row r="255" spans="1:9" x14ac:dyDescent="0.3">
      <c r="A255" s="1" t="s">
        <v>521</v>
      </c>
      <c r="B255" s="2">
        <v>44523</v>
      </c>
      <c r="C255" s="3" t="s">
        <v>522</v>
      </c>
      <c r="D255" s="3" t="str">
        <f>INDEX('Customers (2)'!B:B,MATCH('Customers (2)'!A255,'Customers (2)'!A:A,0))</f>
        <v>Leia Kernan</v>
      </c>
      <c r="E255" s="4" t="s">
        <v>96</v>
      </c>
      <c r="F255" s="3">
        <v>4</v>
      </c>
      <c r="G255" s="5">
        <f>INDEX([1]products!$A$1:$G$49,MATCH([1]orders!$D255,[1]products!$A$1:$A$49,0),MATCH([1]orders!K$1,[1]products!$A$1:$G$1,0))</f>
        <v>1</v>
      </c>
      <c r="H255" s="6">
        <f>INDEX([1]products!$A$1:$G$49,MATCH([1]orders!$D255,[1]products!$A$1:$A$49,0),MATCH([1]orders!L$1,[1]products!$A$1:$G$1,0))</f>
        <v>14.55</v>
      </c>
      <c r="I255" s="6">
        <f t="shared" si="3"/>
        <v>58.2</v>
      </c>
    </row>
    <row r="256" spans="1:9" x14ac:dyDescent="0.3">
      <c r="A256" s="1" t="s">
        <v>523</v>
      </c>
      <c r="B256" s="2">
        <v>44482</v>
      </c>
      <c r="C256" s="3" t="s">
        <v>524</v>
      </c>
      <c r="D256" s="3" t="str">
        <f>INDEX('Customers (2)'!B:B,MATCH('Customers (2)'!A256,'Customers (2)'!A:A,0))</f>
        <v>Rosaline McLae</v>
      </c>
      <c r="E256" s="4" t="s">
        <v>157</v>
      </c>
      <c r="F256" s="3">
        <v>4</v>
      </c>
      <c r="G256" s="5">
        <f>INDEX([1]products!$A$1:$G$49,MATCH([1]orders!$D256,[1]products!$A$1:$A$49,0),MATCH([1]orders!K$1,[1]products!$A$1:$G$1,0))</f>
        <v>0.5</v>
      </c>
      <c r="H256" s="6">
        <f>INDEX([1]products!$A$1:$G$49,MATCH([1]orders!$D256,[1]products!$A$1:$A$49,0),MATCH([1]orders!L$1,[1]products!$A$1:$G$1,0))</f>
        <v>7.169999999999999</v>
      </c>
      <c r="I256" s="6">
        <f t="shared" si="3"/>
        <v>28.679999999999996</v>
      </c>
    </row>
    <row r="257" spans="1:9" x14ac:dyDescent="0.3">
      <c r="A257" s="1" t="s">
        <v>525</v>
      </c>
      <c r="B257" s="2">
        <v>44439</v>
      </c>
      <c r="C257" s="3" t="s">
        <v>526</v>
      </c>
      <c r="D257" s="3" t="str">
        <f>INDEX('Customers (2)'!B:B,MATCH('Customers (2)'!A257,'Customers (2)'!A:A,0))</f>
        <v>Cleve Blowfelde</v>
      </c>
      <c r="E257" s="4" t="s">
        <v>157</v>
      </c>
      <c r="F257" s="3">
        <v>3</v>
      </c>
      <c r="G257" s="5">
        <f>INDEX([1]products!$A$1:$G$49,MATCH([1]orders!$D257,[1]products!$A$1:$A$49,0),MATCH([1]orders!K$1,[1]products!$A$1:$G$1,0))</f>
        <v>0.5</v>
      </c>
      <c r="H257" s="6">
        <f>INDEX([1]products!$A$1:$G$49,MATCH([1]orders!$D257,[1]products!$A$1:$A$49,0),MATCH([1]orders!L$1,[1]products!$A$1:$G$1,0))</f>
        <v>7.169999999999999</v>
      </c>
      <c r="I257" s="6">
        <f t="shared" si="3"/>
        <v>21.509999999999998</v>
      </c>
    </row>
    <row r="258" spans="1:9" x14ac:dyDescent="0.3">
      <c r="A258" s="1" t="s">
        <v>527</v>
      </c>
      <c r="B258" s="2">
        <v>43846</v>
      </c>
      <c r="C258" s="3" t="s">
        <v>514</v>
      </c>
      <c r="D258" s="3" t="str">
        <f>INDEX('Customers (2)'!B:B,MATCH('Customers (2)'!A258,'Customers (2)'!A:A,0))</f>
        <v>Zacharias Kiffe</v>
      </c>
      <c r="E258" s="4" t="s">
        <v>78</v>
      </c>
      <c r="F258" s="3">
        <v>2</v>
      </c>
      <c r="G258" s="5">
        <f>INDEX([1]products!$A$1:$G$49,MATCH([1]orders!$D258,[1]products!$A$1:$A$49,0),MATCH([1]orders!K$1,[1]products!$A$1:$G$1,0))</f>
        <v>0.5</v>
      </c>
      <c r="H258" s="6">
        <f>INDEX([1]products!$A$1:$G$49,MATCH([1]orders!$D258,[1]products!$A$1:$A$49,0),MATCH([1]orders!L$1,[1]products!$A$1:$G$1,0))</f>
        <v>8.73</v>
      </c>
      <c r="I258" s="6">
        <f t="shared" ref="I258:I321" si="4">F258*H258</f>
        <v>17.46</v>
      </c>
    </row>
    <row r="259" spans="1:9" x14ac:dyDescent="0.3">
      <c r="A259" s="1" t="s">
        <v>528</v>
      </c>
      <c r="B259" s="2">
        <v>44676</v>
      </c>
      <c r="C259" s="3" t="s">
        <v>529</v>
      </c>
      <c r="D259" s="3" t="str">
        <f>INDEX('Customers (2)'!B:B,MATCH('Customers (2)'!A259,'Customers (2)'!A:A,0))</f>
        <v>Denyse O'Calleran</v>
      </c>
      <c r="E259" s="4" t="s">
        <v>530</v>
      </c>
      <c r="F259" s="3">
        <v>1</v>
      </c>
      <c r="G259" s="5">
        <f>INDEX([1]products!$A$1:$G$49,MATCH([1]orders!$D259,[1]products!$A$1:$A$49,0),MATCH([1]orders!K$1,[1]products!$A$1:$G$1,0))</f>
        <v>2.5</v>
      </c>
      <c r="H259" s="6">
        <f>INDEX([1]products!$A$1:$G$49,MATCH([1]orders!$D259,[1]products!$A$1:$A$49,0),MATCH([1]orders!L$1,[1]products!$A$1:$G$1,0))</f>
        <v>27.945</v>
      </c>
      <c r="I259" s="6">
        <f t="shared" si="4"/>
        <v>27.945</v>
      </c>
    </row>
    <row r="260" spans="1:9" x14ac:dyDescent="0.3">
      <c r="A260" s="1" t="s">
        <v>531</v>
      </c>
      <c r="B260" s="2">
        <v>44513</v>
      </c>
      <c r="C260" s="3" t="s">
        <v>532</v>
      </c>
      <c r="D260" s="3" t="str">
        <f>INDEX('Customers (2)'!B:B,MATCH('Customers (2)'!A260,'Customers (2)'!A:A,0))</f>
        <v>Cobby Cromwell</v>
      </c>
      <c r="E260" s="4" t="s">
        <v>530</v>
      </c>
      <c r="F260" s="3">
        <v>5</v>
      </c>
      <c r="G260" s="5">
        <f>INDEX([1]products!$A$1:$G$49,MATCH([1]orders!$D260,[1]products!$A$1:$A$49,0),MATCH([1]orders!K$1,[1]products!$A$1:$G$1,0))</f>
        <v>2.5</v>
      </c>
      <c r="H260" s="6">
        <f>INDEX([1]products!$A$1:$G$49,MATCH([1]orders!$D260,[1]products!$A$1:$A$49,0),MATCH([1]orders!L$1,[1]products!$A$1:$G$1,0))</f>
        <v>27.945</v>
      </c>
      <c r="I260" s="6">
        <f t="shared" si="4"/>
        <v>139.72499999999999</v>
      </c>
    </row>
    <row r="261" spans="1:9" x14ac:dyDescent="0.3">
      <c r="A261" s="1" t="s">
        <v>533</v>
      </c>
      <c r="B261" s="2">
        <v>44355</v>
      </c>
      <c r="C261" s="3" t="s">
        <v>534</v>
      </c>
      <c r="D261" s="3" t="str">
        <f>INDEX('Customers (2)'!B:B,MATCH('Customers (2)'!A261,'Customers (2)'!A:A,0))</f>
        <v>Irv Hay</v>
      </c>
      <c r="E261" s="4" t="s">
        <v>162</v>
      </c>
      <c r="F261" s="3">
        <v>2</v>
      </c>
      <c r="G261" s="5">
        <f>INDEX([1]products!$A$1:$G$49,MATCH([1]orders!$D261,[1]products!$A$1:$A$49,0),MATCH([1]orders!K$1,[1]products!$A$1:$G$1,0))</f>
        <v>0.2</v>
      </c>
      <c r="H261" s="6">
        <f>INDEX([1]products!$A$1:$G$49,MATCH([1]orders!$D261,[1]products!$A$1:$A$49,0),MATCH([1]orders!L$1,[1]products!$A$1:$G$1,0))</f>
        <v>2.9849999999999999</v>
      </c>
      <c r="I261" s="6">
        <f t="shared" si="4"/>
        <v>5.97</v>
      </c>
    </row>
    <row r="262" spans="1:9" x14ac:dyDescent="0.3">
      <c r="A262" s="1" t="s">
        <v>535</v>
      </c>
      <c r="B262" s="2">
        <v>44156</v>
      </c>
      <c r="C262" s="3" t="s">
        <v>536</v>
      </c>
      <c r="D262" s="3" t="str">
        <f>INDEX('Customers (2)'!B:B,MATCH('Customers (2)'!A262,'Customers (2)'!A:A,0))</f>
        <v>Tani Taffarello</v>
      </c>
      <c r="E262" s="4" t="s">
        <v>10</v>
      </c>
      <c r="F262" s="3">
        <v>1</v>
      </c>
      <c r="G262" s="5">
        <f>INDEX([1]products!$A$1:$G$49,MATCH([1]orders!$D262,[1]products!$A$1:$A$49,0),MATCH([1]orders!K$1,[1]products!$A$1:$G$1,0))</f>
        <v>2.5</v>
      </c>
      <c r="H262" s="6">
        <f>INDEX([1]products!$A$1:$G$49,MATCH([1]orders!$D262,[1]products!$A$1:$A$49,0),MATCH([1]orders!L$1,[1]products!$A$1:$G$1,0))</f>
        <v>27.484999999999996</v>
      </c>
      <c r="I262" s="6">
        <f t="shared" si="4"/>
        <v>27.484999999999996</v>
      </c>
    </row>
    <row r="263" spans="1:9" x14ac:dyDescent="0.3">
      <c r="A263" s="1" t="s">
        <v>537</v>
      </c>
      <c r="B263" s="2">
        <v>43538</v>
      </c>
      <c r="C263" s="3" t="s">
        <v>538</v>
      </c>
      <c r="D263" s="3" t="str">
        <f>INDEX('Customers (2)'!B:B,MATCH('Customers (2)'!A263,'Customers (2)'!A:A,0))</f>
        <v>Monique Canty</v>
      </c>
      <c r="E263" s="4" t="s">
        <v>189</v>
      </c>
      <c r="F263" s="3">
        <v>5</v>
      </c>
      <c r="G263" s="5">
        <f>INDEX([1]products!$A$1:$G$49,MATCH([1]orders!$D263,[1]products!$A$1:$A$49,0),MATCH([1]orders!K$1,[1]products!$A$1:$G$1,0))</f>
        <v>1</v>
      </c>
      <c r="H263" s="6">
        <f>INDEX([1]products!$A$1:$G$49,MATCH([1]orders!$D263,[1]products!$A$1:$A$49,0),MATCH([1]orders!L$1,[1]products!$A$1:$G$1,0))</f>
        <v>11.95</v>
      </c>
      <c r="I263" s="6">
        <f t="shared" si="4"/>
        <v>59.75</v>
      </c>
    </row>
    <row r="264" spans="1:9" x14ac:dyDescent="0.3">
      <c r="A264" s="1" t="s">
        <v>539</v>
      </c>
      <c r="B264" s="2">
        <v>43693</v>
      </c>
      <c r="C264" s="3" t="s">
        <v>540</v>
      </c>
      <c r="D264" s="3" t="str">
        <f>INDEX('Customers (2)'!B:B,MATCH('Customers (2)'!A264,'Customers (2)'!A:A,0))</f>
        <v>Javier Kopke</v>
      </c>
      <c r="E264" s="4" t="s">
        <v>9</v>
      </c>
      <c r="F264" s="3">
        <v>3</v>
      </c>
      <c r="G264" s="5">
        <f>INDEX([1]products!$A$1:$G$49,MATCH([1]orders!$D264,[1]products!$A$1:$A$49,0),MATCH([1]orders!K$1,[1]products!$A$1:$G$1,0))</f>
        <v>1</v>
      </c>
      <c r="H264" s="6">
        <f>INDEX([1]products!$A$1:$G$49,MATCH([1]orders!$D264,[1]products!$A$1:$A$49,0),MATCH([1]orders!L$1,[1]products!$A$1:$G$1,0))</f>
        <v>13.75</v>
      </c>
      <c r="I264" s="6">
        <f t="shared" si="4"/>
        <v>41.25</v>
      </c>
    </row>
    <row r="265" spans="1:9" x14ac:dyDescent="0.3">
      <c r="A265" s="1" t="s">
        <v>541</v>
      </c>
      <c r="B265" s="2">
        <v>43577</v>
      </c>
      <c r="C265" s="3" t="s">
        <v>542</v>
      </c>
      <c r="D265" s="3" t="str">
        <f>INDEX('Customers (2)'!B:B,MATCH('Customers (2)'!A265,'Customers (2)'!A:A,0))</f>
        <v>Mar McIver</v>
      </c>
      <c r="E265" s="4" t="s">
        <v>197</v>
      </c>
      <c r="F265" s="3">
        <v>4</v>
      </c>
      <c r="G265" s="5">
        <f>INDEX([1]products!$A$1:$G$49,MATCH([1]orders!$D265,[1]products!$A$1:$A$49,0),MATCH([1]orders!K$1,[1]products!$A$1:$G$1,0))</f>
        <v>2.5</v>
      </c>
      <c r="H265" s="6">
        <f>INDEX([1]products!$A$1:$G$49,MATCH([1]orders!$D265,[1]products!$A$1:$A$49,0),MATCH([1]orders!L$1,[1]products!$A$1:$G$1,0))</f>
        <v>33.464999999999996</v>
      </c>
      <c r="I265" s="6">
        <f t="shared" si="4"/>
        <v>133.85999999999999</v>
      </c>
    </row>
    <row r="266" spans="1:9" x14ac:dyDescent="0.3">
      <c r="A266" s="1" t="s">
        <v>543</v>
      </c>
      <c r="B266" s="2">
        <v>44683</v>
      </c>
      <c r="C266" s="3" t="s">
        <v>544</v>
      </c>
      <c r="D266" s="3" t="str">
        <f>INDEX('Customers (2)'!B:B,MATCH('Customers (2)'!A266,'Customers (2)'!A:A,0))</f>
        <v>Arabella Fransewich</v>
      </c>
      <c r="E266" s="4" t="s">
        <v>189</v>
      </c>
      <c r="F266" s="3">
        <v>5</v>
      </c>
      <c r="G266" s="5">
        <f>INDEX([1]products!$A$1:$G$49,MATCH([1]orders!$D266,[1]products!$A$1:$A$49,0),MATCH([1]orders!K$1,[1]products!$A$1:$G$1,0))</f>
        <v>1</v>
      </c>
      <c r="H266" s="6">
        <f>INDEX([1]products!$A$1:$G$49,MATCH([1]orders!$D266,[1]products!$A$1:$A$49,0),MATCH([1]orders!L$1,[1]products!$A$1:$G$1,0))</f>
        <v>11.95</v>
      </c>
      <c r="I266" s="6">
        <f t="shared" si="4"/>
        <v>59.75</v>
      </c>
    </row>
    <row r="267" spans="1:9" x14ac:dyDescent="0.3">
      <c r="A267" s="1" t="s">
        <v>545</v>
      </c>
      <c r="B267" s="2">
        <v>43872</v>
      </c>
      <c r="C267" s="3" t="s">
        <v>546</v>
      </c>
      <c r="D267" s="3" t="str">
        <f>INDEX('Customers (2)'!B:B,MATCH('Customers (2)'!A267,'Customers (2)'!A:A,0))</f>
        <v>Violette Hellmore</v>
      </c>
      <c r="E267" s="4" t="s">
        <v>72</v>
      </c>
      <c r="F267" s="3">
        <v>1</v>
      </c>
      <c r="G267" s="5">
        <f>INDEX([1]products!$A$1:$G$49,MATCH([1]orders!$D267,[1]products!$A$1:$A$49,0),MATCH([1]orders!K$1,[1]products!$A$1:$G$1,0))</f>
        <v>0.5</v>
      </c>
      <c r="H267" s="6">
        <f>INDEX([1]products!$A$1:$G$49,MATCH([1]orders!$D267,[1]products!$A$1:$A$49,0),MATCH([1]orders!L$1,[1]products!$A$1:$G$1,0))</f>
        <v>5.97</v>
      </c>
      <c r="I267" s="6">
        <f t="shared" si="4"/>
        <v>5.97</v>
      </c>
    </row>
    <row r="268" spans="1:9" x14ac:dyDescent="0.3">
      <c r="A268" s="1" t="s">
        <v>547</v>
      </c>
      <c r="B268" s="2">
        <v>44283</v>
      </c>
      <c r="C268" s="3" t="s">
        <v>548</v>
      </c>
      <c r="D268" s="3" t="str">
        <f>INDEX('Customers (2)'!B:B,MATCH('Customers (2)'!A268,'Customers (2)'!A:A,0))</f>
        <v>Myles Seawright</v>
      </c>
      <c r="E268" s="4" t="s">
        <v>245</v>
      </c>
      <c r="F268" s="3">
        <v>2</v>
      </c>
      <c r="G268" s="5">
        <f>INDEX([1]products!$A$1:$G$49,MATCH([1]orders!$D268,[1]products!$A$1:$A$49,0),MATCH([1]orders!K$1,[1]products!$A$1:$G$1,0))</f>
        <v>1</v>
      </c>
      <c r="H268" s="6">
        <f>INDEX([1]products!$A$1:$G$49,MATCH([1]orders!$D268,[1]products!$A$1:$A$49,0),MATCH([1]orders!L$1,[1]products!$A$1:$G$1,0))</f>
        <v>12.15</v>
      </c>
      <c r="I268" s="6">
        <f t="shared" si="4"/>
        <v>24.3</v>
      </c>
    </row>
    <row r="269" spans="1:9" x14ac:dyDescent="0.3">
      <c r="A269" s="1" t="s">
        <v>549</v>
      </c>
      <c r="B269" s="2">
        <v>44324</v>
      </c>
      <c r="C269" s="3" t="s">
        <v>550</v>
      </c>
      <c r="D269" s="3" t="str">
        <f>INDEX('Customers (2)'!B:B,MATCH('Customers (2)'!A269,'Customers (2)'!A:A,0))</f>
        <v>Silvana Northeast</v>
      </c>
      <c r="E269" s="4" t="s">
        <v>51</v>
      </c>
      <c r="F269" s="3">
        <v>6</v>
      </c>
      <c r="G269" s="5">
        <f>INDEX([1]products!$A$1:$G$49,MATCH([1]orders!$D269,[1]products!$A$1:$A$49,0),MATCH([1]orders!K$1,[1]products!$A$1:$G$1,0))</f>
        <v>0.2</v>
      </c>
      <c r="H269" s="6">
        <f>INDEX([1]products!$A$1:$G$49,MATCH([1]orders!$D269,[1]products!$A$1:$A$49,0),MATCH([1]orders!L$1,[1]products!$A$1:$G$1,0))</f>
        <v>3.645</v>
      </c>
      <c r="I269" s="6">
        <f t="shared" si="4"/>
        <v>21.87</v>
      </c>
    </row>
    <row r="270" spans="1:9" x14ac:dyDescent="0.3">
      <c r="A270" s="1" t="s">
        <v>551</v>
      </c>
      <c r="B270" s="2">
        <v>43790</v>
      </c>
      <c r="C270" s="3" t="s">
        <v>438</v>
      </c>
      <c r="D270" s="3" t="str">
        <f>INDEX('Customers (2)'!B:B,MATCH('Customers (2)'!A270,'Customers (2)'!A:A,0))</f>
        <v>Annecorinne Leehane</v>
      </c>
      <c r="E270" s="4" t="s">
        <v>27</v>
      </c>
      <c r="F270" s="3">
        <v>2</v>
      </c>
      <c r="G270" s="5">
        <f>INDEX([1]products!$A$1:$G$49,MATCH([1]orders!$D270,[1]products!$A$1:$A$49,0),MATCH([1]orders!K$1,[1]products!$A$1:$G$1,0))</f>
        <v>1</v>
      </c>
      <c r="H270" s="6">
        <f>INDEX([1]products!$A$1:$G$49,MATCH([1]orders!$D270,[1]products!$A$1:$A$49,0),MATCH([1]orders!L$1,[1]products!$A$1:$G$1,0))</f>
        <v>9.9499999999999993</v>
      </c>
      <c r="I270" s="6">
        <f t="shared" si="4"/>
        <v>19.899999999999999</v>
      </c>
    </row>
    <row r="271" spans="1:9" x14ac:dyDescent="0.3">
      <c r="A271" s="1" t="s">
        <v>552</v>
      </c>
      <c r="B271" s="2">
        <v>44333</v>
      </c>
      <c r="C271" s="3" t="s">
        <v>553</v>
      </c>
      <c r="D271" s="3" t="str">
        <f>INDEX('Customers (2)'!B:B,MATCH('Customers (2)'!A271,'Customers (2)'!A:A,0))</f>
        <v>Monica Fearon</v>
      </c>
      <c r="E271" s="4" t="s">
        <v>54</v>
      </c>
      <c r="F271" s="3">
        <v>2</v>
      </c>
      <c r="G271" s="5">
        <f>INDEX([1]products!$A$1:$G$49,MATCH([1]orders!$D271,[1]products!$A$1:$A$49,0),MATCH([1]orders!K$1,[1]products!$A$1:$G$1,0))</f>
        <v>0.2</v>
      </c>
      <c r="H271" s="6">
        <f>INDEX([1]products!$A$1:$G$49,MATCH([1]orders!$D271,[1]products!$A$1:$A$49,0),MATCH([1]orders!L$1,[1]products!$A$1:$G$1,0))</f>
        <v>2.9849999999999999</v>
      </c>
      <c r="I271" s="6">
        <f t="shared" si="4"/>
        <v>5.97</v>
      </c>
    </row>
    <row r="272" spans="1:9" x14ac:dyDescent="0.3">
      <c r="A272" s="1" t="s">
        <v>554</v>
      </c>
      <c r="B272" s="2">
        <v>43655</v>
      </c>
      <c r="C272" s="3" t="s">
        <v>555</v>
      </c>
      <c r="D272" s="3" t="str">
        <f>INDEX('Customers (2)'!B:B,MATCH('Customers (2)'!A272,'Customers (2)'!A:A,0))</f>
        <v>Barney Chisnell</v>
      </c>
      <c r="E272" s="4" t="s">
        <v>16</v>
      </c>
      <c r="F272" s="3">
        <v>1</v>
      </c>
      <c r="G272" s="5">
        <f>INDEX([1]products!$A$1:$G$49,MATCH([1]orders!$D272,[1]products!$A$1:$A$49,0),MATCH([1]orders!K$1,[1]products!$A$1:$G$1,0))</f>
        <v>0.5</v>
      </c>
      <c r="H272" s="6">
        <f>INDEX([1]products!$A$1:$G$49,MATCH([1]orders!$D272,[1]products!$A$1:$A$49,0),MATCH([1]orders!L$1,[1]products!$A$1:$G$1,0))</f>
        <v>7.29</v>
      </c>
      <c r="I272" s="6">
        <f t="shared" si="4"/>
        <v>7.29</v>
      </c>
    </row>
    <row r="273" spans="1:9" x14ac:dyDescent="0.3">
      <c r="A273" s="1" t="s">
        <v>556</v>
      </c>
      <c r="B273" s="2">
        <v>43971</v>
      </c>
      <c r="C273" s="3" t="s">
        <v>557</v>
      </c>
      <c r="D273" s="3" t="str">
        <f>INDEX('Customers (2)'!B:B,MATCH('Customers (2)'!A273,'Customers (2)'!A:A,0))</f>
        <v>Jasper Sisneros</v>
      </c>
      <c r="E273" s="4" t="s">
        <v>54</v>
      </c>
      <c r="F273" s="3">
        <v>4</v>
      </c>
      <c r="G273" s="5">
        <f>INDEX([1]products!$A$1:$G$49,MATCH([1]orders!$D273,[1]products!$A$1:$A$49,0),MATCH([1]orders!K$1,[1]products!$A$1:$G$1,0))</f>
        <v>0.2</v>
      </c>
      <c r="H273" s="6">
        <f>INDEX([1]products!$A$1:$G$49,MATCH([1]orders!$D273,[1]products!$A$1:$A$49,0),MATCH([1]orders!L$1,[1]products!$A$1:$G$1,0))</f>
        <v>2.9849999999999999</v>
      </c>
      <c r="I273" s="6">
        <f t="shared" si="4"/>
        <v>11.94</v>
      </c>
    </row>
    <row r="274" spans="1:9" x14ac:dyDescent="0.3">
      <c r="A274" s="1" t="s">
        <v>558</v>
      </c>
      <c r="B274" s="2">
        <v>44435</v>
      </c>
      <c r="C274" s="3" t="s">
        <v>559</v>
      </c>
      <c r="D274" s="3" t="str">
        <f>INDEX('Customers (2)'!B:B,MATCH('Customers (2)'!A274,'Customers (2)'!A:A,0))</f>
        <v>Zachariah Carlson</v>
      </c>
      <c r="E274" s="4" t="s">
        <v>189</v>
      </c>
      <c r="F274" s="3">
        <v>6</v>
      </c>
      <c r="G274" s="5">
        <f>INDEX([1]products!$A$1:$G$49,MATCH([1]orders!$D274,[1]products!$A$1:$A$49,0),MATCH([1]orders!K$1,[1]products!$A$1:$G$1,0))</f>
        <v>1</v>
      </c>
      <c r="H274" s="6">
        <f>INDEX([1]products!$A$1:$G$49,MATCH([1]orders!$D274,[1]products!$A$1:$A$49,0),MATCH([1]orders!L$1,[1]products!$A$1:$G$1,0))</f>
        <v>11.95</v>
      </c>
      <c r="I274" s="6">
        <f t="shared" si="4"/>
        <v>71.699999999999989</v>
      </c>
    </row>
    <row r="275" spans="1:9" x14ac:dyDescent="0.3">
      <c r="A275" s="1" t="s">
        <v>560</v>
      </c>
      <c r="B275" s="2">
        <v>44681</v>
      </c>
      <c r="C275" s="3" t="s">
        <v>561</v>
      </c>
      <c r="D275" s="3" t="str">
        <f>INDEX('Customers (2)'!B:B,MATCH('Customers (2)'!A275,'Customers (2)'!A:A,0))</f>
        <v>Warner Maddox</v>
      </c>
      <c r="E275" s="4" t="s">
        <v>115</v>
      </c>
      <c r="F275" s="3">
        <v>2</v>
      </c>
      <c r="G275" s="5">
        <f>INDEX([1]products!$A$1:$G$49,MATCH([1]orders!$D275,[1]products!$A$1:$A$49,0),MATCH([1]orders!K$1,[1]products!$A$1:$G$1,0))</f>
        <v>0.2</v>
      </c>
      <c r="H275" s="6">
        <f>INDEX([1]products!$A$1:$G$49,MATCH([1]orders!$D275,[1]products!$A$1:$A$49,0),MATCH([1]orders!L$1,[1]products!$A$1:$G$1,0))</f>
        <v>3.8849999999999998</v>
      </c>
      <c r="I275" s="6">
        <f t="shared" si="4"/>
        <v>7.77</v>
      </c>
    </row>
    <row r="276" spans="1:9" x14ac:dyDescent="0.3">
      <c r="A276" s="1" t="s">
        <v>562</v>
      </c>
      <c r="B276" s="2">
        <v>43985</v>
      </c>
      <c r="C276" s="3" t="s">
        <v>563</v>
      </c>
      <c r="D276" s="3" t="str">
        <f>INDEX('Customers (2)'!B:B,MATCH('Customers (2)'!A276,'Customers (2)'!A:A,0))</f>
        <v>Donnie Hedlestone</v>
      </c>
      <c r="E276" s="4" t="s">
        <v>171</v>
      </c>
      <c r="F276" s="3">
        <v>1</v>
      </c>
      <c r="G276" s="5">
        <f>INDEX([1]products!$A$1:$G$49,MATCH([1]orders!$D276,[1]products!$A$1:$A$49,0),MATCH([1]orders!K$1,[1]products!$A$1:$G$1,0))</f>
        <v>2.5</v>
      </c>
      <c r="H276" s="6">
        <f>INDEX([1]products!$A$1:$G$49,MATCH([1]orders!$D276,[1]products!$A$1:$A$49,0),MATCH([1]orders!L$1,[1]products!$A$1:$G$1,0))</f>
        <v>25.874999999999996</v>
      </c>
      <c r="I276" s="6">
        <f t="shared" si="4"/>
        <v>25.874999999999996</v>
      </c>
    </row>
    <row r="277" spans="1:9" x14ac:dyDescent="0.3">
      <c r="A277" s="1" t="s">
        <v>564</v>
      </c>
      <c r="B277" s="2">
        <v>44725</v>
      </c>
      <c r="C277" s="3" t="s">
        <v>565</v>
      </c>
      <c r="D277" s="3" t="str">
        <f>INDEX('Customers (2)'!B:B,MATCH('Customers (2)'!A277,'Customers (2)'!A:A,0))</f>
        <v>Teddi Crowthe</v>
      </c>
      <c r="E277" s="4" t="s">
        <v>30</v>
      </c>
      <c r="F277" s="3">
        <v>6</v>
      </c>
      <c r="G277" s="5">
        <f>INDEX([1]products!$A$1:$G$49,MATCH([1]orders!$D277,[1]products!$A$1:$A$49,0),MATCH([1]orders!K$1,[1]products!$A$1:$G$1,0))</f>
        <v>2.5</v>
      </c>
      <c r="H277" s="6">
        <f>INDEX([1]products!$A$1:$G$49,MATCH([1]orders!$D277,[1]products!$A$1:$A$49,0),MATCH([1]orders!L$1,[1]products!$A$1:$G$1,0))</f>
        <v>34.154999999999994</v>
      </c>
      <c r="I277" s="6">
        <f t="shared" si="4"/>
        <v>204.92999999999995</v>
      </c>
    </row>
    <row r="278" spans="1:9" x14ac:dyDescent="0.3">
      <c r="A278" s="1" t="s">
        <v>566</v>
      </c>
      <c r="B278" s="2">
        <v>43992</v>
      </c>
      <c r="C278" s="3" t="s">
        <v>567</v>
      </c>
      <c r="D278" s="3" t="str">
        <f>INDEX('Customers (2)'!B:B,MATCH('Customers (2)'!A278,'Customers (2)'!A:A,0))</f>
        <v>Dorelia Bury</v>
      </c>
      <c r="E278" s="4" t="s">
        <v>10</v>
      </c>
      <c r="F278" s="3">
        <v>4</v>
      </c>
      <c r="G278" s="5">
        <f>INDEX([1]products!$A$1:$G$49,MATCH([1]orders!$D278,[1]products!$A$1:$A$49,0),MATCH([1]orders!K$1,[1]products!$A$1:$G$1,0))</f>
        <v>2.5</v>
      </c>
      <c r="H278" s="6">
        <f>INDEX([1]products!$A$1:$G$49,MATCH([1]orders!$D278,[1]products!$A$1:$A$49,0),MATCH([1]orders!L$1,[1]products!$A$1:$G$1,0))</f>
        <v>27.484999999999996</v>
      </c>
      <c r="I278" s="6">
        <f t="shared" si="4"/>
        <v>109.93999999999998</v>
      </c>
    </row>
    <row r="279" spans="1:9" x14ac:dyDescent="0.3">
      <c r="A279" s="1" t="s">
        <v>568</v>
      </c>
      <c r="B279" s="2">
        <v>44183</v>
      </c>
      <c r="C279" s="3" t="s">
        <v>569</v>
      </c>
      <c r="D279" s="3" t="str">
        <f>INDEX('Customers (2)'!B:B,MATCH('Customers (2)'!A279,'Customers (2)'!A:A,0))</f>
        <v>Gussy Broadbear</v>
      </c>
      <c r="E279" s="4" t="s">
        <v>137</v>
      </c>
      <c r="F279" s="3">
        <v>6</v>
      </c>
      <c r="G279" s="5">
        <f>INDEX([1]products!$A$1:$G$49,MATCH([1]orders!$D279,[1]products!$A$1:$A$49,0),MATCH([1]orders!K$1,[1]products!$A$1:$G$1,0))</f>
        <v>1</v>
      </c>
      <c r="H279" s="6">
        <f>INDEX([1]products!$A$1:$G$49,MATCH([1]orders!$D279,[1]products!$A$1:$A$49,0),MATCH([1]orders!L$1,[1]products!$A$1:$G$1,0))</f>
        <v>14.85</v>
      </c>
      <c r="I279" s="6">
        <f t="shared" si="4"/>
        <v>89.1</v>
      </c>
    </row>
    <row r="280" spans="1:9" x14ac:dyDescent="0.3">
      <c r="A280" s="1" t="s">
        <v>570</v>
      </c>
      <c r="B280" s="2">
        <v>43708</v>
      </c>
      <c r="C280" s="3" t="s">
        <v>571</v>
      </c>
      <c r="D280" s="3" t="str">
        <f>INDEX('Customers (2)'!B:B,MATCH('Customers (2)'!A280,'Customers (2)'!A:A,0))</f>
        <v>Emlynne Palfrey</v>
      </c>
      <c r="E280" s="4" t="s">
        <v>115</v>
      </c>
      <c r="F280" s="3">
        <v>2</v>
      </c>
      <c r="G280" s="5">
        <f>INDEX([1]products!$A$1:$G$49,MATCH([1]orders!$D280,[1]products!$A$1:$A$49,0),MATCH([1]orders!K$1,[1]products!$A$1:$G$1,0))</f>
        <v>0.2</v>
      </c>
      <c r="H280" s="6">
        <f>INDEX([1]products!$A$1:$G$49,MATCH([1]orders!$D280,[1]products!$A$1:$A$49,0),MATCH([1]orders!L$1,[1]products!$A$1:$G$1,0))</f>
        <v>3.8849999999999998</v>
      </c>
      <c r="I280" s="6">
        <f t="shared" si="4"/>
        <v>7.77</v>
      </c>
    </row>
    <row r="281" spans="1:9" x14ac:dyDescent="0.3">
      <c r="A281" s="1" t="s">
        <v>572</v>
      </c>
      <c r="B281" s="2">
        <v>43521</v>
      </c>
      <c r="C281" s="3" t="s">
        <v>573</v>
      </c>
      <c r="D281" s="3" t="str">
        <f>INDEX('Customers (2)'!B:B,MATCH('Customers (2)'!A281,'Customers (2)'!A:A,0))</f>
        <v>Parsifal Metrick</v>
      </c>
      <c r="E281" s="4" t="s">
        <v>197</v>
      </c>
      <c r="F281" s="3">
        <v>1</v>
      </c>
      <c r="G281" s="5">
        <f>INDEX([1]products!$A$1:$G$49,MATCH([1]orders!$D281,[1]products!$A$1:$A$49,0),MATCH([1]orders!K$1,[1]products!$A$1:$G$1,0))</f>
        <v>2.5</v>
      </c>
      <c r="H281" s="6">
        <f>INDEX([1]products!$A$1:$G$49,MATCH([1]orders!$D281,[1]products!$A$1:$A$49,0),MATCH([1]orders!L$1,[1]products!$A$1:$G$1,0))</f>
        <v>33.464999999999996</v>
      </c>
      <c r="I281" s="6">
        <f t="shared" si="4"/>
        <v>33.464999999999996</v>
      </c>
    </row>
    <row r="282" spans="1:9" x14ac:dyDescent="0.3">
      <c r="A282" s="1" t="s">
        <v>574</v>
      </c>
      <c r="B282" s="2">
        <v>44234</v>
      </c>
      <c r="C282" s="3" t="s">
        <v>575</v>
      </c>
      <c r="D282" s="3" t="str">
        <f>INDEX('Customers (2)'!B:B,MATCH('Customers (2)'!A282,'Customers (2)'!A:A,0))</f>
        <v>Christopher Grieveson</v>
      </c>
      <c r="E282" s="4" t="s">
        <v>3</v>
      </c>
      <c r="F282" s="3">
        <v>5</v>
      </c>
      <c r="G282" s="5">
        <f>INDEX([1]products!$A$1:$G$49,MATCH([1]orders!$D282,[1]products!$A$1:$A$49,0),MATCH([1]orders!K$1,[1]products!$A$1:$G$1,0))</f>
        <v>0.5</v>
      </c>
      <c r="H282" s="6">
        <f>INDEX([1]products!$A$1:$G$49,MATCH([1]orders!$D282,[1]products!$A$1:$A$49,0),MATCH([1]orders!L$1,[1]products!$A$1:$G$1,0))</f>
        <v>8.25</v>
      </c>
      <c r="I282" s="6">
        <f t="shared" si="4"/>
        <v>41.25</v>
      </c>
    </row>
    <row r="283" spans="1:9" x14ac:dyDescent="0.3">
      <c r="A283" s="1" t="s">
        <v>576</v>
      </c>
      <c r="B283" s="2">
        <v>44210</v>
      </c>
      <c r="C283" s="3" t="s">
        <v>577</v>
      </c>
      <c r="D283" s="3" t="str">
        <f>INDEX('Customers (2)'!B:B,MATCH('Customers (2)'!A283,'Customers (2)'!A:A,0))</f>
        <v>Karlan Karby</v>
      </c>
      <c r="E283" s="4" t="s">
        <v>137</v>
      </c>
      <c r="F283" s="3">
        <v>4</v>
      </c>
      <c r="G283" s="5">
        <f>INDEX([1]products!$A$1:$G$49,MATCH([1]orders!$D283,[1]products!$A$1:$A$49,0),MATCH([1]orders!K$1,[1]products!$A$1:$G$1,0))</f>
        <v>1</v>
      </c>
      <c r="H283" s="6">
        <f>INDEX([1]products!$A$1:$G$49,MATCH([1]orders!$D283,[1]products!$A$1:$A$49,0),MATCH([1]orders!L$1,[1]products!$A$1:$G$1,0))</f>
        <v>14.85</v>
      </c>
      <c r="I283" s="6">
        <f t="shared" si="4"/>
        <v>59.4</v>
      </c>
    </row>
    <row r="284" spans="1:9" x14ac:dyDescent="0.3">
      <c r="A284" s="1" t="s">
        <v>578</v>
      </c>
      <c r="B284" s="2">
        <v>43520</v>
      </c>
      <c r="C284" s="3" t="s">
        <v>579</v>
      </c>
      <c r="D284" s="3" t="str">
        <f>INDEX('Customers (2)'!B:B,MATCH('Customers (2)'!A284,'Customers (2)'!A:A,0))</f>
        <v>Flory Crumpe</v>
      </c>
      <c r="E284" s="4" t="s">
        <v>192</v>
      </c>
      <c r="F284" s="3">
        <v>1</v>
      </c>
      <c r="G284" s="5">
        <f>INDEX([1]products!$A$1:$G$49,MATCH([1]orders!$D284,[1]products!$A$1:$A$49,0),MATCH([1]orders!K$1,[1]products!$A$1:$G$1,0))</f>
        <v>0.5</v>
      </c>
      <c r="H284" s="6">
        <f>INDEX([1]products!$A$1:$G$49,MATCH([1]orders!$D284,[1]products!$A$1:$A$49,0),MATCH([1]orders!L$1,[1]products!$A$1:$G$1,0))</f>
        <v>7.77</v>
      </c>
      <c r="I284" s="6">
        <f t="shared" si="4"/>
        <v>7.77</v>
      </c>
    </row>
    <row r="285" spans="1:9" x14ac:dyDescent="0.3">
      <c r="A285" s="1" t="s">
        <v>580</v>
      </c>
      <c r="B285" s="2">
        <v>43639</v>
      </c>
      <c r="C285" s="3" t="s">
        <v>581</v>
      </c>
      <c r="D285" s="3" t="str">
        <f>INDEX('Customers (2)'!B:B,MATCH('Customers (2)'!A285,'Customers (2)'!A:A,0))</f>
        <v>Amity Chatto</v>
      </c>
      <c r="E285" s="4" t="s">
        <v>146</v>
      </c>
      <c r="F285" s="3">
        <v>1</v>
      </c>
      <c r="G285" s="5">
        <f>INDEX([1]products!$A$1:$G$49,MATCH([1]orders!$D285,[1]products!$A$1:$A$49,0),MATCH([1]orders!K$1,[1]products!$A$1:$G$1,0))</f>
        <v>0.5</v>
      </c>
      <c r="H285" s="6">
        <f>INDEX([1]products!$A$1:$G$49,MATCH([1]orders!$D285,[1]products!$A$1:$A$49,0),MATCH([1]orders!L$1,[1]products!$A$1:$G$1,0))</f>
        <v>5.3699999999999992</v>
      </c>
      <c r="I285" s="6">
        <f t="shared" si="4"/>
        <v>5.3699999999999992</v>
      </c>
    </row>
    <row r="286" spans="1:9" x14ac:dyDescent="0.3">
      <c r="A286" s="1" t="s">
        <v>582</v>
      </c>
      <c r="B286" s="2">
        <v>43960</v>
      </c>
      <c r="C286" s="3" t="s">
        <v>583</v>
      </c>
      <c r="D286" s="3" t="str">
        <f>INDEX('Customers (2)'!B:B,MATCH('Customers (2)'!A286,'Customers (2)'!A:A,0))</f>
        <v>Nanine McCarthy</v>
      </c>
      <c r="E286" s="4" t="s">
        <v>112</v>
      </c>
      <c r="F286" s="3">
        <v>3</v>
      </c>
      <c r="G286" s="5">
        <f>INDEX([1]products!$A$1:$G$49,MATCH([1]orders!$D286,[1]products!$A$1:$A$49,0),MATCH([1]orders!K$1,[1]products!$A$1:$G$1,0))</f>
        <v>2.5</v>
      </c>
      <c r="H286" s="6">
        <f>INDEX([1]products!$A$1:$G$49,MATCH([1]orders!$D286,[1]products!$A$1:$A$49,0),MATCH([1]orders!L$1,[1]products!$A$1:$G$1,0))</f>
        <v>31.624999999999996</v>
      </c>
      <c r="I286" s="6">
        <f t="shared" si="4"/>
        <v>94.874999999999986</v>
      </c>
    </row>
    <row r="287" spans="1:9" x14ac:dyDescent="0.3">
      <c r="A287" s="1" t="s">
        <v>584</v>
      </c>
      <c r="B287" s="2">
        <v>44030</v>
      </c>
      <c r="C287" s="3" t="s">
        <v>585</v>
      </c>
      <c r="D287" s="3" t="str">
        <f>INDEX('Customers (2)'!B:B,MATCH('Customers (2)'!A287,'Customers (2)'!A:A,0))</f>
        <v>Lyndsey Megany</v>
      </c>
      <c r="E287" s="4" t="s">
        <v>104</v>
      </c>
      <c r="F287" s="3">
        <v>1</v>
      </c>
      <c r="G287" s="5">
        <f>INDEX([1]products!$A$1:$G$49,MATCH([1]orders!$D287,[1]products!$A$1:$A$49,0),MATCH([1]orders!K$1,[1]products!$A$1:$G$1,0))</f>
        <v>2.5</v>
      </c>
      <c r="H287" s="6">
        <f>INDEX([1]products!$A$1:$G$49,MATCH([1]orders!$D287,[1]products!$A$1:$A$49,0),MATCH([1]orders!L$1,[1]products!$A$1:$G$1,0))</f>
        <v>36.454999999999998</v>
      </c>
      <c r="I287" s="6">
        <f t="shared" si="4"/>
        <v>36.454999999999998</v>
      </c>
    </row>
    <row r="288" spans="1:9" x14ac:dyDescent="0.3">
      <c r="A288" s="1" t="s">
        <v>586</v>
      </c>
      <c r="B288" s="2">
        <v>43755</v>
      </c>
      <c r="C288" s="3" t="s">
        <v>587</v>
      </c>
      <c r="D288" s="3" t="str">
        <f>INDEX('Customers (2)'!B:B,MATCH('Customers (2)'!A288,'Customers (2)'!A:A,0))</f>
        <v>Byram Mergue</v>
      </c>
      <c r="E288" s="4" t="s">
        <v>44</v>
      </c>
      <c r="F288" s="3">
        <v>4</v>
      </c>
      <c r="G288" s="5">
        <f>INDEX([1]products!$A$1:$G$49,MATCH([1]orders!$D288,[1]products!$A$1:$A$49,0),MATCH([1]orders!K$1,[1]products!$A$1:$G$1,0))</f>
        <v>0.2</v>
      </c>
      <c r="H288" s="6">
        <f>INDEX([1]products!$A$1:$G$49,MATCH([1]orders!$D288,[1]products!$A$1:$A$49,0),MATCH([1]orders!L$1,[1]products!$A$1:$G$1,0))</f>
        <v>3.375</v>
      </c>
      <c r="I288" s="6">
        <f t="shared" si="4"/>
        <v>13.5</v>
      </c>
    </row>
    <row r="289" spans="1:9" x14ac:dyDescent="0.3">
      <c r="A289" s="1" t="s">
        <v>588</v>
      </c>
      <c r="B289" s="2">
        <v>44697</v>
      </c>
      <c r="C289" s="3" t="s">
        <v>589</v>
      </c>
      <c r="D289" s="3" t="str">
        <f>INDEX('Customers (2)'!B:B,MATCH('Customers (2)'!A289,'Customers (2)'!A:A,0))</f>
        <v>Kerr Patise</v>
      </c>
      <c r="E289" s="4" t="s">
        <v>182</v>
      </c>
      <c r="F289" s="3">
        <v>4</v>
      </c>
      <c r="G289" s="5">
        <f>INDEX([1]products!$A$1:$G$49,MATCH([1]orders!$D289,[1]products!$A$1:$A$49,0),MATCH([1]orders!K$1,[1]products!$A$1:$G$1,0))</f>
        <v>0.2</v>
      </c>
      <c r="H289" s="6">
        <f>INDEX([1]products!$A$1:$G$49,MATCH([1]orders!$D289,[1]products!$A$1:$A$49,0),MATCH([1]orders!L$1,[1]products!$A$1:$G$1,0))</f>
        <v>3.5849999999999995</v>
      </c>
      <c r="I289" s="6">
        <f t="shared" si="4"/>
        <v>14.339999999999998</v>
      </c>
    </row>
    <row r="290" spans="1:9" x14ac:dyDescent="0.3">
      <c r="A290" s="1" t="s">
        <v>590</v>
      </c>
      <c r="B290" s="2">
        <v>44279</v>
      </c>
      <c r="C290" s="3" t="s">
        <v>591</v>
      </c>
      <c r="D290" s="3" t="str">
        <f>INDEX('Customers (2)'!B:B,MATCH('Customers (2)'!A290,'Customers (2)'!A:A,0))</f>
        <v>Mathew Goulter</v>
      </c>
      <c r="E290" s="4" t="s">
        <v>3</v>
      </c>
      <c r="F290" s="3">
        <v>1</v>
      </c>
      <c r="G290" s="5">
        <f>INDEX([1]products!$A$1:$G$49,MATCH([1]orders!$D290,[1]products!$A$1:$A$49,0),MATCH([1]orders!K$1,[1]products!$A$1:$G$1,0))</f>
        <v>0.5</v>
      </c>
      <c r="H290" s="6">
        <f>INDEX([1]products!$A$1:$G$49,MATCH([1]orders!$D290,[1]products!$A$1:$A$49,0),MATCH([1]orders!L$1,[1]products!$A$1:$G$1,0))</f>
        <v>8.25</v>
      </c>
      <c r="I290" s="6">
        <f t="shared" si="4"/>
        <v>8.25</v>
      </c>
    </row>
    <row r="291" spans="1:9" x14ac:dyDescent="0.3">
      <c r="A291" s="1" t="s">
        <v>592</v>
      </c>
      <c r="B291" s="2">
        <v>43772</v>
      </c>
      <c r="C291" s="3" t="s">
        <v>593</v>
      </c>
      <c r="D291" s="3" t="str">
        <f>INDEX('Customers (2)'!B:B,MATCH('Customers (2)'!A291,'Customers (2)'!A:A,0))</f>
        <v>Marris Grcic</v>
      </c>
      <c r="E291" s="4" t="s">
        <v>101</v>
      </c>
      <c r="F291" s="3">
        <v>5</v>
      </c>
      <c r="G291" s="5">
        <f>INDEX([1]products!$A$1:$G$49,MATCH([1]orders!$D291,[1]products!$A$1:$A$49,0),MATCH([1]orders!K$1,[1]products!$A$1:$G$1,0))</f>
        <v>0.2</v>
      </c>
      <c r="H291" s="6">
        <f>INDEX([1]products!$A$1:$G$49,MATCH([1]orders!$D291,[1]products!$A$1:$A$49,0),MATCH([1]orders!L$1,[1]products!$A$1:$G$1,0))</f>
        <v>2.6849999999999996</v>
      </c>
      <c r="I291" s="6">
        <f t="shared" si="4"/>
        <v>13.424999999999997</v>
      </c>
    </row>
    <row r="292" spans="1:9" x14ac:dyDescent="0.3">
      <c r="A292" s="1" t="s">
        <v>594</v>
      </c>
      <c r="B292" s="2">
        <v>44497</v>
      </c>
      <c r="C292" s="3" t="s">
        <v>595</v>
      </c>
      <c r="D292" s="3" t="str">
        <f>INDEX('Customers (2)'!B:B,MATCH('Customers (2)'!A292,'Customers (2)'!A:A,0))</f>
        <v>Domeniga Duke</v>
      </c>
      <c r="E292" s="4" t="s">
        <v>27</v>
      </c>
      <c r="F292" s="3">
        <v>5</v>
      </c>
      <c r="G292" s="5">
        <f>INDEX([1]products!$A$1:$G$49,MATCH([1]orders!$D292,[1]products!$A$1:$A$49,0),MATCH([1]orders!K$1,[1]products!$A$1:$G$1,0))</f>
        <v>1</v>
      </c>
      <c r="H292" s="6">
        <f>INDEX([1]products!$A$1:$G$49,MATCH([1]orders!$D292,[1]products!$A$1:$A$49,0),MATCH([1]orders!L$1,[1]products!$A$1:$G$1,0))</f>
        <v>9.9499999999999993</v>
      </c>
      <c r="I292" s="6">
        <f t="shared" si="4"/>
        <v>49.75</v>
      </c>
    </row>
    <row r="293" spans="1:9" x14ac:dyDescent="0.3">
      <c r="A293" s="1" t="s">
        <v>596</v>
      </c>
      <c r="B293" s="2">
        <v>44181</v>
      </c>
      <c r="C293" s="3" t="s">
        <v>597</v>
      </c>
      <c r="D293" s="3" t="str">
        <f>INDEX('Customers (2)'!B:B,MATCH('Customers (2)'!A293,'Customers (2)'!A:A,0))</f>
        <v>Violante Skouling</v>
      </c>
      <c r="E293" s="4" t="s">
        <v>3</v>
      </c>
      <c r="F293" s="3">
        <v>2</v>
      </c>
      <c r="G293" s="5">
        <f>INDEX([1]products!$A$1:$G$49,MATCH([1]orders!$D293,[1]products!$A$1:$A$49,0),MATCH([1]orders!K$1,[1]products!$A$1:$G$1,0))</f>
        <v>0.5</v>
      </c>
      <c r="H293" s="6">
        <f>INDEX([1]products!$A$1:$G$49,MATCH([1]orders!$D293,[1]products!$A$1:$A$49,0),MATCH([1]orders!L$1,[1]products!$A$1:$G$1,0))</f>
        <v>8.25</v>
      </c>
      <c r="I293" s="6">
        <f t="shared" si="4"/>
        <v>16.5</v>
      </c>
    </row>
    <row r="294" spans="1:9" x14ac:dyDescent="0.3">
      <c r="A294" s="1" t="s">
        <v>598</v>
      </c>
      <c r="B294" s="2">
        <v>44529</v>
      </c>
      <c r="C294" s="3" t="s">
        <v>599</v>
      </c>
      <c r="D294" s="3" t="str">
        <f>INDEX('Customers (2)'!B:B,MATCH('Customers (2)'!A294,'Customers (2)'!A:A,0))</f>
        <v>Isidore Hussey</v>
      </c>
      <c r="E294" s="4" t="s">
        <v>72</v>
      </c>
      <c r="F294" s="3">
        <v>3</v>
      </c>
      <c r="G294" s="5">
        <f>INDEX([1]products!$A$1:$G$49,MATCH([1]orders!$D294,[1]products!$A$1:$A$49,0),MATCH([1]orders!K$1,[1]products!$A$1:$G$1,0))</f>
        <v>0.5</v>
      </c>
      <c r="H294" s="6">
        <f>INDEX([1]products!$A$1:$G$49,MATCH([1]orders!$D294,[1]products!$A$1:$A$49,0),MATCH([1]orders!L$1,[1]products!$A$1:$G$1,0))</f>
        <v>5.97</v>
      </c>
      <c r="I294" s="6">
        <f t="shared" si="4"/>
        <v>17.91</v>
      </c>
    </row>
    <row r="295" spans="1:9" x14ac:dyDescent="0.3">
      <c r="A295" s="1" t="s">
        <v>600</v>
      </c>
      <c r="B295" s="2">
        <v>44275</v>
      </c>
      <c r="C295" s="3" t="s">
        <v>601</v>
      </c>
      <c r="D295" s="3" t="str">
        <f>INDEX('Customers (2)'!B:B,MATCH('Customers (2)'!A295,'Customers (2)'!A:A,0))</f>
        <v>Cassie Pinkerton</v>
      </c>
      <c r="E295" s="4" t="s">
        <v>72</v>
      </c>
      <c r="F295" s="3">
        <v>5</v>
      </c>
      <c r="G295" s="5">
        <f>INDEX([1]products!$A$1:$G$49,MATCH([1]orders!$D295,[1]products!$A$1:$A$49,0),MATCH([1]orders!K$1,[1]products!$A$1:$G$1,0))</f>
        <v>0.5</v>
      </c>
      <c r="H295" s="6">
        <f>INDEX([1]products!$A$1:$G$49,MATCH([1]orders!$D295,[1]products!$A$1:$A$49,0),MATCH([1]orders!L$1,[1]products!$A$1:$G$1,0))</f>
        <v>5.97</v>
      </c>
      <c r="I295" s="6">
        <f t="shared" si="4"/>
        <v>29.849999999999998</v>
      </c>
    </row>
    <row r="296" spans="1:9" x14ac:dyDescent="0.3">
      <c r="A296" s="1" t="s">
        <v>602</v>
      </c>
      <c r="B296" s="2">
        <v>44659</v>
      </c>
      <c r="C296" s="3" t="s">
        <v>603</v>
      </c>
      <c r="D296" s="3" t="str">
        <f>INDEX('Customers (2)'!B:B,MATCH('Customers (2)'!A296,'Customers (2)'!A:A,0))</f>
        <v>Micki Fero</v>
      </c>
      <c r="E296" s="4" t="s">
        <v>137</v>
      </c>
      <c r="F296" s="3">
        <v>3</v>
      </c>
      <c r="G296" s="5">
        <f>INDEX([1]products!$A$1:$G$49,MATCH([1]orders!$D296,[1]products!$A$1:$A$49,0),MATCH([1]orders!K$1,[1]products!$A$1:$G$1,0))</f>
        <v>1</v>
      </c>
      <c r="H296" s="6">
        <f>INDEX([1]products!$A$1:$G$49,MATCH([1]orders!$D296,[1]products!$A$1:$A$49,0),MATCH([1]orders!L$1,[1]products!$A$1:$G$1,0))</f>
        <v>14.85</v>
      </c>
      <c r="I296" s="6">
        <f t="shared" si="4"/>
        <v>44.55</v>
      </c>
    </row>
    <row r="297" spans="1:9" x14ac:dyDescent="0.3">
      <c r="A297" s="1" t="s">
        <v>604</v>
      </c>
      <c r="B297" s="2">
        <v>44057</v>
      </c>
      <c r="C297" s="3" t="s">
        <v>605</v>
      </c>
      <c r="D297" s="3" t="str">
        <f>INDEX('Customers (2)'!B:B,MATCH('Customers (2)'!A297,'Customers (2)'!A:A,0))</f>
        <v>Cybill Graddell</v>
      </c>
      <c r="E297" s="4" t="s">
        <v>9</v>
      </c>
      <c r="F297" s="3">
        <v>2</v>
      </c>
      <c r="G297" s="5">
        <f>INDEX([1]products!$A$1:$G$49,MATCH([1]orders!$D297,[1]products!$A$1:$A$49,0),MATCH([1]orders!K$1,[1]products!$A$1:$G$1,0))</f>
        <v>1</v>
      </c>
      <c r="H297" s="6">
        <f>INDEX([1]products!$A$1:$G$49,MATCH([1]orders!$D297,[1]products!$A$1:$A$49,0),MATCH([1]orders!L$1,[1]products!$A$1:$G$1,0))</f>
        <v>13.75</v>
      </c>
      <c r="I297" s="6">
        <f t="shared" si="4"/>
        <v>27.5</v>
      </c>
    </row>
    <row r="298" spans="1:9" x14ac:dyDescent="0.3">
      <c r="A298" s="1" t="s">
        <v>606</v>
      </c>
      <c r="B298" s="2">
        <v>43597</v>
      </c>
      <c r="C298" s="3" t="s">
        <v>607</v>
      </c>
      <c r="D298" s="3" t="str">
        <f>INDEX('Customers (2)'!B:B,MATCH('Customers (2)'!A298,'Customers (2)'!A:A,0))</f>
        <v>Dorian Vizor</v>
      </c>
      <c r="E298" s="4" t="s">
        <v>22</v>
      </c>
      <c r="F298" s="3">
        <v>6</v>
      </c>
      <c r="G298" s="5">
        <f>INDEX([1]products!$A$1:$G$49,MATCH([1]orders!$D298,[1]products!$A$1:$A$49,0),MATCH([1]orders!K$1,[1]products!$A$1:$G$1,0))</f>
        <v>0.5</v>
      </c>
      <c r="H298" s="6">
        <f>INDEX([1]products!$A$1:$G$49,MATCH([1]orders!$D298,[1]products!$A$1:$A$49,0),MATCH([1]orders!L$1,[1]products!$A$1:$G$1,0))</f>
        <v>5.97</v>
      </c>
      <c r="I298" s="6">
        <f t="shared" si="4"/>
        <v>35.82</v>
      </c>
    </row>
    <row r="299" spans="1:9" x14ac:dyDescent="0.3">
      <c r="A299" s="1" t="s">
        <v>608</v>
      </c>
      <c r="B299" s="2">
        <v>44258</v>
      </c>
      <c r="C299" s="3" t="s">
        <v>609</v>
      </c>
      <c r="D299" s="3" t="str">
        <f>INDEX('Customers (2)'!B:B,MATCH('Customers (2)'!A299,'Customers (2)'!A:A,0))</f>
        <v>Eddi Sedgebeer</v>
      </c>
      <c r="E299" s="4" t="s">
        <v>146</v>
      </c>
      <c r="F299" s="3">
        <v>3</v>
      </c>
      <c r="G299" s="5">
        <f>INDEX([1]products!$A$1:$G$49,MATCH([1]orders!$D299,[1]products!$A$1:$A$49,0),MATCH([1]orders!K$1,[1]products!$A$1:$G$1,0))</f>
        <v>0.5</v>
      </c>
      <c r="H299" s="6">
        <f>INDEX([1]products!$A$1:$G$49,MATCH([1]orders!$D299,[1]products!$A$1:$A$49,0),MATCH([1]orders!L$1,[1]products!$A$1:$G$1,0))</f>
        <v>5.3699999999999992</v>
      </c>
      <c r="I299" s="6">
        <f t="shared" si="4"/>
        <v>16.11</v>
      </c>
    </row>
    <row r="300" spans="1:9" x14ac:dyDescent="0.3">
      <c r="A300" s="1" t="s">
        <v>610</v>
      </c>
      <c r="B300" s="2">
        <v>43872</v>
      </c>
      <c r="C300" s="3" t="s">
        <v>611</v>
      </c>
      <c r="D300" s="3" t="str">
        <f>INDEX('Customers (2)'!B:B,MATCH('Customers (2)'!A300,'Customers (2)'!A:A,0))</f>
        <v>Ken Lestrange</v>
      </c>
      <c r="E300" s="4" t="s">
        <v>254</v>
      </c>
      <c r="F300" s="3">
        <v>6</v>
      </c>
      <c r="G300" s="5">
        <f>INDEX([1]products!$A$1:$G$49,MATCH([1]orders!$D300,[1]products!$A$1:$A$49,0),MATCH([1]orders!K$1,[1]products!$A$1:$G$1,0))</f>
        <v>0.2</v>
      </c>
      <c r="H300" s="6">
        <f>INDEX([1]products!$A$1:$G$49,MATCH([1]orders!$D300,[1]products!$A$1:$A$49,0),MATCH([1]orders!L$1,[1]products!$A$1:$G$1,0))</f>
        <v>4.4550000000000001</v>
      </c>
      <c r="I300" s="6">
        <f t="shared" si="4"/>
        <v>26.73</v>
      </c>
    </row>
    <row r="301" spans="1:9" x14ac:dyDescent="0.3">
      <c r="A301" s="1" t="s">
        <v>612</v>
      </c>
      <c r="B301" s="2">
        <v>43582</v>
      </c>
      <c r="C301" s="3" t="s">
        <v>613</v>
      </c>
      <c r="D301" s="3" t="str">
        <f>INDEX('Customers (2)'!B:B,MATCH('Customers (2)'!A301,'Customers (2)'!A:A,0))</f>
        <v>Lacee Tanti</v>
      </c>
      <c r="E301" s="4" t="s">
        <v>30</v>
      </c>
      <c r="F301" s="3">
        <v>6</v>
      </c>
      <c r="G301" s="5">
        <f>INDEX([1]products!$A$1:$G$49,MATCH([1]orders!$D301,[1]products!$A$1:$A$49,0),MATCH([1]orders!K$1,[1]products!$A$1:$G$1,0))</f>
        <v>2.5</v>
      </c>
      <c r="H301" s="6">
        <f>INDEX([1]products!$A$1:$G$49,MATCH([1]orders!$D301,[1]products!$A$1:$A$49,0),MATCH([1]orders!L$1,[1]products!$A$1:$G$1,0))</f>
        <v>34.154999999999994</v>
      </c>
      <c r="I301" s="6">
        <f t="shared" si="4"/>
        <v>204.92999999999995</v>
      </c>
    </row>
    <row r="302" spans="1:9" x14ac:dyDescent="0.3">
      <c r="A302" s="1" t="s">
        <v>614</v>
      </c>
      <c r="B302" s="2">
        <v>44646</v>
      </c>
      <c r="C302" s="3" t="s">
        <v>615</v>
      </c>
      <c r="D302" s="3" t="str">
        <f>INDEX('Customers (2)'!B:B,MATCH('Customers (2)'!A302,'Customers (2)'!A:A,0))</f>
        <v>Arel De Lasci</v>
      </c>
      <c r="E302" s="4" t="s">
        <v>6</v>
      </c>
      <c r="F302" s="3">
        <v>3</v>
      </c>
      <c r="G302" s="5">
        <f>INDEX([1]products!$A$1:$G$49,MATCH([1]orders!$D302,[1]products!$A$1:$A$49,0),MATCH([1]orders!K$1,[1]products!$A$1:$G$1,0))</f>
        <v>1</v>
      </c>
      <c r="H302" s="6">
        <f>INDEX([1]products!$A$1:$G$49,MATCH([1]orders!$D302,[1]products!$A$1:$A$49,0),MATCH([1]orders!L$1,[1]products!$A$1:$G$1,0))</f>
        <v>12.95</v>
      </c>
      <c r="I302" s="6">
        <f t="shared" si="4"/>
        <v>38.849999999999994</v>
      </c>
    </row>
    <row r="303" spans="1:9" x14ac:dyDescent="0.3">
      <c r="A303" s="1" t="s">
        <v>616</v>
      </c>
      <c r="B303" s="2">
        <v>44102</v>
      </c>
      <c r="C303" s="3" t="s">
        <v>617</v>
      </c>
      <c r="D303" s="3" t="str">
        <f>INDEX('Customers (2)'!B:B,MATCH('Customers (2)'!A303,'Customers (2)'!A:A,0))</f>
        <v>Trescha Jedrachowicz</v>
      </c>
      <c r="E303" s="4" t="s">
        <v>38</v>
      </c>
      <c r="F303" s="3">
        <v>4</v>
      </c>
      <c r="G303" s="5">
        <f>INDEX([1]products!$A$1:$G$49,MATCH([1]orders!$D303,[1]products!$A$1:$A$49,0),MATCH([1]orders!K$1,[1]products!$A$1:$G$1,0))</f>
        <v>0.2</v>
      </c>
      <c r="H303" s="6">
        <f>INDEX([1]products!$A$1:$G$49,MATCH([1]orders!$D303,[1]products!$A$1:$A$49,0),MATCH([1]orders!L$1,[1]products!$A$1:$G$1,0))</f>
        <v>3.8849999999999998</v>
      </c>
      <c r="I303" s="6">
        <f t="shared" si="4"/>
        <v>15.54</v>
      </c>
    </row>
    <row r="304" spans="1:9" x14ac:dyDescent="0.3">
      <c r="A304" s="1" t="s">
        <v>618</v>
      </c>
      <c r="B304" s="2">
        <v>43762</v>
      </c>
      <c r="C304" s="3" t="s">
        <v>619</v>
      </c>
      <c r="D304" s="3" t="str">
        <f>INDEX('Customers (2)'!B:B,MATCH('Customers (2)'!A304,'Customers (2)'!A:A,0))</f>
        <v>Perkin Stonner</v>
      </c>
      <c r="E304" s="4" t="s">
        <v>67</v>
      </c>
      <c r="F304" s="3">
        <v>1</v>
      </c>
      <c r="G304" s="5">
        <f>INDEX([1]products!$A$1:$G$49,MATCH([1]orders!$D304,[1]products!$A$1:$A$49,0),MATCH([1]orders!K$1,[1]products!$A$1:$G$1,0))</f>
        <v>0.5</v>
      </c>
      <c r="H304" s="6">
        <f>INDEX([1]products!$A$1:$G$49,MATCH([1]orders!$D304,[1]products!$A$1:$A$49,0),MATCH([1]orders!L$1,[1]products!$A$1:$G$1,0))</f>
        <v>6.75</v>
      </c>
      <c r="I304" s="6">
        <f t="shared" si="4"/>
        <v>6.75</v>
      </c>
    </row>
    <row r="305" spans="1:9" x14ac:dyDescent="0.3">
      <c r="A305" s="1" t="s">
        <v>620</v>
      </c>
      <c r="B305" s="2">
        <v>44412</v>
      </c>
      <c r="C305" s="3" t="s">
        <v>621</v>
      </c>
      <c r="D305" s="3" t="str">
        <f>INDEX('Customers (2)'!B:B,MATCH('Customers (2)'!A305,'Customers (2)'!A:A,0))</f>
        <v>Darrin Tingly</v>
      </c>
      <c r="E305" s="4" t="s">
        <v>530</v>
      </c>
      <c r="F305" s="3">
        <v>4</v>
      </c>
      <c r="G305" s="5">
        <f>INDEX([1]products!$A$1:$G$49,MATCH([1]orders!$D305,[1]products!$A$1:$A$49,0),MATCH([1]orders!K$1,[1]products!$A$1:$G$1,0))</f>
        <v>2.5</v>
      </c>
      <c r="H305" s="6">
        <f>INDEX([1]products!$A$1:$G$49,MATCH([1]orders!$D305,[1]products!$A$1:$A$49,0),MATCH([1]orders!L$1,[1]products!$A$1:$G$1,0))</f>
        <v>27.945</v>
      </c>
      <c r="I305" s="6">
        <f t="shared" si="4"/>
        <v>111.78</v>
      </c>
    </row>
    <row r="306" spans="1:9" x14ac:dyDescent="0.3">
      <c r="A306" s="1" t="s">
        <v>622</v>
      </c>
      <c r="B306" s="2">
        <v>43828</v>
      </c>
      <c r="C306" s="3" t="s">
        <v>623</v>
      </c>
      <c r="D306" s="3" t="str">
        <f>INDEX('Customers (2)'!B:B,MATCH('Customers (2)'!A306,'Customers (2)'!A:A,0))</f>
        <v>Rhodie Whife</v>
      </c>
      <c r="E306" s="4" t="s">
        <v>115</v>
      </c>
      <c r="F306" s="3">
        <v>1</v>
      </c>
      <c r="G306" s="5">
        <f>INDEX([1]products!$A$1:$G$49,MATCH([1]orders!$D306,[1]products!$A$1:$A$49,0),MATCH([1]orders!K$1,[1]products!$A$1:$G$1,0))</f>
        <v>0.2</v>
      </c>
      <c r="H306" s="6">
        <f>INDEX([1]products!$A$1:$G$49,MATCH([1]orders!$D306,[1]products!$A$1:$A$49,0),MATCH([1]orders!L$1,[1]products!$A$1:$G$1,0))</f>
        <v>3.8849999999999998</v>
      </c>
      <c r="I306" s="6">
        <f t="shared" si="4"/>
        <v>3.8849999999999998</v>
      </c>
    </row>
    <row r="307" spans="1:9" x14ac:dyDescent="0.3">
      <c r="A307" s="1" t="s">
        <v>624</v>
      </c>
      <c r="B307" s="2">
        <v>43796</v>
      </c>
      <c r="C307" s="3" t="s">
        <v>625</v>
      </c>
      <c r="D307" s="3" t="str">
        <f>INDEX('Customers (2)'!B:B,MATCH('Customers (2)'!A307,'Customers (2)'!A:A,0))</f>
        <v>Benn Checci</v>
      </c>
      <c r="E307" s="4" t="s">
        <v>77</v>
      </c>
      <c r="F307" s="3">
        <v>5</v>
      </c>
      <c r="G307" s="5">
        <f>INDEX([1]products!$A$1:$G$49,MATCH([1]orders!$D307,[1]products!$A$1:$A$49,0),MATCH([1]orders!K$1,[1]products!$A$1:$G$1,0))</f>
        <v>0.2</v>
      </c>
      <c r="H307" s="6">
        <f>INDEX([1]products!$A$1:$G$49,MATCH([1]orders!$D307,[1]products!$A$1:$A$49,0),MATCH([1]orders!L$1,[1]products!$A$1:$G$1,0))</f>
        <v>4.3650000000000002</v>
      </c>
      <c r="I307" s="6">
        <f t="shared" si="4"/>
        <v>21.825000000000003</v>
      </c>
    </row>
    <row r="308" spans="1:9" x14ac:dyDescent="0.3">
      <c r="A308" s="1" t="s">
        <v>626</v>
      </c>
      <c r="B308" s="2">
        <v>43890</v>
      </c>
      <c r="C308" s="3" t="s">
        <v>627</v>
      </c>
      <c r="D308" s="3" t="str">
        <f>INDEX('Customers (2)'!B:B,MATCH('Customers (2)'!A308,'Customers (2)'!A:A,0))</f>
        <v>Janifer Bagot</v>
      </c>
      <c r="E308" s="4" t="s">
        <v>162</v>
      </c>
      <c r="F308" s="3">
        <v>5</v>
      </c>
      <c r="G308" s="5">
        <f>INDEX([1]products!$A$1:$G$49,MATCH([1]orders!$D308,[1]products!$A$1:$A$49,0),MATCH([1]orders!K$1,[1]products!$A$1:$G$1,0))</f>
        <v>0.2</v>
      </c>
      <c r="H308" s="6">
        <f>INDEX([1]products!$A$1:$G$49,MATCH([1]orders!$D308,[1]products!$A$1:$A$49,0),MATCH([1]orders!L$1,[1]products!$A$1:$G$1,0))</f>
        <v>2.9849999999999999</v>
      </c>
      <c r="I308" s="6">
        <f t="shared" si="4"/>
        <v>14.924999999999999</v>
      </c>
    </row>
    <row r="309" spans="1:9" x14ac:dyDescent="0.3">
      <c r="A309" s="1" t="s">
        <v>628</v>
      </c>
      <c r="B309" s="2">
        <v>44227</v>
      </c>
      <c r="C309" s="3" t="s">
        <v>629</v>
      </c>
      <c r="D309" s="3" t="str">
        <f>INDEX('Customers (2)'!B:B,MATCH('Customers (2)'!A309,'Customers (2)'!A:A,0))</f>
        <v>Ermin Beeble</v>
      </c>
      <c r="E309" s="4" t="s">
        <v>61</v>
      </c>
      <c r="F309" s="3">
        <v>3</v>
      </c>
      <c r="G309" s="5">
        <f>INDEX([1]products!$A$1:$G$49,MATCH([1]orders!$D309,[1]products!$A$1:$A$49,0),MATCH([1]orders!K$1,[1]products!$A$1:$G$1,0))</f>
        <v>1</v>
      </c>
      <c r="H309" s="6">
        <f>INDEX([1]products!$A$1:$G$49,MATCH([1]orders!$D309,[1]products!$A$1:$A$49,0),MATCH([1]orders!L$1,[1]products!$A$1:$G$1,0))</f>
        <v>11.25</v>
      </c>
      <c r="I309" s="6">
        <f t="shared" si="4"/>
        <v>33.75</v>
      </c>
    </row>
    <row r="310" spans="1:9" x14ac:dyDescent="0.3">
      <c r="A310" s="1" t="s">
        <v>630</v>
      </c>
      <c r="B310" s="2">
        <v>44729</v>
      </c>
      <c r="C310" s="3" t="s">
        <v>631</v>
      </c>
      <c r="D310" s="3" t="str">
        <f>INDEX('Customers (2)'!B:B,MATCH('Customers (2)'!A310,'Customers (2)'!A:A,0))</f>
        <v>Cos Fluin</v>
      </c>
      <c r="E310" s="4" t="s">
        <v>61</v>
      </c>
      <c r="F310" s="3">
        <v>3</v>
      </c>
      <c r="G310" s="5">
        <f>INDEX([1]products!$A$1:$G$49,MATCH([1]orders!$D310,[1]products!$A$1:$A$49,0),MATCH([1]orders!K$1,[1]products!$A$1:$G$1,0))</f>
        <v>1</v>
      </c>
      <c r="H310" s="6">
        <f>INDEX([1]products!$A$1:$G$49,MATCH([1]orders!$D310,[1]products!$A$1:$A$49,0),MATCH([1]orders!L$1,[1]products!$A$1:$G$1,0))</f>
        <v>11.25</v>
      </c>
      <c r="I310" s="6">
        <f t="shared" si="4"/>
        <v>33.75</v>
      </c>
    </row>
    <row r="311" spans="1:9" x14ac:dyDescent="0.3">
      <c r="A311" s="1" t="s">
        <v>632</v>
      </c>
      <c r="B311" s="2">
        <v>43864</v>
      </c>
      <c r="C311" s="3" t="s">
        <v>633</v>
      </c>
      <c r="D311" s="3" t="str">
        <f>INDEX('Customers (2)'!B:B,MATCH('Customers (2)'!A311,'Customers (2)'!A:A,0))</f>
        <v>Eveleen Bletsor</v>
      </c>
      <c r="E311" s="4" t="s">
        <v>77</v>
      </c>
      <c r="F311" s="3">
        <v>6</v>
      </c>
      <c r="G311" s="5">
        <f>INDEX([1]products!$A$1:$G$49,MATCH([1]orders!$D311,[1]products!$A$1:$A$49,0),MATCH([1]orders!K$1,[1]products!$A$1:$G$1,0))</f>
        <v>0.2</v>
      </c>
      <c r="H311" s="6">
        <f>INDEX([1]products!$A$1:$G$49,MATCH([1]orders!$D311,[1]products!$A$1:$A$49,0),MATCH([1]orders!L$1,[1]products!$A$1:$G$1,0))</f>
        <v>4.3650000000000002</v>
      </c>
      <c r="I311" s="6">
        <f t="shared" si="4"/>
        <v>26.19</v>
      </c>
    </row>
    <row r="312" spans="1:9" x14ac:dyDescent="0.3">
      <c r="A312" s="1" t="s">
        <v>634</v>
      </c>
      <c r="B312" s="2">
        <v>44586</v>
      </c>
      <c r="C312" s="3" t="s">
        <v>635</v>
      </c>
      <c r="D312" s="3" t="str">
        <f>INDEX('Customers (2)'!B:B,MATCH('Customers (2)'!A312,'Customers (2)'!A:A,0))</f>
        <v>Paola Brydell</v>
      </c>
      <c r="E312" s="4" t="s">
        <v>137</v>
      </c>
      <c r="F312" s="3">
        <v>1</v>
      </c>
      <c r="G312" s="5">
        <f>INDEX([1]products!$A$1:$G$49,MATCH([1]orders!$D312,[1]products!$A$1:$A$49,0),MATCH([1]orders!K$1,[1]products!$A$1:$G$1,0))</f>
        <v>1</v>
      </c>
      <c r="H312" s="6">
        <f>INDEX([1]products!$A$1:$G$49,MATCH([1]orders!$D312,[1]products!$A$1:$A$49,0),MATCH([1]orders!L$1,[1]products!$A$1:$G$1,0))</f>
        <v>14.85</v>
      </c>
      <c r="I312" s="6">
        <f t="shared" si="4"/>
        <v>14.85</v>
      </c>
    </row>
    <row r="313" spans="1:9" x14ac:dyDescent="0.3">
      <c r="A313" s="1" t="s">
        <v>636</v>
      </c>
      <c r="B313" s="2">
        <v>43951</v>
      </c>
      <c r="C313" s="3" t="s">
        <v>623</v>
      </c>
      <c r="D313" s="3" t="str">
        <f>INDEX('Customers (2)'!B:B,MATCH('Customers (2)'!A313,'Customers (2)'!A:A,0))</f>
        <v>Claudetta Rushe</v>
      </c>
      <c r="E313" s="4" t="s">
        <v>112</v>
      </c>
      <c r="F313" s="3">
        <v>6</v>
      </c>
      <c r="G313" s="5">
        <f>INDEX([1]products!$A$1:$G$49,MATCH([1]orders!$D313,[1]products!$A$1:$A$49,0),MATCH([1]orders!K$1,[1]products!$A$1:$G$1,0))</f>
        <v>2.5</v>
      </c>
      <c r="H313" s="6">
        <f>INDEX([1]products!$A$1:$G$49,MATCH([1]orders!$D313,[1]products!$A$1:$A$49,0),MATCH([1]orders!L$1,[1]products!$A$1:$G$1,0))</f>
        <v>31.624999999999996</v>
      </c>
      <c r="I313" s="6">
        <f t="shared" si="4"/>
        <v>189.74999999999997</v>
      </c>
    </row>
    <row r="314" spans="1:9" x14ac:dyDescent="0.3">
      <c r="A314" s="1" t="s">
        <v>637</v>
      </c>
      <c r="B314" s="2">
        <v>44317</v>
      </c>
      <c r="C314" s="3" t="s">
        <v>638</v>
      </c>
      <c r="D314" s="3" t="str">
        <f>INDEX('Customers (2)'!B:B,MATCH('Customers (2)'!A314,'Customers (2)'!A:A,0))</f>
        <v>Natka Leethem</v>
      </c>
      <c r="E314" s="4" t="s">
        <v>22</v>
      </c>
      <c r="F314" s="3">
        <v>1</v>
      </c>
      <c r="G314" s="5">
        <f>INDEX([1]products!$A$1:$G$49,MATCH([1]orders!$D314,[1]products!$A$1:$A$49,0),MATCH([1]orders!K$1,[1]products!$A$1:$G$1,0))</f>
        <v>0.5</v>
      </c>
      <c r="H314" s="6">
        <f>INDEX([1]products!$A$1:$G$49,MATCH([1]orders!$D314,[1]products!$A$1:$A$49,0),MATCH([1]orders!L$1,[1]products!$A$1:$G$1,0))</f>
        <v>5.97</v>
      </c>
      <c r="I314" s="6">
        <f t="shared" si="4"/>
        <v>5.97</v>
      </c>
    </row>
    <row r="315" spans="1:9" x14ac:dyDescent="0.3">
      <c r="A315" s="1" t="s">
        <v>639</v>
      </c>
      <c r="B315" s="2">
        <v>44497</v>
      </c>
      <c r="C315" s="3" t="s">
        <v>640</v>
      </c>
      <c r="D315" s="3" t="str">
        <f>INDEX('Customers (2)'!B:B,MATCH('Customers (2)'!A315,'Customers (2)'!A:A,0))</f>
        <v>Ailene Nesfield</v>
      </c>
      <c r="E315" s="4" t="s">
        <v>2</v>
      </c>
      <c r="F315" s="3">
        <v>3</v>
      </c>
      <c r="G315" s="5">
        <f>INDEX([1]products!$A$1:$G$49,MATCH([1]orders!$D315,[1]products!$A$1:$A$49,0),MATCH([1]orders!K$1,[1]products!$A$1:$G$1,0))</f>
        <v>1</v>
      </c>
      <c r="H315" s="6">
        <f>INDEX([1]products!$A$1:$G$49,MATCH([1]orders!$D315,[1]products!$A$1:$A$49,0),MATCH([1]orders!L$1,[1]products!$A$1:$G$1,0))</f>
        <v>9.9499999999999993</v>
      </c>
      <c r="I315" s="6">
        <f t="shared" si="4"/>
        <v>29.849999999999998</v>
      </c>
    </row>
    <row r="316" spans="1:9" x14ac:dyDescent="0.3">
      <c r="A316" s="1" t="s">
        <v>641</v>
      </c>
      <c r="B316" s="2">
        <v>44437</v>
      </c>
      <c r="C316" s="3" t="s">
        <v>642</v>
      </c>
      <c r="D316" s="3" t="str">
        <f>INDEX('Customers (2)'!B:B,MATCH('Customers (2)'!A316,'Customers (2)'!A:A,0))</f>
        <v>Stacy Pickworth</v>
      </c>
      <c r="E316" s="4" t="s">
        <v>179</v>
      </c>
      <c r="F316" s="3">
        <v>5</v>
      </c>
      <c r="G316" s="5">
        <f>INDEX([1]products!$A$1:$G$49,MATCH([1]orders!$D316,[1]products!$A$1:$A$49,0),MATCH([1]orders!K$1,[1]products!$A$1:$G$1,0))</f>
        <v>1</v>
      </c>
      <c r="H316" s="6">
        <f>INDEX([1]products!$A$1:$G$49,MATCH([1]orders!$D316,[1]products!$A$1:$A$49,0),MATCH([1]orders!L$1,[1]products!$A$1:$G$1,0))</f>
        <v>8.9499999999999993</v>
      </c>
      <c r="I316" s="6">
        <f t="shared" si="4"/>
        <v>44.75</v>
      </c>
    </row>
    <row r="317" spans="1:9" x14ac:dyDescent="0.3">
      <c r="A317" s="1" t="s">
        <v>643</v>
      </c>
      <c r="B317" s="2">
        <v>43826</v>
      </c>
      <c r="C317" s="3" t="s">
        <v>644</v>
      </c>
      <c r="D317" s="3" t="str">
        <f>INDEX('Customers (2)'!B:B,MATCH('Customers (2)'!A317,'Customers (2)'!A:A,0))</f>
        <v>Melli Brockway</v>
      </c>
      <c r="E317" s="4" t="s">
        <v>30</v>
      </c>
      <c r="F317" s="3">
        <v>1</v>
      </c>
      <c r="G317" s="5">
        <f>INDEX([1]products!$A$1:$G$49,MATCH([1]orders!$D317,[1]products!$A$1:$A$49,0),MATCH([1]orders!K$1,[1]products!$A$1:$G$1,0))</f>
        <v>2.5</v>
      </c>
      <c r="H317" s="6">
        <f>INDEX([1]products!$A$1:$G$49,MATCH([1]orders!$D317,[1]products!$A$1:$A$49,0),MATCH([1]orders!L$1,[1]products!$A$1:$G$1,0))</f>
        <v>34.154999999999994</v>
      </c>
      <c r="I317" s="6">
        <f t="shared" si="4"/>
        <v>34.154999999999994</v>
      </c>
    </row>
    <row r="318" spans="1:9" x14ac:dyDescent="0.3">
      <c r="A318" s="1" t="s">
        <v>645</v>
      </c>
      <c r="B318" s="2">
        <v>43641</v>
      </c>
      <c r="C318" s="3" t="s">
        <v>646</v>
      </c>
      <c r="D318" s="3" t="str">
        <f>INDEX('Customers (2)'!B:B,MATCH('Customers (2)'!A318,'Customers (2)'!A:A,0))</f>
        <v>Nanny Lush</v>
      </c>
      <c r="E318" s="4" t="s">
        <v>30</v>
      </c>
      <c r="F318" s="3">
        <v>6</v>
      </c>
      <c r="G318" s="5">
        <f>INDEX([1]products!$A$1:$G$49,MATCH([1]orders!$D318,[1]products!$A$1:$A$49,0),MATCH([1]orders!K$1,[1]products!$A$1:$G$1,0))</f>
        <v>2.5</v>
      </c>
      <c r="H318" s="6">
        <f>INDEX([1]products!$A$1:$G$49,MATCH([1]orders!$D318,[1]products!$A$1:$A$49,0),MATCH([1]orders!L$1,[1]products!$A$1:$G$1,0))</f>
        <v>34.154999999999994</v>
      </c>
      <c r="I318" s="6">
        <f t="shared" si="4"/>
        <v>204.92999999999995</v>
      </c>
    </row>
    <row r="319" spans="1:9" x14ac:dyDescent="0.3">
      <c r="A319" s="1" t="s">
        <v>647</v>
      </c>
      <c r="B319" s="2">
        <v>43526</v>
      </c>
      <c r="C319" s="3" t="s">
        <v>648</v>
      </c>
      <c r="D319" s="3" t="str">
        <f>INDEX('Customers (2)'!B:B,MATCH('Customers (2)'!A319,'Customers (2)'!A:A,0))</f>
        <v>Selma McMillian</v>
      </c>
      <c r="E319" s="4" t="s">
        <v>16</v>
      </c>
      <c r="F319" s="3">
        <v>3</v>
      </c>
      <c r="G319" s="5">
        <f>INDEX([1]products!$A$1:$G$49,MATCH([1]orders!$D319,[1]products!$A$1:$A$49,0),MATCH([1]orders!K$1,[1]products!$A$1:$G$1,0))</f>
        <v>0.5</v>
      </c>
      <c r="H319" s="6">
        <f>INDEX([1]products!$A$1:$G$49,MATCH([1]orders!$D319,[1]products!$A$1:$A$49,0),MATCH([1]orders!L$1,[1]products!$A$1:$G$1,0))</f>
        <v>7.29</v>
      </c>
      <c r="I319" s="6">
        <f t="shared" si="4"/>
        <v>21.87</v>
      </c>
    </row>
    <row r="320" spans="1:9" x14ac:dyDescent="0.3">
      <c r="A320" s="1" t="s">
        <v>649</v>
      </c>
      <c r="B320" s="2">
        <v>44563</v>
      </c>
      <c r="C320" s="3" t="s">
        <v>650</v>
      </c>
      <c r="D320" s="3" t="str">
        <f>INDEX('Customers (2)'!B:B,MATCH('Customers (2)'!A320,'Customers (2)'!A:A,0))</f>
        <v>Tess Bennison</v>
      </c>
      <c r="E320" s="4" t="s">
        <v>171</v>
      </c>
      <c r="F320" s="3">
        <v>2</v>
      </c>
      <c r="G320" s="5">
        <f>INDEX([1]products!$A$1:$G$49,MATCH([1]orders!$D320,[1]products!$A$1:$A$49,0),MATCH([1]orders!K$1,[1]products!$A$1:$G$1,0))</f>
        <v>2.5</v>
      </c>
      <c r="H320" s="6">
        <f>INDEX([1]products!$A$1:$G$49,MATCH([1]orders!$D320,[1]products!$A$1:$A$49,0),MATCH([1]orders!L$1,[1]products!$A$1:$G$1,0))</f>
        <v>25.874999999999996</v>
      </c>
      <c r="I320" s="6">
        <f t="shared" si="4"/>
        <v>51.749999999999993</v>
      </c>
    </row>
    <row r="321" spans="1:9" x14ac:dyDescent="0.3">
      <c r="A321" s="1" t="s">
        <v>651</v>
      </c>
      <c r="B321" s="2">
        <v>43676</v>
      </c>
      <c r="C321" s="3" t="s">
        <v>652</v>
      </c>
      <c r="D321" s="3" t="str">
        <f>INDEX('Customers (2)'!B:B,MATCH('Customers (2)'!A321,'Customers (2)'!A:A,0))</f>
        <v>Gabie Tweed</v>
      </c>
      <c r="E321" s="4" t="s">
        <v>64</v>
      </c>
      <c r="F321" s="3">
        <v>2</v>
      </c>
      <c r="G321" s="5">
        <f>INDEX([1]products!$A$1:$G$49,MATCH([1]orders!$D321,[1]products!$A$1:$A$49,0),MATCH([1]orders!K$1,[1]products!$A$1:$G$1,0))</f>
        <v>0.2</v>
      </c>
      <c r="H321" s="6">
        <f>INDEX([1]products!$A$1:$G$49,MATCH([1]orders!$D321,[1]products!$A$1:$A$49,0),MATCH([1]orders!L$1,[1]products!$A$1:$G$1,0))</f>
        <v>4.125</v>
      </c>
      <c r="I321" s="6">
        <f t="shared" si="4"/>
        <v>8.25</v>
      </c>
    </row>
    <row r="322" spans="1:9" x14ac:dyDescent="0.3">
      <c r="A322" s="1" t="s">
        <v>651</v>
      </c>
      <c r="B322" s="2">
        <v>43676</v>
      </c>
      <c r="C322" s="3" t="s">
        <v>652</v>
      </c>
      <c r="D322" s="3" t="str">
        <f>INDEX('Customers (2)'!B:B,MATCH('Customers (2)'!A322,'Customers (2)'!A:A,0))</f>
        <v>Freddie Cusick</v>
      </c>
      <c r="E322" s="4" t="s">
        <v>115</v>
      </c>
      <c r="F322" s="3">
        <v>5</v>
      </c>
      <c r="G322" s="5">
        <f>INDEX([1]products!$A$1:$G$49,MATCH([1]orders!$D322,[1]products!$A$1:$A$49,0),MATCH([1]orders!K$1,[1]products!$A$1:$G$1,0))</f>
        <v>0.2</v>
      </c>
      <c r="H322" s="6">
        <f>INDEX([1]products!$A$1:$G$49,MATCH([1]orders!$D322,[1]products!$A$1:$A$49,0),MATCH([1]orders!L$1,[1]products!$A$1:$G$1,0))</f>
        <v>3.8849999999999998</v>
      </c>
      <c r="I322" s="6">
        <f t="shared" ref="I322:I385" si="5">F322*H322</f>
        <v>19.424999999999997</v>
      </c>
    </row>
    <row r="323" spans="1:9" x14ac:dyDescent="0.3">
      <c r="A323" s="1" t="s">
        <v>653</v>
      </c>
      <c r="B323" s="2">
        <v>44170</v>
      </c>
      <c r="C323" s="3" t="s">
        <v>654</v>
      </c>
      <c r="D323" s="3" t="str">
        <f>INDEX('Customers (2)'!B:B,MATCH('Customers (2)'!A323,'Customers (2)'!A:A,0))</f>
        <v>Gaile Goggin</v>
      </c>
      <c r="E323" s="4" t="s">
        <v>44</v>
      </c>
      <c r="F323" s="3">
        <v>6</v>
      </c>
      <c r="G323" s="5">
        <f>INDEX([1]products!$A$1:$G$49,MATCH([1]orders!$D323,[1]products!$A$1:$A$49,0),MATCH([1]orders!K$1,[1]products!$A$1:$G$1,0))</f>
        <v>0.2</v>
      </c>
      <c r="H323" s="6">
        <f>INDEX([1]products!$A$1:$G$49,MATCH([1]orders!$D323,[1]products!$A$1:$A$49,0),MATCH([1]orders!L$1,[1]products!$A$1:$G$1,0))</f>
        <v>3.375</v>
      </c>
      <c r="I323" s="6">
        <f t="shared" si="5"/>
        <v>20.25</v>
      </c>
    </row>
    <row r="324" spans="1:9" x14ac:dyDescent="0.3">
      <c r="A324" s="1" t="s">
        <v>655</v>
      </c>
      <c r="B324" s="2">
        <v>44182</v>
      </c>
      <c r="C324" s="3" t="s">
        <v>656</v>
      </c>
      <c r="D324" s="3" t="str">
        <f>INDEX('Customers (2)'!B:B,MATCH('Customers (2)'!A324,'Customers (2)'!A:A,0))</f>
        <v>Skylar Jeyness</v>
      </c>
      <c r="E324" s="4" t="s">
        <v>123</v>
      </c>
      <c r="F324" s="3">
        <v>3</v>
      </c>
      <c r="G324" s="5">
        <f>INDEX([1]products!$A$1:$G$49,MATCH([1]orders!$D324,[1]products!$A$1:$A$49,0),MATCH([1]orders!K$1,[1]products!$A$1:$G$1,0))</f>
        <v>0.5</v>
      </c>
      <c r="H324" s="6">
        <f>INDEX([1]products!$A$1:$G$49,MATCH([1]orders!$D324,[1]products!$A$1:$A$49,0),MATCH([1]orders!L$1,[1]products!$A$1:$G$1,0))</f>
        <v>7.77</v>
      </c>
      <c r="I324" s="6">
        <f t="shared" si="5"/>
        <v>23.31</v>
      </c>
    </row>
    <row r="325" spans="1:9" x14ac:dyDescent="0.3">
      <c r="A325" s="1" t="s">
        <v>657</v>
      </c>
      <c r="B325" s="2">
        <v>44373</v>
      </c>
      <c r="C325" s="3" t="s">
        <v>658</v>
      </c>
      <c r="D325" s="3" t="str">
        <f>INDEX('Customers (2)'!B:B,MATCH('Customers (2)'!A325,'Customers (2)'!A:A,0))</f>
        <v>Donica Bonhome</v>
      </c>
      <c r="E325" s="4" t="s">
        <v>51</v>
      </c>
      <c r="F325" s="3">
        <v>5</v>
      </c>
      <c r="G325" s="5">
        <f>INDEX([1]products!$A$1:$G$49,MATCH([1]orders!$D325,[1]products!$A$1:$A$49,0),MATCH([1]orders!K$1,[1]products!$A$1:$G$1,0))</f>
        <v>0.2</v>
      </c>
      <c r="H325" s="6">
        <f>INDEX([1]products!$A$1:$G$49,MATCH([1]orders!$D325,[1]products!$A$1:$A$49,0),MATCH([1]orders!L$1,[1]products!$A$1:$G$1,0))</f>
        <v>3.645</v>
      </c>
      <c r="I325" s="6">
        <f t="shared" si="5"/>
        <v>18.225000000000001</v>
      </c>
    </row>
    <row r="326" spans="1:9" x14ac:dyDescent="0.3">
      <c r="A326" s="1" t="s">
        <v>659</v>
      </c>
      <c r="B326" s="2">
        <v>43666</v>
      </c>
      <c r="C326" s="3" t="s">
        <v>660</v>
      </c>
      <c r="D326" s="3" t="str">
        <f>INDEX('Customers (2)'!B:B,MATCH('Customers (2)'!A326,'Customers (2)'!A:A,0))</f>
        <v>Diena Peetermann</v>
      </c>
      <c r="E326" s="4" t="s">
        <v>9</v>
      </c>
      <c r="F326" s="3">
        <v>1</v>
      </c>
      <c r="G326" s="5">
        <f>INDEX([1]products!$A$1:$G$49,MATCH([1]orders!$D326,[1]products!$A$1:$A$49,0),MATCH([1]orders!K$1,[1]products!$A$1:$G$1,0))</f>
        <v>1</v>
      </c>
      <c r="H326" s="6">
        <f>INDEX([1]products!$A$1:$G$49,MATCH([1]orders!$D326,[1]products!$A$1:$A$49,0),MATCH([1]orders!L$1,[1]products!$A$1:$G$1,0))</f>
        <v>13.75</v>
      </c>
      <c r="I326" s="6">
        <f t="shared" si="5"/>
        <v>13.75</v>
      </c>
    </row>
    <row r="327" spans="1:9" x14ac:dyDescent="0.3">
      <c r="A327" s="1" t="s">
        <v>661</v>
      </c>
      <c r="B327" s="2">
        <v>44756</v>
      </c>
      <c r="C327" s="3" t="s">
        <v>662</v>
      </c>
      <c r="D327" s="3" t="str">
        <f>INDEX('Customers (2)'!B:B,MATCH('Customers (2)'!A327,'Customers (2)'!A:A,0))</f>
        <v>Trina Le Sarr</v>
      </c>
      <c r="E327" s="4" t="s">
        <v>204</v>
      </c>
      <c r="F327" s="3">
        <v>1</v>
      </c>
      <c r="G327" s="5">
        <f>INDEX([1]products!$A$1:$G$49,MATCH([1]orders!$D327,[1]products!$A$1:$A$49,0),MATCH([1]orders!K$1,[1]products!$A$1:$G$1,0))</f>
        <v>2.5</v>
      </c>
      <c r="H327" s="6">
        <f>INDEX([1]products!$A$1:$G$49,MATCH([1]orders!$D327,[1]products!$A$1:$A$49,0),MATCH([1]orders!L$1,[1]products!$A$1:$G$1,0))</f>
        <v>29.784999999999997</v>
      </c>
      <c r="I327" s="6">
        <f t="shared" si="5"/>
        <v>29.784999999999997</v>
      </c>
    </row>
    <row r="328" spans="1:9" x14ac:dyDescent="0.3">
      <c r="A328" s="1" t="s">
        <v>663</v>
      </c>
      <c r="B328" s="2">
        <v>44057</v>
      </c>
      <c r="C328" s="3" t="s">
        <v>664</v>
      </c>
      <c r="D328" s="3" t="str">
        <f>INDEX('Customers (2)'!B:B,MATCH('Customers (2)'!A328,'Customers (2)'!A:A,0))</f>
        <v>Flynn Antony</v>
      </c>
      <c r="E328" s="4" t="s">
        <v>179</v>
      </c>
      <c r="F328" s="3">
        <v>5</v>
      </c>
      <c r="G328" s="5">
        <f>INDEX([1]products!$A$1:$G$49,MATCH([1]orders!$D328,[1]products!$A$1:$A$49,0),MATCH([1]orders!K$1,[1]products!$A$1:$G$1,0))</f>
        <v>1</v>
      </c>
      <c r="H328" s="6">
        <f>INDEX([1]products!$A$1:$G$49,MATCH([1]orders!$D328,[1]products!$A$1:$A$49,0),MATCH([1]orders!L$1,[1]products!$A$1:$G$1,0))</f>
        <v>8.9499999999999993</v>
      </c>
      <c r="I328" s="6">
        <f t="shared" si="5"/>
        <v>44.75</v>
      </c>
    </row>
    <row r="329" spans="1:9" x14ac:dyDescent="0.3">
      <c r="A329" s="1" t="s">
        <v>665</v>
      </c>
      <c r="B329" s="2">
        <v>43579</v>
      </c>
      <c r="C329" s="3" t="s">
        <v>666</v>
      </c>
      <c r="D329" s="3" t="str">
        <f>INDEX('Customers (2)'!B:B,MATCH('Customers (2)'!A329,'Customers (2)'!A:A,0))</f>
        <v>Baudoin Alldridge</v>
      </c>
      <c r="E329" s="4" t="s">
        <v>179</v>
      </c>
      <c r="F329" s="3">
        <v>5</v>
      </c>
      <c r="G329" s="5">
        <f>INDEX([1]products!$A$1:$G$49,MATCH([1]orders!$D329,[1]products!$A$1:$A$49,0),MATCH([1]orders!K$1,[1]products!$A$1:$G$1,0))</f>
        <v>1</v>
      </c>
      <c r="H329" s="6">
        <f>INDEX([1]products!$A$1:$G$49,MATCH([1]orders!$D329,[1]products!$A$1:$A$49,0),MATCH([1]orders!L$1,[1]products!$A$1:$G$1,0))</f>
        <v>8.9499999999999993</v>
      </c>
      <c r="I329" s="6">
        <f t="shared" si="5"/>
        <v>44.75</v>
      </c>
    </row>
    <row r="330" spans="1:9" x14ac:dyDescent="0.3">
      <c r="A330" s="1" t="s">
        <v>667</v>
      </c>
      <c r="B330" s="2">
        <v>43620</v>
      </c>
      <c r="C330" s="3" t="s">
        <v>668</v>
      </c>
      <c r="D330" s="3" t="str">
        <f>INDEX('Customers (2)'!B:B,MATCH('Customers (2)'!A330,'Customers (2)'!A:A,0))</f>
        <v>Homer Dulany</v>
      </c>
      <c r="E330" s="4" t="s">
        <v>83</v>
      </c>
      <c r="F330" s="3">
        <v>4</v>
      </c>
      <c r="G330" s="5">
        <f>INDEX([1]products!$A$1:$G$49,MATCH([1]orders!$D330,[1]products!$A$1:$A$49,0),MATCH([1]orders!K$1,[1]products!$A$1:$G$1,0))</f>
        <v>0.5</v>
      </c>
      <c r="H330" s="6">
        <f>INDEX([1]products!$A$1:$G$49,MATCH([1]orders!$D330,[1]products!$A$1:$A$49,0),MATCH([1]orders!L$1,[1]products!$A$1:$G$1,0))</f>
        <v>9.51</v>
      </c>
      <c r="I330" s="6">
        <f t="shared" si="5"/>
        <v>38.04</v>
      </c>
    </row>
    <row r="331" spans="1:9" x14ac:dyDescent="0.3">
      <c r="A331" s="1" t="s">
        <v>669</v>
      </c>
      <c r="B331" s="2">
        <v>44781</v>
      </c>
      <c r="C331" s="3" t="s">
        <v>670</v>
      </c>
      <c r="D331" s="3" t="str">
        <f>INDEX('Customers (2)'!B:B,MATCH('Customers (2)'!A331,'Customers (2)'!A:A,0))</f>
        <v>Lisa Goodger</v>
      </c>
      <c r="E331" s="4" t="s">
        <v>146</v>
      </c>
      <c r="F331" s="3">
        <v>4</v>
      </c>
      <c r="G331" s="5">
        <f>INDEX([1]products!$A$1:$G$49,MATCH([1]orders!$D331,[1]products!$A$1:$A$49,0),MATCH([1]orders!K$1,[1]products!$A$1:$G$1,0))</f>
        <v>0.5</v>
      </c>
      <c r="H331" s="6">
        <f>INDEX([1]products!$A$1:$G$49,MATCH([1]orders!$D331,[1]products!$A$1:$A$49,0),MATCH([1]orders!L$1,[1]products!$A$1:$G$1,0))</f>
        <v>5.3699999999999992</v>
      </c>
      <c r="I331" s="6">
        <f t="shared" si="5"/>
        <v>21.479999999999997</v>
      </c>
    </row>
    <row r="332" spans="1:9" x14ac:dyDescent="0.3">
      <c r="A332" s="1" t="s">
        <v>671</v>
      </c>
      <c r="B332" s="2">
        <v>43782</v>
      </c>
      <c r="C332" s="3" t="s">
        <v>648</v>
      </c>
      <c r="D332" s="3" t="str">
        <f>INDEX('Customers (2)'!B:B,MATCH('Customers (2)'!A332,'Customers (2)'!A:A,0))</f>
        <v>Fiorenze Drogan</v>
      </c>
      <c r="E332" s="4" t="s">
        <v>146</v>
      </c>
      <c r="F332" s="3">
        <v>3</v>
      </c>
      <c r="G332" s="5">
        <f>INDEX([1]products!$A$1:$G$49,MATCH([1]orders!$D332,[1]products!$A$1:$A$49,0),MATCH([1]orders!K$1,[1]products!$A$1:$G$1,0))</f>
        <v>0.5</v>
      </c>
      <c r="H332" s="6">
        <f>INDEX([1]products!$A$1:$G$49,MATCH([1]orders!$D332,[1]products!$A$1:$A$49,0),MATCH([1]orders!L$1,[1]products!$A$1:$G$1,0))</f>
        <v>5.3699999999999992</v>
      </c>
      <c r="I332" s="6">
        <f t="shared" si="5"/>
        <v>16.11</v>
      </c>
    </row>
    <row r="333" spans="1:9" x14ac:dyDescent="0.3">
      <c r="A333" s="1" t="s">
        <v>672</v>
      </c>
      <c r="B333" s="2">
        <v>43989</v>
      </c>
      <c r="C333" s="3" t="s">
        <v>673</v>
      </c>
      <c r="D333" s="3" t="str">
        <f>INDEX('Customers (2)'!B:B,MATCH('Customers (2)'!A333,'Customers (2)'!A:A,0))</f>
        <v>Corine Drewett</v>
      </c>
      <c r="E333" s="4" t="s">
        <v>41</v>
      </c>
      <c r="F333" s="3">
        <v>1</v>
      </c>
      <c r="G333" s="5">
        <f>INDEX([1]products!$A$1:$G$49,MATCH([1]orders!$D333,[1]products!$A$1:$A$49,0),MATCH([1]orders!K$1,[1]products!$A$1:$G$1,0))</f>
        <v>2.5</v>
      </c>
      <c r="H333" s="6">
        <f>INDEX([1]products!$A$1:$G$49,MATCH([1]orders!$D333,[1]products!$A$1:$A$49,0),MATCH([1]orders!L$1,[1]products!$A$1:$G$1,0))</f>
        <v>22.884999999999998</v>
      </c>
      <c r="I333" s="6">
        <f t="shared" si="5"/>
        <v>22.884999999999998</v>
      </c>
    </row>
    <row r="334" spans="1:9" x14ac:dyDescent="0.3">
      <c r="A334" s="1" t="s">
        <v>674</v>
      </c>
      <c r="B334" s="2">
        <v>43689</v>
      </c>
      <c r="C334" s="3" t="s">
        <v>675</v>
      </c>
      <c r="D334" s="3" t="str">
        <f>INDEX('Customers (2)'!B:B,MATCH('Customers (2)'!A334,'Customers (2)'!A:A,0))</f>
        <v>Quinn Parsons</v>
      </c>
      <c r="E334" s="4" t="s">
        <v>72</v>
      </c>
      <c r="F334" s="3">
        <v>3</v>
      </c>
      <c r="G334" s="5">
        <f>INDEX([1]products!$A$1:$G$49,MATCH([1]orders!$D334,[1]products!$A$1:$A$49,0),MATCH([1]orders!K$1,[1]products!$A$1:$G$1,0))</f>
        <v>0.5</v>
      </c>
      <c r="H334" s="6">
        <f>INDEX([1]products!$A$1:$G$49,MATCH([1]orders!$D334,[1]products!$A$1:$A$49,0),MATCH([1]orders!L$1,[1]products!$A$1:$G$1,0))</f>
        <v>5.97</v>
      </c>
      <c r="I334" s="6">
        <f t="shared" si="5"/>
        <v>17.91</v>
      </c>
    </row>
    <row r="335" spans="1:9" x14ac:dyDescent="0.3">
      <c r="A335" s="1" t="s">
        <v>676</v>
      </c>
      <c r="B335" s="2">
        <v>43712</v>
      </c>
      <c r="C335" s="3" t="s">
        <v>677</v>
      </c>
      <c r="D335" s="3" t="str">
        <f>INDEX('Customers (2)'!B:B,MATCH('Customers (2)'!A335,'Customers (2)'!A:A,0))</f>
        <v>Vivyan Ceely</v>
      </c>
      <c r="E335" s="4" t="s">
        <v>22</v>
      </c>
      <c r="F335" s="3">
        <v>4</v>
      </c>
      <c r="G335" s="5">
        <f>INDEX([1]products!$A$1:$G$49,MATCH([1]orders!$D335,[1]products!$A$1:$A$49,0),MATCH([1]orders!K$1,[1]products!$A$1:$G$1,0))</f>
        <v>0.5</v>
      </c>
      <c r="H335" s="6">
        <f>INDEX([1]products!$A$1:$G$49,MATCH([1]orders!$D335,[1]products!$A$1:$A$49,0),MATCH([1]orders!L$1,[1]products!$A$1:$G$1,0))</f>
        <v>5.97</v>
      </c>
      <c r="I335" s="6">
        <f t="shared" si="5"/>
        <v>23.88</v>
      </c>
    </row>
    <row r="336" spans="1:9" x14ac:dyDescent="0.3">
      <c r="A336" s="1" t="s">
        <v>678</v>
      </c>
      <c r="B336" s="2">
        <v>43742</v>
      </c>
      <c r="C336" s="3" t="s">
        <v>679</v>
      </c>
      <c r="D336" s="3" t="str">
        <f>INDEX('Customers (2)'!B:B,MATCH('Customers (2)'!A336,'Customers (2)'!A:A,0))</f>
        <v>Elonore Goodings</v>
      </c>
      <c r="E336" s="4" t="s">
        <v>189</v>
      </c>
      <c r="F336" s="3">
        <v>5</v>
      </c>
      <c r="G336" s="5">
        <f>INDEX([1]products!$A$1:$G$49,MATCH([1]orders!$D336,[1]products!$A$1:$A$49,0),MATCH([1]orders!K$1,[1]products!$A$1:$G$1,0))</f>
        <v>1</v>
      </c>
      <c r="H336" s="6">
        <f>INDEX([1]products!$A$1:$G$49,MATCH([1]orders!$D336,[1]products!$A$1:$A$49,0),MATCH([1]orders!L$1,[1]products!$A$1:$G$1,0))</f>
        <v>11.95</v>
      </c>
      <c r="I336" s="6">
        <f t="shared" si="5"/>
        <v>59.75</v>
      </c>
    </row>
    <row r="337" spans="1:9" x14ac:dyDescent="0.3">
      <c r="A337" s="1" t="s">
        <v>680</v>
      </c>
      <c r="B337" s="2">
        <v>43885</v>
      </c>
      <c r="C337" s="3" t="s">
        <v>681</v>
      </c>
      <c r="D337" s="3" t="str">
        <f>INDEX('Customers (2)'!B:B,MATCH('Customers (2)'!A337,'Customers (2)'!A:A,0))</f>
        <v>Clement Vasiliev</v>
      </c>
      <c r="E337" s="4" t="s">
        <v>19</v>
      </c>
      <c r="F337" s="3">
        <v>6</v>
      </c>
      <c r="G337" s="5">
        <f>INDEX([1]products!$A$1:$G$49,MATCH([1]orders!$D337,[1]products!$A$1:$A$49,0),MATCH([1]orders!K$1,[1]products!$A$1:$G$1,0))</f>
        <v>0.2</v>
      </c>
      <c r="H337" s="6">
        <f>INDEX([1]products!$A$1:$G$49,MATCH([1]orders!$D337,[1]products!$A$1:$A$49,0),MATCH([1]orders!L$1,[1]products!$A$1:$G$1,0))</f>
        <v>4.7549999999999999</v>
      </c>
      <c r="I337" s="6">
        <f t="shared" si="5"/>
        <v>28.53</v>
      </c>
    </row>
    <row r="338" spans="1:9" x14ac:dyDescent="0.3">
      <c r="A338" s="1" t="s">
        <v>682</v>
      </c>
      <c r="B338" s="2">
        <v>44434</v>
      </c>
      <c r="C338" s="3" t="s">
        <v>683</v>
      </c>
      <c r="D338" s="3" t="str">
        <f>INDEX('Customers (2)'!B:B,MATCH('Customers (2)'!A338,'Customers (2)'!A:A,0))</f>
        <v>Terencio O'Moylan</v>
      </c>
      <c r="E338" s="4" t="s">
        <v>61</v>
      </c>
      <c r="F338" s="3">
        <v>4</v>
      </c>
      <c r="G338" s="5">
        <f>INDEX([1]products!$A$1:$G$49,MATCH([1]orders!$D338,[1]products!$A$1:$A$49,0),MATCH([1]orders!K$1,[1]products!$A$1:$G$1,0))</f>
        <v>1</v>
      </c>
      <c r="H338" s="6">
        <f>INDEX([1]products!$A$1:$G$49,MATCH([1]orders!$D338,[1]products!$A$1:$A$49,0),MATCH([1]orders!L$1,[1]products!$A$1:$G$1,0))</f>
        <v>11.25</v>
      </c>
      <c r="I338" s="6">
        <f t="shared" si="5"/>
        <v>45</v>
      </c>
    </row>
    <row r="339" spans="1:9" x14ac:dyDescent="0.3">
      <c r="A339" s="1" t="s">
        <v>684</v>
      </c>
      <c r="B339" s="2">
        <v>44472</v>
      </c>
      <c r="C339" s="3" t="s">
        <v>664</v>
      </c>
      <c r="D339" s="3" t="str">
        <f>INDEX('Customers (2)'!B:B,MATCH('Customers (2)'!A339,'Customers (2)'!A:A,0))</f>
        <v>Jeddy Vanyarkin</v>
      </c>
      <c r="E339" s="4" t="s">
        <v>530</v>
      </c>
      <c r="F339" s="3">
        <v>2</v>
      </c>
      <c r="G339" s="5">
        <f>INDEX([1]products!$A$1:$G$49,MATCH([1]orders!$D339,[1]products!$A$1:$A$49,0),MATCH([1]orders!K$1,[1]products!$A$1:$G$1,0))</f>
        <v>2.5</v>
      </c>
      <c r="H339" s="6">
        <f>INDEX([1]products!$A$1:$G$49,MATCH([1]orders!$D339,[1]products!$A$1:$A$49,0),MATCH([1]orders!L$1,[1]products!$A$1:$G$1,0))</f>
        <v>27.945</v>
      </c>
      <c r="I339" s="6">
        <f t="shared" si="5"/>
        <v>55.89</v>
      </c>
    </row>
    <row r="340" spans="1:9" x14ac:dyDescent="0.3">
      <c r="A340" s="1" t="s">
        <v>685</v>
      </c>
      <c r="B340" s="2">
        <v>43995</v>
      </c>
      <c r="C340" s="3" t="s">
        <v>686</v>
      </c>
      <c r="D340" s="3" t="str">
        <f>INDEX('Customers (2)'!B:B,MATCH('Customers (2)'!A340,'Customers (2)'!A:A,0))</f>
        <v>Wyatan Fetherston</v>
      </c>
      <c r="E340" s="4" t="s">
        <v>137</v>
      </c>
      <c r="F340" s="3">
        <v>4</v>
      </c>
      <c r="G340" s="5">
        <f>INDEX([1]products!$A$1:$G$49,MATCH([1]orders!$D340,[1]products!$A$1:$A$49,0),MATCH([1]orders!K$1,[1]products!$A$1:$G$1,0))</f>
        <v>1</v>
      </c>
      <c r="H340" s="6">
        <f>INDEX([1]products!$A$1:$G$49,MATCH([1]orders!$D340,[1]products!$A$1:$A$49,0),MATCH([1]orders!L$1,[1]products!$A$1:$G$1,0))</f>
        <v>14.85</v>
      </c>
      <c r="I340" s="6">
        <f t="shared" si="5"/>
        <v>59.4</v>
      </c>
    </row>
    <row r="341" spans="1:9" x14ac:dyDescent="0.3">
      <c r="A341" s="1" t="s">
        <v>687</v>
      </c>
      <c r="B341" s="2">
        <v>44256</v>
      </c>
      <c r="C341" s="3" t="s">
        <v>688</v>
      </c>
      <c r="D341" s="3" t="str">
        <f>INDEX('Customers (2)'!B:B,MATCH('Customers (2)'!A341,'Customers (2)'!A:A,0))</f>
        <v>Emmaline Rasmus</v>
      </c>
      <c r="E341" s="4" t="s">
        <v>51</v>
      </c>
      <c r="F341" s="3">
        <v>2</v>
      </c>
      <c r="G341" s="5">
        <f>INDEX([1]products!$A$1:$G$49,MATCH([1]orders!$D341,[1]products!$A$1:$A$49,0),MATCH([1]orders!K$1,[1]products!$A$1:$G$1,0))</f>
        <v>0.2</v>
      </c>
      <c r="H341" s="6">
        <f>INDEX([1]products!$A$1:$G$49,MATCH([1]orders!$D341,[1]products!$A$1:$A$49,0),MATCH([1]orders!L$1,[1]products!$A$1:$G$1,0))</f>
        <v>3.645</v>
      </c>
      <c r="I341" s="6">
        <f t="shared" si="5"/>
        <v>7.29</v>
      </c>
    </row>
    <row r="342" spans="1:9" x14ac:dyDescent="0.3">
      <c r="A342" s="1" t="s">
        <v>689</v>
      </c>
      <c r="B342" s="2">
        <v>43528</v>
      </c>
      <c r="C342" s="3" t="s">
        <v>690</v>
      </c>
      <c r="D342" s="3" t="str">
        <f>INDEX('Customers (2)'!B:B,MATCH('Customers (2)'!A342,'Customers (2)'!A:A,0))</f>
        <v>Wesley Giorgioni</v>
      </c>
      <c r="E342" s="4" t="s">
        <v>16</v>
      </c>
      <c r="F342" s="3">
        <v>1</v>
      </c>
      <c r="G342" s="5">
        <f>INDEX([1]products!$A$1:$G$49,MATCH([1]orders!$D342,[1]products!$A$1:$A$49,0),MATCH([1]orders!K$1,[1]products!$A$1:$G$1,0))</f>
        <v>0.5</v>
      </c>
      <c r="H342" s="6">
        <f>INDEX([1]products!$A$1:$G$49,MATCH([1]orders!$D342,[1]products!$A$1:$A$49,0),MATCH([1]orders!L$1,[1]products!$A$1:$G$1,0))</f>
        <v>7.29</v>
      </c>
      <c r="I342" s="6">
        <f t="shared" si="5"/>
        <v>7.29</v>
      </c>
    </row>
    <row r="343" spans="1:9" x14ac:dyDescent="0.3">
      <c r="A343" s="1" t="s">
        <v>691</v>
      </c>
      <c r="B343" s="2">
        <v>43751</v>
      </c>
      <c r="C343" s="3" t="s">
        <v>692</v>
      </c>
      <c r="D343" s="3" t="str">
        <f>INDEX('Customers (2)'!B:B,MATCH('Customers (2)'!A343,'Customers (2)'!A:A,0))</f>
        <v>Lucienne Scargle</v>
      </c>
      <c r="E343" s="4" t="s">
        <v>176</v>
      </c>
      <c r="F343" s="3">
        <v>2</v>
      </c>
      <c r="G343" s="5">
        <f>INDEX([1]products!$A$1:$G$49,MATCH([1]orders!$D343,[1]products!$A$1:$A$49,0),MATCH([1]orders!K$1,[1]products!$A$1:$G$1,0))</f>
        <v>0.5</v>
      </c>
      <c r="H343" s="6">
        <f>INDEX([1]products!$A$1:$G$49,MATCH([1]orders!$D343,[1]products!$A$1:$A$49,0),MATCH([1]orders!L$1,[1]products!$A$1:$G$1,0))</f>
        <v>8.91</v>
      </c>
      <c r="I343" s="6">
        <f t="shared" si="5"/>
        <v>17.82</v>
      </c>
    </row>
    <row r="344" spans="1:9" x14ac:dyDescent="0.3">
      <c r="A344" s="1" t="s">
        <v>691</v>
      </c>
      <c r="B344" s="2">
        <v>43751</v>
      </c>
      <c r="C344" s="3" t="s">
        <v>692</v>
      </c>
      <c r="D344" s="3" t="str">
        <f>INDEX('Customers (2)'!B:B,MATCH('Customers (2)'!A344,'Customers (2)'!A:A,0))</f>
        <v>Christy Franseco</v>
      </c>
      <c r="E344" s="4" t="s">
        <v>123</v>
      </c>
      <c r="F344" s="3">
        <v>5</v>
      </c>
      <c r="G344" s="5">
        <f>INDEX([1]products!$A$1:$G$49,MATCH([1]orders!$D344,[1]products!$A$1:$A$49,0),MATCH([1]orders!K$1,[1]products!$A$1:$G$1,0))</f>
        <v>0.5</v>
      </c>
      <c r="H344" s="6">
        <f>INDEX([1]products!$A$1:$G$49,MATCH([1]orders!$D344,[1]products!$A$1:$A$49,0),MATCH([1]orders!L$1,[1]products!$A$1:$G$1,0))</f>
        <v>7.77</v>
      </c>
      <c r="I344" s="6">
        <f t="shared" si="5"/>
        <v>38.849999999999994</v>
      </c>
    </row>
    <row r="345" spans="1:9" x14ac:dyDescent="0.3">
      <c r="A345" s="1" t="s">
        <v>693</v>
      </c>
      <c r="B345" s="2">
        <v>43692</v>
      </c>
      <c r="C345" s="3" t="s">
        <v>694</v>
      </c>
      <c r="D345" s="3" t="str">
        <f>INDEX('Customers (2)'!B:B,MATCH('Customers (2)'!A345,'Customers (2)'!A:A,0))</f>
        <v>Noam Climance</v>
      </c>
      <c r="E345" s="4" t="s">
        <v>146</v>
      </c>
      <c r="F345" s="3">
        <v>6</v>
      </c>
      <c r="G345" s="5">
        <f>INDEX([1]products!$A$1:$G$49,MATCH([1]orders!$D345,[1]products!$A$1:$A$49,0),MATCH([1]orders!K$1,[1]products!$A$1:$G$1,0))</f>
        <v>0.5</v>
      </c>
      <c r="H345" s="6">
        <f>INDEX([1]products!$A$1:$G$49,MATCH([1]orders!$D345,[1]products!$A$1:$A$49,0),MATCH([1]orders!L$1,[1]products!$A$1:$G$1,0))</f>
        <v>5.3699999999999992</v>
      </c>
      <c r="I345" s="6">
        <f t="shared" si="5"/>
        <v>32.22</v>
      </c>
    </row>
    <row r="346" spans="1:9" x14ac:dyDescent="0.3">
      <c r="A346" s="1" t="s">
        <v>695</v>
      </c>
      <c r="B346" s="2">
        <v>44529</v>
      </c>
      <c r="C346" s="3" t="s">
        <v>696</v>
      </c>
      <c r="D346" s="3" t="str">
        <f>INDEX('Customers (2)'!B:B,MATCH('Customers (2)'!A346,'Customers (2)'!A:A,0))</f>
        <v>Catarina Donn</v>
      </c>
      <c r="E346" s="4" t="s">
        <v>2</v>
      </c>
      <c r="F346" s="3">
        <v>2</v>
      </c>
      <c r="G346" s="5">
        <f>INDEX([1]products!$A$1:$G$49,MATCH([1]orders!$D346,[1]products!$A$1:$A$49,0),MATCH([1]orders!K$1,[1]products!$A$1:$G$1,0))</f>
        <v>1</v>
      </c>
      <c r="H346" s="6">
        <f>INDEX([1]products!$A$1:$G$49,MATCH([1]orders!$D346,[1]products!$A$1:$A$49,0),MATCH([1]orders!L$1,[1]products!$A$1:$G$1,0))</f>
        <v>9.9499999999999993</v>
      </c>
      <c r="I346" s="6">
        <f t="shared" si="5"/>
        <v>19.899999999999999</v>
      </c>
    </row>
    <row r="347" spans="1:9" x14ac:dyDescent="0.3">
      <c r="A347" s="1" t="s">
        <v>697</v>
      </c>
      <c r="B347" s="2">
        <v>43849</v>
      </c>
      <c r="C347" s="3" t="s">
        <v>698</v>
      </c>
      <c r="D347" s="3" t="str">
        <f>INDEX('Customers (2)'!B:B,MATCH('Customers (2)'!A347,'Customers (2)'!A:A,0))</f>
        <v>Ameline Snazle</v>
      </c>
      <c r="E347" s="4" t="s">
        <v>189</v>
      </c>
      <c r="F347" s="3">
        <v>5</v>
      </c>
      <c r="G347" s="5">
        <f>INDEX([1]products!$A$1:$G$49,MATCH([1]orders!$D347,[1]products!$A$1:$A$49,0),MATCH([1]orders!K$1,[1]products!$A$1:$G$1,0))</f>
        <v>1</v>
      </c>
      <c r="H347" s="6">
        <f>INDEX([1]products!$A$1:$G$49,MATCH([1]orders!$D347,[1]products!$A$1:$A$49,0),MATCH([1]orders!L$1,[1]products!$A$1:$G$1,0))</f>
        <v>11.95</v>
      </c>
      <c r="I347" s="6">
        <f t="shared" si="5"/>
        <v>59.75</v>
      </c>
    </row>
    <row r="348" spans="1:9" x14ac:dyDescent="0.3">
      <c r="A348" s="1" t="s">
        <v>699</v>
      </c>
      <c r="B348" s="2">
        <v>44344</v>
      </c>
      <c r="C348" s="3" t="s">
        <v>700</v>
      </c>
      <c r="D348" s="3" t="str">
        <f>INDEX('Customers (2)'!B:B,MATCH('Customers (2)'!A348,'Customers (2)'!A:A,0))</f>
        <v>Rebeka Worg</v>
      </c>
      <c r="E348" s="4" t="s">
        <v>192</v>
      </c>
      <c r="F348" s="3">
        <v>3</v>
      </c>
      <c r="G348" s="5">
        <f>INDEX([1]products!$A$1:$G$49,MATCH([1]orders!$D348,[1]products!$A$1:$A$49,0),MATCH([1]orders!K$1,[1]products!$A$1:$G$1,0))</f>
        <v>0.5</v>
      </c>
      <c r="H348" s="6">
        <f>INDEX([1]products!$A$1:$G$49,MATCH([1]orders!$D348,[1]products!$A$1:$A$49,0),MATCH([1]orders!L$1,[1]products!$A$1:$G$1,0))</f>
        <v>7.77</v>
      </c>
      <c r="I348" s="6">
        <f t="shared" si="5"/>
        <v>23.31</v>
      </c>
    </row>
    <row r="349" spans="1:9" x14ac:dyDescent="0.3">
      <c r="A349" s="1" t="s">
        <v>701</v>
      </c>
      <c r="B349" s="2">
        <v>44576</v>
      </c>
      <c r="C349" s="3" t="s">
        <v>702</v>
      </c>
      <c r="D349" s="3" t="str">
        <f>INDEX('Customers (2)'!B:B,MATCH('Customers (2)'!A349,'Customers (2)'!A:A,0))</f>
        <v>Lewes Danes</v>
      </c>
      <c r="E349" s="4" t="s">
        <v>96</v>
      </c>
      <c r="F349" s="3">
        <v>3</v>
      </c>
      <c r="G349" s="5">
        <f>INDEX([1]products!$A$1:$G$49,MATCH([1]orders!$D349,[1]products!$A$1:$A$49,0),MATCH([1]orders!K$1,[1]products!$A$1:$G$1,0))</f>
        <v>1</v>
      </c>
      <c r="H349" s="6">
        <f>INDEX([1]products!$A$1:$G$49,MATCH([1]orders!$D349,[1]products!$A$1:$A$49,0),MATCH([1]orders!L$1,[1]products!$A$1:$G$1,0))</f>
        <v>14.55</v>
      </c>
      <c r="I349" s="6">
        <f t="shared" si="5"/>
        <v>43.650000000000006</v>
      </c>
    </row>
    <row r="350" spans="1:9" x14ac:dyDescent="0.3">
      <c r="A350" s="1" t="s">
        <v>703</v>
      </c>
      <c r="B350" s="2">
        <v>43803</v>
      </c>
      <c r="C350" s="3" t="s">
        <v>704</v>
      </c>
      <c r="D350" s="3" t="str">
        <f>INDEX('Customers (2)'!B:B,MATCH('Customers (2)'!A350,'Customers (2)'!A:A,0))</f>
        <v>Shelli Keynd</v>
      </c>
      <c r="E350" s="4" t="s">
        <v>30</v>
      </c>
      <c r="F350" s="3">
        <v>6</v>
      </c>
      <c r="G350" s="5">
        <f>INDEX([1]products!$A$1:$G$49,MATCH([1]orders!$D350,[1]products!$A$1:$A$49,0),MATCH([1]orders!K$1,[1]products!$A$1:$G$1,0))</f>
        <v>2.5</v>
      </c>
      <c r="H350" s="6">
        <f>INDEX([1]products!$A$1:$G$49,MATCH([1]orders!$D350,[1]products!$A$1:$A$49,0),MATCH([1]orders!L$1,[1]products!$A$1:$G$1,0))</f>
        <v>34.154999999999994</v>
      </c>
      <c r="I350" s="6">
        <f t="shared" si="5"/>
        <v>204.92999999999995</v>
      </c>
    </row>
    <row r="351" spans="1:9" x14ac:dyDescent="0.3">
      <c r="A351" s="1" t="s">
        <v>705</v>
      </c>
      <c r="B351" s="2">
        <v>44743</v>
      </c>
      <c r="C351" s="3" t="s">
        <v>706</v>
      </c>
      <c r="D351" s="3" t="str">
        <f>INDEX('Customers (2)'!B:B,MATCH('Customers (2)'!A351,'Customers (2)'!A:A,0))</f>
        <v>Dell Daveridge</v>
      </c>
      <c r="E351" s="4" t="s">
        <v>182</v>
      </c>
      <c r="F351" s="3">
        <v>4</v>
      </c>
      <c r="G351" s="5">
        <f>INDEX([1]products!$A$1:$G$49,MATCH([1]orders!$D351,[1]products!$A$1:$A$49,0),MATCH([1]orders!K$1,[1]products!$A$1:$G$1,0))</f>
        <v>0.2</v>
      </c>
      <c r="H351" s="6">
        <f>INDEX([1]products!$A$1:$G$49,MATCH([1]orders!$D351,[1]products!$A$1:$A$49,0),MATCH([1]orders!L$1,[1]products!$A$1:$G$1,0))</f>
        <v>3.5849999999999995</v>
      </c>
      <c r="I351" s="6">
        <f t="shared" si="5"/>
        <v>14.339999999999998</v>
      </c>
    </row>
    <row r="352" spans="1:9" x14ac:dyDescent="0.3">
      <c r="A352" s="1" t="s">
        <v>707</v>
      </c>
      <c r="B352" s="2">
        <v>43592</v>
      </c>
      <c r="C352" s="3" t="s">
        <v>708</v>
      </c>
      <c r="D352" s="3" t="str">
        <f>INDEX('Customers (2)'!B:B,MATCH('Customers (2)'!A352,'Customers (2)'!A:A,0))</f>
        <v>Joshuah Awdry</v>
      </c>
      <c r="E352" s="4" t="s">
        <v>72</v>
      </c>
      <c r="F352" s="3">
        <v>4</v>
      </c>
      <c r="G352" s="5">
        <f>INDEX([1]products!$A$1:$G$49,MATCH([1]orders!$D352,[1]products!$A$1:$A$49,0),MATCH([1]orders!K$1,[1]products!$A$1:$G$1,0))</f>
        <v>0.5</v>
      </c>
      <c r="H352" s="6">
        <f>INDEX([1]products!$A$1:$G$49,MATCH([1]orders!$D352,[1]products!$A$1:$A$49,0),MATCH([1]orders!L$1,[1]products!$A$1:$G$1,0))</f>
        <v>5.97</v>
      </c>
      <c r="I352" s="6">
        <f t="shared" si="5"/>
        <v>23.88</v>
      </c>
    </row>
    <row r="353" spans="1:9" x14ac:dyDescent="0.3">
      <c r="A353" s="1" t="s">
        <v>709</v>
      </c>
      <c r="B353" s="2">
        <v>44066</v>
      </c>
      <c r="C353" s="3" t="s">
        <v>710</v>
      </c>
      <c r="D353" s="3" t="str">
        <f>INDEX('Customers (2)'!B:B,MATCH('Customers (2)'!A353,'Customers (2)'!A:A,0))</f>
        <v>Ethel Ryles</v>
      </c>
      <c r="E353" s="4" t="s">
        <v>61</v>
      </c>
      <c r="F353" s="3">
        <v>2</v>
      </c>
      <c r="G353" s="5">
        <f>INDEX([1]products!$A$1:$G$49,MATCH([1]orders!$D353,[1]products!$A$1:$A$49,0),MATCH([1]orders!K$1,[1]products!$A$1:$G$1,0))</f>
        <v>1</v>
      </c>
      <c r="H353" s="6">
        <f>INDEX([1]products!$A$1:$G$49,MATCH([1]orders!$D353,[1]products!$A$1:$A$49,0),MATCH([1]orders!L$1,[1]products!$A$1:$G$1,0))</f>
        <v>11.25</v>
      </c>
      <c r="I353" s="6">
        <f t="shared" si="5"/>
        <v>22.5</v>
      </c>
    </row>
    <row r="354" spans="1:9" x14ac:dyDescent="0.3">
      <c r="A354" s="1" t="s">
        <v>711</v>
      </c>
      <c r="B354" s="2">
        <v>43984</v>
      </c>
      <c r="C354" s="3" t="s">
        <v>664</v>
      </c>
      <c r="D354" s="3" t="str">
        <f>INDEX('Customers (2)'!B:B,MATCH('Customers (2)'!A354,'Customers (2)'!A:A,0))</f>
        <v>Selie Baulcombe</v>
      </c>
      <c r="E354" s="4" t="s">
        <v>16</v>
      </c>
      <c r="F354" s="3">
        <v>5</v>
      </c>
      <c r="G354" s="5">
        <f>INDEX([1]products!$A$1:$G$49,MATCH([1]orders!$D354,[1]products!$A$1:$A$49,0),MATCH([1]orders!K$1,[1]products!$A$1:$G$1,0))</f>
        <v>0.5</v>
      </c>
      <c r="H354" s="6">
        <f>INDEX([1]products!$A$1:$G$49,MATCH([1]orders!$D354,[1]products!$A$1:$A$49,0),MATCH([1]orders!L$1,[1]products!$A$1:$G$1,0))</f>
        <v>7.29</v>
      </c>
      <c r="I354" s="6">
        <f t="shared" si="5"/>
        <v>36.450000000000003</v>
      </c>
    </row>
    <row r="355" spans="1:9" x14ac:dyDescent="0.3">
      <c r="A355" s="1" t="s">
        <v>712</v>
      </c>
      <c r="B355" s="2">
        <v>43860</v>
      </c>
      <c r="C355" s="3" t="s">
        <v>713</v>
      </c>
      <c r="D355" s="3" t="str">
        <f>INDEX('Customers (2)'!B:B,MATCH('Customers (2)'!A355,'Customers (2)'!A:A,0))</f>
        <v>Maitilde Boxill</v>
      </c>
      <c r="E355" s="4" t="s">
        <v>67</v>
      </c>
      <c r="F355" s="3">
        <v>4</v>
      </c>
      <c r="G355" s="5">
        <f>INDEX([1]products!$A$1:$G$49,MATCH([1]orders!$D355,[1]products!$A$1:$A$49,0),MATCH([1]orders!K$1,[1]products!$A$1:$G$1,0))</f>
        <v>0.5</v>
      </c>
      <c r="H355" s="6">
        <f>INDEX([1]products!$A$1:$G$49,MATCH([1]orders!$D355,[1]products!$A$1:$A$49,0),MATCH([1]orders!L$1,[1]products!$A$1:$G$1,0))</f>
        <v>6.75</v>
      </c>
      <c r="I355" s="6">
        <f t="shared" si="5"/>
        <v>27</v>
      </c>
    </row>
    <row r="356" spans="1:9" x14ac:dyDescent="0.3">
      <c r="A356" s="1" t="s">
        <v>714</v>
      </c>
      <c r="B356" s="2">
        <v>43876</v>
      </c>
      <c r="C356" s="3" t="s">
        <v>715</v>
      </c>
      <c r="D356" s="3" t="str">
        <f>INDEX('Customers (2)'!B:B,MATCH('Customers (2)'!A356,'Customers (2)'!A:A,0))</f>
        <v>Jodee Caldicott</v>
      </c>
      <c r="E356" s="4" t="s">
        <v>171</v>
      </c>
      <c r="F356" s="3">
        <v>6</v>
      </c>
      <c r="G356" s="5">
        <f>INDEX([1]products!$A$1:$G$49,MATCH([1]orders!$D356,[1]products!$A$1:$A$49,0),MATCH([1]orders!K$1,[1]products!$A$1:$G$1,0))</f>
        <v>2.5</v>
      </c>
      <c r="H356" s="6">
        <f>INDEX([1]products!$A$1:$G$49,MATCH([1]orders!$D356,[1]products!$A$1:$A$49,0),MATCH([1]orders!L$1,[1]products!$A$1:$G$1,0))</f>
        <v>25.874999999999996</v>
      </c>
      <c r="I356" s="6">
        <f t="shared" si="5"/>
        <v>155.24999999999997</v>
      </c>
    </row>
    <row r="357" spans="1:9" x14ac:dyDescent="0.3">
      <c r="A357" s="1" t="s">
        <v>716</v>
      </c>
      <c r="B357" s="2">
        <v>44358</v>
      </c>
      <c r="C357" s="3" t="s">
        <v>717</v>
      </c>
      <c r="D357" s="3" t="str">
        <f>INDEX('Customers (2)'!B:B,MATCH('Customers (2)'!A357,'Customers (2)'!A:A,0))</f>
        <v>Marianna Vedmore</v>
      </c>
      <c r="E357" s="4" t="s">
        <v>118</v>
      </c>
      <c r="F357" s="3">
        <v>5</v>
      </c>
      <c r="G357" s="5">
        <f>INDEX([1]products!$A$1:$G$49,MATCH([1]orders!$D357,[1]products!$A$1:$A$49,0),MATCH([1]orders!K$1,[1]products!$A$1:$G$1,0))</f>
        <v>2.5</v>
      </c>
      <c r="H357" s="6">
        <f>INDEX([1]products!$A$1:$G$49,MATCH([1]orders!$D357,[1]products!$A$1:$A$49,0),MATCH([1]orders!L$1,[1]products!$A$1:$G$1,0))</f>
        <v>22.884999999999998</v>
      </c>
      <c r="I357" s="6">
        <f t="shared" si="5"/>
        <v>114.42499999999998</v>
      </c>
    </row>
    <row r="358" spans="1:9" x14ac:dyDescent="0.3">
      <c r="A358" s="1" t="s">
        <v>718</v>
      </c>
      <c r="B358" s="2">
        <v>44631</v>
      </c>
      <c r="C358" s="3" t="s">
        <v>719</v>
      </c>
      <c r="D358" s="3" t="str">
        <f>INDEX('Customers (2)'!B:B,MATCH('Customers (2)'!A358,'Customers (2)'!A:A,0))</f>
        <v>Willey Romao</v>
      </c>
      <c r="E358" s="4" t="s">
        <v>13</v>
      </c>
      <c r="F358" s="3">
        <v>4</v>
      </c>
      <c r="G358" s="5">
        <f>INDEX([1]products!$A$1:$G$49,MATCH([1]orders!$D358,[1]products!$A$1:$A$49,0),MATCH([1]orders!K$1,[1]products!$A$1:$G$1,0))</f>
        <v>1</v>
      </c>
      <c r="H358" s="6">
        <f>INDEX([1]products!$A$1:$G$49,MATCH([1]orders!$D358,[1]products!$A$1:$A$49,0),MATCH([1]orders!L$1,[1]products!$A$1:$G$1,0))</f>
        <v>12.95</v>
      </c>
      <c r="I358" s="6">
        <f t="shared" si="5"/>
        <v>51.8</v>
      </c>
    </row>
    <row r="359" spans="1:9" x14ac:dyDescent="0.3">
      <c r="A359" s="1" t="s">
        <v>720</v>
      </c>
      <c r="B359" s="2">
        <v>44448</v>
      </c>
      <c r="C359" s="3" t="s">
        <v>721</v>
      </c>
      <c r="D359" s="3" t="str">
        <f>INDEX('Customers (2)'!B:B,MATCH('Customers (2)'!A359,'Customers (2)'!A:A,0))</f>
        <v>Enriqueta Ixor</v>
      </c>
      <c r="E359" s="4" t="s">
        <v>171</v>
      </c>
      <c r="F359" s="3">
        <v>6</v>
      </c>
      <c r="G359" s="5">
        <f>INDEX([1]products!$A$1:$G$49,MATCH([1]orders!$D359,[1]products!$A$1:$A$49,0),MATCH([1]orders!K$1,[1]products!$A$1:$G$1,0))</f>
        <v>2.5</v>
      </c>
      <c r="H359" s="6">
        <f>INDEX([1]products!$A$1:$G$49,MATCH([1]orders!$D359,[1]products!$A$1:$A$49,0),MATCH([1]orders!L$1,[1]products!$A$1:$G$1,0))</f>
        <v>25.874999999999996</v>
      </c>
      <c r="I359" s="6">
        <f t="shared" si="5"/>
        <v>155.24999999999997</v>
      </c>
    </row>
    <row r="360" spans="1:9" x14ac:dyDescent="0.3">
      <c r="A360" s="1" t="s">
        <v>722</v>
      </c>
      <c r="B360" s="2">
        <v>43599</v>
      </c>
      <c r="C360" s="3" t="s">
        <v>723</v>
      </c>
      <c r="D360" s="3" t="str">
        <f>INDEX('Customers (2)'!B:B,MATCH('Customers (2)'!A360,'Customers (2)'!A:A,0))</f>
        <v>Tomasina Cotmore</v>
      </c>
      <c r="E360" s="4" t="s">
        <v>204</v>
      </c>
      <c r="F360" s="3">
        <v>1</v>
      </c>
      <c r="G360" s="5">
        <f>INDEX([1]products!$A$1:$G$49,MATCH([1]orders!$D360,[1]products!$A$1:$A$49,0),MATCH([1]orders!K$1,[1]products!$A$1:$G$1,0))</f>
        <v>2.5</v>
      </c>
      <c r="H360" s="6">
        <f>INDEX([1]products!$A$1:$G$49,MATCH([1]orders!$D360,[1]products!$A$1:$A$49,0),MATCH([1]orders!L$1,[1]products!$A$1:$G$1,0))</f>
        <v>29.784999999999997</v>
      </c>
      <c r="I360" s="6">
        <f t="shared" si="5"/>
        <v>29.784999999999997</v>
      </c>
    </row>
    <row r="361" spans="1:9" x14ac:dyDescent="0.3">
      <c r="A361" s="1" t="s">
        <v>724</v>
      </c>
      <c r="B361" s="2">
        <v>43563</v>
      </c>
      <c r="C361" s="3" t="s">
        <v>725</v>
      </c>
      <c r="D361" s="3" t="str">
        <f>INDEX('Customers (2)'!B:B,MATCH('Customers (2)'!A361,'Customers (2)'!A:A,0))</f>
        <v>Yuma Skipsey</v>
      </c>
      <c r="E361" s="4" t="s">
        <v>182</v>
      </c>
      <c r="F361" s="3">
        <v>6</v>
      </c>
      <c r="G361" s="5">
        <f>INDEX([1]products!$A$1:$G$49,MATCH([1]orders!$D361,[1]products!$A$1:$A$49,0),MATCH([1]orders!K$1,[1]products!$A$1:$G$1,0))</f>
        <v>0.2</v>
      </c>
      <c r="H361" s="6">
        <f>INDEX([1]products!$A$1:$G$49,MATCH([1]orders!$D361,[1]products!$A$1:$A$49,0),MATCH([1]orders!L$1,[1]products!$A$1:$G$1,0))</f>
        <v>3.5849999999999995</v>
      </c>
      <c r="I361" s="6">
        <f t="shared" si="5"/>
        <v>21.509999999999998</v>
      </c>
    </row>
    <row r="362" spans="1:9" x14ac:dyDescent="0.3">
      <c r="A362" s="1" t="s">
        <v>726</v>
      </c>
      <c r="B362" s="2">
        <v>44058</v>
      </c>
      <c r="C362" s="3" t="s">
        <v>727</v>
      </c>
      <c r="D362" s="3" t="str">
        <f>INDEX('Customers (2)'!B:B,MATCH('Customers (2)'!A362,'Customers (2)'!A:A,0))</f>
        <v>Nicko Corps</v>
      </c>
      <c r="E362" s="4" t="s">
        <v>35</v>
      </c>
      <c r="F362" s="3">
        <v>2</v>
      </c>
      <c r="G362" s="5">
        <f>INDEX([1]products!$A$1:$G$49,MATCH([1]orders!$D362,[1]products!$A$1:$A$49,0),MATCH([1]orders!K$1,[1]products!$A$1:$G$1,0))</f>
        <v>2.5</v>
      </c>
      <c r="H362" s="6">
        <f>INDEX([1]products!$A$1:$G$49,MATCH([1]orders!$D362,[1]products!$A$1:$A$49,0),MATCH([1]orders!L$1,[1]products!$A$1:$G$1,0))</f>
        <v>20.584999999999997</v>
      </c>
      <c r="I362" s="6">
        <f t="shared" si="5"/>
        <v>41.169999999999995</v>
      </c>
    </row>
    <row r="363" spans="1:9" x14ac:dyDescent="0.3">
      <c r="A363" s="1" t="s">
        <v>726</v>
      </c>
      <c r="B363" s="2">
        <v>44058</v>
      </c>
      <c r="C363" s="3" t="s">
        <v>727</v>
      </c>
      <c r="D363" s="3" t="str">
        <f>INDEX('Customers (2)'!B:B,MATCH('Customers (2)'!A363,'Customers (2)'!A:A,0))</f>
        <v>Christabel Rubury</v>
      </c>
      <c r="E363" s="4" t="s">
        <v>22</v>
      </c>
      <c r="F363" s="3">
        <v>1</v>
      </c>
      <c r="G363" s="5">
        <f>INDEX([1]products!$A$1:$G$49,MATCH([1]orders!$D363,[1]products!$A$1:$A$49,0),MATCH([1]orders!K$1,[1]products!$A$1:$G$1,0))</f>
        <v>0.5</v>
      </c>
      <c r="H363" s="6">
        <f>INDEX([1]products!$A$1:$G$49,MATCH([1]orders!$D363,[1]products!$A$1:$A$49,0),MATCH([1]orders!L$1,[1]products!$A$1:$G$1,0))</f>
        <v>5.97</v>
      </c>
      <c r="I363" s="6">
        <f t="shared" si="5"/>
        <v>5.97</v>
      </c>
    </row>
    <row r="364" spans="1:9" x14ac:dyDescent="0.3">
      <c r="A364" s="1" t="s">
        <v>728</v>
      </c>
      <c r="B364" s="2">
        <v>44686</v>
      </c>
      <c r="C364" s="3" t="s">
        <v>729</v>
      </c>
      <c r="D364" s="3" t="str">
        <f>INDEX('Customers (2)'!B:B,MATCH('Customers (2)'!A364,'Customers (2)'!A:A,0))</f>
        <v>Feliks Babber</v>
      </c>
      <c r="E364" s="4" t="s">
        <v>137</v>
      </c>
      <c r="F364" s="3">
        <v>5</v>
      </c>
      <c r="G364" s="5">
        <f>INDEX([1]products!$A$1:$G$49,MATCH([1]orders!$D364,[1]products!$A$1:$A$49,0),MATCH([1]orders!K$1,[1]products!$A$1:$G$1,0))</f>
        <v>1</v>
      </c>
      <c r="H364" s="6">
        <f>INDEX([1]products!$A$1:$G$49,MATCH([1]orders!$D364,[1]products!$A$1:$A$49,0),MATCH([1]orders!L$1,[1]products!$A$1:$G$1,0))</f>
        <v>14.85</v>
      </c>
      <c r="I364" s="6">
        <f t="shared" si="5"/>
        <v>74.25</v>
      </c>
    </row>
    <row r="365" spans="1:9" x14ac:dyDescent="0.3">
      <c r="A365" s="1" t="s">
        <v>730</v>
      </c>
      <c r="B365" s="2">
        <v>44282</v>
      </c>
      <c r="C365" s="3" t="s">
        <v>731</v>
      </c>
      <c r="D365" s="3" t="str">
        <f>INDEX('Customers (2)'!B:B,MATCH('Customers (2)'!A365,'Customers (2)'!A:A,0))</f>
        <v>Kaja Loxton</v>
      </c>
      <c r="E365" s="4" t="s">
        <v>96</v>
      </c>
      <c r="F365" s="3">
        <v>6</v>
      </c>
      <c r="G365" s="5">
        <f>INDEX([1]products!$A$1:$G$49,MATCH([1]orders!$D365,[1]products!$A$1:$A$49,0),MATCH([1]orders!K$1,[1]products!$A$1:$G$1,0))</f>
        <v>1</v>
      </c>
      <c r="H365" s="6">
        <f>INDEX([1]products!$A$1:$G$49,MATCH([1]orders!$D365,[1]products!$A$1:$A$49,0),MATCH([1]orders!L$1,[1]products!$A$1:$G$1,0))</f>
        <v>14.55</v>
      </c>
      <c r="I365" s="6">
        <f t="shared" si="5"/>
        <v>87.300000000000011</v>
      </c>
    </row>
    <row r="366" spans="1:9" x14ac:dyDescent="0.3">
      <c r="A366" s="1" t="s">
        <v>732</v>
      </c>
      <c r="B366" s="2">
        <v>43582</v>
      </c>
      <c r="C366" s="3" t="s">
        <v>733</v>
      </c>
      <c r="D366" s="3" t="str">
        <f>INDEX('Customers (2)'!B:B,MATCH('Customers (2)'!A366,'Customers (2)'!A:A,0))</f>
        <v>Parker Tofful</v>
      </c>
      <c r="E366" s="4" t="s">
        <v>245</v>
      </c>
      <c r="F366" s="3">
        <v>6</v>
      </c>
      <c r="G366" s="5">
        <f>INDEX([1]products!$A$1:$G$49,MATCH([1]orders!$D366,[1]products!$A$1:$A$49,0),MATCH([1]orders!K$1,[1]products!$A$1:$G$1,0))</f>
        <v>1</v>
      </c>
      <c r="H366" s="6">
        <f>INDEX([1]products!$A$1:$G$49,MATCH([1]orders!$D366,[1]products!$A$1:$A$49,0),MATCH([1]orders!L$1,[1]products!$A$1:$G$1,0))</f>
        <v>12.15</v>
      </c>
      <c r="I366" s="6">
        <f t="shared" si="5"/>
        <v>72.900000000000006</v>
      </c>
    </row>
    <row r="367" spans="1:9" x14ac:dyDescent="0.3">
      <c r="A367" s="1" t="s">
        <v>734</v>
      </c>
      <c r="B367" s="2">
        <v>44464</v>
      </c>
      <c r="C367" s="3" t="s">
        <v>735</v>
      </c>
      <c r="D367" s="3" t="str">
        <f>INDEX('Customers (2)'!B:B,MATCH('Customers (2)'!A367,'Customers (2)'!A:A,0))</f>
        <v>Casi Gwinnett</v>
      </c>
      <c r="E367" s="4" t="s">
        <v>123</v>
      </c>
      <c r="F367" s="3">
        <v>1</v>
      </c>
      <c r="G367" s="5">
        <f>INDEX([1]products!$A$1:$G$49,MATCH([1]orders!$D367,[1]products!$A$1:$A$49,0),MATCH([1]orders!K$1,[1]products!$A$1:$G$1,0))</f>
        <v>0.5</v>
      </c>
      <c r="H367" s="6">
        <f>INDEX([1]products!$A$1:$G$49,MATCH([1]orders!$D367,[1]products!$A$1:$A$49,0),MATCH([1]orders!L$1,[1]products!$A$1:$G$1,0))</f>
        <v>7.77</v>
      </c>
      <c r="I367" s="6">
        <f t="shared" si="5"/>
        <v>7.77</v>
      </c>
    </row>
    <row r="368" spans="1:9" x14ac:dyDescent="0.3">
      <c r="A368" s="1" t="s">
        <v>736</v>
      </c>
      <c r="B368" s="2">
        <v>43874</v>
      </c>
      <c r="C368" s="3" t="s">
        <v>737</v>
      </c>
      <c r="D368" s="3" t="str">
        <f>INDEX('Customers (2)'!B:B,MATCH('Customers (2)'!A368,'Customers (2)'!A:A,0))</f>
        <v>Saree Ellesworth</v>
      </c>
      <c r="E368" s="4" t="s">
        <v>16</v>
      </c>
      <c r="F368" s="3">
        <v>6</v>
      </c>
      <c r="G368" s="5">
        <f>INDEX([1]products!$A$1:$G$49,MATCH([1]orders!$D368,[1]products!$A$1:$A$49,0),MATCH([1]orders!K$1,[1]products!$A$1:$G$1,0))</f>
        <v>0.5</v>
      </c>
      <c r="H368" s="6">
        <f>INDEX([1]products!$A$1:$G$49,MATCH([1]orders!$D368,[1]products!$A$1:$A$49,0),MATCH([1]orders!L$1,[1]products!$A$1:$G$1,0))</f>
        <v>7.29</v>
      </c>
      <c r="I368" s="6">
        <f t="shared" si="5"/>
        <v>43.74</v>
      </c>
    </row>
    <row r="369" spans="1:9" x14ac:dyDescent="0.3">
      <c r="A369" s="1" t="s">
        <v>738</v>
      </c>
      <c r="B369" s="2">
        <v>44393</v>
      </c>
      <c r="C369" s="3" t="s">
        <v>739</v>
      </c>
      <c r="D369" s="3" t="str">
        <f>INDEX('Customers (2)'!B:B,MATCH('Customers (2)'!A369,'Customers (2)'!A:A,0))</f>
        <v>Silvio Iorizzi</v>
      </c>
      <c r="E369" s="4" t="s">
        <v>77</v>
      </c>
      <c r="F369" s="3">
        <v>2</v>
      </c>
      <c r="G369" s="5">
        <f>INDEX([1]products!$A$1:$G$49,MATCH([1]orders!$D369,[1]products!$A$1:$A$49,0),MATCH([1]orders!K$1,[1]products!$A$1:$G$1,0))</f>
        <v>0.2</v>
      </c>
      <c r="H369" s="6">
        <f>INDEX([1]products!$A$1:$G$49,MATCH([1]orders!$D369,[1]products!$A$1:$A$49,0),MATCH([1]orders!L$1,[1]products!$A$1:$G$1,0))</f>
        <v>4.3650000000000002</v>
      </c>
      <c r="I369" s="6">
        <f t="shared" si="5"/>
        <v>8.73</v>
      </c>
    </row>
    <row r="370" spans="1:9" x14ac:dyDescent="0.3">
      <c r="A370" s="1" t="s">
        <v>740</v>
      </c>
      <c r="B370" s="2">
        <v>44692</v>
      </c>
      <c r="C370" s="3" t="s">
        <v>741</v>
      </c>
      <c r="D370" s="3" t="str">
        <f>INDEX('Customers (2)'!B:B,MATCH('Customers (2)'!A370,'Customers (2)'!A:A,0))</f>
        <v>Leesa Flaonier</v>
      </c>
      <c r="E370" s="4" t="s">
        <v>112</v>
      </c>
      <c r="F370" s="3">
        <v>2</v>
      </c>
      <c r="G370" s="5">
        <f>INDEX([1]products!$A$1:$G$49,MATCH([1]orders!$D370,[1]products!$A$1:$A$49,0),MATCH([1]orders!K$1,[1]products!$A$1:$G$1,0))</f>
        <v>2.5</v>
      </c>
      <c r="H370" s="6">
        <f>INDEX([1]products!$A$1:$G$49,MATCH([1]orders!$D370,[1]products!$A$1:$A$49,0),MATCH([1]orders!L$1,[1]products!$A$1:$G$1,0))</f>
        <v>31.624999999999996</v>
      </c>
      <c r="I370" s="6">
        <f t="shared" si="5"/>
        <v>63.249999999999993</v>
      </c>
    </row>
    <row r="371" spans="1:9" x14ac:dyDescent="0.3">
      <c r="A371" s="1" t="s">
        <v>742</v>
      </c>
      <c r="B371" s="2">
        <v>43500</v>
      </c>
      <c r="C371" s="3" t="s">
        <v>743</v>
      </c>
      <c r="D371" s="3" t="str">
        <f>INDEX('Customers (2)'!B:B,MATCH('Customers (2)'!A371,'Customers (2)'!A:A,0))</f>
        <v>Abba Pummell</v>
      </c>
      <c r="E371" s="4" t="s">
        <v>176</v>
      </c>
      <c r="F371" s="3">
        <v>1</v>
      </c>
      <c r="G371" s="5">
        <f>INDEX([1]products!$A$1:$G$49,MATCH([1]orders!$D371,[1]products!$A$1:$A$49,0),MATCH([1]orders!K$1,[1]products!$A$1:$G$1,0))</f>
        <v>0.5</v>
      </c>
      <c r="H371" s="6">
        <f>INDEX([1]products!$A$1:$G$49,MATCH([1]orders!$D371,[1]products!$A$1:$A$49,0),MATCH([1]orders!L$1,[1]products!$A$1:$G$1,0))</f>
        <v>8.91</v>
      </c>
      <c r="I371" s="6">
        <f t="shared" si="5"/>
        <v>8.91</v>
      </c>
    </row>
    <row r="372" spans="1:9" x14ac:dyDescent="0.3">
      <c r="A372" s="1" t="s">
        <v>744</v>
      </c>
      <c r="B372" s="2">
        <v>43501</v>
      </c>
      <c r="C372" s="3" t="s">
        <v>745</v>
      </c>
      <c r="D372" s="3" t="str">
        <f>INDEX('Customers (2)'!B:B,MATCH('Customers (2)'!A372,'Customers (2)'!A:A,0))</f>
        <v>Corinna Catcheside</v>
      </c>
      <c r="E372" s="4" t="s">
        <v>245</v>
      </c>
      <c r="F372" s="3">
        <v>2</v>
      </c>
      <c r="G372" s="5">
        <f>INDEX([1]products!$A$1:$G$49,MATCH([1]orders!$D372,[1]products!$A$1:$A$49,0),MATCH([1]orders!K$1,[1]products!$A$1:$G$1,0))</f>
        <v>1</v>
      </c>
      <c r="H372" s="6">
        <f>INDEX([1]products!$A$1:$G$49,MATCH([1]orders!$D372,[1]products!$A$1:$A$49,0),MATCH([1]orders!L$1,[1]products!$A$1:$G$1,0))</f>
        <v>12.15</v>
      </c>
      <c r="I372" s="6">
        <f t="shared" si="5"/>
        <v>24.3</v>
      </c>
    </row>
    <row r="373" spans="1:9" x14ac:dyDescent="0.3">
      <c r="A373" s="1" t="s">
        <v>746</v>
      </c>
      <c r="B373" s="2">
        <v>44705</v>
      </c>
      <c r="C373" s="3" t="s">
        <v>747</v>
      </c>
      <c r="D373" s="3" t="str">
        <f>INDEX('Customers (2)'!B:B,MATCH('Customers (2)'!A373,'Customers (2)'!A:A,0))</f>
        <v>Cortney Gibbonson</v>
      </c>
      <c r="E373" s="4" t="s">
        <v>192</v>
      </c>
      <c r="F373" s="3">
        <v>6</v>
      </c>
      <c r="G373" s="5">
        <f>INDEX([1]products!$A$1:$G$49,MATCH([1]orders!$D373,[1]products!$A$1:$A$49,0),MATCH([1]orders!K$1,[1]products!$A$1:$G$1,0))</f>
        <v>0.5</v>
      </c>
      <c r="H373" s="6">
        <f>INDEX([1]products!$A$1:$G$49,MATCH([1]orders!$D373,[1]products!$A$1:$A$49,0),MATCH([1]orders!L$1,[1]products!$A$1:$G$1,0))</f>
        <v>7.77</v>
      </c>
      <c r="I373" s="6">
        <f t="shared" si="5"/>
        <v>46.62</v>
      </c>
    </row>
    <row r="374" spans="1:9" x14ac:dyDescent="0.3">
      <c r="A374" s="1" t="s">
        <v>748</v>
      </c>
      <c r="B374" s="2">
        <v>44108</v>
      </c>
      <c r="C374" s="3" t="s">
        <v>749</v>
      </c>
      <c r="D374" s="3" t="str">
        <f>INDEX('Customers (2)'!B:B,MATCH('Customers (2)'!A374,'Customers (2)'!A:A,0))</f>
        <v>Terri Farra</v>
      </c>
      <c r="E374" s="4" t="s">
        <v>157</v>
      </c>
      <c r="F374" s="3">
        <v>6</v>
      </c>
      <c r="G374" s="5">
        <f>INDEX([1]products!$A$1:$G$49,MATCH([1]orders!$D374,[1]products!$A$1:$A$49,0),MATCH([1]orders!K$1,[1]products!$A$1:$G$1,0))</f>
        <v>0.5</v>
      </c>
      <c r="H374" s="6">
        <f>INDEX([1]products!$A$1:$G$49,MATCH([1]orders!$D374,[1]products!$A$1:$A$49,0),MATCH([1]orders!L$1,[1]products!$A$1:$G$1,0))</f>
        <v>7.169999999999999</v>
      </c>
      <c r="I374" s="6">
        <f t="shared" si="5"/>
        <v>43.019999999999996</v>
      </c>
    </row>
    <row r="375" spans="1:9" x14ac:dyDescent="0.3">
      <c r="A375" s="1" t="s">
        <v>750</v>
      </c>
      <c r="B375" s="2">
        <v>44742</v>
      </c>
      <c r="C375" s="3" t="s">
        <v>751</v>
      </c>
      <c r="D375" s="3" t="str">
        <f>INDEX('Customers (2)'!B:B,MATCH('Customers (2)'!A375,'Customers (2)'!A:A,0))</f>
        <v>Corney Curme</v>
      </c>
      <c r="E375" s="4" t="s">
        <v>72</v>
      </c>
      <c r="F375" s="3">
        <v>3</v>
      </c>
      <c r="G375" s="5">
        <f>INDEX([1]products!$A$1:$G$49,MATCH([1]orders!$D375,[1]products!$A$1:$A$49,0),MATCH([1]orders!K$1,[1]products!$A$1:$G$1,0))</f>
        <v>0.5</v>
      </c>
      <c r="H375" s="6">
        <f>INDEX([1]products!$A$1:$G$49,MATCH([1]orders!$D375,[1]products!$A$1:$A$49,0),MATCH([1]orders!L$1,[1]products!$A$1:$G$1,0))</f>
        <v>5.97</v>
      </c>
      <c r="I375" s="6">
        <f t="shared" si="5"/>
        <v>17.91</v>
      </c>
    </row>
    <row r="376" spans="1:9" x14ac:dyDescent="0.3">
      <c r="A376" s="1" t="s">
        <v>752</v>
      </c>
      <c r="B376" s="2">
        <v>44125</v>
      </c>
      <c r="C376" s="3" t="s">
        <v>753</v>
      </c>
      <c r="D376" s="3" t="str">
        <f>INDEX('Customers (2)'!B:B,MATCH('Customers (2)'!A376,'Customers (2)'!A:A,0))</f>
        <v>Gothart Bamfield</v>
      </c>
      <c r="E376" s="4" t="s">
        <v>83</v>
      </c>
      <c r="F376" s="3">
        <v>4</v>
      </c>
      <c r="G376" s="5">
        <f>INDEX([1]products!$A$1:$G$49,MATCH([1]orders!$D376,[1]products!$A$1:$A$49,0),MATCH([1]orders!K$1,[1]products!$A$1:$G$1,0))</f>
        <v>0.5</v>
      </c>
      <c r="H376" s="6">
        <f>INDEX([1]products!$A$1:$G$49,MATCH([1]orders!$D376,[1]products!$A$1:$A$49,0),MATCH([1]orders!L$1,[1]products!$A$1:$G$1,0))</f>
        <v>9.51</v>
      </c>
      <c r="I376" s="6">
        <f t="shared" si="5"/>
        <v>38.04</v>
      </c>
    </row>
    <row r="377" spans="1:9" x14ac:dyDescent="0.3">
      <c r="A377" s="1" t="s">
        <v>754</v>
      </c>
      <c r="B377" s="2">
        <v>44120</v>
      </c>
      <c r="C377" s="3" t="s">
        <v>755</v>
      </c>
      <c r="D377" s="3" t="str">
        <f>INDEX('Customers (2)'!B:B,MATCH('Customers (2)'!A377,'Customers (2)'!A:A,0))</f>
        <v>Waylin Hollingdale</v>
      </c>
      <c r="E377" s="4" t="s">
        <v>44</v>
      </c>
      <c r="F377" s="3">
        <v>2</v>
      </c>
      <c r="G377" s="5">
        <f>INDEX([1]products!$A$1:$G$49,MATCH([1]orders!$D377,[1]products!$A$1:$A$49,0),MATCH([1]orders!K$1,[1]products!$A$1:$G$1,0))</f>
        <v>0.2</v>
      </c>
      <c r="H377" s="6">
        <f>INDEX([1]products!$A$1:$G$49,MATCH([1]orders!$D377,[1]products!$A$1:$A$49,0),MATCH([1]orders!L$1,[1]products!$A$1:$G$1,0))</f>
        <v>3.375</v>
      </c>
      <c r="I377" s="6">
        <f t="shared" si="5"/>
        <v>6.75</v>
      </c>
    </row>
    <row r="378" spans="1:9" x14ac:dyDescent="0.3">
      <c r="A378" s="1" t="s">
        <v>756</v>
      </c>
      <c r="B378" s="2">
        <v>44097</v>
      </c>
      <c r="C378" s="3" t="s">
        <v>757</v>
      </c>
      <c r="D378" s="3" t="str">
        <f>INDEX('Customers (2)'!B:B,MATCH('Customers (2)'!A378,'Customers (2)'!A:A,0))</f>
        <v>Judd De Leek</v>
      </c>
      <c r="E378" s="4" t="s">
        <v>22</v>
      </c>
      <c r="F378" s="3">
        <v>1</v>
      </c>
      <c r="G378" s="5">
        <f>INDEX([1]products!$A$1:$G$49,MATCH([1]orders!$D378,[1]products!$A$1:$A$49,0),MATCH([1]orders!K$1,[1]products!$A$1:$G$1,0))</f>
        <v>0.5</v>
      </c>
      <c r="H378" s="6">
        <f>INDEX([1]products!$A$1:$G$49,MATCH([1]orders!$D378,[1]products!$A$1:$A$49,0),MATCH([1]orders!L$1,[1]products!$A$1:$G$1,0))</f>
        <v>5.97</v>
      </c>
      <c r="I378" s="6">
        <f t="shared" si="5"/>
        <v>5.97</v>
      </c>
    </row>
    <row r="379" spans="1:9" x14ac:dyDescent="0.3">
      <c r="A379" s="1" t="s">
        <v>758</v>
      </c>
      <c r="B379" s="2">
        <v>43532</v>
      </c>
      <c r="C379" s="3" t="s">
        <v>759</v>
      </c>
      <c r="D379" s="3" t="str">
        <f>INDEX('Customers (2)'!B:B,MATCH('Customers (2)'!A379,'Customers (2)'!A:A,0))</f>
        <v>Vanya Skullet</v>
      </c>
      <c r="E379" s="4" t="s">
        <v>101</v>
      </c>
      <c r="F379" s="3">
        <v>3</v>
      </c>
      <c r="G379" s="5">
        <f>INDEX([1]products!$A$1:$G$49,MATCH([1]orders!$D379,[1]products!$A$1:$A$49,0),MATCH([1]orders!K$1,[1]products!$A$1:$G$1,0))</f>
        <v>0.2</v>
      </c>
      <c r="H379" s="6">
        <f>INDEX([1]products!$A$1:$G$49,MATCH([1]orders!$D379,[1]products!$A$1:$A$49,0),MATCH([1]orders!L$1,[1]products!$A$1:$G$1,0))</f>
        <v>2.6849999999999996</v>
      </c>
      <c r="I379" s="6">
        <f t="shared" si="5"/>
        <v>8.0549999999999997</v>
      </c>
    </row>
    <row r="380" spans="1:9" x14ac:dyDescent="0.3">
      <c r="A380" s="1" t="s">
        <v>760</v>
      </c>
      <c r="B380" s="2">
        <v>44377</v>
      </c>
      <c r="C380" s="3" t="s">
        <v>761</v>
      </c>
      <c r="D380" s="3" t="str">
        <f>INDEX('Customers (2)'!B:B,MATCH('Customers (2)'!A380,'Customers (2)'!A:A,0))</f>
        <v>Jany Rudeforth</v>
      </c>
      <c r="E380" s="4" t="s">
        <v>192</v>
      </c>
      <c r="F380" s="3">
        <v>3</v>
      </c>
      <c r="G380" s="5">
        <f>INDEX([1]products!$A$1:$G$49,MATCH([1]orders!$D380,[1]products!$A$1:$A$49,0),MATCH([1]orders!K$1,[1]products!$A$1:$G$1,0))</f>
        <v>0.5</v>
      </c>
      <c r="H380" s="6">
        <f>INDEX([1]products!$A$1:$G$49,MATCH([1]orders!$D380,[1]products!$A$1:$A$49,0),MATCH([1]orders!L$1,[1]products!$A$1:$G$1,0))</f>
        <v>7.77</v>
      </c>
      <c r="I380" s="6">
        <f t="shared" si="5"/>
        <v>23.31</v>
      </c>
    </row>
    <row r="381" spans="1:9" x14ac:dyDescent="0.3">
      <c r="A381" s="1" t="s">
        <v>762</v>
      </c>
      <c r="B381" s="2">
        <v>43690</v>
      </c>
      <c r="C381" s="3" t="s">
        <v>763</v>
      </c>
      <c r="D381" s="3" t="str">
        <f>INDEX('Customers (2)'!B:B,MATCH('Customers (2)'!A381,'Customers (2)'!A:A,0))</f>
        <v>Ashbey Tomaszewski</v>
      </c>
      <c r="E381" s="4" t="s">
        <v>157</v>
      </c>
      <c r="F381" s="3">
        <v>6</v>
      </c>
      <c r="G381" s="5">
        <f>INDEX([1]products!$A$1:$G$49,MATCH([1]orders!$D381,[1]products!$A$1:$A$49,0),MATCH([1]orders!K$1,[1]products!$A$1:$G$1,0))</f>
        <v>0.5</v>
      </c>
      <c r="H381" s="6">
        <f>INDEX([1]products!$A$1:$G$49,MATCH([1]orders!$D381,[1]products!$A$1:$A$49,0),MATCH([1]orders!L$1,[1]products!$A$1:$G$1,0))</f>
        <v>7.169999999999999</v>
      </c>
      <c r="I381" s="6">
        <f t="shared" si="5"/>
        <v>43.019999999999996</v>
      </c>
    </row>
    <row r="382" spans="1:9" x14ac:dyDescent="0.3">
      <c r="A382" s="1" t="s">
        <v>764</v>
      </c>
      <c r="B382" s="2">
        <v>44249</v>
      </c>
      <c r="C382" s="3" t="s">
        <v>664</v>
      </c>
      <c r="D382" s="3" t="str">
        <f>INDEX('Customers (2)'!B:B,MATCH('Customers (2)'!A382,'Customers (2)'!A:A,0))</f>
        <v>Fanni Marti</v>
      </c>
      <c r="E382" s="4" t="s">
        <v>123</v>
      </c>
      <c r="F382" s="3">
        <v>3</v>
      </c>
      <c r="G382" s="5">
        <f>INDEX([1]products!$A$1:$G$49,MATCH([1]orders!$D382,[1]products!$A$1:$A$49,0),MATCH([1]orders!K$1,[1]products!$A$1:$G$1,0))</f>
        <v>0.5</v>
      </c>
      <c r="H382" s="6">
        <f>INDEX([1]products!$A$1:$G$49,MATCH([1]orders!$D382,[1]products!$A$1:$A$49,0),MATCH([1]orders!L$1,[1]products!$A$1:$G$1,0))</f>
        <v>7.77</v>
      </c>
      <c r="I382" s="6">
        <f t="shared" si="5"/>
        <v>23.31</v>
      </c>
    </row>
    <row r="383" spans="1:9" x14ac:dyDescent="0.3">
      <c r="A383" s="1" t="s">
        <v>765</v>
      </c>
      <c r="B383" s="2">
        <v>44646</v>
      </c>
      <c r="C383" s="3" t="s">
        <v>766</v>
      </c>
      <c r="D383" s="3" t="str">
        <f>INDEX('Customers (2)'!B:B,MATCH('Customers (2)'!A383,'Customers (2)'!A:A,0))</f>
        <v>Pren Bess</v>
      </c>
      <c r="E383" s="4" t="s">
        <v>54</v>
      </c>
      <c r="F383" s="3">
        <v>5</v>
      </c>
      <c r="G383" s="5">
        <f>INDEX([1]products!$A$1:$G$49,MATCH([1]orders!$D383,[1]products!$A$1:$A$49,0),MATCH([1]orders!K$1,[1]products!$A$1:$G$1,0))</f>
        <v>0.2</v>
      </c>
      <c r="H383" s="6">
        <f>INDEX([1]products!$A$1:$G$49,MATCH([1]orders!$D383,[1]products!$A$1:$A$49,0),MATCH([1]orders!L$1,[1]products!$A$1:$G$1,0))</f>
        <v>2.9849999999999999</v>
      </c>
      <c r="I383" s="6">
        <f t="shared" si="5"/>
        <v>14.924999999999999</v>
      </c>
    </row>
    <row r="384" spans="1:9" x14ac:dyDescent="0.3">
      <c r="A384" s="1" t="s">
        <v>767</v>
      </c>
      <c r="B384" s="2">
        <v>43840</v>
      </c>
      <c r="C384" s="3" t="s">
        <v>768</v>
      </c>
      <c r="D384" s="3" t="str">
        <f>INDEX('Customers (2)'!B:B,MATCH('Customers (2)'!A384,'Customers (2)'!A:A,0))</f>
        <v>Elka Windress</v>
      </c>
      <c r="E384" s="4" t="s">
        <v>16</v>
      </c>
      <c r="F384" s="3">
        <v>3</v>
      </c>
      <c r="G384" s="5">
        <f>INDEX([1]products!$A$1:$G$49,MATCH([1]orders!$D384,[1]products!$A$1:$A$49,0),MATCH([1]orders!K$1,[1]products!$A$1:$G$1,0))</f>
        <v>0.5</v>
      </c>
      <c r="H384" s="6">
        <f>INDEX([1]products!$A$1:$G$49,MATCH([1]orders!$D384,[1]products!$A$1:$A$49,0),MATCH([1]orders!L$1,[1]products!$A$1:$G$1,0))</f>
        <v>7.29</v>
      </c>
      <c r="I384" s="6">
        <f t="shared" si="5"/>
        <v>21.87</v>
      </c>
    </row>
    <row r="385" spans="1:9" x14ac:dyDescent="0.3">
      <c r="A385" s="1" t="s">
        <v>769</v>
      </c>
      <c r="B385" s="2">
        <v>43586</v>
      </c>
      <c r="C385" s="3" t="s">
        <v>770</v>
      </c>
      <c r="D385" s="3" t="str">
        <f>INDEX('Customers (2)'!B:B,MATCH('Customers (2)'!A385,'Customers (2)'!A:A,0))</f>
        <v>Marty Kidstoun</v>
      </c>
      <c r="E385" s="4" t="s">
        <v>176</v>
      </c>
      <c r="F385" s="3">
        <v>6</v>
      </c>
      <c r="G385" s="5">
        <f>INDEX([1]products!$A$1:$G$49,MATCH([1]orders!$D385,[1]products!$A$1:$A$49,0),MATCH([1]orders!K$1,[1]products!$A$1:$G$1,0))</f>
        <v>0.5</v>
      </c>
      <c r="H385" s="6">
        <f>INDEX([1]products!$A$1:$G$49,MATCH([1]orders!$D385,[1]products!$A$1:$A$49,0),MATCH([1]orders!L$1,[1]products!$A$1:$G$1,0))</f>
        <v>8.91</v>
      </c>
      <c r="I385" s="6">
        <f t="shared" si="5"/>
        <v>53.46</v>
      </c>
    </row>
    <row r="386" spans="1:9" x14ac:dyDescent="0.3">
      <c r="A386" s="1" t="s">
        <v>771</v>
      </c>
      <c r="B386" s="2">
        <v>43870</v>
      </c>
      <c r="C386" s="3" t="s">
        <v>772</v>
      </c>
      <c r="D386" s="3" t="str">
        <f>INDEX('Customers (2)'!B:B,MATCH('Customers (2)'!A386,'Customers (2)'!A:A,0))</f>
        <v>Nickey Dimbleby</v>
      </c>
      <c r="E386" s="4" t="s">
        <v>204</v>
      </c>
      <c r="F386" s="3">
        <v>4</v>
      </c>
      <c r="G386" s="5">
        <f>INDEX([1]products!$A$1:$G$49,MATCH([1]orders!$D386,[1]products!$A$1:$A$49,0),MATCH([1]orders!K$1,[1]products!$A$1:$G$1,0))</f>
        <v>2.5</v>
      </c>
      <c r="H386" s="6">
        <f>INDEX([1]products!$A$1:$G$49,MATCH([1]orders!$D386,[1]products!$A$1:$A$49,0),MATCH([1]orders!L$1,[1]products!$A$1:$G$1,0))</f>
        <v>29.784999999999997</v>
      </c>
      <c r="I386" s="6">
        <f t="shared" ref="I386:I449" si="6">F386*H386</f>
        <v>119.13999999999999</v>
      </c>
    </row>
    <row r="387" spans="1:9" x14ac:dyDescent="0.3">
      <c r="A387" s="1" t="s">
        <v>773</v>
      </c>
      <c r="B387" s="2">
        <v>44559</v>
      </c>
      <c r="C387" s="3" t="s">
        <v>774</v>
      </c>
      <c r="D387" s="3" t="str">
        <f>INDEX('Customers (2)'!B:B,MATCH('Customers (2)'!A387,'Customers (2)'!A:A,0))</f>
        <v>Virgil Baumadier</v>
      </c>
      <c r="E387" s="4" t="s">
        <v>78</v>
      </c>
      <c r="F387" s="3">
        <v>5</v>
      </c>
      <c r="G387" s="5">
        <f>INDEX([1]products!$A$1:$G$49,MATCH([1]orders!$D387,[1]products!$A$1:$A$49,0),MATCH([1]orders!K$1,[1]products!$A$1:$G$1,0))</f>
        <v>0.5</v>
      </c>
      <c r="H387" s="6">
        <f>INDEX([1]products!$A$1:$G$49,MATCH([1]orders!$D387,[1]products!$A$1:$A$49,0),MATCH([1]orders!L$1,[1]products!$A$1:$G$1,0))</f>
        <v>8.73</v>
      </c>
      <c r="I387" s="6">
        <f t="shared" si="6"/>
        <v>43.650000000000006</v>
      </c>
    </row>
    <row r="388" spans="1:9" x14ac:dyDescent="0.3">
      <c r="A388" s="1" t="s">
        <v>775</v>
      </c>
      <c r="B388" s="2">
        <v>44083</v>
      </c>
      <c r="C388" s="3" t="s">
        <v>776</v>
      </c>
      <c r="D388" s="3" t="str">
        <f>INDEX('Customers (2)'!B:B,MATCH('Customers (2)'!A388,'Customers (2)'!A:A,0))</f>
        <v>Lenore Messenbird</v>
      </c>
      <c r="E388" s="4" t="s">
        <v>54</v>
      </c>
      <c r="F388" s="3">
        <v>6</v>
      </c>
      <c r="G388" s="5">
        <f>INDEX([1]products!$A$1:$G$49,MATCH([1]orders!$D388,[1]products!$A$1:$A$49,0),MATCH([1]orders!K$1,[1]products!$A$1:$G$1,0))</f>
        <v>0.2</v>
      </c>
      <c r="H388" s="6">
        <f>INDEX([1]products!$A$1:$G$49,MATCH([1]orders!$D388,[1]products!$A$1:$A$49,0),MATCH([1]orders!L$1,[1]products!$A$1:$G$1,0))</f>
        <v>2.9849999999999999</v>
      </c>
      <c r="I388" s="6">
        <f t="shared" si="6"/>
        <v>17.91</v>
      </c>
    </row>
    <row r="389" spans="1:9" x14ac:dyDescent="0.3">
      <c r="A389" s="1" t="s">
        <v>777</v>
      </c>
      <c r="B389" s="2">
        <v>44455</v>
      </c>
      <c r="C389" s="3" t="s">
        <v>778</v>
      </c>
      <c r="D389" s="3" t="str">
        <f>INDEX('Customers (2)'!B:B,MATCH('Customers (2)'!A389,'Customers (2)'!A:A,0))</f>
        <v>Shirleen Welds</v>
      </c>
      <c r="E389" s="4" t="s">
        <v>137</v>
      </c>
      <c r="F389" s="3">
        <v>5</v>
      </c>
      <c r="G389" s="5">
        <f>INDEX([1]products!$A$1:$G$49,MATCH([1]orders!$D389,[1]products!$A$1:$A$49,0),MATCH([1]orders!K$1,[1]products!$A$1:$G$1,0))</f>
        <v>1</v>
      </c>
      <c r="H389" s="6">
        <f>INDEX([1]products!$A$1:$G$49,MATCH([1]orders!$D389,[1]products!$A$1:$A$49,0),MATCH([1]orders!L$1,[1]products!$A$1:$G$1,0))</f>
        <v>14.85</v>
      </c>
      <c r="I389" s="6">
        <f t="shared" si="6"/>
        <v>74.25</v>
      </c>
    </row>
    <row r="390" spans="1:9" x14ac:dyDescent="0.3">
      <c r="A390" s="1" t="s">
        <v>779</v>
      </c>
      <c r="B390" s="2">
        <v>44130</v>
      </c>
      <c r="C390" s="3" t="s">
        <v>780</v>
      </c>
      <c r="D390" s="3" t="str">
        <f>INDEX('Customers (2)'!B:B,MATCH('Customers (2)'!A390,'Customers (2)'!A:A,0))</f>
        <v>Maisie Sarvar</v>
      </c>
      <c r="E390" s="4" t="s">
        <v>38</v>
      </c>
      <c r="F390" s="3">
        <v>3</v>
      </c>
      <c r="G390" s="5">
        <f>INDEX([1]products!$A$1:$G$49,MATCH([1]orders!$D390,[1]products!$A$1:$A$49,0),MATCH([1]orders!K$1,[1]products!$A$1:$G$1,0))</f>
        <v>0.2</v>
      </c>
      <c r="H390" s="6">
        <f>INDEX([1]products!$A$1:$G$49,MATCH([1]orders!$D390,[1]products!$A$1:$A$49,0),MATCH([1]orders!L$1,[1]products!$A$1:$G$1,0))</f>
        <v>3.8849999999999998</v>
      </c>
      <c r="I390" s="6">
        <f t="shared" si="6"/>
        <v>11.654999999999999</v>
      </c>
    </row>
    <row r="391" spans="1:9" x14ac:dyDescent="0.3">
      <c r="A391" s="1" t="s">
        <v>781</v>
      </c>
      <c r="B391" s="2">
        <v>43536</v>
      </c>
      <c r="C391" s="3" t="s">
        <v>782</v>
      </c>
      <c r="D391" s="3" t="str">
        <f>INDEX('Customers (2)'!B:B,MATCH('Customers (2)'!A391,'Customers (2)'!A:A,0))</f>
        <v>Andrej Havick</v>
      </c>
      <c r="E391" s="4" t="s">
        <v>123</v>
      </c>
      <c r="F391" s="3">
        <v>3</v>
      </c>
      <c r="G391" s="5">
        <f>INDEX([1]products!$A$1:$G$49,MATCH([1]orders!$D391,[1]products!$A$1:$A$49,0),MATCH([1]orders!K$1,[1]products!$A$1:$G$1,0))</f>
        <v>0.5</v>
      </c>
      <c r="H391" s="6">
        <f>INDEX([1]products!$A$1:$G$49,MATCH([1]orders!$D391,[1]products!$A$1:$A$49,0),MATCH([1]orders!L$1,[1]products!$A$1:$G$1,0))</f>
        <v>7.77</v>
      </c>
      <c r="I391" s="6">
        <f t="shared" si="6"/>
        <v>23.31</v>
      </c>
    </row>
    <row r="392" spans="1:9" x14ac:dyDescent="0.3">
      <c r="A392" s="1" t="s">
        <v>783</v>
      </c>
      <c r="B392" s="2">
        <v>44245</v>
      </c>
      <c r="C392" s="3" t="s">
        <v>784</v>
      </c>
      <c r="D392" s="3" t="str">
        <f>INDEX('Customers (2)'!B:B,MATCH('Customers (2)'!A392,'Customers (2)'!A:A,0))</f>
        <v>Sloan Diviny</v>
      </c>
      <c r="E392" s="4" t="s">
        <v>16</v>
      </c>
      <c r="F392" s="3">
        <v>2</v>
      </c>
      <c r="G392" s="5">
        <f>INDEX([1]products!$A$1:$G$49,MATCH([1]orders!$D392,[1]products!$A$1:$A$49,0),MATCH([1]orders!K$1,[1]products!$A$1:$G$1,0))</f>
        <v>0.5</v>
      </c>
      <c r="H392" s="6">
        <f>INDEX([1]products!$A$1:$G$49,MATCH([1]orders!$D392,[1]products!$A$1:$A$49,0),MATCH([1]orders!L$1,[1]products!$A$1:$G$1,0))</f>
        <v>7.29</v>
      </c>
      <c r="I392" s="6">
        <f t="shared" si="6"/>
        <v>14.58</v>
      </c>
    </row>
    <row r="393" spans="1:9" x14ac:dyDescent="0.3">
      <c r="A393" s="1" t="s">
        <v>785</v>
      </c>
      <c r="B393" s="2">
        <v>44133</v>
      </c>
      <c r="C393" s="3" t="s">
        <v>786</v>
      </c>
      <c r="D393" s="3" t="str">
        <f>INDEX('Customers (2)'!B:B,MATCH('Customers (2)'!A393,'Customers (2)'!A:A,0))</f>
        <v>Itch Norquoy</v>
      </c>
      <c r="E393" s="4" t="s">
        <v>67</v>
      </c>
      <c r="F393" s="3">
        <v>2</v>
      </c>
      <c r="G393" s="5">
        <f>INDEX([1]products!$A$1:$G$49,MATCH([1]orders!$D393,[1]products!$A$1:$A$49,0),MATCH([1]orders!K$1,[1]products!$A$1:$G$1,0))</f>
        <v>0.5</v>
      </c>
      <c r="H393" s="6">
        <f>INDEX([1]products!$A$1:$G$49,MATCH([1]orders!$D393,[1]products!$A$1:$A$49,0),MATCH([1]orders!L$1,[1]products!$A$1:$G$1,0))</f>
        <v>6.75</v>
      </c>
      <c r="I393" s="6">
        <f t="shared" si="6"/>
        <v>13.5</v>
      </c>
    </row>
    <row r="394" spans="1:9" x14ac:dyDescent="0.3">
      <c r="A394" s="1" t="s">
        <v>787</v>
      </c>
      <c r="B394" s="2">
        <v>44445</v>
      </c>
      <c r="C394" s="3" t="s">
        <v>788</v>
      </c>
      <c r="D394" s="3" t="str">
        <f>INDEX('Customers (2)'!B:B,MATCH('Customers (2)'!A394,'Customers (2)'!A:A,0))</f>
        <v>Anson Iddison</v>
      </c>
      <c r="E394" s="4" t="s">
        <v>137</v>
      </c>
      <c r="F394" s="3">
        <v>6</v>
      </c>
      <c r="G394" s="5">
        <f>INDEX([1]products!$A$1:$G$49,MATCH([1]orders!$D394,[1]products!$A$1:$A$49,0),MATCH([1]orders!K$1,[1]products!$A$1:$G$1,0))</f>
        <v>1</v>
      </c>
      <c r="H394" s="6">
        <f>INDEX([1]products!$A$1:$G$49,MATCH([1]orders!$D394,[1]products!$A$1:$A$49,0),MATCH([1]orders!L$1,[1]products!$A$1:$G$1,0))</f>
        <v>14.85</v>
      </c>
      <c r="I394" s="6">
        <f t="shared" si="6"/>
        <v>89.1</v>
      </c>
    </row>
    <row r="395" spans="1:9" x14ac:dyDescent="0.3">
      <c r="A395" s="1" t="s">
        <v>787</v>
      </c>
      <c r="B395" s="2">
        <v>44445</v>
      </c>
      <c r="C395" s="3" t="s">
        <v>788</v>
      </c>
      <c r="D395" s="3" t="str">
        <f>INDEX('Customers (2)'!B:B,MATCH('Customers (2)'!A395,'Customers (2)'!A:A,0))</f>
        <v>Dov Sprosson</v>
      </c>
      <c r="E395" s="4" t="s">
        <v>115</v>
      </c>
      <c r="F395" s="3">
        <v>1</v>
      </c>
      <c r="G395" s="5">
        <f>INDEX([1]products!$A$1:$G$49,MATCH([1]orders!$D395,[1]products!$A$1:$A$49,0),MATCH([1]orders!K$1,[1]products!$A$1:$G$1,0))</f>
        <v>0.2</v>
      </c>
      <c r="H395" s="6">
        <f>INDEX([1]products!$A$1:$G$49,MATCH([1]orders!$D395,[1]products!$A$1:$A$49,0),MATCH([1]orders!L$1,[1]products!$A$1:$G$1,0))</f>
        <v>3.8849999999999998</v>
      </c>
      <c r="I395" s="6">
        <f t="shared" si="6"/>
        <v>3.8849999999999998</v>
      </c>
    </row>
    <row r="396" spans="1:9" x14ac:dyDescent="0.3">
      <c r="A396" s="1" t="s">
        <v>789</v>
      </c>
      <c r="B396" s="2">
        <v>44083</v>
      </c>
      <c r="C396" s="3" t="s">
        <v>790</v>
      </c>
      <c r="D396" s="3" t="str">
        <f>INDEX('Customers (2)'!B:B,MATCH('Customers (2)'!A396,'Customers (2)'!A:A,0))</f>
        <v>Randal Longfield</v>
      </c>
      <c r="E396" s="4" t="s">
        <v>10</v>
      </c>
      <c r="F396" s="3">
        <v>4</v>
      </c>
      <c r="G396" s="5">
        <f>INDEX([1]products!$A$1:$G$49,MATCH([1]orders!$D396,[1]products!$A$1:$A$49,0),MATCH([1]orders!K$1,[1]products!$A$1:$G$1,0))</f>
        <v>2.5</v>
      </c>
      <c r="H396" s="6">
        <f>INDEX([1]products!$A$1:$G$49,MATCH([1]orders!$D396,[1]products!$A$1:$A$49,0),MATCH([1]orders!L$1,[1]products!$A$1:$G$1,0))</f>
        <v>27.484999999999996</v>
      </c>
      <c r="I396" s="6">
        <f t="shared" si="6"/>
        <v>109.93999999999998</v>
      </c>
    </row>
    <row r="397" spans="1:9" x14ac:dyDescent="0.3">
      <c r="A397" s="1" t="s">
        <v>791</v>
      </c>
      <c r="B397" s="2">
        <v>44465</v>
      </c>
      <c r="C397" s="3" t="s">
        <v>792</v>
      </c>
      <c r="D397" s="3" t="str">
        <f>INDEX('Customers (2)'!B:B,MATCH('Customers (2)'!A397,'Customers (2)'!A:A,0))</f>
        <v>Gregorius Kislingbury</v>
      </c>
      <c r="E397" s="4" t="s">
        <v>123</v>
      </c>
      <c r="F397" s="3">
        <v>6</v>
      </c>
      <c r="G397" s="5">
        <f>INDEX([1]products!$A$1:$G$49,MATCH([1]orders!$D397,[1]products!$A$1:$A$49,0),MATCH([1]orders!K$1,[1]products!$A$1:$G$1,0))</f>
        <v>0.5</v>
      </c>
      <c r="H397" s="6">
        <f>INDEX([1]products!$A$1:$G$49,MATCH([1]orders!$D397,[1]products!$A$1:$A$49,0),MATCH([1]orders!L$1,[1]products!$A$1:$G$1,0))</f>
        <v>7.77</v>
      </c>
      <c r="I397" s="6">
        <f t="shared" si="6"/>
        <v>46.62</v>
      </c>
    </row>
    <row r="398" spans="1:9" x14ac:dyDescent="0.3">
      <c r="A398" s="1" t="s">
        <v>793</v>
      </c>
      <c r="B398" s="2">
        <v>44140</v>
      </c>
      <c r="C398" s="3" t="s">
        <v>794</v>
      </c>
      <c r="D398" s="3" t="str">
        <f>INDEX('Customers (2)'!B:B,MATCH('Customers (2)'!A398,'Customers (2)'!A:A,0))</f>
        <v>Xenos Gibbons</v>
      </c>
      <c r="E398" s="4" t="s">
        <v>192</v>
      </c>
      <c r="F398" s="3">
        <v>5</v>
      </c>
      <c r="G398" s="5">
        <f>INDEX([1]products!$A$1:$G$49,MATCH([1]orders!$D398,[1]products!$A$1:$A$49,0),MATCH([1]orders!K$1,[1]products!$A$1:$G$1,0))</f>
        <v>0.5</v>
      </c>
      <c r="H398" s="6">
        <f>INDEX([1]products!$A$1:$G$49,MATCH([1]orders!$D398,[1]products!$A$1:$A$49,0),MATCH([1]orders!L$1,[1]products!$A$1:$G$1,0))</f>
        <v>7.77</v>
      </c>
      <c r="I398" s="6">
        <f t="shared" si="6"/>
        <v>38.849999999999994</v>
      </c>
    </row>
    <row r="399" spans="1:9" x14ac:dyDescent="0.3">
      <c r="A399" s="1" t="s">
        <v>795</v>
      </c>
      <c r="B399" s="2">
        <v>43720</v>
      </c>
      <c r="C399" s="3" t="s">
        <v>796</v>
      </c>
      <c r="D399" s="3" t="str">
        <f>INDEX('Customers (2)'!B:B,MATCH('Customers (2)'!A399,'Customers (2)'!A:A,0))</f>
        <v>Fleur Parres</v>
      </c>
      <c r="E399" s="4" t="s">
        <v>123</v>
      </c>
      <c r="F399" s="3">
        <v>4</v>
      </c>
      <c r="G399" s="5">
        <f>INDEX([1]products!$A$1:$G$49,MATCH([1]orders!$D399,[1]products!$A$1:$A$49,0),MATCH([1]orders!K$1,[1]products!$A$1:$G$1,0))</f>
        <v>0.5</v>
      </c>
      <c r="H399" s="6">
        <f>INDEX([1]products!$A$1:$G$49,MATCH([1]orders!$D399,[1]products!$A$1:$A$49,0),MATCH([1]orders!L$1,[1]products!$A$1:$G$1,0))</f>
        <v>7.77</v>
      </c>
      <c r="I399" s="6">
        <f t="shared" si="6"/>
        <v>31.08</v>
      </c>
    </row>
    <row r="400" spans="1:9" x14ac:dyDescent="0.3">
      <c r="A400" s="1" t="s">
        <v>797</v>
      </c>
      <c r="B400" s="2">
        <v>43677</v>
      </c>
      <c r="C400" s="3" t="s">
        <v>798</v>
      </c>
      <c r="D400" s="3" t="str">
        <f>INDEX('Customers (2)'!B:B,MATCH('Customers (2)'!A400,'Customers (2)'!A:A,0))</f>
        <v>Gran Sibray</v>
      </c>
      <c r="E400" s="4" t="s">
        <v>54</v>
      </c>
      <c r="F400" s="3">
        <v>6</v>
      </c>
      <c r="G400" s="5">
        <f>INDEX([1]products!$A$1:$G$49,MATCH([1]orders!$D400,[1]products!$A$1:$A$49,0),MATCH([1]orders!K$1,[1]products!$A$1:$G$1,0))</f>
        <v>0.2</v>
      </c>
      <c r="H400" s="6">
        <f>INDEX([1]products!$A$1:$G$49,MATCH([1]orders!$D400,[1]products!$A$1:$A$49,0),MATCH([1]orders!L$1,[1]products!$A$1:$G$1,0))</f>
        <v>2.9849999999999999</v>
      </c>
      <c r="I400" s="6">
        <f t="shared" si="6"/>
        <v>17.91</v>
      </c>
    </row>
    <row r="401" spans="1:9" x14ac:dyDescent="0.3">
      <c r="A401" s="1" t="s">
        <v>799</v>
      </c>
      <c r="B401" s="2">
        <v>43539</v>
      </c>
      <c r="C401" s="3" t="s">
        <v>800</v>
      </c>
      <c r="D401" s="3" t="str">
        <f>INDEX('Customers (2)'!B:B,MATCH('Customers (2)'!A401,'Customers (2)'!A:A,0))</f>
        <v>Ingelbert Hotchkin</v>
      </c>
      <c r="E401" s="4" t="s">
        <v>530</v>
      </c>
      <c r="F401" s="3">
        <v>6</v>
      </c>
      <c r="G401" s="5">
        <f>INDEX([1]products!$A$1:$G$49,MATCH([1]orders!$D401,[1]products!$A$1:$A$49,0),MATCH([1]orders!K$1,[1]products!$A$1:$G$1,0))</f>
        <v>2.5</v>
      </c>
      <c r="H401" s="6">
        <f>INDEX([1]products!$A$1:$G$49,MATCH([1]orders!$D401,[1]products!$A$1:$A$49,0),MATCH([1]orders!L$1,[1]products!$A$1:$G$1,0))</f>
        <v>27.945</v>
      </c>
      <c r="I401" s="6">
        <f t="shared" si="6"/>
        <v>167.67000000000002</v>
      </c>
    </row>
    <row r="402" spans="1:9" x14ac:dyDescent="0.3">
      <c r="A402" s="1" t="s">
        <v>801</v>
      </c>
      <c r="B402" s="2">
        <v>44332</v>
      </c>
      <c r="C402" s="3" t="s">
        <v>802</v>
      </c>
      <c r="D402" s="3" t="str">
        <f>INDEX('Customers (2)'!B:B,MATCH('Customers (2)'!A402,'Customers (2)'!A:A,0))</f>
        <v>Neely Broadberrie</v>
      </c>
      <c r="E402" s="4" t="s">
        <v>132</v>
      </c>
      <c r="F402" s="3">
        <v>4</v>
      </c>
      <c r="G402" s="5">
        <f>INDEX([1]products!$A$1:$G$49,MATCH([1]orders!$D402,[1]products!$A$1:$A$49,0),MATCH([1]orders!K$1,[1]products!$A$1:$G$1,0))</f>
        <v>1</v>
      </c>
      <c r="H402" s="6">
        <f>INDEX([1]products!$A$1:$G$49,MATCH([1]orders!$D402,[1]products!$A$1:$A$49,0),MATCH([1]orders!L$1,[1]products!$A$1:$G$1,0))</f>
        <v>15.85</v>
      </c>
      <c r="I402" s="6">
        <f t="shared" si="6"/>
        <v>63.4</v>
      </c>
    </row>
    <row r="403" spans="1:9" x14ac:dyDescent="0.3">
      <c r="A403" s="1" t="s">
        <v>803</v>
      </c>
      <c r="B403" s="2">
        <v>43591</v>
      </c>
      <c r="C403" s="3" t="s">
        <v>804</v>
      </c>
      <c r="D403" s="3" t="str">
        <f>INDEX('Customers (2)'!B:B,MATCH('Customers (2)'!A403,'Customers (2)'!A:A,0))</f>
        <v>Rutger Pithcock</v>
      </c>
      <c r="E403" s="4" t="s">
        <v>77</v>
      </c>
      <c r="F403" s="3">
        <v>2</v>
      </c>
      <c r="G403" s="5">
        <f>INDEX([1]products!$A$1:$G$49,MATCH([1]orders!$D403,[1]products!$A$1:$A$49,0),MATCH([1]orders!K$1,[1]products!$A$1:$G$1,0))</f>
        <v>0.2</v>
      </c>
      <c r="H403" s="6">
        <f>INDEX([1]products!$A$1:$G$49,MATCH([1]orders!$D403,[1]products!$A$1:$A$49,0),MATCH([1]orders!L$1,[1]products!$A$1:$G$1,0))</f>
        <v>4.3650000000000002</v>
      </c>
      <c r="I403" s="6">
        <f t="shared" si="6"/>
        <v>8.73</v>
      </c>
    </row>
    <row r="404" spans="1:9" x14ac:dyDescent="0.3">
      <c r="A404" s="1" t="s">
        <v>805</v>
      </c>
      <c r="B404" s="2">
        <v>43502</v>
      </c>
      <c r="C404" s="3" t="s">
        <v>806</v>
      </c>
      <c r="D404" s="3" t="str">
        <f>INDEX('Customers (2)'!B:B,MATCH('Customers (2)'!A404,'Customers (2)'!A:A,0))</f>
        <v>Gale Croysdale</v>
      </c>
      <c r="E404" s="4" t="s">
        <v>179</v>
      </c>
      <c r="F404" s="3">
        <v>3</v>
      </c>
      <c r="G404" s="5">
        <f>INDEX([1]products!$A$1:$G$49,MATCH([1]orders!$D404,[1]products!$A$1:$A$49,0),MATCH([1]orders!K$1,[1]products!$A$1:$G$1,0))</f>
        <v>1</v>
      </c>
      <c r="H404" s="6">
        <f>INDEX([1]products!$A$1:$G$49,MATCH([1]orders!$D404,[1]products!$A$1:$A$49,0),MATCH([1]orders!L$1,[1]products!$A$1:$G$1,0))</f>
        <v>8.9499999999999993</v>
      </c>
      <c r="I404" s="6">
        <f t="shared" si="6"/>
        <v>26.849999999999998</v>
      </c>
    </row>
    <row r="405" spans="1:9" x14ac:dyDescent="0.3">
      <c r="A405" s="1" t="s">
        <v>807</v>
      </c>
      <c r="B405" s="2">
        <v>44295</v>
      </c>
      <c r="C405" s="3" t="s">
        <v>808</v>
      </c>
      <c r="D405" s="3" t="str">
        <f>INDEX('Customers (2)'!B:B,MATCH('Customers (2)'!A405,'Customers (2)'!A:A,0))</f>
        <v>Benedetto Gozzett</v>
      </c>
      <c r="E405" s="4" t="s">
        <v>19</v>
      </c>
      <c r="F405" s="3">
        <v>2</v>
      </c>
      <c r="G405" s="5">
        <f>INDEX([1]products!$A$1:$G$49,MATCH([1]orders!$D405,[1]products!$A$1:$A$49,0),MATCH([1]orders!K$1,[1]products!$A$1:$G$1,0))</f>
        <v>0.2</v>
      </c>
      <c r="H405" s="6">
        <f>INDEX([1]products!$A$1:$G$49,MATCH([1]orders!$D405,[1]products!$A$1:$A$49,0),MATCH([1]orders!L$1,[1]products!$A$1:$G$1,0))</f>
        <v>4.7549999999999999</v>
      </c>
      <c r="I405" s="6">
        <f t="shared" si="6"/>
        <v>9.51</v>
      </c>
    </row>
    <row r="406" spans="1:9" x14ac:dyDescent="0.3">
      <c r="A406" s="1" t="s">
        <v>809</v>
      </c>
      <c r="B406" s="2">
        <v>43971</v>
      </c>
      <c r="C406" s="3" t="s">
        <v>810</v>
      </c>
      <c r="D406" s="3" t="str">
        <f>INDEX('Customers (2)'!B:B,MATCH('Customers (2)'!A406,'Customers (2)'!A:A,0))</f>
        <v>Tania Craggs</v>
      </c>
      <c r="E406" s="4" t="s">
        <v>27</v>
      </c>
      <c r="F406" s="3">
        <v>4</v>
      </c>
      <c r="G406" s="5">
        <f>INDEX([1]products!$A$1:$G$49,MATCH([1]orders!$D406,[1]products!$A$1:$A$49,0),MATCH([1]orders!K$1,[1]products!$A$1:$G$1,0))</f>
        <v>1</v>
      </c>
      <c r="H406" s="6">
        <f>INDEX([1]products!$A$1:$G$49,MATCH([1]orders!$D406,[1]products!$A$1:$A$49,0),MATCH([1]orders!L$1,[1]products!$A$1:$G$1,0))</f>
        <v>9.9499999999999993</v>
      </c>
      <c r="I406" s="6">
        <f t="shared" si="6"/>
        <v>39.799999999999997</v>
      </c>
    </row>
    <row r="407" spans="1:9" x14ac:dyDescent="0.3">
      <c r="A407" s="1" t="s">
        <v>811</v>
      </c>
      <c r="B407" s="2">
        <v>44167</v>
      </c>
      <c r="C407" s="3" t="s">
        <v>812</v>
      </c>
      <c r="D407" s="3" t="str">
        <f>INDEX('Customers (2)'!B:B,MATCH('Customers (2)'!A407,'Customers (2)'!A:A,0))</f>
        <v>Leonie Cullrford</v>
      </c>
      <c r="E407" s="4" t="s">
        <v>3</v>
      </c>
      <c r="F407" s="3">
        <v>3</v>
      </c>
      <c r="G407" s="5">
        <f>INDEX([1]products!$A$1:$G$49,MATCH([1]orders!$D407,[1]products!$A$1:$A$49,0),MATCH([1]orders!K$1,[1]products!$A$1:$G$1,0))</f>
        <v>0.5</v>
      </c>
      <c r="H407" s="6">
        <f>INDEX([1]products!$A$1:$G$49,MATCH([1]orders!$D407,[1]products!$A$1:$A$49,0),MATCH([1]orders!L$1,[1]products!$A$1:$G$1,0))</f>
        <v>8.25</v>
      </c>
      <c r="I407" s="6">
        <f t="shared" si="6"/>
        <v>24.75</v>
      </c>
    </row>
    <row r="408" spans="1:9" x14ac:dyDescent="0.3">
      <c r="A408" s="1" t="s">
        <v>813</v>
      </c>
      <c r="B408" s="2">
        <v>44416</v>
      </c>
      <c r="C408" s="3" t="s">
        <v>814</v>
      </c>
      <c r="D408" s="3" t="str">
        <f>INDEX('Customers (2)'!B:B,MATCH('Customers (2)'!A408,'Customers (2)'!A:A,0))</f>
        <v>Auguste Rizon</v>
      </c>
      <c r="E408" s="4" t="s">
        <v>9</v>
      </c>
      <c r="F408" s="3">
        <v>5</v>
      </c>
      <c r="G408" s="5">
        <f>INDEX([1]products!$A$1:$G$49,MATCH([1]orders!$D408,[1]products!$A$1:$A$49,0),MATCH([1]orders!K$1,[1]products!$A$1:$G$1,0))</f>
        <v>1</v>
      </c>
      <c r="H408" s="6">
        <f>INDEX([1]products!$A$1:$G$49,MATCH([1]orders!$D408,[1]products!$A$1:$A$49,0),MATCH([1]orders!L$1,[1]products!$A$1:$G$1,0))</f>
        <v>13.75</v>
      </c>
      <c r="I408" s="6">
        <f t="shared" si="6"/>
        <v>68.75</v>
      </c>
    </row>
    <row r="409" spans="1:9" x14ac:dyDescent="0.3">
      <c r="A409" s="1" t="s">
        <v>815</v>
      </c>
      <c r="B409" s="2">
        <v>44595</v>
      </c>
      <c r="C409" s="3" t="s">
        <v>816</v>
      </c>
      <c r="D409" s="3" t="str">
        <f>INDEX('Customers (2)'!B:B,MATCH('Customers (2)'!A409,'Customers (2)'!A:A,0))</f>
        <v>Lorin Guerrazzi</v>
      </c>
      <c r="E409" s="4" t="s">
        <v>3</v>
      </c>
      <c r="F409" s="3">
        <v>6</v>
      </c>
      <c r="G409" s="5">
        <f>INDEX([1]products!$A$1:$G$49,MATCH([1]orders!$D409,[1]products!$A$1:$A$49,0),MATCH([1]orders!K$1,[1]products!$A$1:$G$1,0))</f>
        <v>0.5</v>
      </c>
      <c r="H409" s="6">
        <f>INDEX([1]products!$A$1:$G$49,MATCH([1]orders!$D409,[1]products!$A$1:$A$49,0),MATCH([1]orders!L$1,[1]products!$A$1:$G$1,0))</f>
        <v>8.25</v>
      </c>
      <c r="I409" s="6">
        <f t="shared" si="6"/>
        <v>49.5</v>
      </c>
    </row>
    <row r="410" spans="1:9" x14ac:dyDescent="0.3">
      <c r="A410" s="1" t="s">
        <v>817</v>
      </c>
      <c r="B410" s="2">
        <v>44659</v>
      </c>
      <c r="C410" s="3" t="s">
        <v>818</v>
      </c>
      <c r="D410" s="3" t="str">
        <f>INDEX('Customers (2)'!B:B,MATCH('Customers (2)'!A410,'Customers (2)'!A:A,0))</f>
        <v>Felice Miell</v>
      </c>
      <c r="E410" s="4" t="s">
        <v>171</v>
      </c>
      <c r="F410" s="3">
        <v>2</v>
      </c>
      <c r="G410" s="5">
        <f>INDEX([1]products!$A$1:$G$49,MATCH([1]orders!$D410,[1]products!$A$1:$A$49,0),MATCH([1]orders!K$1,[1]products!$A$1:$G$1,0))</f>
        <v>2.5</v>
      </c>
      <c r="H410" s="6">
        <f>INDEX([1]products!$A$1:$G$49,MATCH([1]orders!$D410,[1]products!$A$1:$A$49,0),MATCH([1]orders!L$1,[1]products!$A$1:$G$1,0))</f>
        <v>25.874999999999996</v>
      </c>
      <c r="I410" s="6">
        <f t="shared" si="6"/>
        <v>51.749999999999993</v>
      </c>
    </row>
    <row r="411" spans="1:9" x14ac:dyDescent="0.3">
      <c r="A411" s="1" t="s">
        <v>819</v>
      </c>
      <c r="B411" s="2">
        <v>44203</v>
      </c>
      <c r="C411" s="3" t="s">
        <v>820</v>
      </c>
      <c r="D411" s="3" t="str">
        <f>INDEX('Customers (2)'!B:B,MATCH('Customers (2)'!A411,'Customers (2)'!A:A,0))</f>
        <v>Hamish Skeech</v>
      </c>
      <c r="E411" s="4" t="s">
        <v>132</v>
      </c>
      <c r="F411" s="3">
        <v>3</v>
      </c>
      <c r="G411" s="5">
        <f>INDEX([1]products!$A$1:$G$49,MATCH([1]orders!$D411,[1]products!$A$1:$A$49,0),MATCH([1]orders!K$1,[1]products!$A$1:$G$1,0))</f>
        <v>1</v>
      </c>
      <c r="H411" s="6">
        <f>INDEX([1]products!$A$1:$G$49,MATCH([1]orders!$D411,[1]products!$A$1:$A$49,0),MATCH([1]orders!L$1,[1]products!$A$1:$G$1,0))</f>
        <v>15.85</v>
      </c>
      <c r="I411" s="6">
        <f t="shared" si="6"/>
        <v>47.55</v>
      </c>
    </row>
    <row r="412" spans="1:9" x14ac:dyDescent="0.3">
      <c r="A412" s="1" t="s">
        <v>821</v>
      </c>
      <c r="B412" s="2">
        <v>44441</v>
      </c>
      <c r="C412" s="3" t="s">
        <v>822</v>
      </c>
      <c r="D412" s="3" t="str">
        <f>INDEX('Customers (2)'!B:B,MATCH('Customers (2)'!A412,'Customers (2)'!A:A,0))</f>
        <v>Giordano Lorenzin</v>
      </c>
      <c r="E412" s="4" t="s">
        <v>115</v>
      </c>
      <c r="F412" s="3">
        <v>4</v>
      </c>
      <c r="G412" s="5">
        <f>INDEX([1]products!$A$1:$G$49,MATCH([1]orders!$D412,[1]products!$A$1:$A$49,0),MATCH([1]orders!K$1,[1]products!$A$1:$G$1,0))</f>
        <v>0.2</v>
      </c>
      <c r="H412" s="6">
        <f>INDEX([1]products!$A$1:$G$49,MATCH([1]orders!$D412,[1]products!$A$1:$A$49,0),MATCH([1]orders!L$1,[1]products!$A$1:$G$1,0))</f>
        <v>3.8849999999999998</v>
      </c>
      <c r="I412" s="6">
        <f t="shared" si="6"/>
        <v>15.54</v>
      </c>
    </row>
    <row r="413" spans="1:9" x14ac:dyDescent="0.3">
      <c r="A413" s="1" t="s">
        <v>823</v>
      </c>
      <c r="B413" s="2">
        <v>44504</v>
      </c>
      <c r="C413" s="3" t="s">
        <v>824</v>
      </c>
      <c r="D413" s="3" t="str">
        <f>INDEX('Customers (2)'!B:B,MATCH('Customers (2)'!A413,'Customers (2)'!A:A,0))</f>
        <v>Harwilll Bishell</v>
      </c>
      <c r="E413" s="4" t="s">
        <v>96</v>
      </c>
      <c r="F413" s="3">
        <v>6</v>
      </c>
      <c r="G413" s="5">
        <f>INDEX([1]products!$A$1:$G$49,MATCH([1]orders!$D413,[1]products!$A$1:$A$49,0),MATCH([1]orders!K$1,[1]products!$A$1:$G$1,0))</f>
        <v>1</v>
      </c>
      <c r="H413" s="6">
        <f>INDEX([1]products!$A$1:$G$49,MATCH([1]orders!$D413,[1]products!$A$1:$A$49,0),MATCH([1]orders!L$1,[1]products!$A$1:$G$1,0))</f>
        <v>14.55</v>
      </c>
      <c r="I413" s="6">
        <f t="shared" si="6"/>
        <v>87.300000000000011</v>
      </c>
    </row>
    <row r="414" spans="1:9" x14ac:dyDescent="0.3">
      <c r="A414" s="1" t="s">
        <v>825</v>
      </c>
      <c r="B414" s="2">
        <v>44410</v>
      </c>
      <c r="C414" s="3" t="s">
        <v>826</v>
      </c>
      <c r="D414" s="3" t="str">
        <f>INDEX('Customers (2)'!B:B,MATCH('Customers (2)'!A414,'Customers (2)'!A:A,0))</f>
        <v>Freeland Missenden</v>
      </c>
      <c r="E414" s="4" t="s">
        <v>61</v>
      </c>
      <c r="F414" s="3">
        <v>5</v>
      </c>
      <c r="G414" s="5">
        <f>INDEX([1]products!$A$1:$G$49,MATCH([1]orders!$D414,[1]products!$A$1:$A$49,0),MATCH([1]orders!K$1,[1]products!$A$1:$G$1,0))</f>
        <v>1</v>
      </c>
      <c r="H414" s="6">
        <f>INDEX([1]products!$A$1:$G$49,MATCH([1]orders!$D414,[1]products!$A$1:$A$49,0),MATCH([1]orders!L$1,[1]products!$A$1:$G$1,0))</f>
        <v>11.25</v>
      </c>
      <c r="I414" s="6">
        <f t="shared" si="6"/>
        <v>56.25</v>
      </c>
    </row>
    <row r="415" spans="1:9" x14ac:dyDescent="0.3">
      <c r="A415" s="1" t="s">
        <v>827</v>
      </c>
      <c r="B415" s="2">
        <v>43857</v>
      </c>
      <c r="C415" s="3" t="s">
        <v>828</v>
      </c>
      <c r="D415" s="3" t="str">
        <f>INDEX('Customers (2)'!B:B,MATCH('Customers (2)'!A415,'Customers (2)'!A:A,0))</f>
        <v>Waylan Springall</v>
      </c>
      <c r="E415" s="4" t="s">
        <v>104</v>
      </c>
      <c r="F415" s="3">
        <v>1</v>
      </c>
      <c r="G415" s="5">
        <f>INDEX([1]products!$A$1:$G$49,MATCH([1]orders!$D415,[1]products!$A$1:$A$49,0),MATCH([1]orders!K$1,[1]products!$A$1:$G$1,0))</f>
        <v>2.5</v>
      </c>
      <c r="H415" s="6">
        <f>INDEX([1]products!$A$1:$G$49,MATCH([1]orders!$D415,[1]products!$A$1:$A$49,0),MATCH([1]orders!L$1,[1]products!$A$1:$G$1,0))</f>
        <v>36.454999999999998</v>
      </c>
      <c r="I415" s="6">
        <f t="shared" si="6"/>
        <v>36.454999999999998</v>
      </c>
    </row>
    <row r="416" spans="1:9" x14ac:dyDescent="0.3">
      <c r="A416" s="1" t="s">
        <v>829</v>
      </c>
      <c r="B416" s="2">
        <v>43802</v>
      </c>
      <c r="C416" s="3" t="s">
        <v>830</v>
      </c>
      <c r="D416" s="3" t="str">
        <f>INDEX('Customers (2)'!B:B,MATCH('Customers (2)'!A416,'Customers (2)'!A:A,0))</f>
        <v>Kiri Avramow</v>
      </c>
      <c r="E416" s="4" t="s">
        <v>182</v>
      </c>
      <c r="F416" s="3">
        <v>3</v>
      </c>
      <c r="G416" s="5">
        <f>INDEX([1]products!$A$1:$G$49,MATCH([1]orders!$D416,[1]products!$A$1:$A$49,0),MATCH([1]orders!K$1,[1]products!$A$1:$G$1,0))</f>
        <v>0.2</v>
      </c>
      <c r="H416" s="6">
        <f>INDEX([1]products!$A$1:$G$49,MATCH([1]orders!$D416,[1]products!$A$1:$A$49,0),MATCH([1]orders!L$1,[1]products!$A$1:$G$1,0))</f>
        <v>3.5849999999999995</v>
      </c>
      <c r="I416" s="6">
        <f t="shared" si="6"/>
        <v>10.754999999999999</v>
      </c>
    </row>
    <row r="417" spans="1:9" x14ac:dyDescent="0.3">
      <c r="A417" s="1" t="s">
        <v>831</v>
      </c>
      <c r="B417" s="2">
        <v>43683</v>
      </c>
      <c r="C417" s="3" t="s">
        <v>832</v>
      </c>
      <c r="D417" s="3" t="str">
        <f>INDEX('Customers (2)'!B:B,MATCH('Customers (2)'!A417,'Customers (2)'!A:A,0))</f>
        <v>Gregg Hawkyens</v>
      </c>
      <c r="E417" s="4" t="s">
        <v>162</v>
      </c>
      <c r="F417" s="3">
        <v>3</v>
      </c>
      <c r="G417" s="5">
        <f>INDEX([1]products!$A$1:$G$49,MATCH([1]orders!$D417,[1]products!$A$1:$A$49,0),MATCH([1]orders!K$1,[1]products!$A$1:$G$1,0))</f>
        <v>0.2</v>
      </c>
      <c r="H417" s="6">
        <f>INDEX([1]products!$A$1:$G$49,MATCH([1]orders!$D417,[1]products!$A$1:$A$49,0),MATCH([1]orders!L$1,[1]products!$A$1:$G$1,0))</f>
        <v>2.9849999999999999</v>
      </c>
      <c r="I417" s="6">
        <f t="shared" si="6"/>
        <v>8.9550000000000001</v>
      </c>
    </row>
    <row r="418" spans="1:9" x14ac:dyDescent="0.3">
      <c r="A418" s="1" t="s">
        <v>833</v>
      </c>
      <c r="B418" s="2">
        <v>43901</v>
      </c>
      <c r="C418" s="3" t="s">
        <v>834</v>
      </c>
      <c r="D418" s="3" t="str">
        <f>INDEX('Customers (2)'!B:B,MATCH('Customers (2)'!A418,'Customers (2)'!A:A,0))</f>
        <v>Reggis Pracy</v>
      </c>
      <c r="E418" s="4" t="s">
        <v>192</v>
      </c>
      <c r="F418" s="3">
        <v>3</v>
      </c>
      <c r="G418" s="5">
        <f>INDEX([1]products!$A$1:$G$49,MATCH([1]orders!$D418,[1]products!$A$1:$A$49,0),MATCH([1]orders!K$1,[1]products!$A$1:$G$1,0))</f>
        <v>0.5</v>
      </c>
      <c r="H418" s="6">
        <f>INDEX([1]products!$A$1:$G$49,MATCH([1]orders!$D418,[1]products!$A$1:$A$49,0),MATCH([1]orders!L$1,[1]products!$A$1:$G$1,0))</f>
        <v>7.77</v>
      </c>
      <c r="I418" s="6">
        <f t="shared" si="6"/>
        <v>23.31</v>
      </c>
    </row>
    <row r="419" spans="1:9" x14ac:dyDescent="0.3">
      <c r="A419" s="1" t="s">
        <v>835</v>
      </c>
      <c r="B419" s="2">
        <v>44457</v>
      </c>
      <c r="C419" s="3" t="s">
        <v>836</v>
      </c>
      <c r="D419" s="3" t="str">
        <f>INDEX('Customers (2)'!B:B,MATCH('Customers (2)'!A419,'Customers (2)'!A:A,0))</f>
        <v>Paula Denis</v>
      </c>
      <c r="E419" s="4" t="s">
        <v>204</v>
      </c>
      <c r="F419" s="3">
        <v>1</v>
      </c>
      <c r="G419" s="5">
        <f>INDEX([1]products!$A$1:$G$49,MATCH([1]orders!$D419,[1]products!$A$1:$A$49,0),MATCH([1]orders!K$1,[1]products!$A$1:$G$1,0))</f>
        <v>2.5</v>
      </c>
      <c r="H419" s="6">
        <f>INDEX([1]products!$A$1:$G$49,MATCH([1]orders!$D419,[1]products!$A$1:$A$49,0),MATCH([1]orders!L$1,[1]products!$A$1:$G$1,0))</f>
        <v>29.784999999999997</v>
      </c>
      <c r="I419" s="6">
        <f t="shared" si="6"/>
        <v>29.784999999999997</v>
      </c>
    </row>
    <row r="420" spans="1:9" x14ac:dyDescent="0.3">
      <c r="A420" s="1" t="s">
        <v>837</v>
      </c>
      <c r="B420" s="2">
        <v>44142</v>
      </c>
      <c r="C420" s="3" t="s">
        <v>838</v>
      </c>
      <c r="D420" s="3" t="str">
        <f>INDEX('Customers (2)'!B:B,MATCH('Customers (2)'!A420,'Customers (2)'!A:A,0))</f>
        <v>Broderick McGilvra</v>
      </c>
      <c r="E420" s="4" t="s">
        <v>204</v>
      </c>
      <c r="F420" s="3">
        <v>5</v>
      </c>
      <c r="G420" s="5">
        <f>INDEX([1]products!$A$1:$G$49,MATCH([1]orders!$D420,[1]products!$A$1:$A$49,0),MATCH([1]orders!K$1,[1]products!$A$1:$G$1,0))</f>
        <v>2.5</v>
      </c>
      <c r="H420" s="6">
        <f>INDEX([1]products!$A$1:$G$49,MATCH([1]orders!$D420,[1]products!$A$1:$A$49,0),MATCH([1]orders!L$1,[1]products!$A$1:$G$1,0))</f>
        <v>29.784999999999997</v>
      </c>
      <c r="I420" s="6">
        <f t="shared" si="6"/>
        <v>148.92499999999998</v>
      </c>
    </row>
    <row r="421" spans="1:9" x14ac:dyDescent="0.3">
      <c r="A421" s="1" t="s">
        <v>839</v>
      </c>
      <c r="B421" s="2">
        <v>44739</v>
      </c>
      <c r="C421" s="3" t="s">
        <v>840</v>
      </c>
      <c r="D421" s="3" t="str">
        <f>INDEX('Customers (2)'!B:B,MATCH('Customers (2)'!A421,'Customers (2)'!A:A,0))</f>
        <v>Annabella Danzey</v>
      </c>
      <c r="E421" s="4" t="s">
        <v>78</v>
      </c>
      <c r="F421" s="3">
        <v>1</v>
      </c>
      <c r="G421" s="5">
        <f>INDEX([1]products!$A$1:$G$49,MATCH([1]orders!$D421,[1]products!$A$1:$A$49,0),MATCH([1]orders!K$1,[1]products!$A$1:$G$1,0))</f>
        <v>0.5</v>
      </c>
      <c r="H421" s="6">
        <f>INDEX([1]products!$A$1:$G$49,MATCH([1]orders!$D421,[1]products!$A$1:$A$49,0),MATCH([1]orders!L$1,[1]products!$A$1:$G$1,0))</f>
        <v>8.73</v>
      </c>
      <c r="I421" s="6">
        <f t="shared" si="6"/>
        <v>8.73</v>
      </c>
    </row>
    <row r="422" spans="1:9" x14ac:dyDescent="0.3">
      <c r="A422" s="1" t="s">
        <v>841</v>
      </c>
      <c r="B422" s="2">
        <v>43866</v>
      </c>
      <c r="C422" s="3" t="s">
        <v>749</v>
      </c>
      <c r="D422" s="3" t="str">
        <f>INDEX('Customers (2)'!B:B,MATCH('Customers (2)'!A422,'Customers (2)'!A:A,0))</f>
        <v>Anthia McKeller</v>
      </c>
      <c r="E422" s="4" t="s">
        <v>123</v>
      </c>
      <c r="F422" s="3">
        <v>4</v>
      </c>
      <c r="G422" s="5">
        <f>INDEX([1]products!$A$1:$G$49,MATCH([1]orders!$D422,[1]products!$A$1:$A$49,0),MATCH([1]orders!K$1,[1]products!$A$1:$G$1,0))</f>
        <v>0.5</v>
      </c>
      <c r="H422" s="6">
        <f>INDEX([1]products!$A$1:$G$49,MATCH([1]orders!$D422,[1]products!$A$1:$A$49,0),MATCH([1]orders!L$1,[1]products!$A$1:$G$1,0))</f>
        <v>7.77</v>
      </c>
      <c r="I422" s="6">
        <f t="shared" si="6"/>
        <v>31.08</v>
      </c>
    </row>
    <row r="423" spans="1:9" x14ac:dyDescent="0.3">
      <c r="A423" s="1" t="s">
        <v>841</v>
      </c>
      <c r="B423" s="2">
        <v>43866</v>
      </c>
      <c r="C423" s="3" t="s">
        <v>749</v>
      </c>
      <c r="D423" s="3" t="str">
        <f>INDEX('Customers (2)'!B:B,MATCH('Customers (2)'!A423,'Customers (2)'!A:A,0))</f>
        <v>Faith Powley</v>
      </c>
      <c r="E423" s="4" t="s">
        <v>118</v>
      </c>
      <c r="F423" s="3">
        <v>6</v>
      </c>
      <c r="G423" s="5">
        <f>INDEX([1]products!$A$1:$G$49,MATCH([1]orders!$D423,[1]products!$A$1:$A$49,0),MATCH([1]orders!K$1,[1]products!$A$1:$G$1,0))</f>
        <v>2.5</v>
      </c>
      <c r="H423" s="6">
        <f>INDEX([1]products!$A$1:$G$49,MATCH([1]orders!$D423,[1]products!$A$1:$A$49,0),MATCH([1]orders!L$1,[1]products!$A$1:$G$1,0))</f>
        <v>22.884999999999998</v>
      </c>
      <c r="I423" s="6">
        <f t="shared" si="6"/>
        <v>137.31</v>
      </c>
    </row>
    <row r="424" spans="1:9" x14ac:dyDescent="0.3">
      <c r="A424" s="1" t="s">
        <v>842</v>
      </c>
      <c r="B424" s="2">
        <v>43868</v>
      </c>
      <c r="C424" s="3" t="s">
        <v>843</v>
      </c>
      <c r="D424" s="3" t="str">
        <f>INDEX('Customers (2)'!B:B,MATCH('Customers (2)'!A424,'Customers (2)'!A:A,0))</f>
        <v>Nevins Glowacz</v>
      </c>
      <c r="E424" s="4" t="s">
        <v>72</v>
      </c>
      <c r="F424" s="3">
        <v>5</v>
      </c>
      <c r="G424" s="5">
        <f>INDEX([1]products!$A$1:$G$49,MATCH([1]orders!$D424,[1]products!$A$1:$A$49,0),MATCH([1]orders!K$1,[1]products!$A$1:$G$1,0))</f>
        <v>0.5</v>
      </c>
      <c r="H424" s="6">
        <f>INDEX([1]products!$A$1:$G$49,MATCH([1]orders!$D424,[1]products!$A$1:$A$49,0),MATCH([1]orders!L$1,[1]products!$A$1:$G$1,0))</f>
        <v>5.97</v>
      </c>
      <c r="I424" s="6">
        <f t="shared" si="6"/>
        <v>29.849999999999998</v>
      </c>
    </row>
    <row r="425" spans="1:9" x14ac:dyDescent="0.3">
      <c r="A425" s="1" t="s">
        <v>844</v>
      </c>
      <c r="B425" s="2">
        <v>44183</v>
      </c>
      <c r="C425" s="3" t="s">
        <v>845</v>
      </c>
      <c r="D425" s="3" t="str">
        <f>INDEX('Customers (2)'!B:B,MATCH('Customers (2)'!A425,'Customers (2)'!A:A,0))</f>
        <v>Adelice Isabell</v>
      </c>
      <c r="E425" s="4" t="s">
        <v>22</v>
      </c>
      <c r="F425" s="3">
        <v>3</v>
      </c>
      <c r="G425" s="5">
        <f>INDEX([1]products!$A$1:$G$49,MATCH([1]orders!$D425,[1]products!$A$1:$A$49,0),MATCH([1]orders!K$1,[1]products!$A$1:$G$1,0))</f>
        <v>0.5</v>
      </c>
      <c r="H425" s="6">
        <f>INDEX([1]products!$A$1:$G$49,MATCH([1]orders!$D425,[1]products!$A$1:$A$49,0),MATCH([1]orders!L$1,[1]products!$A$1:$G$1,0))</f>
        <v>5.97</v>
      </c>
      <c r="I425" s="6">
        <f t="shared" si="6"/>
        <v>17.91</v>
      </c>
    </row>
    <row r="426" spans="1:9" x14ac:dyDescent="0.3">
      <c r="A426" s="1" t="s">
        <v>846</v>
      </c>
      <c r="B426" s="2">
        <v>44431</v>
      </c>
      <c r="C426" s="3" t="s">
        <v>847</v>
      </c>
      <c r="D426" s="3" t="str">
        <f>INDEX('Customers (2)'!B:B,MATCH('Customers (2)'!A426,'Customers (2)'!A:A,0))</f>
        <v>Yulma Dombrell</v>
      </c>
      <c r="E426" s="4" t="s">
        <v>176</v>
      </c>
      <c r="F426" s="3">
        <v>3</v>
      </c>
      <c r="G426" s="5">
        <f>INDEX([1]products!$A$1:$G$49,MATCH([1]orders!$D426,[1]products!$A$1:$A$49,0),MATCH([1]orders!K$1,[1]products!$A$1:$G$1,0))</f>
        <v>0.5</v>
      </c>
      <c r="H426" s="6">
        <f>INDEX([1]products!$A$1:$G$49,MATCH([1]orders!$D426,[1]products!$A$1:$A$49,0),MATCH([1]orders!L$1,[1]products!$A$1:$G$1,0))</f>
        <v>8.91</v>
      </c>
      <c r="I426" s="6">
        <f t="shared" si="6"/>
        <v>26.73</v>
      </c>
    </row>
    <row r="427" spans="1:9" x14ac:dyDescent="0.3">
      <c r="A427" s="1" t="s">
        <v>848</v>
      </c>
      <c r="B427" s="2">
        <v>44428</v>
      </c>
      <c r="C427" s="3" t="s">
        <v>849</v>
      </c>
      <c r="D427" s="3" t="str">
        <f>INDEX('Customers (2)'!B:B,MATCH('Customers (2)'!A427,'Customers (2)'!A:A,0))</f>
        <v>Alric Darth</v>
      </c>
      <c r="E427" s="4" t="s">
        <v>179</v>
      </c>
      <c r="F427" s="3">
        <v>2</v>
      </c>
      <c r="G427" s="5">
        <f>INDEX([1]products!$A$1:$G$49,MATCH([1]orders!$D427,[1]products!$A$1:$A$49,0),MATCH([1]orders!K$1,[1]products!$A$1:$G$1,0))</f>
        <v>1</v>
      </c>
      <c r="H427" s="6">
        <f>INDEX([1]products!$A$1:$G$49,MATCH([1]orders!$D427,[1]products!$A$1:$A$49,0),MATCH([1]orders!L$1,[1]products!$A$1:$G$1,0))</f>
        <v>8.9499999999999993</v>
      </c>
      <c r="I427" s="6">
        <f t="shared" si="6"/>
        <v>17.899999999999999</v>
      </c>
    </row>
    <row r="428" spans="1:9" x14ac:dyDescent="0.3">
      <c r="A428" s="1" t="s">
        <v>850</v>
      </c>
      <c r="B428" s="2">
        <v>43556</v>
      </c>
      <c r="C428" s="3" t="s">
        <v>851</v>
      </c>
      <c r="D428" s="3" t="str">
        <f>INDEX('Customers (2)'!B:B,MATCH('Customers (2)'!A428,'Customers (2)'!A:A,0))</f>
        <v>Manuel Darrigoe</v>
      </c>
      <c r="E428" s="4" t="s">
        <v>182</v>
      </c>
      <c r="F428" s="3">
        <v>4</v>
      </c>
      <c r="G428" s="5">
        <f>INDEX([1]products!$A$1:$G$49,MATCH([1]orders!$D428,[1]products!$A$1:$A$49,0),MATCH([1]orders!K$1,[1]products!$A$1:$G$1,0))</f>
        <v>0.2</v>
      </c>
      <c r="H428" s="6">
        <f>INDEX([1]products!$A$1:$G$49,MATCH([1]orders!$D428,[1]products!$A$1:$A$49,0),MATCH([1]orders!L$1,[1]products!$A$1:$G$1,0))</f>
        <v>3.5849999999999995</v>
      </c>
      <c r="I428" s="6">
        <f t="shared" si="6"/>
        <v>14.339999999999998</v>
      </c>
    </row>
    <row r="429" spans="1:9" x14ac:dyDescent="0.3">
      <c r="A429" s="1" t="s">
        <v>852</v>
      </c>
      <c r="B429" s="2">
        <v>44224</v>
      </c>
      <c r="C429" s="3" t="s">
        <v>853</v>
      </c>
      <c r="D429" s="3" t="str">
        <f>INDEX('Customers (2)'!B:B,MATCH('Customers (2)'!A429,'Customers (2)'!A:A,0))</f>
        <v>Kynthia Berick</v>
      </c>
      <c r="E429" s="4" t="s">
        <v>171</v>
      </c>
      <c r="F429" s="3">
        <v>3</v>
      </c>
      <c r="G429" s="5">
        <f>INDEX([1]products!$A$1:$G$49,MATCH([1]orders!$D429,[1]products!$A$1:$A$49,0),MATCH([1]orders!K$1,[1]products!$A$1:$G$1,0))</f>
        <v>2.5</v>
      </c>
      <c r="H429" s="6">
        <f>INDEX([1]products!$A$1:$G$49,MATCH([1]orders!$D429,[1]products!$A$1:$A$49,0),MATCH([1]orders!L$1,[1]products!$A$1:$G$1,0))</f>
        <v>25.874999999999996</v>
      </c>
      <c r="I429" s="6">
        <f t="shared" si="6"/>
        <v>77.624999999999986</v>
      </c>
    </row>
    <row r="430" spans="1:9" x14ac:dyDescent="0.3">
      <c r="A430" s="1" t="s">
        <v>854</v>
      </c>
      <c r="B430" s="2">
        <v>43759</v>
      </c>
      <c r="C430" s="3" t="s">
        <v>855</v>
      </c>
      <c r="D430" s="3" t="str">
        <f>INDEX('Customers (2)'!B:B,MATCH('Customers (2)'!A430,'Customers (2)'!A:A,0))</f>
        <v>Minetta Ackrill</v>
      </c>
      <c r="E430" s="4" t="s">
        <v>189</v>
      </c>
      <c r="F430" s="3">
        <v>5</v>
      </c>
      <c r="G430" s="5">
        <f>INDEX([1]products!$A$1:$G$49,MATCH([1]orders!$D430,[1]products!$A$1:$A$49,0),MATCH([1]orders!K$1,[1]products!$A$1:$G$1,0))</f>
        <v>1</v>
      </c>
      <c r="H430" s="6">
        <f>INDEX([1]products!$A$1:$G$49,MATCH([1]orders!$D430,[1]products!$A$1:$A$49,0),MATCH([1]orders!L$1,[1]products!$A$1:$G$1,0))</f>
        <v>11.95</v>
      </c>
      <c r="I430" s="6">
        <f t="shared" si="6"/>
        <v>59.75</v>
      </c>
    </row>
    <row r="431" spans="1:9" x14ac:dyDescent="0.3">
      <c r="A431" s="1" t="s">
        <v>856</v>
      </c>
      <c r="B431" s="2">
        <v>44367</v>
      </c>
      <c r="C431" s="3" t="s">
        <v>749</v>
      </c>
      <c r="D431" s="3" t="str">
        <f>INDEX('Customers (2)'!B:B,MATCH('Customers (2)'!A431,'Customers (2)'!A:A,0))</f>
        <v>Maximo Bricksey</v>
      </c>
      <c r="E431" s="4" t="s">
        <v>6</v>
      </c>
      <c r="F431" s="3">
        <v>6</v>
      </c>
      <c r="G431" s="5">
        <f>INDEX([1]products!$A$1:$G$49,MATCH([1]orders!$D431,[1]products!$A$1:$A$49,0),MATCH([1]orders!K$1,[1]products!$A$1:$G$1,0))</f>
        <v>1</v>
      </c>
      <c r="H431" s="6">
        <f>INDEX([1]products!$A$1:$G$49,MATCH([1]orders!$D431,[1]products!$A$1:$A$49,0),MATCH([1]orders!L$1,[1]products!$A$1:$G$1,0))</f>
        <v>12.95</v>
      </c>
      <c r="I431" s="6">
        <f t="shared" si="6"/>
        <v>77.699999999999989</v>
      </c>
    </row>
    <row r="432" spans="1:9" x14ac:dyDescent="0.3">
      <c r="A432" s="1" t="s">
        <v>857</v>
      </c>
      <c r="B432" s="2">
        <v>44504</v>
      </c>
      <c r="C432" s="3" t="s">
        <v>858</v>
      </c>
      <c r="D432" s="3" t="str">
        <f>INDEX('Customers (2)'!B:B,MATCH('Customers (2)'!A432,'Customers (2)'!A:A,0))</f>
        <v>Melosa Kippen</v>
      </c>
      <c r="E432" s="4" t="s">
        <v>101</v>
      </c>
      <c r="F432" s="3">
        <v>2</v>
      </c>
      <c r="G432" s="5">
        <f>INDEX([1]products!$A$1:$G$49,MATCH([1]orders!$D432,[1]products!$A$1:$A$49,0),MATCH([1]orders!K$1,[1]products!$A$1:$G$1,0))</f>
        <v>0.2</v>
      </c>
      <c r="H432" s="6">
        <f>INDEX([1]products!$A$1:$G$49,MATCH([1]orders!$D432,[1]products!$A$1:$A$49,0),MATCH([1]orders!L$1,[1]products!$A$1:$G$1,0))</f>
        <v>2.6849999999999996</v>
      </c>
      <c r="I432" s="6">
        <f t="shared" si="6"/>
        <v>5.3699999999999992</v>
      </c>
    </row>
    <row r="433" spans="1:9" x14ac:dyDescent="0.3">
      <c r="A433" s="1" t="s">
        <v>859</v>
      </c>
      <c r="B433" s="2">
        <v>44291</v>
      </c>
      <c r="C433" s="3" t="s">
        <v>860</v>
      </c>
      <c r="D433" s="3" t="str">
        <f>INDEX('Customers (2)'!B:B,MATCH('Customers (2)'!A433,'Customers (2)'!A:A,0))</f>
        <v>Witty Ranson</v>
      </c>
      <c r="E433" s="4" t="s">
        <v>530</v>
      </c>
      <c r="F433" s="3">
        <v>3</v>
      </c>
      <c r="G433" s="5">
        <f>INDEX([1]products!$A$1:$G$49,MATCH([1]orders!$D433,[1]products!$A$1:$A$49,0),MATCH([1]orders!K$1,[1]products!$A$1:$G$1,0))</f>
        <v>2.5</v>
      </c>
      <c r="H433" s="6">
        <f>INDEX([1]products!$A$1:$G$49,MATCH([1]orders!$D433,[1]products!$A$1:$A$49,0),MATCH([1]orders!L$1,[1]products!$A$1:$G$1,0))</f>
        <v>27.945</v>
      </c>
      <c r="I433" s="6">
        <f t="shared" si="6"/>
        <v>83.835000000000008</v>
      </c>
    </row>
    <row r="434" spans="1:9" x14ac:dyDescent="0.3">
      <c r="A434" s="1" t="s">
        <v>861</v>
      </c>
      <c r="B434" s="2">
        <v>43808</v>
      </c>
      <c r="C434" s="3" t="s">
        <v>862</v>
      </c>
      <c r="D434" s="3" t="str">
        <f>INDEX('Customers (2)'!B:B,MATCH('Customers (2)'!A434,'Customers (2)'!A:A,0))</f>
        <v>Rod Gowdie</v>
      </c>
      <c r="E434" s="4" t="s">
        <v>61</v>
      </c>
      <c r="F434" s="3">
        <v>2</v>
      </c>
      <c r="G434" s="5">
        <f>INDEX([1]products!$A$1:$G$49,MATCH([1]orders!$D434,[1]products!$A$1:$A$49,0),MATCH([1]orders!K$1,[1]products!$A$1:$G$1,0))</f>
        <v>1</v>
      </c>
      <c r="H434" s="6">
        <f>INDEX([1]products!$A$1:$G$49,MATCH([1]orders!$D434,[1]products!$A$1:$A$49,0),MATCH([1]orders!L$1,[1]products!$A$1:$G$1,0))</f>
        <v>11.25</v>
      </c>
      <c r="I434" s="6">
        <f t="shared" si="6"/>
        <v>22.5</v>
      </c>
    </row>
    <row r="435" spans="1:9" x14ac:dyDescent="0.3">
      <c r="A435" s="1" t="s">
        <v>863</v>
      </c>
      <c r="B435" s="2">
        <v>44563</v>
      </c>
      <c r="C435" s="3" t="s">
        <v>864</v>
      </c>
      <c r="D435" s="3" t="str">
        <f>INDEX('Customers (2)'!B:B,MATCH('Customers (2)'!A435,'Customers (2)'!A:A,0))</f>
        <v>Lemuel Rignold</v>
      </c>
      <c r="E435" s="4" t="s">
        <v>197</v>
      </c>
      <c r="F435" s="3">
        <v>6</v>
      </c>
      <c r="G435" s="5">
        <f>INDEX([1]products!$A$1:$G$49,MATCH([1]orders!$D435,[1]products!$A$1:$A$49,0),MATCH([1]orders!K$1,[1]products!$A$1:$G$1,0))</f>
        <v>2.5</v>
      </c>
      <c r="H435" s="6">
        <f>INDEX([1]products!$A$1:$G$49,MATCH([1]orders!$D435,[1]products!$A$1:$A$49,0),MATCH([1]orders!L$1,[1]products!$A$1:$G$1,0))</f>
        <v>33.464999999999996</v>
      </c>
      <c r="I435" s="6">
        <f t="shared" si="6"/>
        <v>200.78999999999996</v>
      </c>
    </row>
    <row r="436" spans="1:9" x14ac:dyDescent="0.3">
      <c r="A436" s="1" t="s">
        <v>865</v>
      </c>
      <c r="B436" s="2">
        <v>43807</v>
      </c>
      <c r="C436" s="3" t="s">
        <v>866</v>
      </c>
      <c r="D436" s="3" t="str">
        <f>INDEX('Customers (2)'!B:B,MATCH('Customers (2)'!A436,'Customers (2)'!A:A,0))</f>
        <v>Nevsa Fields</v>
      </c>
      <c r="E436" s="4" t="s">
        <v>61</v>
      </c>
      <c r="F436" s="3">
        <v>6</v>
      </c>
      <c r="G436" s="5">
        <f>INDEX([1]products!$A$1:$G$49,MATCH([1]orders!$D436,[1]products!$A$1:$A$49,0),MATCH([1]orders!K$1,[1]products!$A$1:$G$1,0))</f>
        <v>1</v>
      </c>
      <c r="H436" s="6">
        <f>INDEX([1]products!$A$1:$G$49,MATCH([1]orders!$D436,[1]products!$A$1:$A$49,0),MATCH([1]orders!L$1,[1]products!$A$1:$G$1,0))</f>
        <v>11.25</v>
      </c>
      <c r="I436" s="6">
        <f t="shared" si="6"/>
        <v>67.5</v>
      </c>
    </row>
    <row r="437" spans="1:9" x14ac:dyDescent="0.3">
      <c r="A437" s="1" t="s">
        <v>867</v>
      </c>
      <c r="B437" s="2">
        <v>44528</v>
      </c>
      <c r="C437" s="3" t="s">
        <v>868</v>
      </c>
      <c r="D437" s="3" t="str">
        <f>INDEX('Customers (2)'!B:B,MATCH('Customers (2)'!A437,'Customers (2)'!A:A,0))</f>
        <v>Chance Rowthorn</v>
      </c>
      <c r="E437" s="4" t="s">
        <v>3</v>
      </c>
      <c r="F437" s="3">
        <v>1</v>
      </c>
      <c r="G437" s="5">
        <f>INDEX([1]products!$A$1:$G$49,MATCH([1]orders!$D437,[1]products!$A$1:$A$49,0),MATCH([1]orders!K$1,[1]products!$A$1:$G$1,0))</f>
        <v>0.5</v>
      </c>
      <c r="H437" s="6">
        <f>INDEX([1]products!$A$1:$G$49,MATCH([1]orders!$D437,[1]products!$A$1:$A$49,0),MATCH([1]orders!L$1,[1]products!$A$1:$G$1,0))</f>
        <v>8.25</v>
      </c>
      <c r="I437" s="6">
        <f t="shared" si="6"/>
        <v>8.25</v>
      </c>
    </row>
    <row r="438" spans="1:9" x14ac:dyDescent="0.3">
      <c r="A438" s="1" t="s">
        <v>869</v>
      </c>
      <c r="B438" s="2">
        <v>44631</v>
      </c>
      <c r="C438" s="3" t="s">
        <v>870</v>
      </c>
      <c r="D438" s="3" t="str">
        <f>INDEX('Customers (2)'!B:B,MATCH('Customers (2)'!A438,'Customers (2)'!A:A,0))</f>
        <v>Orly Ryland</v>
      </c>
      <c r="E438" s="4" t="s">
        <v>19</v>
      </c>
      <c r="F438" s="3">
        <v>2</v>
      </c>
      <c r="G438" s="5">
        <f>INDEX([1]products!$A$1:$G$49,MATCH([1]orders!$D438,[1]products!$A$1:$A$49,0),MATCH([1]orders!K$1,[1]products!$A$1:$G$1,0))</f>
        <v>0.2</v>
      </c>
      <c r="H438" s="6">
        <f>INDEX([1]products!$A$1:$G$49,MATCH([1]orders!$D438,[1]products!$A$1:$A$49,0),MATCH([1]orders!L$1,[1]products!$A$1:$G$1,0))</f>
        <v>4.7549999999999999</v>
      </c>
      <c r="I438" s="6">
        <f t="shared" si="6"/>
        <v>9.51</v>
      </c>
    </row>
    <row r="439" spans="1:9" x14ac:dyDescent="0.3">
      <c r="A439" s="1" t="s">
        <v>871</v>
      </c>
      <c r="B439" s="2">
        <v>44213</v>
      </c>
      <c r="C439" s="3" t="s">
        <v>872</v>
      </c>
      <c r="D439" s="3" t="str">
        <f>INDEX('Customers (2)'!B:B,MATCH('Customers (2)'!A439,'Customers (2)'!A:A,0))</f>
        <v>Willabella Abramski</v>
      </c>
      <c r="E439" s="4" t="s">
        <v>109</v>
      </c>
      <c r="F439" s="3">
        <v>1</v>
      </c>
      <c r="G439" s="5">
        <f>INDEX([1]products!$A$1:$G$49,MATCH([1]orders!$D439,[1]products!$A$1:$A$49,0),MATCH([1]orders!K$1,[1]products!$A$1:$G$1,0))</f>
        <v>2.5</v>
      </c>
      <c r="H439" s="6">
        <f>INDEX([1]products!$A$1:$G$49,MATCH([1]orders!$D439,[1]products!$A$1:$A$49,0),MATCH([1]orders!L$1,[1]products!$A$1:$G$1,0))</f>
        <v>29.784999999999997</v>
      </c>
      <c r="I439" s="6">
        <f t="shared" si="6"/>
        <v>29.784999999999997</v>
      </c>
    </row>
    <row r="440" spans="1:9" x14ac:dyDescent="0.3">
      <c r="A440" s="1" t="s">
        <v>873</v>
      </c>
      <c r="B440" s="2">
        <v>43483</v>
      </c>
      <c r="C440" s="3" t="s">
        <v>874</v>
      </c>
      <c r="D440" s="3" t="str">
        <f>INDEX('Customers (2)'!B:B,MATCH('Customers (2)'!A440,'Customers (2)'!A:A,0))</f>
        <v>Brandy Lottrington</v>
      </c>
      <c r="E440" s="4" t="s">
        <v>123</v>
      </c>
      <c r="F440" s="3">
        <v>2</v>
      </c>
      <c r="G440" s="5">
        <f>INDEX([1]products!$A$1:$G$49,MATCH([1]orders!$D440,[1]products!$A$1:$A$49,0),MATCH([1]orders!K$1,[1]products!$A$1:$G$1,0))</f>
        <v>0.5</v>
      </c>
      <c r="H440" s="6">
        <f>INDEX([1]products!$A$1:$G$49,MATCH([1]orders!$D440,[1]products!$A$1:$A$49,0),MATCH([1]orders!L$1,[1]products!$A$1:$G$1,0))</f>
        <v>7.77</v>
      </c>
      <c r="I440" s="6">
        <f t="shared" si="6"/>
        <v>15.54</v>
      </c>
    </row>
    <row r="441" spans="1:9" x14ac:dyDescent="0.3">
      <c r="A441" s="1" t="s">
        <v>875</v>
      </c>
      <c r="B441" s="2">
        <v>43562</v>
      </c>
      <c r="C441" s="3" t="s">
        <v>876</v>
      </c>
      <c r="D441" s="3" t="str">
        <f>INDEX('Customers (2)'!B:B,MATCH('Customers (2)'!A441,'Customers (2)'!A:A,0))</f>
        <v>Chickie Ragless</v>
      </c>
      <c r="E441" s="4" t="s">
        <v>176</v>
      </c>
      <c r="F441" s="3">
        <v>4</v>
      </c>
      <c r="G441" s="5">
        <f>INDEX([1]products!$A$1:$G$49,MATCH([1]orders!$D441,[1]products!$A$1:$A$49,0),MATCH([1]orders!K$1,[1]products!$A$1:$G$1,0))</f>
        <v>0.5</v>
      </c>
      <c r="H441" s="6">
        <f>INDEX([1]products!$A$1:$G$49,MATCH([1]orders!$D441,[1]products!$A$1:$A$49,0),MATCH([1]orders!L$1,[1]products!$A$1:$G$1,0))</f>
        <v>8.91</v>
      </c>
      <c r="I441" s="6">
        <f t="shared" si="6"/>
        <v>35.64</v>
      </c>
    </row>
    <row r="442" spans="1:9" x14ac:dyDescent="0.3">
      <c r="A442" s="1" t="s">
        <v>877</v>
      </c>
      <c r="B442" s="2">
        <v>44230</v>
      </c>
      <c r="C442" s="3" t="s">
        <v>878</v>
      </c>
      <c r="D442" s="3" t="str">
        <f>INDEX('Customers (2)'!B:B,MATCH('Customers (2)'!A442,'Customers (2)'!A:A,0))</f>
        <v>Freda Hollows</v>
      </c>
      <c r="E442" s="4" t="s">
        <v>171</v>
      </c>
      <c r="F442" s="3">
        <v>4</v>
      </c>
      <c r="G442" s="5">
        <f>INDEX([1]products!$A$1:$G$49,MATCH([1]orders!$D442,[1]products!$A$1:$A$49,0),MATCH([1]orders!K$1,[1]products!$A$1:$G$1,0))</f>
        <v>2.5</v>
      </c>
      <c r="H442" s="6">
        <f>INDEX([1]products!$A$1:$G$49,MATCH([1]orders!$D442,[1]products!$A$1:$A$49,0),MATCH([1]orders!L$1,[1]products!$A$1:$G$1,0))</f>
        <v>25.874999999999996</v>
      </c>
      <c r="I442" s="6">
        <f t="shared" si="6"/>
        <v>103.49999999999999</v>
      </c>
    </row>
    <row r="443" spans="1:9" x14ac:dyDescent="0.3">
      <c r="A443" s="1" t="s">
        <v>879</v>
      </c>
      <c r="B443" s="2">
        <v>43573</v>
      </c>
      <c r="C443" s="3" t="s">
        <v>880</v>
      </c>
      <c r="D443" s="3" t="str">
        <f>INDEX('Customers (2)'!B:B,MATCH('Customers (2)'!A443,'Customers (2)'!A:A,0))</f>
        <v>Livy Lathleiff</v>
      </c>
      <c r="E443" s="4" t="s">
        <v>245</v>
      </c>
      <c r="F443" s="3">
        <v>3</v>
      </c>
      <c r="G443" s="5">
        <f>INDEX([1]products!$A$1:$G$49,MATCH([1]orders!$D443,[1]products!$A$1:$A$49,0),MATCH([1]orders!K$1,[1]products!$A$1:$G$1,0))</f>
        <v>1</v>
      </c>
      <c r="H443" s="6">
        <f>INDEX([1]products!$A$1:$G$49,MATCH([1]orders!$D443,[1]products!$A$1:$A$49,0),MATCH([1]orders!L$1,[1]products!$A$1:$G$1,0))</f>
        <v>12.15</v>
      </c>
      <c r="I443" s="6">
        <f t="shared" si="6"/>
        <v>36.450000000000003</v>
      </c>
    </row>
    <row r="444" spans="1:9" x14ac:dyDescent="0.3">
      <c r="A444" s="1" t="s">
        <v>881</v>
      </c>
      <c r="B444" s="2">
        <v>44384</v>
      </c>
      <c r="C444" s="3" t="s">
        <v>882</v>
      </c>
      <c r="D444" s="3" t="str">
        <f>INDEX('Customers (2)'!B:B,MATCH('Customers (2)'!A444,'Customers (2)'!A:A,0))</f>
        <v>Koralle Heads</v>
      </c>
      <c r="E444" s="4" t="s">
        <v>157</v>
      </c>
      <c r="F444" s="3">
        <v>5</v>
      </c>
      <c r="G444" s="5">
        <f>INDEX([1]products!$A$1:$G$49,MATCH([1]orders!$D444,[1]products!$A$1:$A$49,0),MATCH([1]orders!K$1,[1]products!$A$1:$G$1,0))</f>
        <v>0.5</v>
      </c>
      <c r="H444" s="6">
        <f>INDEX([1]products!$A$1:$G$49,MATCH([1]orders!$D444,[1]products!$A$1:$A$49,0),MATCH([1]orders!L$1,[1]products!$A$1:$G$1,0))</f>
        <v>7.169999999999999</v>
      </c>
      <c r="I444" s="6">
        <f t="shared" si="6"/>
        <v>35.849999999999994</v>
      </c>
    </row>
    <row r="445" spans="1:9" x14ac:dyDescent="0.3">
      <c r="A445" s="1" t="s">
        <v>883</v>
      </c>
      <c r="B445" s="2">
        <v>44250</v>
      </c>
      <c r="C445" s="3" t="s">
        <v>884</v>
      </c>
      <c r="D445" s="3" t="str">
        <f>INDEX('Customers (2)'!B:B,MATCH('Customers (2)'!A445,'Customers (2)'!A:A,0))</f>
        <v>Theo Bowne</v>
      </c>
      <c r="E445" s="4" t="s">
        <v>254</v>
      </c>
      <c r="F445" s="3">
        <v>5</v>
      </c>
      <c r="G445" s="5">
        <f>INDEX([1]products!$A$1:$G$49,MATCH([1]orders!$D445,[1]products!$A$1:$A$49,0),MATCH([1]orders!K$1,[1]products!$A$1:$G$1,0))</f>
        <v>0.2</v>
      </c>
      <c r="H445" s="6">
        <f>INDEX([1]products!$A$1:$G$49,MATCH([1]orders!$D445,[1]products!$A$1:$A$49,0),MATCH([1]orders!L$1,[1]products!$A$1:$G$1,0))</f>
        <v>4.4550000000000001</v>
      </c>
      <c r="I445" s="6">
        <f t="shared" si="6"/>
        <v>22.274999999999999</v>
      </c>
    </row>
    <row r="446" spans="1:9" x14ac:dyDescent="0.3">
      <c r="A446" s="1" t="s">
        <v>885</v>
      </c>
      <c r="B446" s="2">
        <v>44418</v>
      </c>
      <c r="C446" s="3" t="s">
        <v>886</v>
      </c>
      <c r="D446" s="3" t="str">
        <f>INDEX('Customers (2)'!B:B,MATCH('Customers (2)'!A446,'Customers (2)'!A:A,0))</f>
        <v>Rasia Jacquemard</v>
      </c>
      <c r="E446" s="4" t="s">
        <v>64</v>
      </c>
      <c r="F446" s="3">
        <v>6</v>
      </c>
      <c r="G446" s="5">
        <f>INDEX([1]products!$A$1:$G$49,MATCH([1]orders!$D446,[1]products!$A$1:$A$49,0),MATCH([1]orders!K$1,[1]products!$A$1:$G$1,0))</f>
        <v>0.2</v>
      </c>
      <c r="H446" s="6">
        <f>INDEX([1]products!$A$1:$G$49,MATCH([1]orders!$D446,[1]products!$A$1:$A$49,0),MATCH([1]orders!L$1,[1]products!$A$1:$G$1,0))</f>
        <v>4.125</v>
      </c>
      <c r="I446" s="6">
        <f t="shared" si="6"/>
        <v>24.75</v>
      </c>
    </row>
    <row r="447" spans="1:9" x14ac:dyDescent="0.3">
      <c r="A447" s="1" t="s">
        <v>887</v>
      </c>
      <c r="B447" s="2">
        <v>43784</v>
      </c>
      <c r="C447" s="3" t="s">
        <v>888</v>
      </c>
      <c r="D447" s="3" t="str">
        <f>INDEX('Customers (2)'!B:B,MATCH('Customers (2)'!A447,'Customers (2)'!A:A,0))</f>
        <v>Kizzie Warman</v>
      </c>
      <c r="E447" s="4" t="s">
        <v>197</v>
      </c>
      <c r="F447" s="3">
        <v>2</v>
      </c>
      <c r="G447" s="5">
        <f>INDEX([1]products!$A$1:$G$49,MATCH([1]orders!$D447,[1]products!$A$1:$A$49,0),MATCH([1]orders!K$1,[1]products!$A$1:$G$1,0))</f>
        <v>2.5</v>
      </c>
      <c r="H447" s="6">
        <f>INDEX([1]products!$A$1:$G$49,MATCH([1]orders!$D447,[1]products!$A$1:$A$49,0),MATCH([1]orders!L$1,[1]products!$A$1:$G$1,0))</f>
        <v>33.464999999999996</v>
      </c>
      <c r="I447" s="6">
        <f t="shared" si="6"/>
        <v>66.929999999999993</v>
      </c>
    </row>
    <row r="448" spans="1:9" x14ac:dyDescent="0.3">
      <c r="A448" s="1" t="s">
        <v>889</v>
      </c>
      <c r="B448" s="2">
        <v>43816</v>
      </c>
      <c r="C448" s="3" t="s">
        <v>890</v>
      </c>
      <c r="D448" s="3" t="str">
        <f>INDEX('Customers (2)'!B:B,MATCH('Customers (2)'!A448,'Customers (2)'!A:A,0))</f>
        <v>Wain Cholomin</v>
      </c>
      <c r="E448" s="4" t="s">
        <v>78</v>
      </c>
      <c r="F448" s="3">
        <v>1</v>
      </c>
      <c r="G448" s="5">
        <f>INDEX([1]products!$A$1:$G$49,MATCH([1]orders!$D448,[1]products!$A$1:$A$49,0),MATCH([1]orders!K$1,[1]products!$A$1:$G$1,0))</f>
        <v>0.5</v>
      </c>
      <c r="H448" s="6">
        <f>INDEX([1]products!$A$1:$G$49,MATCH([1]orders!$D448,[1]products!$A$1:$A$49,0),MATCH([1]orders!L$1,[1]products!$A$1:$G$1,0))</f>
        <v>8.73</v>
      </c>
      <c r="I448" s="6">
        <f t="shared" si="6"/>
        <v>8.73</v>
      </c>
    </row>
    <row r="449" spans="1:9" x14ac:dyDescent="0.3">
      <c r="A449" s="1" t="s">
        <v>891</v>
      </c>
      <c r="B449" s="2">
        <v>43908</v>
      </c>
      <c r="C449" s="3" t="s">
        <v>892</v>
      </c>
      <c r="D449" s="3" t="str">
        <f>INDEX('Customers (2)'!B:B,MATCH('Customers (2)'!A449,'Customers (2)'!A:A,0))</f>
        <v>Arleen Braidman</v>
      </c>
      <c r="E449" s="4" t="s">
        <v>22</v>
      </c>
      <c r="F449" s="3">
        <v>3</v>
      </c>
      <c r="G449" s="5">
        <f>INDEX([1]products!$A$1:$G$49,MATCH([1]orders!$D449,[1]products!$A$1:$A$49,0),MATCH([1]orders!K$1,[1]products!$A$1:$G$1,0))</f>
        <v>0.5</v>
      </c>
      <c r="H449" s="6">
        <f>INDEX([1]products!$A$1:$G$49,MATCH([1]orders!$D449,[1]products!$A$1:$A$49,0),MATCH([1]orders!L$1,[1]products!$A$1:$G$1,0))</f>
        <v>5.97</v>
      </c>
      <c r="I449" s="6">
        <f t="shared" si="6"/>
        <v>17.91</v>
      </c>
    </row>
    <row r="450" spans="1:9" x14ac:dyDescent="0.3">
      <c r="A450" s="1" t="s">
        <v>893</v>
      </c>
      <c r="B450" s="2">
        <v>44718</v>
      </c>
      <c r="C450" s="3" t="s">
        <v>894</v>
      </c>
      <c r="D450" s="3" t="str">
        <f>INDEX('Customers (2)'!B:B,MATCH('Customers (2)'!A450,'Customers (2)'!A:A,0))</f>
        <v>Pru Durban</v>
      </c>
      <c r="E450" s="4" t="s">
        <v>157</v>
      </c>
      <c r="F450" s="3">
        <v>1</v>
      </c>
      <c r="G450" s="5">
        <f>INDEX([1]products!$A$1:$G$49,MATCH([1]orders!$D450,[1]products!$A$1:$A$49,0),MATCH([1]orders!K$1,[1]products!$A$1:$G$1,0))</f>
        <v>0.5</v>
      </c>
      <c r="H450" s="6">
        <f>INDEX([1]products!$A$1:$G$49,MATCH([1]orders!$D450,[1]products!$A$1:$A$49,0),MATCH([1]orders!L$1,[1]products!$A$1:$G$1,0))</f>
        <v>7.169999999999999</v>
      </c>
      <c r="I450" s="6">
        <f t="shared" ref="I450:I513" si="7">F450*H450</f>
        <v>7.169999999999999</v>
      </c>
    </row>
    <row r="451" spans="1:9" x14ac:dyDescent="0.3">
      <c r="A451" s="1" t="s">
        <v>895</v>
      </c>
      <c r="B451" s="2">
        <v>44336</v>
      </c>
      <c r="C451" s="3" t="s">
        <v>896</v>
      </c>
      <c r="D451" s="3" t="str">
        <f>INDEX('Customers (2)'!B:B,MATCH('Customers (2)'!A451,'Customers (2)'!A:A,0))</f>
        <v>Antone Harrold</v>
      </c>
      <c r="E451" s="4" t="s">
        <v>101</v>
      </c>
      <c r="F451" s="3">
        <v>2</v>
      </c>
      <c r="G451" s="5">
        <f>INDEX([1]products!$A$1:$G$49,MATCH([1]orders!$D451,[1]products!$A$1:$A$49,0),MATCH([1]orders!K$1,[1]products!$A$1:$G$1,0))</f>
        <v>0.2</v>
      </c>
      <c r="H451" s="6">
        <f>INDEX([1]products!$A$1:$G$49,MATCH([1]orders!$D451,[1]products!$A$1:$A$49,0),MATCH([1]orders!L$1,[1]products!$A$1:$G$1,0))</f>
        <v>2.6849999999999996</v>
      </c>
      <c r="I451" s="6">
        <f t="shared" si="7"/>
        <v>5.3699999999999992</v>
      </c>
    </row>
    <row r="452" spans="1:9" x14ac:dyDescent="0.3">
      <c r="A452" s="1" t="s">
        <v>897</v>
      </c>
      <c r="B452" s="2">
        <v>44207</v>
      </c>
      <c r="C452" s="3" t="s">
        <v>898</v>
      </c>
      <c r="D452" s="3" t="str">
        <f>INDEX('Customers (2)'!B:B,MATCH('Customers (2)'!A452,'Customers (2)'!A:A,0))</f>
        <v>Sim Pamphilon</v>
      </c>
      <c r="E452" s="4" t="s">
        <v>19</v>
      </c>
      <c r="F452" s="3">
        <v>5</v>
      </c>
      <c r="G452" s="5">
        <f>INDEX([1]products!$A$1:$G$49,MATCH([1]orders!$D452,[1]products!$A$1:$A$49,0),MATCH([1]orders!K$1,[1]products!$A$1:$G$1,0))</f>
        <v>0.2</v>
      </c>
      <c r="H452" s="6">
        <f>INDEX([1]products!$A$1:$G$49,MATCH([1]orders!$D452,[1]products!$A$1:$A$49,0),MATCH([1]orders!L$1,[1]products!$A$1:$G$1,0))</f>
        <v>4.7549999999999999</v>
      </c>
      <c r="I452" s="6">
        <f t="shared" si="7"/>
        <v>23.774999999999999</v>
      </c>
    </row>
    <row r="453" spans="1:9" x14ac:dyDescent="0.3">
      <c r="A453" s="1" t="s">
        <v>899</v>
      </c>
      <c r="B453" s="2">
        <v>43518</v>
      </c>
      <c r="C453" s="3" t="s">
        <v>900</v>
      </c>
      <c r="D453" s="3" t="str">
        <f>INDEX('Customers (2)'!B:B,MATCH('Customers (2)'!A453,'Customers (2)'!A:A,0))</f>
        <v>Mohandis Spurden</v>
      </c>
      <c r="E453" s="4" t="s">
        <v>35</v>
      </c>
      <c r="F453" s="3">
        <v>2</v>
      </c>
      <c r="G453" s="5">
        <f>INDEX([1]products!$A$1:$G$49,MATCH([1]orders!$D453,[1]products!$A$1:$A$49,0),MATCH([1]orders!K$1,[1]products!$A$1:$G$1,0))</f>
        <v>2.5</v>
      </c>
      <c r="H453" s="6">
        <f>INDEX([1]products!$A$1:$G$49,MATCH([1]orders!$D453,[1]products!$A$1:$A$49,0),MATCH([1]orders!L$1,[1]products!$A$1:$G$1,0))</f>
        <v>20.584999999999997</v>
      </c>
      <c r="I453" s="6">
        <f t="shared" si="7"/>
        <v>41.169999999999995</v>
      </c>
    </row>
    <row r="454" spans="1:9" x14ac:dyDescent="0.3">
      <c r="A454" s="1" t="s">
        <v>901</v>
      </c>
      <c r="B454" s="2">
        <v>44524</v>
      </c>
      <c r="C454" s="3" t="s">
        <v>874</v>
      </c>
      <c r="D454" s="3" t="str">
        <f>INDEX('Customers (2)'!B:B,MATCH('Customers (2)'!A454,'Customers (2)'!A:A,0))</f>
        <v>Morgen Seson</v>
      </c>
      <c r="E454" s="4" t="s">
        <v>115</v>
      </c>
      <c r="F454" s="3">
        <v>3</v>
      </c>
      <c r="G454" s="5">
        <f>INDEX([1]products!$A$1:$G$49,MATCH([1]orders!$D454,[1]products!$A$1:$A$49,0),MATCH([1]orders!K$1,[1]products!$A$1:$G$1,0))</f>
        <v>0.2</v>
      </c>
      <c r="H454" s="6">
        <f>INDEX([1]products!$A$1:$G$49,MATCH([1]orders!$D454,[1]products!$A$1:$A$49,0),MATCH([1]orders!L$1,[1]products!$A$1:$G$1,0))</f>
        <v>3.8849999999999998</v>
      </c>
      <c r="I454" s="6">
        <f t="shared" si="7"/>
        <v>11.654999999999999</v>
      </c>
    </row>
    <row r="455" spans="1:9" x14ac:dyDescent="0.3">
      <c r="A455" s="1" t="s">
        <v>902</v>
      </c>
      <c r="B455" s="2">
        <v>44579</v>
      </c>
      <c r="C455" s="3" t="s">
        <v>903</v>
      </c>
      <c r="D455" s="3" t="str">
        <f>INDEX('Customers (2)'!B:B,MATCH('Customers (2)'!A455,'Customers (2)'!A:A,0))</f>
        <v>Nalani Pirrone</v>
      </c>
      <c r="E455" s="4" t="s">
        <v>83</v>
      </c>
      <c r="F455" s="3">
        <v>4</v>
      </c>
      <c r="G455" s="5">
        <f>INDEX([1]products!$A$1:$G$49,MATCH([1]orders!$D455,[1]products!$A$1:$A$49,0),MATCH([1]orders!K$1,[1]products!$A$1:$G$1,0))</f>
        <v>0.5</v>
      </c>
      <c r="H455" s="6">
        <f>INDEX([1]products!$A$1:$G$49,MATCH([1]orders!$D455,[1]products!$A$1:$A$49,0),MATCH([1]orders!L$1,[1]products!$A$1:$G$1,0))</f>
        <v>9.51</v>
      </c>
      <c r="I455" s="6">
        <f t="shared" si="7"/>
        <v>38.04</v>
      </c>
    </row>
    <row r="456" spans="1:9" x14ac:dyDescent="0.3">
      <c r="A456" s="1" t="s">
        <v>904</v>
      </c>
      <c r="B456" s="2">
        <v>44421</v>
      </c>
      <c r="C456" s="3" t="s">
        <v>905</v>
      </c>
      <c r="D456" s="3" t="str">
        <f>INDEX('Customers (2)'!B:B,MATCH('Customers (2)'!A456,'Customers (2)'!A:A,0))</f>
        <v>Reube Cawley</v>
      </c>
      <c r="E456" s="4" t="s">
        <v>35</v>
      </c>
      <c r="F456" s="3">
        <v>4</v>
      </c>
      <c r="G456" s="5">
        <f>INDEX([1]products!$A$1:$G$49,MATCH([1]orders!$D456,[1]products!$A$1:$A$49,0),MATCH([1]orders!K$1,[1]products!$A$1:$G$1,0))</f>
        <v>2.5</v>
      </c>
      <c r="H456" s="6">
        <f>INDEX([1]products!$A$1:$G$49,MATCH([1]orders!$D456,[1]products!$A$1:$A$49,0),MATCH([1]orders!L$1,[1]products!$A$1:$G$1,0))</f>
        <v>20.584999999999997</v>
      </c>
      <c r="I456" s="6">
        <f t="shared" si="7"/>
        <v>82.339999999999989</v>
      </c>
    </row>
    <row r="457" spans="1:9" x14ac:dyDescent="0.3">
      <c r="A457" s="1" t="s">
        <v>906</v>
      </c>
      <c r="B457" s="2">
        <v>43841</v>
      </c>
      <c r="C457" s="3" t="s">
        <v>907</v>
      </c>
      <c r="D457" s="3" t="str">
        <f>INDEX('Customers (2)'!B:B,MATCH('Customers (2)'!A457,'Customers (2)'!A:A,0))</f>
        <v>Stan Barribal</v>
      </c>
      <c r="E457" s="4" t="s">
        <v>19</v>
      </c>
      <c r="F457" s="3">
        <v>2</v>
      </c>
      <c r="G457" s="5">
        <f>INDEX([1]products!$A$1:$G$49,MATCH([1]orders!$D457,[1]products!$A$1:$A$49,0),MATCH([1]orders!K$1,[1]products!$A$1:$G$1,0))</f>
        <v>0.2</v>
      </c>
      <c r="H457" s="6">
        <f>INDEX([1]products!$A$1:$G$49,MATCH([1]orders!$D457,[1]products!$A$1:$A$49,0),MATCH([1]orders!L$1,[1]products!$A$1:$G$1,0))</f>
        <v>4.7549999999999999</v>
      </c>
      <c r="I457" s="6">
        <f t="shared" si="7"/>
        <v>9.51</v>
      </c>
    </row>
    <row r="458" spans="1:9" x14ac:dyDescent="0.3">
      <c r="A458" s="1" t="s">
        <v>908</v>
      </c>
      <c r="B458" s="2">
        <v>44017</v>
      </c>
      <c r="C458" s="3" t="s">
        <v>909</v>
      </c>
      <c r="D458" s="3" t="str">
        <f>INDEX('Customers (2)'!B:B,MATCH('Customers (2)'!A458,'Customers (2)'!A:A,0))</f>
        <v>Agnes Adamides</v>
      </c>
      <c r="E458" s="4" t="s">
        <v>35</v>
      </c>
      <c r="F458" s="3">
        <v>2</v>
      </c>
      <c r="G458" s="5">
        <f>INDEX([1]products!$A$1:$G$49,MATCH([1]orders!$D458,[1]products!$A$1:$A$49,0),MATCH([1]orders!K$1,[1]products!$A$1:$G$1,0))</f>
        <v>2.5</v>
      </c>
      <c r="H458" s="6">
        <f>INDEX([1]products!$A$1:$G$49,MATCH([1]orders!$D458,[1]products!$A$1:$A$49,0),MATCH([1]orders!L$1,[1]products!$A$1:$G$1,0))</f>
        <v>20.584999999999997</v>
      </c>
      <c r="I458" s="6">
        <f t="shared" si="7"/>
        <v>41.169999999999995</v>
      </c>
    </row>
    <row r="459" spans="1:9" x14ac:dyDescent="0.3">
      <c r="A459" s="1" t="s">
        <v>910</v>
      </c>
      <c r="B459" s="2">
        <v>43671</v>
      </c>
      <c r="C459" s="3" t="s">
        <v>911</v>
      </c>
      <c r="D459" s="3" t="str">
        <f>INDEX('Customers (2)'!B:B,MATCH('Customers (2)'!A459,'Customers (2)'!A:A,0))</f>
        <v>Carmelita Thowes</v>
      </c>
      <c r="E459" s="4" t="s">
        <v>83</v>
      </c>
      <c r="F459" s="3">
        <v>5</v>
      </c>
      <c r="G459" s="5">
        <f>INDEX([1]products!$A$1:$G$49,MATCH([1]orders!$D459,[1]products!$A$1:$A$49,0),MATCH([1]orders!K$1,[1]products!$A$1:$G$1,0))</f>
        <v>0.5</v>
      </c>
      <c r="H459" s="6">
        <f>INDEX([1]products!$A$1:$G$49,MATCH([1]orders!$D459,[1]products!$A$1:$A$49,0),MATCH([1]orders!L$1,[1]products!$A$1:$G$1,0))</f>
        <v>9.51</v>
      </c>
      <c r="I459" s="6">
        <f t="shared" si="7"/>
        <v>47.55</v>
      </c>
    </row>
    <row r="460" spans="1:9" x14ac:dyDescent="0.3">
      <c r="A460" s="1" t="s">
        <v>912</v>
      </c>
      <c r="B460" s="2">
        <v>44707</v>
      </c>
      <c r="C460" s="3" t="s">
        <v>913</v>
      </c>
      <c r="D460" s="3" t="str">
        <f>INDEX('Customers (2)'!B:B,MATCH('Customers (2)'!A460,'Customers (2)'!A:A,0))</f>
        <v>Rodolfo Willoway</v>
      </c>
      <c r="E460" s="4" t="s">
        <v>61</v>
      </c>
      <c r="F460" s="3">
        <v>4</v>
      </c>
      <c r="G460" s="5">
        <f>INDEX([1]products!$A$1:$G$49,MATCH([1]orders!$D460,[1]products!$A$1:$A$49,0),MATCH([1]orders!K$1,[1]products!$A$1:$G$1,0))</f>
        <v>1</v>
      </c>
      <c r="H460" s="6">
        <f>INDEX([1]products!$A$1:$G$49,MATCH([1]orders!$D460,[1]products!$A$1:$A$49,0),MATCH([1]orders!L$1,[1]products!$A$1:$G$1,0))</f>
        <v>11.25</v>
      </c>
      <c r="I460" s="6">
        <f t="shared" si="7"/>
        <v>45</v>
      </c>
    </row>
    <row r="461" spans="1:9" x14ac:dyDescent="0.3">
      <c r="A461" s="1" t="s">
        <v>914</v>
      </c>
      <c r="B461" s="2">
        <v>43840</v>
      </c>
      <c r="C461" s="3" t="s">
        <v>915</v>
      </c>
      <c r="D461" s="3" t="str">
        <f>INDEX('Customers (2)'!B:B,MATCH('Customers (2)'!A461,'Customers (2)'!A:A,0))</f>
        <v>Alvis Elwin</v>
      </c>
      <c r="E461" s="4" t="s">
        <v>19</v>
      </c>
      <c r="F461" s="3">
        <v>5</v>
      </c>
      <c r="G461" s="5">
        <f>INDEX([1]products!$A$1:$G$49,MATCH([1]orders!$D461,[1]products!$A$1:$A$49,0),MATCH([1]orders!K$1,[1]products!$A$1:$G$1,0))</f>
        <v>0.2</v>
      </c>
      <c r="H461" s="6">
        <f>INDEX([1]products!$A$1:$G$49,MATCH([1]orders!$D461,[1]products!$A$1:$A$49,0),MATCH([1]orders!L$1,[1]products!$A$1:$G$1,0))</f>
        <v>4.7549999999999999</v>
      </c>
      <c r="I461" s="6">
        <f t="shared" si="7"/>
        <v>23.774999999999999</v>
      </c>
    </row>
    <row r="462" spans="1:9" x14ac:dyDescent="0.3">
      <c r="A462" s="1" t="s">
        <v>916</v>
      </c>
      <c r="B462" s="2">
        <v>43602</v>
      </c>
      <c r="C462" s="3" t="s">
        <v>917</v>
      </c>
      <c r="D462" s="3" t="str">
        <f>INDEX('Customers (2)'!B:B,MATCH('Customers (2)'!A462,'Customers (2)'!A:A,0))</f>
        <v>Araldo Bilbrook</v>
      </c>
      <c r="E462" s="4" t="s">
        <v>146</v>
      </c>
      <c r="F462" s="3">
        <v>3</v>
      </c>
      <c r="G462" s="5">
        <f>INDEX([1]products!$A$1:$G$49,MATCH([1]orders!$D462,[1]products!$A$1:$A$49,0),MATCH([1]orders!K$1,[1]products!$A$1:$G$1,0))</f>
        <v>0.5</v>
      </c>
      <c r="H462" s="6">
        <f>INDEX([1]products!$A$1:$G$49,MATCH([1]orders!$D462,[1]products!$A$1:$A$49,0),MATCH([1]orders!L$1,[1]products!$A$1:$G$1,0))</f>
        <v>5.3699999999999992</v>
      </c>
      <c r="I462" s="6">
        <f t="shared" si="7"/>
        <v>16.11</v>
      </c>
    </row>
    <row r="463" spans="1:9" x14ac:dyDescent="0.3">
      <c r="A463" s="1" t="s">
        <v>918</v>
      </c>
      <c r="B463" s="2">
        <v>44036</v>
      </c>
      <c r="C463" s="3" t="s">
        <v>919</v>
      </c>
      <c r="D463" s="3" t="str">
        <f>INDEX('Customers (2)'!B:B,MATCH('Customers (2)'!A463,'Customers (2)'!A:A,0))</f>
        <v>Ransell McKall</v>
      </c>
      <c r="E463" s="4" t="s">
        <v>101</v>
      </c>
      <c r="F463" s="3">
        <v>4</v>
      </c>
      <c r="G463" s="5">
        <f>INDEX([1]products!$A$1:$G$49,MATCH([1]orders!$D463,[1]products!$A$1:$A$49,0),MATCH([1]orders!K$1,[1]products!$A$1:$G$1,0))</f>
        <v>0.2</v>
      </c>
      <c r="H463" s="6">
        <f>INDEX([1]products!$A$1:$G$49,MATCH([1]orders!$D463,[1]products!$A$1:$A$49,0),MATCH([1]orders!L$1,[1]products!$A$1:$G$1,0))</f>
        <v>2.6849999999999996</v>
      </c>
      <c r="I463" s="6">
        <f t="shared" si="7"/>
        <v>10.739999999999998</v>
      </c>
    </row>
    <row r="464" spans="1:9" x14ac:dyDescent="0.3">
      <c r="A464" s="1" t="s">
        <v>920</v>
      </c>
      <c r="B464" s="2">
        <v>44124</v>
      </c>
      <c r="C464" s="3" t="s">
        <v>921</v>
      </c>
      <c r="D464" s="3" t="str">
        <f>INDEX('Customers (2)'!B:B,MATCH('Customers (2)'!A464,'Customers (2)'!A:A,0))</f>
        <v>Borg Daile</v>
      </c>
      <c r="E464" s="4" t="s">
        <v>27</v>
      </c>
      <c r="F464" s="3">
        <v>5</v>
      </c>
      <c r="G464" s="5">
        <f>INDEX([1]products!$A$1:$G$49,MATCH([1]orders!$D464,[1]products!$A$1:$A$49,0),MATCH([1]orders!K$1,[1]products!$A$1:$G$1,0))</f>
        <v>1</v>
      </c>
      <c r="H464" s="6">
        <f>INDEX([1]products!$A$1:$G$49,MATCH([1]orders!$D464,[1]products!$A$1:$A$49,0),MATCH([1]orders!L$1,[1]products!$A$1:$G$1,0))</f>
        <v>9.9499999999999993</v>
      </c>
      <c r="I464" s="6">
        <f t="shared" si="7"/>
        <v>49.75</v>
      </c>
    </row>
    <row r="465" spans="1:9" x14ac:dyDescent="0.3">
      <c r="A465" s="1" t="s">
        <v>922</v>
      </c>
      <c r="B465" s="2">
        <v>43730</v>
      </c>
      <c r="C465" s="3" t="s">
        <v>923</v>
      </c>
      <c r="D465" s="3" t="str">
        <f>INDEX('Customers (2)'!B:B,MATCH('Customers (2)'!A465,'Customers (2)'!A:A,0))</f>
        <v>Adolphe Treherne</v>
      </c>
      <c r="E465" s="4" t="s">
        <v>9</v>
      </c>
      <c r="F465" s="3">
        <v>2</v>
      </c>
      <c r="G465" s="5">
        <f>INDEX([1]products!$A$1:$G$49,MATCH([1]orders!$D465,[1]products!$A$1:$A$49,0),MATCH([1]orders!K$1,[1]products!$A$1:$G$1,0))</f>
        <v>1</v>
      </c>
      <c r="H465" s="6">
        <f>INDEX([1]products!$A$1:$G$49,MATCH([1]orders!$D465,[1]products!$A$1:$A$49,0),MATCH([1]orders!L$1,[1]products!$A$1:$G$1,0))</f>
        <v>13.75</v>
      </c>
      <c r="I465" s="6">
        <f t="shared" si="7"/>
        <v>27.5</v>
      </c>
    </row>
    <row r="466" spans="1:9" x14ac:dyDescent="0.3">
      <c r="A466" s="1" t="s">
        <v>924</v>
      </c>
      <c r="B466" s="2">
        <v>43989</v>
      </c>
      <c r="C466" s="3" t="s">
        <v>925</v>
      </c>
      <c r="D466" s="3" t="str">
        <f>INDEX('Customers (2)'!B:B,MATCH('Customers (2)'!A466,'Customers (2)'!A:A,0))</f>
        <v>Annetta Brentnall</v>
      </c>
      <c r="E466" s="4" t="s">
        <v>109</v>
      </c>
      <c r="F466" s="3">
        <v>4</v>
      </c>
      <c r="G466" s="5">
        <f>INDEX([1]products!$A$1:$G$49,MATCH([1]orders!$D466,[1]products!$A$1:$A$49,0),MATCH([1]orders!K$1,[1]products!$A$1:$G$1,0))</f>
        <v>2.5</v>
      </c>
      <c r="H466" s="6">
        <f>INDEX([1]products!$A$1:$G$49,MATCH([1]orders!$D466,[1]products!$A$1:$A$49,0),MATCH([1]orders!L$1,[1]products!$A$1:$G$1,0))</f>
        <v>29.784999999999997</v>
      </c>
      <c r="I466" s="6">
        <f t="shared" si="7"/>
        <v>119.13999999999999</v>
      </c>
    </row>
    <row r="467" spans="1:9" x14ac:dyDescent="0.3">
      <c r="A467" s="1" t="s">
        <v>926</v>
      </c>
      <c r="B467" s="2">
        <v>43814</v>
      </c>
      <c r="C467" s="3" t="s">
        <v>927</v>
      </c>
      <c r="D467" s="3" t="str">
        <f>INDEX('Customers (2)'!B:B,MATCH('Customers (2)'!A467,'Customers (2)'!A:A,0))</f>
        <v>Dick Drinkall</v>
      </c>
      <c r="E467" s="4" t="s">
        <v>35</v>
      </c>
      <c r="F467" s="3">
        <v>1</v>
      </c>
      <c r="G467" s="5">
        <f>INDEX([1]products!$A$1:$G$49,MATCH([1]orders!$D467,[1]products!$A$1:$A$49,0),MATCH([1]orders!K$1,[1]products!$A$1:$G$1,0))</f>
        <v>2.5</v>
      </c>
      <c r="H467" s="6">
        <f>INDEX([1]products!$A$1:$G$49,MATCH([1]orders!$D467,[1]products!$A$1:$A$49,0),MATCH([1]orders!L$1,[1]products!$A$1:$G$1,0))</f>
        <v>20.584999999999997</v>
      </c>
      <c r="I467" s="6">
        <f t="shared" si="7"/>
        <v>20.584999999999997</v>
      </c>
    </row>
    <row r="468" spans="1:9" x14ac:dyDescent="0.3">
      <c r="A468" s="1" t="s">
        <v>928</v>
      </c>
      <c r="B468" s="2">
        <v>44171</v>
      </c>
      <c r="C468" s="3" t="s">
        <v>929</v>
      </c>
      <c r="D468" s="3" t="str">
        <f>INDEX('Customers (2)'!B:B,MATCH('Customers (2)'!A468,'Customers (2)'!A:A,0))</f>
        <v>Dagny Kornel</v>
      </c>
      <c r="E468" s="4" t="s">
        <v>54</v>
      </c>
      <c r="F468" s="3">
        <v>3</v>
      </c>
      <c r="G468" s="5">
        <f>INDEX([1]products!$A$1:$G$49,MATCH([1]orders!$D468,[1]products!$A$1:$A$49,0),MATCH([1]orders!K$1,[1]products!$A$1:$G$1,0))</f>
        <v>0.2</v>
      </c>
      <c r="H468" s="6">
        <f>INDEX([1]products!$A$1:$G$49,MATCH([1]orders!$D468,[1]products!$A$1:$A$49,0),MATCH([1]orders!L$1,[1]products!$A$1:$G$1,0))</f>
        <v>2.9849999999999999</v>
      </c>
      <c r="I468" s="6">
        <f t="shared" si="7"/>
        <v>8.9550000000000001</v>
      </c>
    </row>
    <row r="469" spans="1:9" x14ac:dyDescent="0.3">
      <c r="A469" s="1" t="s">
        <v>930</v>
      </c>
      <c r="B469" s="2">
        <v>44536</v>
      </c>
      <c r="C469" s="3" t="s">
        <v>931</v>
      </c>
      <c r="D469" s="3" t="str">
        <f>INDEX('Customers (2)'!B:B,MATCH('Customers (2)'!A469,'Customers (2)'!A:A,0))</f>
        <v>Rhona Lequeux</v>
      </c>
      <c r="E469" s="4" t="s">
        <v>72</v>
      </c>
      <c r="F469" s="3">
        <v>1</v>
      </c>
      <c r="G469" s="5">
        <f>INDEX([1]products!$A$1:$G$49,MATCH([1]orders!$D469,[1]products!$A$1:$A$49,0),MATCH([1]orders!K$1,[1]products!$A$1:$G$1,0))</f>
        <v>0.5</v>
      </c>
      <c r="H469" s="6">
        <f>INDEX([1]products!$A$1:$G$49,MATCH([1]orders!$D469,[1]products!$A$1:$A$49,0),MATCH([1]orders!L$1,[1]products!$A$1:$G$1,0))</f>
        <v>5.97</v>
      </c>
      <c r="I469" s="6">
        <f t="shared" si="7"/>
        <v>5.97</v>
      </c>
    </row>
    <row r="470" spans="1:9" x14ac:dyDescent="0.3">
      <c r="A470" s="1" t="s">
        <v>932</v>
      </c>
      <c r="B470" s="2">
        <v>44023</v>
      </c>
      <c r="C470" s="3" t="s">
        <v>933</v>
      </c>
      <c r="D470" s="3" t="str">
        <f>INDEX('Customers (2)'!B:B,MATCH('Customers (2)'!A470,'Customers (2)'!A:A,0))</f>
        <v>Julius Mccaull</v>
      </c>
      <c r="E470" s="4" t="s">
        <v>9</v>
      </c>
      <c r="F470" s="3">
        <v>3</v>
      </c>
      <c r="G470" s="5">
        <f>INDEX([1]products!$A$1:$G$49,MATCH([1]orders!$D470,[1]products!$A$1:$A$49,0),MATCH([1]orders!K$1,[1]products!$A$1:$G$1,0))</f>
        <v>1</v>
      </c>
      <c r="H470" s="6">
        <f>INDEX([1]products!$A$1:$G$49,MATCH([1]orders!$D470,[1]products!$A$1:$A$49,0),MATCH([1]orders!L$1,[1]products!$A$1:$G$1,0))</f>
        <v>13.75</v>
      </c>
      <c r="I470" s="6">
        <f t="shared" si="7"/>
        <v>41.25</v>
      </c>
    </row>
    <row r="471" spans="1:9" x14ac:dyDescent="0.3">
      <c r="A471" s="1" t="s">
        <v>934</v>
      </c>
      <c r="B471" s="2">
        <v>44375</v>
      </c>
      <c r="C471" s="3" t="s">
        <v>935</v>
      </c>
      <c r="D471" s="3" t="str">
        <f>INDEX('Customers (2)'!B:B,MATCH('Customers (2)'!A471,'Customers (2)'!A:A,0))</f>
        <v>Jolyn Dymoke</v>
      </c>
      <c r="E471" s="4" t="s">
        <v>254</v>
      </c>
      <c r="F471" s="3">
        <v>5</v>
      </c>
      <c r="G471" s="5">
        <f>INDEX([1]products!$A$1:$G$49,MATCH([1]orders!$D471,[1]products!$A$1:$A$49,0),MATCH([1]orders!K$1,[1]products!$A$1:$G$1,0))</f>
        <v>0.2</v>
      </c>
      <c r="H471" s="6">
        <f>INDEX([1]products!$A$1:$G$49,MATCH([1]orders!$D471,[1]products!$A$1:$A$49,0),MATCH([1]orders!L$1,[1]products!$A$1:$G$1,0))</f>
        <v>4.4550000000000001</v>
      </c>
      <c r="I471" s="6">
        <f t="shared" si="7"/>
        <v>22.274999999999999</v>
      </c>
    </row>
    <row r="472" spans="1:9" x14ac:dyDescent="0.3">
      <c r="A472" s="1" t="s">
        <v>936</v>
      </c>
      <c r="B472" s="2">
        <v>44656</v>
      </c>
      <c r="C472" s="3" t="s">
        <v>937</v>
      </c>
      <c r="D472" s="3" t="str">
        <f>INDEX('Customers (2)'!B:B,MATCH('Customers (2)'!A472,'Customers (2)'!A:A,0))</f>
        <v>Alberto Hutchinson</v>
      </c>
      <c r="E472" s="4" t="s">
        <v>67</v>
      </c>
      <c r="F472" s="3">
        <v>1</v>
      </c>
      <c r="G472" s="5">
        <f>INDEX([1]products!$A$1:$G$49,MATCH([1]orders!$D472,[1]products!$A$1:$A$49,0),MATCH([1]orders!K$1,[1]products!$A$1:$G$1,0))</f>
        <v>0.5</v>
      </c>
      <c r="H472" s="6">
        <f>INDEX([1]products!$A$1:$G$49,MATCH([1]orders!$D472,[1]products!$A$1:$A$49,0),MATCH([1]orders!L$1,[1]products!$A$1:$G$1,0))</f>
        <v>6.75</v>
      </c>
      <c r="I472" s="6">
        <f t="shared" si="7"/>
        <v>6.75</v>
      </c>
    </row>
    <row r="473" spans="1:9" x14ac:dyDescent="0.3">
      <c r="A473" s="1" t="s">
        <v>938</v>
      </c>
      <c r="B473" s="2">
        <v>44644</v>
      </c>
      <c r="C473" s="3" t="s">
        <v>939</v>
      </c>
      <c r="D473" s="3" t="str">
        <f>INDEX('Customers (2)'!B:B,MATCH('Customers (2)'!A473,'Customers (2)'!A:A,0))</f>
        <v>Lamond Gheeraert</v>
      </c>
      <c r="E473" s="4" t="s">
        <v>197</v>
      </c>
      <c r="F473" s="3">
        <v>4</v>
      </c>
      <c r="G473" s="5">
        <f>INDEX([1]products!$A$1:$G$49,MATCH([1]orders!$D473,[1]products!$A$1:$A$49,0),MATCH([1]orders!K$1,[1]products!$A$1:$G$1,0))</f>
        <v>2.5</v>
      </c>
      <c r="H473" s="6">
        <f>INDEX([1]products!$A$1:$G$49,MATCH([1]orders!$D473,[1]products!$A$1:$A$49,0),MATCH([1]orders!L$1,[1]products!$A$1:$G$1,0))</f>
        <v>33.464999999999996</v>
      </c>
      <c r="I473" s="6">
        <f t="shared" si="7"/>
        <v>133.85999999999999</v>
      </c>
    </row>
    <row r="474" spans="1:9" x14ac:dyDescent="0.3">
      <c r="A474" s="1" t="s">
        <v>940</v>
      </c>
      <c r="B474" s="2">
        <v>43869</v>
      </c>
      <c r="C474" s="3" t="s">
        <v>941</v>
      </c>
      <c r="D474" s="3" t="str">
        <f>INDEX('Customers (2)'!B:B,MATCH('Customers (2)'!A474,'Customers (2)'!A:A,0))</f>
        <v>Roxine Drivers</v>
      </c>
      <c r="E474" s="4" t="s">
        <v>54</v>
      </c>
      <c r="F474" s="3">
        <v>2</v>
      </c>
      <c r="G474" s="5">
        <f>INDEX([1]products!$A$1:$G$49,MATCH([1]orders!$D474,[1]products!$A$1:$A$49,0),MATCH([1]orders!K$1,[1]products!$A$1:$G$1,0))</f>
        <v>0.2</v>
      </c>
      <c r="H474" s="6">
        <f>INDEX([1]products!$A$1:$G$49,MATCH([1]orders!$D474,[1]products!$A$1:$A$49,0),MATCH([1]orders!L$1,[1]products!$A$1:$G$1,0))</f>
        <v>2.9849999999999999</v>
      </c>
      <c r="I474" s="6">
        <f t="shared" si="7"/>
        <v>5.97</v>
      </c>
    </row>
    <row r="475" spans="1:9" x14ac:dyDescent="0.3">
      <c r="A475" s="1" t="s">
        <v>942</v>
      </c>
      <c r="B475" s="2">
        <v>44603</v>
      </c>
      <c r="C475" s="3" t="s">
        <v>943</v>
      </c>
      <c r="D475" s="3" t="str">
        <f>INDEX('Customers (2)'!B:B,MATCH('Customers (2)'!A475,'Customers (2)'!A:A,0))</f>
        <v>Heloise Zeal</v>
      </c>
      <c r="E475" s="4" t="s">
        <v>6</v>
      </c>
      <c r="F475" s="3">
        <v>2</v>
      </c>
      <c r="G475" s="5">
        <f>INDEX([1]products!$A$1:$G$49,MATCH([1]orders!$D475,[1]products!$A$1:$A$49,0),MATCH([1]orders!K$1,[1]products!$A$1:$G$1,0))</f>
        <v>1</v>
      </c>
      <c r="H475" s="6">
        <f>INDEX([1]products!$A$1:$G$49,MATCH([1]orders!$D475,[1]products!$A$1:$A$49,0),MATCH([1]orders!L$1,[1]products!$A$1:$G$1,0))</f>
        <v>12.95</v>
      </c>
      <c r="I475" s="6">
        <f t="shared" si="7"/>
        <v>25.9</v>
      </c>
    </row>
    <row r="476" spans="1:9" x14ac:dyDescent="0.3">
      <c r="A476" s="1" t="s">
        <v>944</v>
      </c>
      <c r="B476" s="2">
        <v>44014</v>
      </c>
      <c r="C476" s="3" t="s">
        <v>945</v>
      </c>
      <c r="D476" s="3" t="str">
        <f>INDEX('Customers (2)'!B:B,MATCH('Customers (2)'!A476,'Customers (2)'!A:A,0))</f>
        <v>Granger Smallcombe</v>
      </c>
      <c r="E476" s="4" t="s">
        <v>112</v>
      </c>
      <c r="F476" s="3">
        <v>1</v>
      </c>
      <c r="G476" s="5">
        <f>INDEX([1]products!$A$1:$G$49,MATCH([1]orders!$D476,[1]products!$A$1:$A$49,0),MATCH([1]orders!K$1,[1]products!$A$1:$G$1,0))</f>
        <v>2.5</v>
      </c>
      <c r="H476" s="6">
        <f>INDEX([1]products!$A$1:$G$49,MATCH([1]orders!$D476,[1]products!$A$1:$A$49,0),MATCH([1]orders!L$1,[1]products!$A$1:$G$1,0))</f>
        <v>31.624999999999996</v>
      </c>
      <c r="I476" s="6">
        <f t="shared" si="7"/>
        <v>31.624999999999996</v>
      </c>
    </row>
    <row r="477" spans="1:9" x14ac:dyDescent="0.3">
      <c r="A477" s="1" t="s">
        <v>946</v>
      </c>
      <c r="B477" s="2">
        <v>44767</v>
      </c>
      <c r="C477" s="3" t="s">
        <v>947</v>
      </c>
      <c r="D477" s="3" t="str">
        <f>INDEX('Customers (2)'!B:B,MATCH('Customers (2)'!A477,'Customers (2)'!A:A,0))</f>
        <v>Daryn Dibley</v>
      </c>
      <c r="E477" s="4" t="s">
        <v>77</v>
      </c>
      <c r="F477" s="3">
        <v>2</v>
      </c>
      <c r="G477" s="5">
        <f>INDEX([1]products!$A$1:$G$49,MATCH([1]orders!$D477,[1]products!$A$1:$A$49,0),MATCH([1]orders!K$1,[1]products!$A$1:$G$1,0))</f>
        <v>0.2</v>
      </c>
      <c r="H477" s="6">
        <f>INDEX([1]products!$A$1:$G$49,MATCH([1]orders!$D477,[1]products!$A$1:$A$49,0),MATCH([1]orders!L$1,[1]products!$A$1:$G$1,0))</f>
        <v>4.3650000000000002</v>
      </c>
      <c r="I477" s="6">
        <f t="shared" si="7"/>
        <v>8.73</v>
      </c>
    </row>
    <row r="478" spans="1:9" x14ac:dyDescent="0.3">
      <c r="A478" s="1" t="s">
        <v>948</v>
      </c>
      <c r="B478" s="2">
        <v>44274</v>
      </c>
      <c r="C478" s="3" t="s">
        <v>949</v>
      </c>
      <c r="D478" s="3" t="str">
        <f>INDEX('Customers (2)'!B:B,MATCH('Customers (2)'!A478,'Customers (2)'!A:A,0))</f>
        <v>Gardy Dimitriou</v>
      </c>
      <c r="E478" s="4" t="s">
        <v>254</v>
      </c>
      <c r="F478" s="3">
        <v>6</v>
      </c>
      <c r="G478" s="5">
        <f>INDEX([1]products!$A$1:$G$49,MATCH([1]orders!$D478,[1]products!$A$1:$A$49,0),MATCH([1]orders!K$1,[1]products!$A$1:$G$1,0))</f>
        <v>0.2</v>
      </c>
      <c r="H478" s="6">
        <f>INDEX([1]products!$A$1:$G$49,MATCH([1]orders!$D478,[1]products!$A$1:$A$49,0),MATCH([1]orders!L$1,[1]products!$A$1:$G$1,0))</f>
        <v>4.4550000000000001</v>
      </c>
      <c r="I478" s="6">
        <f t="shared" si="7"/>
        <v>26.73</v>
      </c>
    </row>
    <row r="479" spans="1:9" x14ac:dyDescent="0.3">
      <c r="A479" s="1" t="s">
        <v>950</v>
      </c>
      <c r="B479" s="2">
        <v>43962</v>
      </c>
      <c r="C479" s="3" t="s">
        <v>951</v>
      </c>
      <c r="D479" s="3" t="str">
        <f>INDEX('Customers (2)'!B:B,MATCH('Customers (2)'!A479,'Customers (2)'!A:A,0))</f>
        <v>Fanny Flanagan</v>
      </c>
      <c r="E479" s="4" t="s">
        <v>77</v>
      </c>
      <c r="F479" s="3">
        <v>6</v>
      </c>
      <c r="G479" s="5">
        <f>INDEX([1]products!$A$1:$G$49,MATCH([1]orders!$D479,[1]products!$A$1:$A$49,0),MATCH([1]orders!K$1,[1]products!$A$1:$G$1,0))</f>
        <v>0.2</v>
      </c>
      <c r="H479" s="6">
        <f>INDEX([1]products!$A$1:$G$49,MATCH([1]orders!$D479,[1]products!$A$1:$A$49,0),MATCH([1]orders!L$1,[1]products!$A$1:$G$1,0))</f>
        <v>4.3650000000000002</v>
      </c>
      <c r="I479" s="6">
        <f t="shared" si="7"/>
        <v>26.19</v>
      </c>
    </row>
    <row r="480" spans="1:9" x14ac:dyDescent="0.3">
      <c r="A480" s="1" t="s">
        <v>952</v>
      </c>
      <c r="B480" s="2">
        <v>43624</v>
      </c>
      <c r="C480" s="3" t="s">
        <v>935</v>
      </c>
      <c r="D480" s="3" t="str">
        <f>INDEX('Customers (2)'!B:B,MATCH('Customers (2)'!A480,'Customers (2)'!A:A,0))</f>
        <v>Ailey Brash</v>
      </c>
      <c r="E480" s="4" t="s">
        <v>179</v>
      </c>
      <c r="F480" s="3">
        <v>6</v>
      </c>
      <c r="G480" s="5">
        <f>INDEX([1]products!$A$1:$G$49,MATCH([1]orders!$D480,[1]products!$A$1:$A$49,0),MATCH([1]orders!K$1,[1]products!$A$1:$G$1,0))</f>
        <v>1</v>
      </c>
      <c r="H480" s="6">
        <f>INDEX([1]products!$A$1:$G$49,MATCH([1]orders!$D480,[1]products!$A$1:$A$49,0),MATCH([1]orders!L$1,[1]products!$A$1:$G$1,0))</f>
        <v>8.9499999999999993</v>
      </c>
      <c r="I480" s="6">
        <f t="shared" si="7"/>
        <v>53.699999999999996</v>
      </c>
    </row>
    <row r="481" spans="1:9" x14ac:dyDescent="0.3">
      <c r="A481" s="1" t="s">
        <v>952</v>
      </c>
      <c r="B481" s="2">
        <v>43624</v>
      </c>
      <c r="C481" s="3" t="s">
        <v>935</v>
      </c>
      <c r="D481" s="3" t="str">
        <f>INDEX('Customers (2)'!B:B,MATCH('Customers (2)'!A481,'Customers (2)'!A:A,0))</f>
        <v>Tatiana Thorn</v>
      </c>
      <c r="E481" s="4" t="s">
        <v>112</v>
      </c>
      <c r="F481" s="3">
        <v>4</v>
      </c>
      <c r="G481" s="5">
        <f>INDEX([1]products!$A$1:$G$49,MATCH([1]orders!$D481,[1]products!$A$1:$A$49,0),MATCH([1]orders!K$1,[1]products!$A$1:$G$1,0))</f>
        <v>2.5</v>
      </c>
      <c r="H481" s="6">
        <f>INDEX([1]products!$A$1:$G$49,MATCH([1]orders!$D481,[1]products!$A$1:$A$49,0),MATCH([1]orders!L$1,[1]products!$A$1:$G$1,0))</f>
        <v>31.624999999999996</v>
      </c>
      <c r="I481" s="6">
        <f t="shared" si="7"/>
        <v>126.49999999999999</v>
      </c>
    </row>
    <row r="482" spans="1:9" x14ac:dyDescent="0.3">
      <c r="A482" s="1" t="s">
        <v>952</v>
      </c>
      <c r="B482" s="2">
        <v>43624</v>
      </c>
      <c r="C482" s="3" t="s">
        <v>935</v>
      </c>
      <c r="D482" s="3" t="str">
        <f>INDEX('Customers (2)'!B:B,MATCH('Customers (2)'!A482,'Customers (2)'!A:A,0))</f>
        <v>Wendeline McInerney</v>
      </c>
      <c r="E482" s="4" t="s">
        <v>64</v>
      </c>
      <c r="F482" s="3">
        <v>1</v>
      </c>
      <c r="G482" s="5">
        <f>INDEX([1]products!$A$1:$G$49,MATCH([1]orders!$D482,[1]products!$A$1:$A$49,0),MATCH([1]orders!K$1,[1]products!$A$1:$G$1,0))</f>
        <v>0.2</v>
      </c>
      <c r="H482" s="6">
        <f>INDEX([1]products!$A$1:$G$49,MATCH([1]orders!$D482,[1]products!$A$1:$A$49,0),MATCH([1]orders!L$1,[1]products!$A$1:$G$1,0))</f>
        <v>4.125</v>
      </c>
      <c r="I482" s="6">
        <f t="shared" si="7"/>
        <v>4.125</v>
      </c>
    </row>
    <row r="483" spans="1:9" x14ac:dyDescent="0.3">
      <c r="A483" s="1" t="s">
        <v>953</v>
      </c>
      <c r="B483" s="2">
        <v>43747</v>
      </c>
      <c r="C483" s="3" t="s">
        <v>954</v>
      </c>
      <c r="D483" s="3" t="str">
        <f>INDEX('Customers (2)'!B:B,MATCH('Customers (2)'!A483,'Customers (2)'!A:A,0))</f>
        <v>Nanny Izhakov</v>
      </c>
      <c r="E483" s="4" t="s">
        <v>189</v>
      </c>
      <c r="F483" s="3">
        <v>2</v>
      </c>
      <c r="G483" s="5">
        <f>INDEX([1]products!$A$1:$G$49,MATCH([1]orders!$D483,[1]products!$A$1:$A$49,0),MATCH([1]orders!K$1,[1]products!$A$1:$G$1,0))</f>
        <v>1</v>
      </c>
      <c r="H483" s="6">
        <f>INDEX([1]products!$A$1:$G$49,MATCH([1]orders!$D483,[1]products!$A$1:$A$49,0),MATCH([1]orders!L$1,[1]products!$A$1:$G$1,0))</f>
        <v>11.95</v>
      </c>
      <c r="I483" s="6">
        <f t="shared" si="7"/>
        <v>23.9</v>
      </c>
    </row>
    <row r="484" spans="1:9" x14ac:dyDescent="0.3">
      <c r="A484" s="1" t="s">
        <v>955</v>
      </c>
      <c r="B484" s="2">
        <v>44247</v>
      </c>
      <c r="C484" s="3" t="s">
        <v>956</v>
      </c>
      <c r="D484" s="3" t="str">
        <f>INDEX('Customers (2)'!B:B,MATCH('Customers (2)'!A484,'Customers (2)'!A:A,0))</f>
        <v>Stanly Keets</v>
      </c>
      <c r="E484" s="4" t="s">
        <v>530</v>
      </c>
      <c r="F484" s="3">
        <v>5</v>
      </c>
      <c r="G484" s="5">
        <f>INDEX([1]products!$A$1:$G$49,MATCH([1]orders!$D484,[1]products!$A$1:$A$49,0),MATCH([1]orders!K$1,[1]products!$A$1:$G$1,0))</f>
        <v>2.5</v>
      </c>
      <c r="H484" s="6">
        <f>INDEX([1]products!$A$1:$G$49,MATCH([1]orders!$D484,[1]products!$A$1:$A$49,0),MATCH([1]orders!L$1,[1]products!$A$1:$G$1,0))</f>
        <v>27.945</v>
      </c>
      <c r="I484" s="6">
        <f t="shared" si="7"/>
        <v>139.72499999999999</v>
      </c>
    </row>
    <row r="485" spans="1:9" x14ac:dyDescent="0.3">
      <c r="A485" s="1" t="s">
        <v>957</v>
      </c>
      <c r="B485" s="2">
        <v>43790</v>
      </c>
      <c r="C485" s="3" t="s">
        <v>958</v>
      </c>
      <c r="D485" s="3" t="str">
        <f>INDEX('Customers (2)'!B:B,MATCH('Customers (2)'!A485,'Customers (2)'!A:A,0))</f>
        <v>Orion Dyott</v>
      </c>
      <c r="E485" s="4" t="s">
        <v>109</v>
      </c>
      <c r="F485" s="3">
        <v>2</v>
      </c>
      <c r="G485" s="5">
        <f>INDEX([1]products!$A$1:$G$49,MATCH([1]orders!$D485,[1]products!$A$1:$A$49,0),MATCH([1]orders!K$1,[1]products!$A$1:$G$1,0))</f>
        <v>2.5</v>
      </c>
      <c r="H485" s="6">
        <f>INDEX([1]products!$A$1:$G$49,MATCH([1]orders!$D485,[1]products!$A$1:$A$49,0),MATCH([1]orders!L$1,[1]products!$A$1:$G$1,0))</f>
        <v>29.784999999999997</v>
      </c>
      <c r="I485" s="6">
        <f t="shared" si="7"/>
        <v>59.569999999999993</v>
      </c>
    </row>
    <row r="486" spans="1:9" x14ac:dyDescent="0.3">
      <c r="A486" s="1" t="s">
        <v>959</v>
      </c>
      <c r="B486" s="2">
        <v>44479</v>
      </c>
      <c r="C486" s="3" t="s">
        <v>960</v>
      </c>
      <c r="D486" s="3" t="str">
        <f>INDEX('Customers (2)'!B:B,MATCH('Customers (2)'!A486,'Customers (2)'!A:A,0))</f>
        <v>Keefer Cake</v>
      </c>
      <c r="E486" s="4" t="s">
        <v>83</v>
      </c>
      <c r="F486" s="3">
        <v>6</v>
      </c>
      <c r="G486" s="5">
        <f>INDEX([1]products!$A$1:$G$49,MATCH([1]orders!$D486,[1]products!$A$1:$A$49,0),MATCH([1]orders!K$1,[1]products!$A$1:$G$1,0))</f>
        <v>0.5</v>
      </c>
      <c r="H486" s="6">
        <f>INDEX([1]products!$A$1:$G$49,MATCH([1]orders!$D486,[1]products!$A$1:$A$49,0),MATCH([1]orders!L$1,[1]products!$A$1:$G$1,0))</f>
        <v>9.51</v>
      </c>
      <c r="I486" s="6">
        <f t="shared" si="7"/>
        <v>57.06</v>
      </c>
    </row>
    <row r="487" spans="1:9" x14ac:dyDescent="0.3">
      <c r="A487" s="1" t="s">
        <v>961</v>
      </c>
      <c r="B487" s="2">
        <v>44413</v>
      </c>
      <c r="C487" s="3" t="s">
        <v>962</v>
      </c>
      <c r="D487" s="3" t="str">
        <f>INDEX('Customers (2)'!B:B,MATCH('Customers (2)'!A487,'Customers (2)'!A:A,0))</f>
        <v>Morna Hansed</v>
      </c>
      <c r="E487" s="4" t="s">
        <v>182</v>
      </c>
      <c r="F487" s="3">
        <v>6</v>
      </c>
      <c r="G487" s="5">
        <f>INDEX([1]products!$A$1:$G$49,MATCH([1]orders!$D487,[1]products!$A$1:$A$49,0),MATCH([1]orders!K$1,[1]products!$A$1:$G$1,0))</f>
        <v>0.2</v>
      </c>
      <c r="H487" s="6">
        <f>INDEX([1]products!$A$1:$G$49,MATCH([1]orders!$D487,[1]products!$A$1:$A$49,0),MATCH([1]orders!L$1,[1]products!$A$1:$G$1,0))</f>
        <v>3.5849999999999995</v>
      </c>
      <c r="I487" s="6">
        <f t="shared" si="7"/>
        <v>21.509999999999998</v>
      </c>
    </row>
    <row r="488" spans="1:9" x14ac:dyDescent="0.3">
      <c r="A488" s="1" t="s">
        <v>963</v>
      </c>
      <c r="B488" s="2">
        <v>44043</v>
      </c>
      <c r="C488" s="3" t="s">
        <v>964</v>
      </c>
      <c r="D488" s="3" t="str">
        <f>INDEX('Customers (2)'!B:B,MATCH('Customers (2)'!A488,'Customers (2)'!A:A,0))</f>
        <v>Franny Kienlein</v>
      </c>
      <c r="E488" s="4" t="s">
        <v>78</v>
      </c>
      <c r="F488" s="3">
        <v>6</v>
      </c>
      <c r="G488" s="5">
        <f>INDEX([1]products!$A$1:$G$49,MATCH([1]orders!$D488,[1]products!$A$1:$A$49,0),MATCH([1]orders!K$1,[1]products!$A$1:$G$1,0))</f>
        <v>0.5</v>
      </c>
      <c r="H488" s="6">
        <f>INDEX([1]products!$A$1:$G$49,MATCH([1]orders!$D488,[1]products!$A$1:$A$49,0),MATCH([1]orders!L$1,[1]products!$A$1:$G$1,0))</f>
        <v>8.73</v>
      </c>
      <c r="I488" s="6">
        <f t="shared" si="7"/>
        <v>52.38</v>
      </c>
    </row>
    <row r="489" spans="1:9" x14ac:dyDescent="0.3">
      <c r="A489" s="1" t="s">
        <v>965</v>
      </c>
      <c r="B489" s="2">
        <v>44093</v>
      </c>
      <c r="C489" s="3" t="s">
        <v>966</v>
      </c>
      <c r="D489" s="3" t="str">
        <f>INDEX('Customers (2)'!B:B,MATCH('Customers (2)'!A489,'Customers (2)'!A:A,0))</f>
        <v>Klarika Egglestone</v>
      </c>
      <c r="E489" s="4" t="s">
        <v>245</v>
      </c>
      <c r="F489" s="3">
        <v>6</v>
      </c>
      <c r="G489" s="5">
        <f>INDEX([1]products!$A$1:$G$49,MATCH([1]orders!$D489,[1]products!$A$1:$A$49,0),MATCH([1]orders!K$1,[1]products!$A$1:$G$1,0))</f>
        <v>1</v>
      </c>
      <c r="H489" s="6">
        <f>INDEX([1]products!$A$1:$G$49,MATCH([1]orders!$D489,[1]products!$A$1:$A$49,0),MATCH([1]orders!L$1,[1]products!$A$1:$G$1,0))</f>
        <v>12.15</v>
      </c>
      <c r="I489" s="6">
        <f t="shared" si="7"/>
        <v>72.900000000000006</v>
      </c>
    </row>
    <row r="490" spans="1:9" x14ac:dyDescent="0.3">
      <c r="A490" s="1" t="s">
        <v>967</v>
      </c>
      <c r="B490" s="2">
        <v>43954</v>
      </c>
      <c r="C490" s="3" t="s">
        <v>968</v>
      </c>
      <c r="D490" s="3" t="str">
        <f>INDEX('Customers (2)'!B:B,MATCH('Customers (2)'!A490,'Customers (2)'!A:A,0))</f>
        <v>Becky Semkins</v>
      </c>
      <c r="E490" s="4" t="s">
        <v>162</v>
      </c>
      <c r="F490" s="3">
        <v>5</v>
      </c>
      <c r="G490" s="5">
        <f>INDEX([1]products!$A$1:$G$49,MATCH([1]orders!$D490,[1]products!$A$1:$A$49,0),MATCH([1]orders!K$1,[1]products!$A$1:$G$1,0))</f>
        <v>0.2</v>
      </c>
      <c r="H490" s="6">
        <f>INDEX([1]products!$A$1:$G$49,MATCH([1]orders!$D490,[1]products!$A$1:$A$49,0),MATCH([1]orders!L$1,[1]products!$A$1:$G$1,0))</f>
        <v>2.9849999999999999</v>
      </c>
      <c r="I490" s="6">
        <f t="shared" si="7"/>
        <v>14.924999999999999</v>
      </c>
    </row>
    <row r="491" spans="1:9" x14ac:dyDescent="0.3">
      <c r="A491" s="1" t="s">
        <v>969</v>
      </c>
      <c r="B491" s="2">
        <v>43654</v>
      </c>
      <c r="C491" s="3" t="s">
        <v>970</v>
      </c>
      <c r="D491" s="3" t="str">
        <f>INDEX('Customers (2)'!B:B,MATCH('Customers (2)'!A491,'Customers (2)'!A:A,0))</f>
        <v>Sean Lorenzetti</v>
      </c>
      <c r="E491" s="4" t="s">
        <v>132</v>
      </c>
      <c r="F491" s="3">
        <v>6</v>
      </c>
      <c r="G491" s="5">
        <f>INDEX([1]products!$A$1:$G$49,MATCH([1]orders!$D491,[1]products!$A$1:$A$49,0),MATCH([1]orders!K$1,[1]products!$A$1:$G$1,0))</f>
        <v>1</v>
      </c>
      <c r="H491" s="6">
        <f>INDEX([1]products!$A$1:$G$49,MATCH([1]orders!$D491,[1]products!$A$1:$A$49,0),MATCH([1]orders!L$1,[1]products!$A$1:$G$1,0))</f>
        <v>15.85</v>
      </c>
      <c r="I491" s="6">
        <f t="shared" si="7"/>
        <v>95.1</v>
      </c>
    </row>
    <row r="492" spans="1:9" x14ac:dyDescent="0.3">
      <c r="A492" s="1" t="s">
        <v>971</v>
      </c>
      <c r="B492" s="2">
        <v>43764</v>
      </c>
      <c r="C492" s="3" t="s">
        <v>972</v>
      </c>
      <c r="D492" s="3" t="str">
        <f>INDEX('Customers (2)'!B:B,MATCH('Customers (2)'!A492,'Customers (2)'!A:A,0))</f>
        <v>Bob Giannazzi</v>
      </c>
      <c r="E492" s="4" t="s">
        <v>123</v>
      </c>
      <c r="F492" s="3">
        <v>2</v>
      </c>
      <c r="G492" s="5">
        <f>INDEX([1]products!$A$1:$G$49,MATCH([1]orders!$D492,[1]products!$A$1:$A$49,0),MATCH([1]orders!K$1,[1]products!$A$1:$G$1,0))</f>
        <v>0.5</v>
      </c>
      <c r="H492" s="6">
        <f>INDEX([1]products!$A$1:$G$49,MATCH([1]orders!$D492,[1]products!$A$1:$A$49,0),MATCH([1]orders!L$1,[1]products!$A$1:$G$1,0))</f>
        <v>7.77</v>
      </c>
      <c r="I492" s="6">
        <f t="shared" si="7"/>
        <v>15.54</v>
      </c>
    </row>
    <row r="493" spans="1:9" x14ac:dyDescent="0.3">
      <c r="A493" s="1" t="s">
        <v>973</v>
      </c>
      <c r="B493" s="2">
        <v>44101</v>
      </c>
      <c r="C493" s="3" t="s">
        <v>974</v>
      </c>
      <c r="D493" s="3" t="str">
        <f>INDEX('Customers (2)'!B:B,MATCH('Customers (2)'!A493,'Customers (2)'!A:A,0))</f>
        <v>Kendra Backshell</v>
      </c>
      <c r="E493" s="4" t="s">
        <v>38</v>
      </c>
      <c r="F493" s="3">
        <v>6</v>
      </c>
      <c r="G493" s="5">
        <f>INDEX([1]products!$A$1:$G$49,MATCH([1]orders!$D493,[1]products!$A$1:$A$49,0),MATCH([1]orders!K$1,[1]products!$A$1:$G$1,0))</f>
        <v>0.2</v>
      </c>
      <c r="H493" s="6">
        <f>INDEX([1]products!$A$1:$G$49,MATCH([1]orders!$D493,[1]products!$A$1:$A$49,0),MATCH([1]orders!L$1,[1]products!$A$1:$G$1,0))</f>
        <v>3.8849999999999998</v>
      </c>
      <c r="I493" s="6">
        <f t="shared" si="7"/>
        <v>23.31</v>
      </c>
    </row>
    <row r="494" spans="1:9" x14ac:dyDescent="0.3">
      <c r="A494" s="1" t="s">
        <v>975</v>
      </c>
      <c r="B494" s="2">
        <v>44620</v>
      </c>
      <c r="C494" s="3" t="s">
        <v>976</v>
      </c>
      <c r="D494" s="3" t="str">
        <f>INDEX('Customers (2)'!B:B,MATCH('Customers (2)'!A494,'Customers (2)'!A:A,0))</f>
        <v>Uriah Lethbrig</v>
      </c>
      <c r="E494" s="4" t="s">
        <v>64</v>
      </c>
      <c r="F494" s="3">
        <v>1</v>
      </c>
      <c r="G494" s="5">
        <f>INDEX([1]products!$A$1:$G$49,MATCH([1]orders!$D494,[1]products!$A$1:$A$49,0),MATCH([1]orders!K$1,[1]products!$A$1:$G$1,0))</f>
        <v>0.2</v>
      </c>
      <c r="H494" s="6">
        <f>INDEX([1]products!$A$1:$G$49,MATCH([1]orders!$D494,[1]products!$A$1:$A$49,0),MATCH([1]orders!L$1,[1]products!$A$1:$G$1,0))</f>
        <v>4.125</v>
      </c>
      <c r="I494" s="6">
        <f t="shared" si="7"/>
        <v>4.125</v>
      </c>
    </row>
    <row r="495" spans="1:9" x14ac:dyDescent="0.3">
      <c r="A495" s="1" t="s">
        <v>977</v>
      </c>
      <c r="B495" s="2">
        <v>44090</v>
      </c>
      <c r="C495" s="3" t="s">
        <v>978</v>
      </c>
      <c r="D495" s="3" t="str">
        <f>INDEX('Customers (2)'!B:B,MATCH('Customers (2)'!A495,'Customers (2)'!A:A,0))</f>
        <v>Sky Farnish</v>
      </c>
      <c r="E495" s="4" t="s">
        <v>22</v>
      </c>
      <c r="F495" s="3">
        <v>6</v>
      </c>
      <c r="G495" s="5">
        <f>INDEX([1]products!$A$1:$G$49,MATCH([1]orders!$D495,[1]products!$A$1:$A$49,0),MATCH([1]orders!K$1,[1]products!$A$1:$G$1,0))</f>
        <v>0.5</v>
      </c>
      <c r="H495" s="6">
        <f>INDEX([1]products!$A$1:$G$49,MATCH([1]orders!$D495,[1]products!$A$1:$A$49,0),MATCH([1]orders!L$1,[1]products!$A$1:$G$1,0))</f>
        <v>5.97</v>
      </c>
      <c r="I495" s="6">
        <f t="shared" si="7"/>
        <v>35.82</v>
      </c>
    </row>
    <row r="496" spans="1:9" x14ac:dyDescent="0.3">
      <c r="A496" s="1" t="s">
        <v>979</v>
      </c>
      <c r="B496" s="2">
        <v>44132</v>
      </c>
      <c r="C496" s="3" t="s">
        <v>980</v>
      </c>
      <c r="D496" s="3" t="str">
        <f>INDEX('Customers (2)'!B:B,MATCH('Customers (2)'!A496,'Customers (2)'!A:A,0))</f>
        <v>Felicia Jecock</v>
      </c>
      <c r="E496" s="4" t="s">
        <v>132</v>
      </c>
      <c r="F496" s="3">
        <v>2</v>
      </c>
      <c r="G496" s="5">
        <f>INDEX([1]products!$A$1:$G$49,MATCH([1]orders!$D496,[1]products!$A$1:$A$49,0),MATCH([1]orders!K$1,[1]products!$A$1:$G$1,0))</f>
        <v>1</v>
      </c>
      <c r="H496" s="6">
        <f>INDEX([1]products!$A$1:$G$49,MATCH([1]orders!$D496,[1]products!$A$1:$A$49,0),MATCH([1]orders!L$1,[1]products!$A$1:$G$1,0))</f>
        <v>15.85</v>
      </c>
      <c r="I496" s="6">
        <f t="shared" si="7"/>
        <v>31.7</v>
      </c>
    </row>
    <row r="497" spans="1:9" x14ac:dyDescent="0.3">
      <c r="A497" s="1" t="s">
        <v>981</v>
      </c>
      <c r="B497" s="2">
        <v>43710</v>
      </c>
      <c r="C497" s="3" t="s">
        <v>982</v>
      </c>
      <c r="D497" s="3" t="str">
        <f>INDEX('Customers (2)'!B:B,MATCH('Customers (2)'!A497,'Customers (2)'!A:A,0))</f>
        <v>Currey MacAllister</v>
      </c>
      <c r="E497" s="4" t="s">
        <v>132</v>
      </c>
      <c r="F497" s="3">
        <v>5</v>
      </c>
      <c r="G497" s="5">
        <f>INDEX([1]products!$A$1:$G$49,MATCH([1]orders!$D497,[1]products!$A$1:$A$49,0),MATCH([1]orders!K$1,[1]products!$A$1:$G$1,0))</f>
        <v>1</v>
      </c>
      <c r="H497" s="6">
        <f>INDEX([1]products!$A$1:$G$49,MATCH([1]orders!$D497,[1]products!$A$1:$A$49,0),MATCH([1]orders!L$1,[1]products!$A$1:$G$1,0))</f>
        <v>15.85</v>
      </c>
      <c r="I497" s="6">
        <f t="shared" si="7"/>
        <v>79.25</v>
      </c>
    </row>
    <row r="498" spans="1:9" x14ac:dyDescent="0.3">
      <c r="A498" s="1" t="s">
        <v>983</v>
      </c>
      <c r="B498" s="2">
        <v>44438</v>
      </c>
      <c r="C498" s="3" t="s">
        <v>984</v>
      </c>
      <c r="D498" s="3" t="str">
        <f>INDEX('Customers (2)'!B:B,MATCH('Customers (2)'!A498,'Customers (2)'!A:A,0))</f>
        <v>Hamlen Pallister</v>
      </c>
      <c r="E498" s="4" t="s">
        <v>51</v>
      </c>
      <c r="F498" s="3">
        <v>3</v>
      </c>
      <c r="G498" s="5">
        <f>INDEX([1]products!$A$1:$G$49,MATCH([1]orders!$D498,[1]products!$A$1:$A$49,0),MATCH([1]orders!K$1,[1]products!$A$1:$G$1,0))</f>
        <v>0.2</v>
      </c>
      <c r="H498" s="6">
        <f>INDEX([1]products!$A$1:$G$49,MATCH([1]orders!$D498,[1]products!$A$1:$A$49,0),MATCH([1]orders!L$1,[1]products!$A$1:$G$1,0))</f>
        <v>3.645</v>
      </c>
      <c r="I498" s="6">
        <f t="shared" si="7"/>
        <v>10.935</v>
      </c>
    </row>
    <row r="499" spans="1:9" x14ac:dyDescent="0.3">
      <c r="A499" s="1" t="s">
        <v>985</v>
      </c>
      <c r="B499" s="2">
        <v>44351</v>
      </c>
      <c r="C499" s="3" t="s">
        <v>986</v>
      </c>
      <c r="D499" s="3" t="str">
        <f>INDEX('Customers (2)'!B:B,MATCH('Customers (2)'!A499,'Customers (2)'!A:A,0))</f>
        <v>Chantal Mersh</v>
      </c>
      <c r="E499" s="4" t="s">
        <v>27</v>
      </c>
      <c r="F499" s="3">
        <v>4</v>
      </c>
      <c r="G499" s="5">
        <f>INDEX([1]products!$A$1:$G$49,MATCH([1]orders!$D499,[1]products!$A$1:$A$49,0),MATCH([1]orders!K$1,[1]products!$A$1:$G$1,0))</f>
        <v>1</v>
      </c>
      <c r="H499" s="6">
        <f>INDEX([1]products!$A$1:$G$49,MATCH([1]orders!$D499,[1]products!$A$1:$A$49,0),MATCH([1]orders!L$1,[1]products!$A$1:$G$1,0))</f>
        <v>9.9499999999999993</v>
      </c>
      <c r="I499" s="6">
        <f t="shared" si="7"/>
        <v>39.799999999999997</v>
      </c>
    </row>
    <row r="500" spans="1:9" x14ac:dyDescent="0.3">
      <c r="A500" s="1" t="s">
        <v>987</v>
      </c>
      <c r="B500" s="2">
        <v>44159</v>
      </c>
      <c r="C500" s="3" t="s">
        <v>988</v>
      </c>
      <c r="D500" s="3" t="str">
        <f>INDEX('Customers (2)'!B:B,MATCH('Customers (2)'!A500,'Customers (2)'!A:A,0))</f>
        <v>Brendin Bredee</v>
      </c>
      <c r="E500" s="4" t="s">
        <v>2</v>
      </c>
      <c r="F500" s="3">
        <v>5</v>
      </c>
      <c r="G500" s="5">
        <f>INDEX([1]products!$A$1:$G$49,MATCH([1]orders!$D500,[1]products!$A$1:$A$49,0),MATCH([1]orders!K$1,[1]products!$A$1:$G$1,0))</f>
        <v>1</v>
      </c>
      <c r="H500" s="6">
        <f>INDEX([1]products!$A$1:$G$49,MATCH([1]orders!$D500,[1]products!$A$1:$A$49,0),MATCH([1]orders!L$1,[1]products!$A$1:$G$1,0))</f>
        <v>9.9499999999999993</v>
      </c>
      <c r="I500" s="6">
        <f t="shared" si="7"/>
        <v>49.75</v>
      </c>
    </row>
    <row r="501" spans="1:9" x14ac:dyDescent="0.3">
      <c r="A501" s="1" t="s">
        <v>989</v>
      </c>
      <c r="B501" s="2">
        <v>44003</v>
      </c>
      <c r="C501" s="3" t="s">
        <v>990</v>
      </c>
      <c r="D501" s="3" t="str">
        <f>INDEX('Customers (2)'!B:B,MATCH('Customers (2)'!A501,'Customers (2)'!A:A,0))</f>
        <v>Malynda Purbrick</v>
      </c>
      <c r="E501" s="4" t="s">
        <v>101</v>
      </c>
      <c r="F501" s="3">
        <v>3</v>
      </c>
      <c r="G501" s="5">
        <f>INDEX([1]products!$A$1:$G$49,MATCH([1]orders!$D501,[1]products!$A$1:$A$49,0),MATCH([1]orders!K$1,[1]products!$A$1:$G$1,0))</f>
        <v>0.2</v>
      </c>
      <c r="H501" s="6">
        <f>INDEX([1]products!$A$1:$G$49,MATCH([1]orders!$D501,[1]products!$A$1:$A$49,0),MATCH([1]orders!L$1,[1]products!$A$1:$G$1,0))</f>
        <v>2.6849999999999996</v>
      </c>
      <c r="I501" s="6">
        <f t="shared" si="7"/>
        <v>8.0549999999999997</v>
      </c>
    </row>
    <row r="502" spans="1:9" x14ac:dyDescent="0.3">
      <c r="A502" s="1" t="s">
        <v>991</v>
      </c>
      <c r="B502" s="2">
        <v>44025</v>
      </c>
      <c r="C502" s="3" t="s">
        <v>992</v>
      </c>
      <c r="D502" s="3" t="str">
        <f>INDEX('Customers (2)'!B:B,MATCH('Customers (2)'!A502,'Customers (2)'!A:A,0))</f>
        <v>Alf Housaman</v>
      </c>
      <c r="E502" s="4" t="s">
        <v>189</v>
      </c>
      <c r="F502" s="3">
        <v>4</v>
      </c>
      <c r="G502" s="5">
        <f>INDEX([1]products!$A$1:$G$49,MATCH([1]orders!$D502,[1]products!$A$1:$A$49,0),MATCH([1]orders!K$1,[1]products!$A$1:$G$1,0))</f>
        <v>1</v>
      </c>
      <c r="H502" s="6">
        <f>INDEX([1]products!$A$1:$G$49,MATCH([1]orders!$D502,[1]products!$A$1:$A$49,0),MATCH([1]orders!L$1,[1]products!$A$1:$G$1,0))</f>
        <v>11.95</v>
      </c>
      <c r="I502" s="6">
        <f t="shared" si="7"/>
        <v>47.8</v>
      </c>
    </row>
    <row r="503" spans="1:9" x14ac:dyDescent="0.3">
      <c r="A503" s="1" t="s">
        <v>993</v>
      </c>
      <c r="B503" s="2">
        <v>43467</v>
      </c>
      <c r="C503" s="3" t="s">
        <v>994</v>
      </c>
      <c r="D503" s="3" t="str">
        <f>INDEX('Customers (2)'!B:B,MATCH('Customers (2)'!A503,'Customers (2)'!A:A,0))</f>
        <v>Gladi Ducker</v>
      </c>
      <c r="E503" s="4" t="s">
        <v>162</v>
      </c>
      <c r="F503" s="3">
        <v>4</v>
      </c>
      <c r="G503" s="5">
        <f>INDEX([1]products!$A$1:$G$49,MATCH([1]orders!$D503,[1]products!$A$1:$A$49,0),MATCH([1]orders!K$1,[1]products!$A$1:$G$1,0))</f>
        <v>0.2</v>
      </c>
      <c r="H503" s="6">
        <f>INDEX([1]products!$A$1:$G$49,MATCH([1]orders!$D503,[1]products!$A$1:$A$49,0),MATCH([1]orders!L$1,[1]products!$A$1:$G$1,0))</f>
        <v>2.9849999999999999</v>
      </c>
      <c r="I503" s="6">
        <f t="shared" si="7"/>
        <v>11.94</v>
      </c>
    </row>
    <row r="504" spans="1:9" x14ac:dyDescent="0.3">
      <c r="A504" s="1" t="s">
        <v>993</v>
      </c>
      <c r="B504" s="2">
        <v>43467</v>
      </c>
      <c r="C504" s="3" t="s">
        <v>994</v>
      </c>
      <c r="D504" s="3" t="str">
        <f>INDEX('Customers (2)'!B:B,MATCH('Customers (2)'!A504,'Customers (2)'!A:A,0))</f>
        <v>Emelita Shearsby</v>
      </c>
      <c r="E504" s="4" t="s">
        <v>64</v>
      </c>
      <c r="F504" s="3">
        <v>4</v>
      </c>
      <c r="G504" s="5">
        <f>INDEX([1]products!$A$1:$G$49,MATCH([1]orders!$D504,[1]products!$A$1:$A$49,0),MATCH([1]orders!K$1,[1]products!$A$1:$G$1,0))</f>
        <v>0.2</v>
      </c>
      <c r="H504" s="6">
        <f>INDEX([1]products!$A$1:$G$49,MATCH([1]orders!$D504,[1]products!$A$1:$A$49,0),MATCH([1]orders!L$1,[1]products!$A$1:$G$1,0))</f>
        <v>4.125</v>
      </c>
      <c r="I504" s="6">
        <f t="shared" si="7"/>
        <v>16.5</v>
      </c>
    </row>
    <row r="505" spans="1:9" x14ac:dyDescent="0.3">
      <c r="A505" s="1" t="s">
        <v>993</v>
      </c>
      <c r="B505" s="2">
        <v>43467</v>
      </c>
      <c r="C505" s="3" t="s">
        <v>994</v>
      </c>
      <c r="D505" s="3" t="str">
        <f>INDEX('Customers (2)'!B:B,MATCH('Customers (2)'!A505,'Customers (2)'!A:A,0))</f>
        <v>Berte Gaddes</v>
      </c>
      <c r="E505" s="4" t="s">
        <v>13</v>
      </c>
      <c r="F505" s="3">
        <v>4</v>
      </c>
      <c r="G505" s="5">
        <f>INDEX([1]products!$A$1:$G$49,MATCH([1]orders!$D505,[1]products!$A$1:$A$49,0),MATCH([1]orders!K$1,[1]products!$A$1:$G$1,0))</f>
        <v>1</v>
      </c>
      <c r="H505" s="6">
        <f>INDEX([1]products!$A$1:$G$49,MATCH([1]orders!$D505,[1]products!$A$1:$A$49,0),MATCH([1]orders!L$1,[1]products!$A$1:$G$1,0))</f>
        <v>12.95</v>
      </c>
      <c r="I505" s="6">
        <f t="shared" si="7"/>
        <v>51.8</v>
      </c>
    </row>
    <row r="506" spans="1:9" x14ac:dyDescent="0.3">
      <c r="A506" s="1" t="s">
        <v>993</v>
      </c>
      <c r="B506" s="2">
        <v>43467</v>
      </c>
      <c r="C506" s="3" t="s">
        <v>994</v>
      </c>
      <c r="D506" s="3" t="str">
        <f>INDEX('Customers (2)'!B:B,MATCH('Customers (2)'!A506,'Customers (2)'!A:A,0))</f>
        <v>Nadia Erswell</v>
      </c>
      <c r="E506" s="4" t="s">
        <v>19</v>
      </c>
      <c r="F506" s="3">
        <v>3</v>
      </c>
      <c r="G506" s="5">
        <f>INDEX([1]products!$A$1:$G$49,MATCH([1]orders!$D506,[1]products!$A$1:$A$49,0),MATCH([1]orders!K$1,[1]products!$A$1:$G$1,0))</f>
        <v>0.2</v>
      </c>
      <c r="H506" s="6">
        <f>INDEX([1]products!$A$1:$G$49,MATCH([1]orders!$D506,[1]products!$A$1:$A$49,0),MATCH([1]orders!L$1,[1]products!$A$1:$G$1,0))</f>
        <v>4.7549999999999999</v>
      </c>
      <c r="I506" s="6">
        <f t="shared" si="7"/>
        <v>14.265000000000001</v>
      </c>
    </row>
    <row r="507" spans="1:9" x14ac:dyDescent="0.3">
      <c r="A507" s="1" t="s">
        <v>995</v>
      </c>
      <c r="B507" s="2">
        <v>44609</v>
      </c>
      <c r="C507" s="3" t="s">
        <v>996</v>
      </c>
      <c r="D507" s="3" t="str">
        <f>INDEX('Customers (2)'!B:B,MATCH('Customers (2)'!A507,'Customers (2)'!A:A,0))</f>
        <v>Wain Stearley</v>
      </c>
      <c r="E507" s="4" t="s">
        <v>77</v>
      </c>
      <c r="F507" s="3">
        <v>6</v>
      </c>
      <c r="G507" s="5">
        <f>INDEX([1]products!$A$1:$G$49,MATCH([1]orders!$D507,[1]products!$A$1:$A$49,0),MATCH([1]orders!K$1,[1]products!$A$1:$G$1,0))</f>
        <v>0.2</v>
      </c>
      <c r="H507" s="6">
        <f>INDEX([1]products!$A$1:$G$49,MATCH([1]orders!$D507,[1]products!$A$1:$A$49,0),MATCH([1]orders!L$1,[1]products!$A$1:$G$1,0))</f>
        <v>4.3650000000000002</v>
      </c>
      <c r="I507" s="6">
        <f t="shared" si="7"/>
        <v>26.19</v>
      </c>
    </row>
    <row r="508" spans="1:9" x14ac:dyDescent="0.3">
      <c r="A508" s="1" t="s">
        <v>997</v>
      </c>
      <c r="B508" s="2">
        <v>44184</v>
      </c>
      <c r="C508" s="3" t="s">
        <v>998</v>
      </c>
      <c r="D508" s="3" t="str">
        <f>INDEX('Customers (2)'!B:B,MATCH('Customers (2)'!A508,'Customers (2)'!A:A,0))</f>
        <v>Diane-marie Wincer</v>
      </c>
      <c r="E508" s="4" t="s">
        <v>6</v>
      </c>
      <c r="F508" s="3">
        <v>2</v>
      </c>
      <c r="G508" s="5">
        <f>INDEX([1]products!$A$1:$G$49,MATCH([1]orders!$D508,[1]products!$A$1:$A$49,0),MATCH([1]orders!K$1,[1]products!$A$1:$G$1,0))</f>
        <v>1</v>
      </c>
      <c r="H508" s="6">
        <f>INDEX([1]products!$A$1:$G$49,MATCH([1]orders!$D508,[1]products!$A$1:$A$49,0),MATCH([1]orders!L$1,[1]products!$A$1:$G$1,0))</f>
        <v>12.95</v>
      </c>
      <c r="I508" s="6">
        <f t="shared" si="7"/>
        <v>25.9</v>
      </c>
    </row>
    <row r="509" spans="1:9" x14ac:dyDescent="0.3">
      <c r="A509" s="1" t="s">
        <v>999</v>
      </c>
      <c r="B509" s="2">
        <v>43516</v>
      </c>
      <c r="C509" s="3" t="s">
        <v>1000</v>
      </c>
      <c r="D509" s="3" t="str">
        <f>INDEX('Customers (2)'!B:B,MATCH('Customers (2)'!A509,'Customers (2)'!A:A,0))</f>
        <v>Perry Lyfield</v>
      </c>
      <c r="E509" s="4" t="s">
        <v>204</v>
      </c>
      <c r="F509" s="3">
        <v>3</v>
      </c>
      <c r="G509" s="5">
        <f>INDEX([1]products!$A$1:$G$49,MATCH([1]orders!$D509,[1]products!$A$1:$A$49,0),MATCH([1]orders!K$1,[1]products!$A$1:$G$1,0))</f>
        <v>2.5</v>
      </c>
      <c r="H509" s="6">
        <f>INDEX([1]products!$A$1:$G$49,MATCH([1]orders!$D509,[1]products!$A$1:$A$49,0),MATCH([1]orders!L$1,[1]products!$A$1:$G$1,0))</f>
        <v>29.784999999999997</v>
      </c>
      <c r="I509" s="6">
        <f t="shared" si="7"/>
        <v>89.35499999999999</v>
      </c>
    </row>
    <row r="510" spans="1:9" x14ac:dyDescent="0.3">
      <c r="A510" s="1" t="s">
        <v>1001</v>
      </c>
      <c r="B510" s="2">
        <v>44210</v>
      </c>
      <c r="C510" s="3" t="s">
        <v>1002</v>
      </c>
      <c r="D510" s="3" t="str">
        <f>INDEX('Customers (2)'!B:B,MATCH('Customers (2)'!A510,'Customers (2)'!A:A,0))</f>
        <v>Heall Perris</v>
      </c>
      <c r="E510" s="4" t="s">
        <v>123</v>
      </c>
      <c r="F510" s="3">
        <v>6</v>
      </c>
      <c r="G510" s="5">
        <f>INDEX([1]products!$A$1:$G$49,MATCH([1]orders!$D510,[1]products!$A$1:$A$49,0),MATCH([1]orders!K$1,[1]products!$A$1:$G$1,0))</f>
        <v>0.5</v>
      </c>
      <c r="H510" s="6">
        <f>INDEX([1]products!$A$1:$G$49,MATCH([1]orders!$D510,[1]products!$A$1:$A$49,0),MATCH([1]orders!L$1,[1]products!$A$1:$G$1,0))</f>
        <v>7.77</v>
      </c>
      <c r="I510" s="6">
        <f t="shared" si="7"/>
        <v>46.62</v>
      </c>
    </row>
    <row r="511" spans="1:9" x14ac:dyDescent="0.3">
      <c r="A511" s="1" t="s">
        <v>1003</v>
      </c>
      <c r="B511" s="2">
        <v>43785</v>
      </c>
      <c r="C511" s="3" t="s">
        <v>988</v>
      </c>
      <c r="D511" s="3" t="str">
        <f>INDEX('Customers (2)'!B:B,MATCH('Customers (2)'!A511,'Customers (2)'!A:A,0))</f>
        <v>Marja Urion</v>
      </c>
      <c r="E511" s="4" t="s">
        <v>27</v>
      </c>
      <c r="F511" s="3">
        <v>3</v>
      </c>
      <c r="G511" s="5">
        <f>INDEX([1]products!$A$1:$G$49,MATCH([1]orders!$D511,[1]products!$A$1:$A$49,0),MATCH([1]orders!K$1,[1]products!$A$1:$G$1,0))</f>
        <v>1</v>
      </c>
      <c r="H511" s="6">
        <f>INDEX([1]products!$A$1:$G$49,MATCH([1]orders!$D511,[1]products!$A$1:$A$49,0),MATCH([1]orders!L$1,[1]products!$A$1:$G$1,0))</f>
        <v>9.9499999999999993</v>
      </c>
      <c r="I511" s="6">
        <f t="shared" si="7"/>
        <v>29.849999999999998</v>
      </c>
    </row>
    <row r="512" spans="1:9" x14ac:dyDescent="0.3">
      <c r="A512" s="1" t="s">
        <v>1004</v>
      </c>
      <c r="B512" s="2">
        <v>43803</v>
      </c>
      <c r="C512" s="3" t="s">
        <v>1005</v>
      </c>
      <c r="D512" s="3" t="str">
        <f>INDEX('Customers (2)'!B:B,MATCH('Customers (2)'!A512,'Customers (2)'!A:A,0))</f>
        <v>Camellia Kid</v>
      </c>
      <c r="E512" s="4" t="s">
        <v>182</v>
      </c>
      <c r="F512" s="3">
        <v>3</v>
      </c>
      <c r="G512" s="5">
        <f>INDEX([1]products!$A$1:$G$49,MATCH([1]orders!$D512,[1]products!$A$1:$A$49,0),MATCH([1]orders!K$1,[1]products!$A$1:$G$1,0))</f>
        <v>0.2</v>
      </c>
      <c r="H512" s="6">
        <f>INDEX([1]products!$A$1:$G$49,MATCH([1]orders!$D512,[1]products!$A$1:$A$49,0),MATCH([1]orders!L$1,[1]products!$A$1:$G$1,0))</f>
        <v>3.5849999999999995</v>
      </c>
      <c r="I512" s="6">
        <f t="shared" si="7"/>
        <v>10.754999999999999</v>
      </c>
    </row>
    <row r="513" spans="1:9" x14ac:dyDescent="0.3">
      <c r="A513" s="1" t="s">
        <v>1006</v>
      </c>
      <c r="B513" s="2">
        <v>44043</v>
      </c>
      <c r="C513" s="3" t="s">
        <v>1007</v>
      </c>
      <c r="D513" s="3" t="str">
        <f>INDEX('Customers (2)'!B:B,MATCH('Customers (2)'!A513,'Customers (2)'!A:A,0))</f>
        <v>Carolann Beine</v>
      </c>
      <c r="E513" s="4" t="s">
        <v>44</v>
      </c>
      <c r="F513" s="3">
        <v>4</v>
      </c>
      <c r="G513" s="5">
        <f>INDEX([1]products!$A$1:$G$49,MATCH([1]orders!$D513,[1]products!$A$1:$A$49,0),MATCH([1]orders!K$1,[1]products!$A$1:$G$1,0))</f>
        <v>0.2</v>
      </c>
      <c r="H513" s="6">
        <f>INDEX([1]products!$A$1:$G$49,MATCH([1]orders!$D513,[1]products!$A$1:$A$49,0),MATCH([1]orders!L$1,[1]products!$A$1:$G$1,0))</f>
        <v>3.375</v>
      </c>
      <c r="I513" s="6">
        <f t="shared" si="7"/>
        <v>13.5</v>
      </c>
    </row>
    <row r="514" spans="1:9" x14ac:dyDescent="0.3">
      <c r="A514" s="1" t="s">
        <v>1008</v>
      </c>
      <c r="B514" s="2">
        <v>43535</v>
      </c>
      <c r="C514" s="3" t="s">
        <v>1009</v>
      </c>
      <c r="D514" s="3" t="str">
        <f>INDEX('Customers (2)'!B:B,MATCH('Customers (2)'!A514,'Customers (2)'!A:A,0))</f>
        <v>Celia Bakeup</v>
      </c>
      <c r="E514" s="4" t="s">
        <v>132</v>
      </c>
      <c r="F514" s="3">
        <v>3</v>
      </c>
      <c r="G514" s="5">
        <f>INDEX([1]products!$A$1:$G$49,MATCH([1]orders!$D514,[1]products!$A$1:$A$49,0),MATCH([1]orders!K$1,[1]products!$A$1:$G$1,0))</f>
        <v>1</v>
      </c>
      <c r="H514" s="6">
        <f>INDEX([1]products!$A$1:$G$49,MATCH([1]orders!$D514,[1]products!$A$1:$A$49,0),MATCH([1]orders!L$1,[1]products!$A$1:$G$1,0))</f>
        <v>15.85</v>
      </c>
      <c r="I514" s="6">
        <f t="shared" ref="I514:I577" si="8">F514*H514</f>
        <v>47.55</v>
      </c>
    </row>
    <row r="515" spans="1:9" x14ac:dyDescent="0.3">
      <c r="A515" s="1" t="s">
        <v>1010</v>
      </c>
      <c r="B515" s="2">
        <v>44691</v>
      </c>
      <c r="C515" s="3" t="s">
        <v>1011</v>
      </c>
      <c r="D515" s="3" t="str">
        <f>INDEX('Customers (2)'!B:B,MATCH('Customers (2)'!A515,'Customers (2)'!A:A,0))</f>
        <v>Nataniel Helkin</v>
      </c>
      <c r="E515" s="4" t="s">
        <v>132</v>
      </c>
      <c r="F515" s="3">
        <v>5</v>
      </c>
      <c r="G515" s="5">
        <f>INDEX([1]products!$A$1:$G$49,MATCH([1]orders!$D515,[1]products!$A$1:$A$49,0),MATCH([1]orders!K$1,[1]products!$A$1:$G$1,0))</f>
        <v>1</v>
      </c>
      <c r="H515" s="6">
        <f>INDEX([1]products!$A$1:$G$49,MATCH([1]orders!$D515,[1]products!$A$1:$A$49,0),MATCH([1]orders!L$1,[1]products!$A$1:$G$1,0))</f>
        <v>15.85</v>
      </c>
      <c r="I515" s="6">
        <f t="shared" si="8"/>
        <v>79.25</v>
      </c>
    </row>
    <row r="516" spans="1:9" x14ac:dyDescent="0.3">
      <c r="A516" s="1" t="s">
        <v>1012</v>
      </c>
      <c r="B516" s="2">
        <v>44555</v>
      </c>
      <c r="C516" s="3" t="s">
        <v>1013</v>
      </c>
      <c r="D516" s="3" t="str">
        <f>INDEX('Customers (2)'!B:B,MATCH('Customers (2)'!A516,'Customers (2)'!A:A,0))</f>
        <v>Pippo Witherington</v>
      </c>
      <c r="E516" s="4" t="s">
        <v>77</v>
      </c>
      <c r="F516" s="3">
        <v>6</v>
      </c>
      <c r="G516" s="5">
        <f>INDEX([1]products!$A$1:$G$49,MATCH([1]orders!$D516,[1]products!$A$1:$A$49,0),MATCH([1]orders!K$1,[1]products!$A$1:$G$1,0))</f>
        <v>0.2</v>
      </c>
      <c r="H516" s="6">
        <f>INDEX([1]products!$A$1:$G$49,MATCH([1]orders!$D516,[1]products!$A$1:$A$49,0),MATCH([1]orders!L$1,[1]products!$A$1:$G$1,0))</f>
        <v>4.3650000000000002</v>
      </c>
      <c r="I516" s="6">
        <f t="shared" si="8"/>
        <v>26.19</v>
      </c>
    </row>
    <row r="517" spans="1:9" x14ac:dyDescent="0.3">
      <c r="A517" s="1" t="s">
        <v>1014</v>
      </c>
      <c r="B517" s="2">
        <v>44673</v>
      </c>
      <c r="C517" s="3" t="s">
        <v>1015</v>
      </c>
      <c r="D517" s="3" t="str">
        <f>INDEX('Customers (2)'!B:B,MATCH('Customers (2)'!A517,'Customers (2)'!A:A,0))</f>
        <v>Tildie Tilzey</v>
      </c>
      <c r="E517" s="4" t="s">
        <v>157</v>
      </c>
      <c r="F517" s="3">
        <v>3</v>
      </c>
      <c r="G517" s="5">
        <f>INDEX([1]products!$A$1:$G$49,MATCH([1]orders!$D517,[1]products!$A$1:$A$49,0),MATCH([1]orders!K$1,[1]products!$A$1:$G$1,0))</f>
        <v>0.5</v>
      </c>
      <c r="H517" s="6">
        <f>INDEX([1]products!$A$1:$G$49,MATCH([1]orders!$D517,[1]products!$A$1:$A$49,0),MATCH([1]orders!L$1,[1]products!$A$1:$G$1,0))</f>
        <v>7.169999999999999</v>
      </c>
      <c r="I517" s="6">
        <f t="shared" si="8"/>
        <v>21.509999999999998</v>
      </c>
    </row>
    <row r="518" spans="1:9" x14ac:dyDescent="0.3">
      <c r="A518" s="1" t="s">
        <v>1016</v>
      </c>
      <c r="B518" s="2">
        <v>44723</v>
      </c>
      <c r="C518" s="3" t="s">
        <v>1017</v>
      </c>
      <c r="D518" s="3" t="str">
        <f>INDEX('Customers (2)'!B:B,MATCH('Customers (2)'!A518,'Customers (2)'!A:A,0))</f>
        <v>Cindra Burling</v>
      </c>
      <c r="E518" s="4" t="s">
        <v>35</v>
      </c>
      <c r="F518" s="3">
        <v>5</v>
      </c>
      <c r="G518" s="5">
        <f>INDEX([1]products!$A$1:$G$49,MATCH([1]orders!$D518,[1]products!$A$1:$A$49,0),MATCH([1]orders!K$1,[1]products!$A$1:$G$1,0))</f>
        <v>2.5</v>
      </c>
      <c r="H518" s="6">
        <f>INDEX([1]products!$A$1:$G$49,MATCH([1]orders!$D518,[1]products!$A$1:$A$49,0),MATCH([1]orders!L$1,[1]products!$A$1:$G$1,0))</f>
        <v>20.584999999999997</v>
      </c>
      <c r="I518" s="6">
        <f t="shared" si="8"/>
        <v>102.92499999999998</v>
      </c>
    </row>
    <row r="519" spans="1:9" x14ac:dyDescent="0.3">
      <c r="A519" s="1" t="s">
        <v>1018</v>
      </c>
      <c r="B519" s="2">
        <v>44678</v>
      </c>
      <c r="C519" s="3" t="s">
        <v>1019</v>
      </c>
      <c r="D519" s="3" t="str">
        <f>INDEX('Customers (2)'!B:B,MATCH('Customers (2)'!A519,'Customers (2)'!A:A,0))</f>
        <v>Channa Belamy</v>
      </c>
      <c r="E519" s="4" t="s">
        <v>38</v>
      </c>
      <c r="F519" s="3">
        <v>2</v>
      </c>
      <c r="G519" s="5">
        <f>INDEX([1]products!$A$1:$G$49,MATCH([1]orders!$D519,[1]products!$A$1:$A$49,0),MATCH([1]orders!K$1,[1]products!$A$1:$G$1,0))</f>
        <v>0.2</v>
      </c>
      <c r="H519" s="6">
        <f>INDEX([1]products!$A$1:$G$49,MATCH([1]orders!$D519,[1]products!$A$1:$A$49,0),MATCH([1]orders!L$1,[1]products!$A$1:$G$1,0))</f>
        <v>3.8849999999999998</v>
      </c>
      <c r="I519" s="6">
        <f t="shared" si="8"/>
        <v>7.77</v>
      </c>
    </row>
    <row r="520" spans="1:9" x14ac:dyDescent="0.3">
      <c r="A520" s="1" t="s">
        <v>1020</v>
      </c>
      <c r="B520" s="2">
        <v>44194</v>
      </c>
      <c r="C520" s="3" t="s">
        <v>1021</v>
      </c>
      <c r="D520" s="3" t="str">
        <f>INDEX('Customers (2)'!B:B,MATCH('Customers (2)'!A520,'Customers (2)'!A:A,0))</f>
        <v>Karl Imorts</v>
      </c>
      <c r="E520" s="4" t="s">
        <v>530</v>
      </c>
      <c r="F520" s="3">
        <v>5</v>
      </c>
      <c r="G520" s="5">
        <f>INDEX([1]products!$A$1:$G$49,MATCH([1]orders!$D520,[1]products!$A$1:$A$49,0),MATCH([1]orders!K$1,[1]products!$A$1:$G$1,0))</f>
        <v>2.5</v>
      </c>
      <c r="H520" s="6">
        <f>INDEX([1]products!$A$1:$G$49,MATCH([1]orders!$D520,[1]products!$A$1:$A$49,0),MATCH([1]orders!L$1,[1]products!$A$1:$G$1,0))</f>
        <v>27.945</v>
      </c>
      <c r="I520" s="6">
        <f t="shared" si="8"/>
        <v>139.72499999999999</v>
      </c>
    </row>
    <row r="521" spans="1:9" x14ac:dyDescent="0.3">
      <c r="A521" s="1" t="s">
        <v>1022</v>
      </c>
      <c r="B521" s="2">
        <v>44026</v>
      </c>
      <c r="C521" s="3" t="s">
        <v>988</v>
      </c>
      <c r="D521" s="3" t="str">
        <f>INDEX('Customers (2)'!B:B,MATCH('Customers (2)'!A521,'Customers (2)'!A:A,0))</f>
        <v>Philippine Starte</v>
      </c>
      <c r="E521" s="4" t="s">
        <v>72</v>
      </c>
      <c r="F521" s="3">
        <v>2</v>
      </c>
      <c r="G521" s="5">
        <f>INDEX([1]products!$A$1:$G$49,MATCH([1]orders!$D521,[1]products!$A$1:$A$49,0),MATCH([1]orders!K$1,[1]products!$A$1:$G$1,0))</f>
        <v>0.5</v>
      </c>
      <c r="H521" s="6">
        <f>INDEX([1]products!$A$1:$G$49,MATCH([1]orders!$D521,[1]products!$A$1:$A$49,0),MATCH([1]orders!L$1,[1]products!$A$1:$G$1,0))</f>
        <v>5.97</v>
      </c>
      <c r="I521" s="6">
        <f t="shared" si="8"/>
        <v>11.94</v>
      </c>
    </row>
    <row r="522" spans="1:9" x14ac:dyDescent="0.3">
      <c r="A522" s="1" t="s">
        <v>1023</v>
      </c>
      <c r="B522" s="2">
        <v>44446</v>
      </c>
      <c r="C522" s="3" t="s">
        <v>1024</v>
      </c>
      <c r="D522" s="3" t="str">
        <f>INDEX('Customers (2)'!B:B,MATCH('Customers (2)'!A522,'Customers (2)'!A:A,0))</f>
        <v>Mag Armistead</v>
      </c>
      <c r="E522" s="4" t="s">
        <v>38</v>
      </c>
      <c r="F522" s="3">
        <v>1</v>
      </c>
      <c r="G522" s="5">
        <f>INDEX([1]products!$A$1:$G$49,MATCH([1]orders!$D522,[1]products!$A$1:$A$49,0),MATCH([1]orders!K$1,[1]products!$A$1:$G$1,0))</f>
        <v>0.2</v>
      </c>
      <c r="H522" s="6">
        <f>INDEX([1]products!$A$1:$G$49,MATCH([1]orders!$D522,[1]products!$A$1:$A$49,0),MATCH([1]orders!L$1,[1]products!$A$1:$G$1,0))</f>
        <v>3.8849999999999998</v>
      </c>
      <c r="I522" s="6">
        <f t="shared" si="8"/>
        <v>3.8849999999999998</v>
      </c>
    </row>
    <row r="523" spans="1:9" x14ac:dyDescent="0.3">
      <c r="A523" s="1" t="s">
        <v>1023</v>
      </c>
      <c r="B523" s="2">
        <v>44446</v>
      </c>
      <c r="C523" s="3" t="s">
        <v>1024</v>
      </c>
      <c r="D523" s="3" t="str">
        <f>INDEX('Customers (2)'!B:B,MATCH('Customers (2)'!A523,'Customers (2)'!A:A,0))</f>
        <v>Janela Lemerle</v>
      </c>
      <c r="E523" s="4" t="s">
        <v>2</v>
      </c>
      <c r="F523" s="3">
        <v>4</v>
      </c>
      <c r="G523" s="5">
        <f>INDEX([1]products!$A$1:$G$49,MATCH([1]orders!$D523,[1]products!$A$1:$A$49,0),MATCH([1]orders!K$1,[1]products!$A$1:$G$1,0))</f>
        <v>1</v>
      </c>
      <c r="H523" s="6">
        <f>INDEX([1]products!$A$1:$G$49,MATCH([1]orders!$D523,[1]products!$A$1:$A$49,0),MATCH([1]orders!L$1,[1]products!$A$1:$G$1,0))</f>
        <v>9.9499999999999993</v>
      </c>
      <c r="I523" s="6">
        <f t="shared" si="8"/>
        <v>39.799999999999997</v>
      </c>
    </row>
    <row r="524" spans="1:9" x14ac:dyDescent="0.3">
      <c r="A524" s="1" t="s">
        <v>1025</v>
      </c>
      <c r="B524" s="2">
        <v>43625</v>
      </c>
      <c r="C524" s="3" t="s">
        <v>1026</v>
      </c>
      <c r="D524" s="3" t="str">
        <f>INDEX('Customers (2)'!B:B,MATCH('Customers (2)'!A524,'Customers (2)'!A:A,0))</f>
        <v>Vasili Upstone</v>
      </c>
      <c r="E524" s="4" t="s">
        <v>22</v>
      </c>
      <c r="F524" s="3">
        <v>5</v>
      </c>
      <c r="G524" s="5">
        <f>INDEX([1]products!$A$1:$G$49,MATCH([1]orders!$D524,[1]products!$A$1:$A$49,0),MATCH([1]orders!K$1,[1]products!$A$1:$G$1,0))</f>
        <v>0.5</v>
      </c>
      <c r="H524" s="6">
        <f>INDEX([1]products!$A$1:$G$49,MATCH([1]orders!$D524,[1]products!$A$1:$A$49,0),MATCH([1]orders!L$1,[1]products!$A$1:$G$1,0))</f>
        <v>5.97</v>
      </c>
      <c r="I524" s="6">
        <f t="shared" si="8"/>
        <v>29.849999999999998</v>
      </c>
    </row>
    <row r="525" spans="1:9" x14ac:dyDescent="0.3">
      <c r="A525" s="1" t="s">
        <v>1027</v>
      </c>
      <c r="B525" s="2">
        <v>44129</v>
      </c>
      <c r="C525" s="3" t="s">
        <v>1028</v>
      </c>
      <c r="D525" s="3" t="str">
        <f>INDEX('Customers (2)'!B:B,MATCH('Customers (2)'!A525,'Customers (2)'!A:A,0))</f>
        <v>Berty Beelby</v>
      </c>
      <c r="E525" s="4" t="s">
        <v>109</v>
      </c>
      <c r="F525" s="3">
        <v>1</v>
      </c>
      <c r="G525" s="5">
        <f>INDEX([1]products!$A$1:$G$49,MATCH([1]orders!$D525,[1]products!$A$1:$A$49,0),MATCH([1]orders!K$1,[1]products!$A$1:$G$1,0))</f>
        <v>2.5</v>
      </c>
      <c r="H525" s="6">
        <f>INDEX([1]products!$A$1:$G$49,MATCH([1]orders!$D525,[1]products!$A$1:$A$49,0),MATCH([1]orders!L$1,[1]products!$A$1:$G$1,0))</f>
        <v>29.784999999999997</v>
      </c>
      <c r="I525" s="6">
        <f t="shared" si="8"/>
        <v>29.784999999999997</v>
      </c>
    </row>
    <row r="526" spans="1:9" x14ac:dyDescent="0.3">
      <c r="A526" s="1" t="s">
        <v>1029</v>
      </c>
      <c r="B526" s="2">
        <v>44255</v>
      </c>
      <c r="C526" s="3" t="s">
        <v>1030</v>
      </c>
      <c r="D526" s="3" t="str">
        <f>INDEX('Customers (2)'!B:B,MATCH('Customers (2)'!A526,'Customers (2)'!A:A,0))</f>
        <v>Erny Stenyng</v>
      </c>
      <c r="E526" s="4" t="s">
        <v>104</v>
      </c>
      <c r="F526" s="3">
        <v>2</v>
      </c>
      <c r="G526" s="5">
        <f>INDEX([1]products!$A$1:$G$49,MATCH([1]orders!$D526,[1]products!$A$1:$A$49,0),MATCH([1]orders!K$1,[1]products!$A$1:$G$1,0))</f>
        <v>2.5</v>
      </c>
      <c r="H526" s="6">
        <f>INDEX([1]products!$A$1:$G$49,MATCH([1]orders!$D526,[1]products!$A$1:$A$49,0),MATCH([1]orders!L$1,[1]products!$A$1:$G$1,0))</f>
        <v>36.454999999999998</v>
      </c>
      <c r="I526" s="6">
        <f t="shared" si="8"/>
        <v>72.91</v>
      </c>
    </row>
    <row r="527" spans="1:9" x14ac:dyDescent="0.3">
      <c r="A527" s="1" t="s">
        <v>1031</v>
      </c>
      <c r="B527" s="2">
        <v>44038</v>
      </c>
      <c r="C527" s="3" t="s">
        <v>1032</v>
      </c>
      <c r="D527" s="3" t="str">
        <f>INDEX('Customers (2)'!B:B,MATCH('Customers (2)'!A527,'Customers (2)'!A:A,0))</f>
        <v>Edin Yantsurev</v>
      </c>
      <c r="E527" s="4" t="s">
        <v>101</v>
      </c>
      <c r="F527" s="3">
        <v>5</v>
      </c>
      <c r="G527" s="5">
        <f>INDEX([1]products!$A$1:$G$49,MATCH([1]orders!$D527,[1]products!$A$1:$A$49,0),MATCH([1]orders!K$1,[1]products!$A$1:$G$1,0))</f>
        <v>0.2</v>
      </c>
      <c r="H527" s="6">
        <f>INDEX([1]products!$A$1:$G$49,MATCH([1]orders!$D527,[1]products!$A$1:$A$49,0),MATCH([1]orders!L$1,[1]products!$A$1:$G$1,0))</f>
        <v>2.6849999999999996</v>
      </c>
      <c r="I527" s="6">
        <f t="shared" si="8"/>
        <v>13.424999999999997</v>
      </c>
    </row>
    <row r="528" spans="1:9" x14ac:dyDescent="0.3">
      <c r="A528" s="1" t="s">
        <v>1033</v>
      </c>
      <c r="B528" s="2">
        <v>44717</v>
      </c>
      <c r="C528" s="3" t="s">
        <v>1034</v>
      </c>
      <c r="D528" s="3" t="str">
        <f>INDEX('Customers (2)'!B:B,MATCH('Customers (2)'!A528,'Customers (2)'!A:A,0))</f>
        <v>Webb Speechly</v>
      </c>
      <c r="E528" s="4" t="s">
        <v>112</v>
      </c>
      <c r="F528" s="3">
        <v>4</v>
      </c>
      <c r="G528" s="5">
        <f>INDEX([1]products!$A$1:$G$49,MATCH([1]orders!$D528,[1]products!$A$1:$A$49,0),MATCH([1]orders!K$1,[1]products!$A$1:$G$1,0))</f>
        <v>2.5</v>
      </c>
      <c r="H528" s="6">
        <f>INDEX([1]products!$A$1:$G$49,MATCH([1]orders!$D528,[1]products!$A$1:$A$49,0),MATCH([1]orders!L$1,[1]products!$A$1:$G$1,0))</f>
        <v>31.624999999999996</v>
      </c>
      <c r="I528" s="6">
        <f t="shared" si="8"/>
        <v>126.49999999999999</v>
      </c>
    </row>
    <row r="529" spans="1:9" x14ac:dyDescent="0.3">
      <c r="A529" s="1" t="s">
        <v>1035</v>
      </c>
      <c r="B529" s="2">
        <v>43517</v>
      </c>
      <c r="C529" s="3" t="s">
        <v>1036</v>
      </c>
      <c r="D529" s="3" t="str">
        <f>INDEX('Customers (2)'!B:B,MATCH('Customers (2)'!A529,'Customers (2)'!A:A,0))</f>
        <v>Irvine Phillpot</v>
      </c>
      <c r="E529" s="4" t="s">
        <v>3</v>
      </c>
      <c r="F529" s="3">
        <v>5</v>
      </c>
      <c r="G529" s="5">
        <f>INDEX([1]products!$A$1:$G$49,MATCH([1]orders!$D529,[1]products!$A$1:$A$49,0),MATCH([1]orders!K$1,[1]products!$A$1:$G$1,0))</f>
        <v>0.5</v>
      </c>
      <c r="H529" s="6">
        <f>INDEX([1]products!$A$1:$G$49,MATCH([1]orders!$D529,[1]products!$A$1:$A$49,0),MATCH([1]orders!L$1,[1]products!$A$1:$G$1,0))</f>
        <v>8.25</v>
      </c>
      <c r="I529" s="6">
        <f t="shared" si="8"/>
        <v>41.25</v>
      </c>
    </row>
    <row r="530" spans="1:9" x14ac:dyDescent="0.3">
      <c r="A530" s="1" t="s">
        <v>1037</v>
      </c>
      <c r="B530" s="2">
        <v>43926</v>
      </c>
      <c r="C530" s="3" t="s">
        <v>1038</v>
      </c>
      <c r="D530" s="3" t="str">
        <f>INDEX('Customers (2)'!B:B,MATCH('Customers (2)'!A530,'Customers (2)'!A:A,0))</f>
        <v>Lem Pennacci</v>
      </c>
      <c r="E530" s="4" t="s">
        <v>176</v>
      </c>
      <c r="F530" s="3">
        <v>6</v>
      </c>
      <c r="G530" s="5">
        <f>INDEX([1]products!$A$1:$G$49,MATCH([1]orders!$D530,[1]products!$A$1:$A$49,0),MATCH([1]orders!K$1,[1]products!$A$1:$G$1,0))</f>
        <v>0.5</v>
      </c>
      <c r="H530" s="6">
        <f>INDEX([1]products!$A$1:$G$49,MATCH([1]orders!$D530,[1]products!$A$1:$A$49,0),MATCH([1]orders!L$1,[1]products!$A$1:$G$1,0))</f>
        <v>8.91</v>
      </c>
      <c r="I530" s="6">
        <f t="shared" si="8"/>
        <v>53.46</v>
      </c>
    </row>
    <row r="531" spans="1:9" x14ac:dyDescent="0.3">
      <c r="A531" s="1" t="s">
        <v>1039</v>
      </c>
      <c r="B531" s="2">
        <v>43475</v>
      </c>
      <c r="C531" s="3" t="s">
        <v>1040</v>
      </c>
      <c r="D531" s="3" t="str">
        <f>INDEX('Customers (2)'!B:B,MATCH('Customers (2)'!A531,'Customers (2)'!A:A,0))</f>
        <v>Starr Arpin</v>
      </c>
      <c r="E531" s="4" t="s">
        <v>2</v>
      </c>
      <c r="F531" s="3">
        <v>6</v>
      </c>
      <c r="G531" s="5">
        <f>INDEX([1]products!$A$1:$G$49,MATCH([1]orders!$D531,[1]products!$A$1:$A$49,0),MATCH([1]orders!K$1,[1]products!$A$1:$G$1,0))</f>
        <v>1</v>
      </c>
      <c r="H531" s="6">
        <f>INDEX([1]products!$A$1:$G$49,MATCH([1]orders!$D531,[1]products!$A$1:$A$49,0),MATCH([1]orders!L$1,[1]products!$A$1:$G$1,0))</f>
        <v>9.9499999999999993</v>
      </c>
      <c r="I531" s="6">
        <f t="shared" si="8"/>
        <v>59.699999999999996</v>
      </c>
    </row>
    <row r="532" spans="1:9" x14ac:dyDescent="0.3">
      <c r="A532" s="1" t="s">
        <v>1041</v>
      </c>
      <c r="B532" s="2">
        <v>44663</v>
      </c>
      <c r="C532" s="3" t="s">
        <v>1042</v>
      </c>
      <c r="D532" s="3" t="str">
        <f>INDEX('Customers (2)'!B:B,MATCH('Customers (2)'!A532,'Customers (2)'!A:A,0))</f>
        <v>Donny Fries</v>
      </c>
      <c r="E532" s="4" t="s">
        <v>2</v>
      </c>
      <c r="F532" s="3">
        <v>6</v>
      </c>
      <c r="G532" s="5">
        <f>INDEX([1]products!$A$1:$G$49,MATCH([1]orders!$D532,[1]products!$A$1:$A$49,0),MATCH([1]orders!K$1,[1]products!$A$1:$G$1,0))</f>
        <v>1</v>
      </c>
      <c r="H532" s="6">
        <f>INDEX([1]products!$A$1:$G$49,MATCH([1]orders!$D532,[1]products!$A$1:$A$49,0),MATCH([1]orders!L$1,[1]products!$A$1:$G$1,0))</f>
        <v>9.9499999999999993</v>
      </c>
      <c r="I532" s="6">
        <f t="shared" si="8"/>
        <v>59.699999999999996</v>
      </c>
    </row>
    <row r="533" spans="1:9" x14ac:dyDescent="0.3">
      <c r="A533" s="1" t="s">
        <v>1043</v>
      </c>
      <c r="B533" s="2">
        <v>44591</v>
      </c>
      <c r="C533" s="3" t="s">
        <v>1044</v>
      </c>
      <c r="D533" s="3" t="str">
        <f>INDEX('Customers (2)'!B:B,MATCH('Customers (2)'!A533,'Customers (2)'!A:A,0))</f>
        <v>Rana Sharer</v>
      </c>
      <c r="E533" s="4" t="s">
        <v>179</v>
      </c>
      <c r="F533" s="3">
        <v>5</v>
      </c>
      <c r="G533" s="5">
        <f>INDEX([1]products!$A$1:$G$49,MATCH([1]orders!$D533,[1]products!$A$1:$A$49,0),MATCH([1]orders!K$1,[1]products!$A$1:$G$1,0))</f>
        <v>1</v>
      </c>
      <c r="H533" s="6">
        <f>INDEX([1]products!$A$1:$G$49,MATCH([1]orders!$D533,[1]products!$A$1:$A$49,0),MATCH([1]orders!L$1,[1]products!$A$1:$G$1,0))</f>
        <v>8.9499999999999993</v>
      </c>
      <c r="I533" s="6">
        <f t="shared" si="8"/>
        <v>44.75</v>
      </c>
    </row>
    <row r="534" spans="1:9" x14ac:dyDescent="0.3">
      <c r="A534" s="1" t="s">
        <v>1045</v>
      </c>
      <c r="B534" s="2">
        <v>44330</v>
      </c>
      <c r="C534" s="3" t="s">
        <v>1046</v>
      </c>
      <c r="D534" s="3" t="str">
        <f>INDEX('Customers (2)'!B:B,MATCH('Customers (2)'!A534,'Customers (2)'!A:A,0))</f>
        <v>Nannie Naseby</v>
      </c>
      <c r="E534" s="4" t="s">
        <v>3</v>
      </c>
      <c r="F534" s="3">
        <v>2</v>
      </c>
      <c r="G534" s="5">
        <f>INDEX([1]products!$A$1:$G$49,MATCH([1]orders!$D534,[1]products!$A$1:$A$49,0),MATCH([1]orders!K$1,[1]products!$A$1:$G$1,0))</f>
        <v>0.5</v>
      </c>
      <c r="H534" s="6">
        <f>INDEX([1]products!$A$1:$G$49,MATCH([1]orders!$D534,[1]products!$A$1:$A$49,0),MATCH([1]orders!L$1,[1]products!$A$1:$G$1,0))</f>
        <v>8.25</v>
      </c>
      <c r="I534" s="6">
        <f t="shared" si="8"/>
        <v>16.5</v>
      </c>
    </row>
    <row r="535" spans="1:9" x14ac:dyDescent="0.3">
      <c r="A535" s="1" t="s">
        <v>1047</v>
      </c>
      <c r="B535" s="2">
        <v>44724</v>
      </c>
      <c r="C535" s="3" t="s">
        <v>1048</v>
      </c>
      <c r="D535" s="3" t="str">
        <f>INDEX('Customers (2)'!B:B,MATCH('Customers (2)'!A535,'Customers (2)'!A:A,0))</f>
        <v>Rea Offell</v>
      </c>
      <c r="E535" s="4" t="s">
        <v>146</v>
      </c>
      <c r="F535" s="3">
        <v>4</v>
      </c>
      <c r="G535" s="5">
        <f>INDEX([1]products!$A$1:$G$49,MATCH([1]orders!$D535,[1]products!$A$1:$A$49,0),MATCH([1]orders!K$1,[1]products!$A$1:$G$1,0))</f>
        <v>0.5</v>
      </c>
      <c r="H535" s="6">
        <f>INDEX([1]products!$A$1:$G$49,MATCH([1]orders!$D535,[1]products!$A$1:$A$49,0),MATCH([1]orders!L$1,[1]products!$A$1:$G$1,0))</f>
        <v>5.3699999999999992</v>
      </c>
      <c r="I535" s="6">
        <f t="shared" si="8"/>
        <v>21.479999999999997</v>
      </c>
    </row>
    <row r="536" spans="1:9" x14ac:dyDescent="0.3">
      <c r="A536" s="1" t="s">
        <v>1049</v>
      </c>
      <c r="B536" s="2">
        <v>44563</v>
      </c>
      <c r="C536" s="3" t="s">
        <v>1050</v>
      </c>
      <c r="D536" s="3" t="str">
        <f>INDEX('Customers (2)'!B:B,MATCH('Customers (2)'!A536,'Customers (2)'!A:A,0))</f>
        <v>Kris O'Cullen</v>
      </c>
      <c r="E536" s="4" t="s">
        <v>41</v>
      </c>
      <c r="F536" s="3">
        <v>2</v>
      </c>
      <c r="G536" s="5">
        <f>INDEX([1]products!$A$1:$G$49,MATCH([1]orders!$D536,[1]products!$A$1:$A$49,0),MATCH([1]orders!K$1,[1]products!$A$1:$G$1,0))</f>
        <v>2.5</v>
      </c>
      <c r="H536" s="6">
        <f>INDEX([1]products!$A$1:$G$49,MATCH([1]orders!$D536,[1]products!$A$1:$A$49,0),MATCH([1]orders!L$1,[1]products!$A$1:$G$1,0))</f>
        <v>22.884999999999998</v>
      </c>
      <c r="I536" s="6">
        <f t="shared" si="8"/>
        <v>45.769999999999996</v>
      </c>
    </row>
    <row r="537" spans="1:9" x14ac:dyDescent="0.3">
      <c r="A537" s="1" t="s">
        <v>1051</v>
      </c>
      <c r="B537" s="2">
        <v>44585</v>
      </c>
      <c r="C537" s="3" t="s">
        <v>1052</v>
      </c>
      <c r="D537" s="3" t="str">
        <f>INDEX('Customers (2)'!B:B,MATCH('Customers (2)'!A537,'Customers (2)'!A:A,0))</f>
        <v>Timoteo Glisane</v>
      </c>
      <c r="E537" s="4" t="s">
        <v>19</v>
      </c>
      <c r="F537" s="3">
        <v>2</v>
      </c>
      <c r="G537" s="5">
        <f>INDEX([1]products!$A$1:$G$49,MATCH([1]orders!$D537,[1]products!$A$1:$A$49,0),MATCH([1]orders!K$1,[1]products!$A$1:$G$1,0))</f>
        <v>0.2</v>
      </c>
      <c r="H537" s="6">
        <f>INDEX([1]products!$A$1:$G$49,MATCH([1]orders!$D537,[1]products!$A$1:$A$49,0),MATCH([1]orders!L$1,[1]products!$A$1:$G$1,0))</f>
        <v>4.7549999999999999</v>
      </c>
      <c r="I537" s="6">
        <f t="shared" si="8"/>
        <v>9.51</v>
      </c>
    </row>
    <row r="538" spans="1:9" x14ac:dyDescent="0.3">
      <c r="A538" s="1" t="s">
        <v>1053</v>
      </c>
      <c r="B538" s="2">
        <v>43544</v>
      </c>
      <c r="C538" s="3" t="s">
        <v>988</v>
      </c>
      <c r="D538" s="3" t="str">
        <f>INDEX('Customers (2)'!B:B,MATCH('Customers (2)'!A538,'Customers (2)'!A:A,0))</f>
        <v>Wyatan Cokly</v>
      </c>
      <c r="E538" s="4" t="s">
        <v>101</v>
      </c>
      <c r="F538" s="3">
        <v>3</v>
      </c>
      <c r="G538" s="5">
        <f>INDEX([1]products!$A$1:$G$49,MATCH([1]orders!$D538,[1]products!$A$1:$A$49,0),MATCH([1]orders!K$1,[1]products!$A$1:$G$1,0))</f>
        <v>0.2</v>
      </c>
      <c r="H538" s="6">
        <f>INDEX([1]products!$A$1:$G$49,MATCH([1]orders!$D538,[1]products!$A$1:$A$49,0),MATCH([1]orders!L$1,[1]products!$A$1:$G$1,0))</f>
        <v>2.6849999999999996</v>
      </c>
      <c r="I538" s="6">
        <f t="shared" si="8"/>
        <v>8.0549999999999997</v>
      </c>
    </row>
    <row r="539" spans="1:9" x14ac:dyDescent="0.3">
      <c r="A539" s="1" t="s">
        <v>1054</v>
      </c>
      <c r="B539" s="2">
        <v>44156</v>
      </c>
      <c r="C539" s="3" t="s">
        <v>1055</v>
      </c>
      <c r="D539" s="3" t="str">
        <f>INDEX('Customers (2)'!B:B,MATCH('Customers (2)'!A539,'Customers (2)'!A:A,0))</f>
        <v>Hildegarde Brangan</v>
      </c>
      <c r="E539" s="4" t="s">
        <v>530</v>
      </c>
      <c r="F539" s="3">
        <v>4</v>
      </c>
      <c r="G539" s="5">
        <f>INDEX([1]products!$A$1:$G$49,MATCH([1]orders!$D539,[1]products!$A$1:$A$49,0),MATCH([1]orders!K$1,[1]products!$A$1:$G$1,0))</f>
        <v>2.5</v>
      </c>
      <c r="H539" s="6">
        <f>INDEX([1]products!$A$1:$G$49,MATCH([1]orders!$D539,[1]products!$A$1:$A$49,0),MATCH([1]orders!L$1,[1]products!$A$1:$G$1,0))</f>
        <v>27.945</v>
      </c>
      <c r="I539" s="6">
        <f t="shared" si="8"/>
        <v>111.78</v>
      </c>
    </row>
    <row r="540" spans="1:9" x14ac:dyDescent="0.3">
      <c r="A540" s="1" t="s">
        <v>1056</v>
      </c>
      <c r="B540" s="2">
        <v>44482</v>
      </c>
      <c r="C540" s="3" t="s">
        <v>1057</v>
      </c>
      <c r="D540" s="3" t="str">
        <f>INDEX('Customers (2)'!B:B,MATCH('Customers (2)'!A540,'Customers (2)'!A:A,0))</f>
        <v>Amii Gallyon</v>
      </c>
      <c r="E540" s="4" t="s">
        <v>101</v>
      </c>
      <c r="F540" s="3">
        <v>4</v>
      </c>
      <c r="G540" s="5">
        <f>INDEX([1]products!$A$1:$G$49,MATCH([1]orders!$D540,[1]products!$A$1:$A$49,0),MATCH([1]orders!K$1,[1]products!$A$1:$G$1,0))</f>
        <v>0.2</v>
      </c>
      <c r="H540" s="6">
        <f>INDEX([1]products!$A$1:$G$49,MATCH([1]orders!$D540,[1]products!$A$1:$A$49,0),MATCH([1]orders!L$1,[1]products!$A$1:$G$1,0))</f>
        <v>2.6849999999999996</v>
      </c>
      <c r="I540" s="6">
        <f t="shared" si="8"/>
        <v>10.739999999999998</v>
      </c>
    </row>
    <row r="541" spans="1:9" x14ac:dyDescent="0.3">
      <c r="A541" s="1" t="s">
        <v>1058</v>
      </c>
      <c r="B541" s="2">
        <v>44488</v>
      </c>
      <c r="C541" s="3" t="s">
        <v>1059</v>
      </c>
      <c r="D541" s="3" t="str">
        <f>INDEX('Customers (2)'!B:B,MATCH('Customers (2)'!A541,'Customers (2)'!A:A,0))</f>
        <v>Birgit Domange</v>
      </c>
      <c r="E541" s="4" t="s">
        <v>146</v>
      </c>
      <c r="F541" s="3">
        <v>5</v>
      </c>
      <c r="G541" s="5">
        <f>INDEX([1]products!$A$1:$G$49,MATCH([1]orders!$D541,[1]products!$A$1:$A$49,0),MATCH([1]orders!K$1,[1]products!$A$1:$G$1,0))</f>
        <v>0.5</v>
      </c>
      <c r="H541" s="6">
        <f>INDEX([1]products!$A$1:$G$49,MATCH([1]orders!$D541,[1]products!$A$1:$A$49,0),MATCH([1]orders!L$1,[1]products!$A$1:$G$1,0))</f>
        <v>5.3699999999999992</v>
      </c>
      <c r="I541" s="6">
        <f t="shared" si="8"/>
        <v>26.849999999999994</v>
      </c>
    </row>
    <row r="542" spans="1:9" x14ac:dyDescent="0.3">
      <c r="A542" s="1" t="s">
        <v>1060</v>
      </c>
      <c r="B542" s="2">
        <v>43584</v>
      </c>
      <c r="C542" s="3" t="s">
        <v>1061</v>
      </c>
      <c r="D542" s="3" t="str">
        <f>INDEX('Customers (2)'!B:B,MATCH('Customers (2)'!A542,'Customers (2)'!A:A,0))</f>
        <v>Killian Osler</v>
      </c>
      <c r="E542" s="4" t="s">
        <v>132</v>
      </c>
      <c r="F542" s="3">
        <v>4</v>
      </c>
      <c r="G542" s="5">
        <f>INDEX([1]products!$A$1:$G$49,MATCH([1]orders!$D542,[1]products!$A$1:$A$49,0),MATCH([1]orders!K$1,[1]products!$A$1:$G$1,0))</f>
        <v>1</v>
      </c>
      <c r="H542" s="6">
        <f>INDEX([1]products!$A$1:$G$49,MATCH([1]orders!$D542,[1]products!$A$1:$A$49,0),MATCH([1]orders!L$1,[1]products!$A$1:$G$1,0))</f>
        <v>15.85</v>
      </c>
      <c r="I542" s="6">
        <f t="shared" si="8"/>
        <v>63.4</v>
      </c>
    </row>
    <row r="543" spans="1:9" x14ac:dyDescent="0.3">
      <c r="A543" s="1" t="s">
        <v>1062</v>
      </c>
      <c r="B543" s="2">
        <v>43750</v>
      </c>
      <c r="C543" s="3" t="s">
        <v>1063</v>
      </c>
      <c r="D543" s="3" t="str">
        <f>INDEX('Customers (2)'!B:B,MATCH('Customers (2)'!A543,'Customers (2)'!A:A,0))</f>
        <v>Lora Dukes</v>
      </c>
      <c r="E543" s="4" t="s">
        <v>118</v>
      </c>
      <c r="F543" s="3">
        <v>1</v>
      </c>
      <c r="G543" s="5">
        <f>INDEX([1]products!$A$1:$G$49,MATCH([1]orders!$D543,[1]products!$A$1:$A$49,0),MATCH([1]orders!K$1,[1]products!$A$1:$G$1,0))</f>
        <v>2.5</v>
      </c>
      <c r="H543" s="6">
        <f>INDEX([1]products!$A$1:$G$49,MATCH([1]orders!$D543,[1]products!$A$1:$A$49,0),MATCH([1]orders!L$1,[1]products!$A$1:$G$1,0))</f>
        <v>22.884999999999998</v>
      </c>
      <c r="I543" s="6">
        <f t="shared" si="8"/>
        <v>22.884999999999998</v>
      </c>
    </row>
    <row r="544" spans="1:9" x14ac:dyDescent="0.3">
      <c r="A544" s="1" t="s">
        <v>1064</v>
      </c>
      <c r="B544" s="2">
        <v>44335</v>
      </c>
      <c r="C544" s="3" t="s">
        <v>1065</v>
      </c>
      <c r="D544" s="3" t="str">
        <f>INDEX('Customers (2)'!B:B,MATCH('Customers (2)'!A544,'Customers (2)'!A:A,0))</f>
        <v>Zack Pellett</v>
      </c>
      <c r="E544" s="4" t="s">
        <v>171</v>
      </c>
      <c r="F544" s="3">
        <v>4</v>
      </c>
      <c r="G544" s="5">
        <f>INDEX([1]products!$A$1:$G$49,MATCH([1]orders!$D544,[1]products!$A$1:$A$49,0),MATCH([1]orders!K$1,[1]products!$A$1:$G$1,0))</f>
        <v>2.5</v>
      </c>
      <c r="H544" s="6">
        <f>INDEX([1]products!$A$1:$G$49,MATCH([1]orders!$D544,[1]products!$A$1:$A$49,0),MATCH([1]orders!L$1,[1]products!$A$1:$G$1,0))</f>
        <v>25.874999999999996</v>
      </c>
      <c r="I544" s="6">
        <f t="shared" si="8"/>
        <v>103.49999999999999</v>
      </c>
    </row>
    <row r="545" spans="1:9" x14ac:dyDescent="0.3">
      <c r="A545" s="1" t="s">
        <v>1066</v>
      </c>
      <c r="B545" s="2">
        <v>44380</v>
      </c>
      <c r="C545" s="3" t="s">
        <v>1067</v>
      </c>
      <c r="D545" s="3" t="str">
        <f>INDEX('Customers (2)'!B:B,MATCH('Customers (2)'!A545,'Customers (2)'!A:A,0))</f>
        <v>Ilaire Sprakes</v>
      </c>
      <c r="E545" s="4" t="s">
        <v>10</v>
      </c>
      <c r="F545" s="3">
        <v>2</v>
      </c>
      <c r="G545" s="5">
        <f>INDEX([1]products!$A$1:$G$49,MATCH([1]orders!$D545,[1]products!$A$1:$A$49,0),MATCH([1]orders!K$1,[1]products!$A$1:$G$1,0))</f>
        <v>2.5</v>
      </c>
      <c r="H545" s="6">
        <f>INDEX([1]products!$A$1:$G$49,MATCH([1]orders!$D545,[1]products!$A$1:$A$49,0),MATCH([1]orders!L$1,[1]products!$A$1:$G$1,0))</f>
        <v>27.484999999999996</v>
      </c>
      <c r="I545" s="6">
        <f t="shared" si="8"/>
        <v>54.969999999999992</v>
      </c>
    </row>
    <row r="546" spans="1:9" x14ac:dyDescent="0.3">
      <c r="A546" s="1" t="s">
        <v>1068</v>
      </c>
      <c r="B546" s="2">
        <v>43869</v>
      </c>
      <c r="C546" s="3" t="s">
        <v>1069</v>
      </c>
      <c r="D546" s="3" t="str">
        <f>INDEX('Customers (2)'!B:B,MATCH('Customers (2)'!A546,'Customers (2)'!A:A,0))</f>
        <v>Heda Fromant</v>
      </c>
      <c r="E546" s="4" t="s">
        <v>192</v>
      </c>
      <c r="F546" s="3">
        <v>2</v>
      </c>
      <c r="G546" s="5">
        <f>INDEX([1]products!$A$1:$G$49,MATCH([1]orders!$D546,[1]products!$A$1:$A$49,0),MATCH([1]orders!K$1,[1]products!$A$1:$G$1,0))</f>
        <v>0.5</v>
      </c>
      <c r="H546" s="6">
        <f>INDEX([1]products!$A$1:$G$49,MATCH([1]orders!$D546,[1]products!$A$1:$A$49,0),MATCH([1]orders!L$1,[1]products!$A$1:$G$1,0))</f>
        <v>7.77</v>
      </c>
      <c r="I546" s="6">
        <f t="shared" si="8"/>
        <v>15.54</v>
      </c>
    </row>
    <row r="547" spans="1:9" x14ac:dyDescent="0.3">
      <c r="A547" s="1" t="s">
        <v>1070</v>
      </c>
      <c r="B547" s="2">
        <v>44120</v>
      </c>
      <c r="C547" s="3" t="s">
        <v>1071</v>
      </c>
      <c r="D547" s="3" t="str">
        <f>INDEX('Customers (2)'!B:B,MATCH('Customers (2)'!A547,'Customers (2)'!A:A,0))</f>
        <v>Rufus Flear</v>
      </c>
      <c r="E547" s="4" t="s">
        <v>38</v>
      </c>
      <c r="F547" s="3">
        <v>4</v>
      </c>
      <c r="G547" s="5">
        <f>INDEX([1]products!$A$1:$G$49,MATCH([1]orders!$D547,[1]products!$A$1:$A$49,0),MATCH([1]orders!K$1,[1]products!$A$1:$G$1,0))</f>
        <v>0.2</v>
      </c>
      <c r="H547" s="6">
        <f>INDEX([1]products!$A$1:$G$49,MATCH([1]orders!$D547,[1]products!$A$1:$A$49,0),MATCH([1]orders!L$1,[1]products!$A$1:$G$1,0))</f>
        <v>3.8849999999999998</v>
      </c>
      <c r="I547" s="6">
        <f t="shared" si="8"/>
        <v>15.54</v>
      </c>
    </row>
    <row r="548" spans="1:9" x14ac:dyDescent="0.3">
      <c r="A548" s="1" t="s">
        <v>1072</v>
      </c>
      <c r="B548" s="2">
        <v>44127</v>
      </c>
      <c r="C548" s="3" t="s">
        <v>1073</v>
      </c>
      <c r="D548" s="3" t="str">
        <f>INDEX('Customers (2)'!B:B,MATCH('Customers (2)'!A548,'Customers (2)'!A:A,0))</f>
        <v>Dom Milella</v>
      </c>
      <c r="E548" s="4" t="s">
        <v>530</v>
      </c>
      <c r="F548" s="3">
        <v>3</v>
      </c>
      <c r="G548" s="5">
        <f>INDEX([1]products!$A$1:$G$49,MATCH([1]orders!$D548,[1]products!$A$1:$A$49,0),MATCH([1]orders!K$1,[1]products!$A$1:$G$1,0))</f>
        <v>2.5</v>
      </c>
      <c r="H548" s="6">
        <f>INDEX([1]products!$A$1:$G$49,MATCH([1]orders!$D548,[1]products!$A$1:$A$49,0),MATCH([1]orders!L$1,[1]products!$A$1:$G$1,0))</f>
        <v>27.945</v>
      </c>
      <c r="I548" s="6">
        <f t="shared" si="8"/>
        <v>83.835000000000008</v>
      </c>
    </row>
    <row r="549" spans="1:9" x14ac:dyDescent="0.3">
      <c r="A549" s="1" t="s">
        <v>1074</v>
      </c>
      <c r="B549" s="2">
        <v>44265</v>
      </c>
      <c r="C549" s="3" t="s">
        <v>1075</v>
      </c>
      <c r="D549" s="3" t="str">
        <f>INDEX('Customers (2)'!B:B,MATCH('Customers (2)'!A549,'Customers (2)'!A:A,0))</f>
        <v>Almire MacAless</v>
      </c>
      <c r="E549" s="4" t="s">
        <v>182</v>
      </c>
      <c r="F549" s="3">
        <v>3</v>
      </c>
      <c r="G549" s="5">
        <f>INDEX([1]products!$A$1:$G$49,MATCH([1]orders!$D549,[1]products!$A$1:$A$49,0),MATCH([1]orders!K$1,[1]products!$A$1:$G$1,0))</f>
        <v>0.2</v>
      </c>
      <c r="H549" s="6">
        <f>INDEX([1]products!$A$1:$G$49,MATCH([1]orders!$D549,[1]products!$A$1:$A$49,0),MATCH([1]orders!L$1,[1]products!$A$1:$G$1,0))</f>
        <v>3.5849999999999995</v>
      </c>
      <c r="I549" s="6">
        <f t="shared" si="8"/>
        <v>10.754999999999999</v>
      </c>
    </row>
    <row r="550" spans="1:9" x14ac:dyDescent="0.3">
      <c r="A550" s="1" t="s">
        <v>1076</v>
      </c>
      <c r="B550" s="2">
        <v>44384</v>
      </c>
      <c r="C550" s="3" t="s">
        <v>1077</v>
      </c>
      <c r="D550" s="3" t="str">
        <f>INDEX('Customers (2)'!B:B,MATCH('Customers (2)'!A550,'Customers (2)'!A:A,0))</f>
        <v>Bette-ann Munden</v>
      </c>
      <c r="E550" s="4" t="s">
        <v>254</v>
      </c>
      <c r="F550" s="3">
        <v>3</v>
      </c>
      <c r="G550" s="5">
        <f>INDEX([1]products!$A$1:$G$49,MATCH([1]orders!$D550,[1]products!$A$1:$A$49,0),MATCH([1]orders!K$1,[1]products!$A$1:$G$1,0))</f>
        <v>0.2</v>
      </c>
      <c r="H550" s="6">
        <f>INDEX([1]products!$A$1:$G$49,MATCH([1]orders!$D550,[1]products!$A$1:$A$49,0),MATCH([1]orders!L$1,[1]products!$A$1:$G$1,0))</f>
        <v>4.4550000000000001</v>
      </c>
      <c r="I550" s="6">
        <f t="shared" si="8"/>
        <v>13.365</v>
      </c>
    </row>
    <row r="551" spans="1:9" x14ac:dyDescent="0.3">
      <c r="A551" s="1" t="s">
        <v>1078</v>
      </c>
      <c r="B551" s="2">
        <v>44232</v>
      </c>
      <c r="C551" s="3" t="s">
        <v>1075</v>
      </c>
      <c r="D551" s="3" t="str">
        <f>INDEX('Customers (2)'!B:B,MATCH('Customers (2)'!A551,'Customers (2)'!A:A,0))</f>
        <v>Wilek Lightollers</v>
      </c>
      <c r="E551" s="4" t="s">
        <v>254</v>
      </c>
      <c r="F551" s="3">
        <v>4</v>
      </c>
      <c r="G551" s="5">
        <f>INDEX([1]products!$A$1:$G$49,MATCH([1]orders!$D551,[1]products!$A$1:$A$49,0),MATCH([1]orders!K$1,[1]products!$A$1:$G$1,0))</f>
        <v>0.2</v>
      </c>
      <c r="H551" s="6">
        <f>INDEX([1]products!$A$1:$G$49,MATCH([1]orders!$D551,[1]products!$A$1:$A$49,0),MATCH([1]orders!L$1,[1]products!$A$1:$G$1,0))</f>
        <v>4.4550000000000001</v>
      </c>
      <c r="I551" s="6">
        <f t="shared" si="8"/>
        <v>17.82</v>
      </c>
    </row>
    <row r="552" spans="1:9" x14ac:dyDescent="0.3">
      <c r="A552" s="1" t="s">
        <v>1079</v>
      </c>
      <c r="B552" s="2">
        <v>44176</v>
      </c>
      <c r="C552" s="3" t="s">
        <v>1080</v>
      </c>
      <c r="D552" s="3" t="str">
        <f>INDEX('Customers (2)'!B:B,MATCH('Customers (2)'!A552,'Customers (2)'!A:A,0))</f>
        <v>Nick Brakespear</v>
      </c>
      <c r="E552" s="4" t="s">
        <v>38</v>
      </c>
      <c r="F552" s="3">
        <v>6</v>
      </c>
      <c r="G552" s="5">
        <f>INDEX([1]products!$A$1:$G$49,MATCH([1]orders!$D552,[1]products!$A$1:$A$49,0),MATCH([1]orders!K$1,[1]products!$A$1:$G$1,0))</f>
        <v>0.2</v>
      </c>
      <c r="H552" s="6">
        <f>INDEX([1]products!$A$1:$G$49,MATCH([1]orders!$D552,[1]products!$A$1:$A$49,0),MATCH([1]orders!L$1,[1]products!$A$1:$G$1,0))</f>
        <v>3.8849999999999998</v>
      </c>
      <c r="I552" s="6">
        <f t="shared" si="8"/>
        <v>23.31</v>
      </c>
    </row>
    <row r="553" spans="1:9" x14ac:dyDescent="0.3">
      <c r="A553" s="1" t="s">
        <v>1081</v>
      </c>
      <c r="B553" s="2">
        <v>44694</v>
      </c>
      <c r="C553" s="3" t="s">
        <v>1082</v>
      </c>
      <c r="D553" s="3" t="str">
        <f>INDEX('Customers (2)'!B:B,MATCH('Customers (2)'!A553,'Customers (2)'!A:A,0))</f>
        <v>Malynda Glawsop</v>
      </c>
      <c r="E553" s="4" t="s">
        <v>51</v>
      </c>
      <c r="F553" s="3">
        <v>2</v>
      </c>
      <c r="G553" s="5">
        <f>INDEX([1]products!$A$1:$G$49,MATCH([1]orders!$D553,[1]products!$A$1:$A$49,0),MATCH([1]orders!K$1,[1]products!$A$1:$G$1,0))</f>
        <v>0.2</v>
      </c>
      <c r="H553" s="6">
        <f>INDEX([1]products!$A$1:$G$49,MATCH([1]orders!$D553,[1]products!$A$1:$A$49,0),MATCH([1]orders!L$1,[1]products!$A$1:$G$1,0))</f>
        <v>3.645</v>
      </c>
      <c r="I553" s="6">
        <f t="shared" si="8"/>
        <v>7.29</v>
      </c>
    </row>
    <row r="554" spans="1:9" x14ac:dyDescent="0.3">
      <c r="A554" s="1" t="s">
        <v>1083</v>
      </c>
      <c r="B554" s="2">
        <v>43761</v>
      </c>
      <c r="C554" s="3" t="s">
        <v>1084</v>
      </c>
      <c r="D554" s="3" t="str">
        <f>INDEX('Customers (2)'!B:B,MATCH('Customers (2)'!A554,'Customers (2)'!A:A,0))</f>
        <v>Granville Alberts</v>
      </c>
      <c r="E554" s="4" t="s">
        <v>254</v>
      </c>
      <c r="F554" s="3">
        <v>4</v>
      </c>
      <c r="G554" s="5">
        <f>INDEX([1]products!$A$1:$G$49,MATCH([1]orders!$D554,[1]products!$A$1:$A$49,0),MATCH([1]orders!K$1,[1]products!$A$1:$G$1,0))</f>
        <v>0.2</v>
      </c>
      <c r="H554" s="6">
        <f>INDEX([1]products!$A$1:$G$49,MATCH([1]orders!$D554,[1]products!$A$1:$A$49,0),MATCH([1]orders!L$1,[1]products!$A$1:$G$1,0))</f>
        <v>4.4550000000000001</v>
      </c>
      <c r="I554" s="6">
        <f t="shared" si="8"/>
        <v>17.82</v>
      </c>
    </row>
    <row r="555" spans="1:9" x14ac:dyDescent="0.3">
      <c r="A555" s="1" t="s">
        <v>1085</v>
      </c>
      <c r="B555" s="2">
        <v>44085</v>
      </c>
      <c r="C555" s="3" t="s">
        <v>1086</v>
      </c>
      <c r="D555" s="3" t="str">
        <f>INDEX('Customers (2)'!B:B,MATCH('Customers (2)'!A555,'Customers (2)'!A:A,0))</f>
        <v>Vasily Polglase</v>
      </c>
      <c r="E555" s="4" t="s">
        <v>9</v>
      </c>
      <c r="F555" s="3">
        <v>5</v>
      </c>
      <c r="G555" s="5">
        <f>INDEX([1]products!$A$1:$G$49,MATCH([1]orders!$D555,[1]products!$A$1:$A$49,0),MATCH([1]orders!K$1,[1]products!$A$1:$G$1,0))</f>
        <v>1</v>
      </c>
      <c r="H555" s="6">
        <f>INDEX([1]products!$A$1:$G$49,MATCH([1]orders!$D555,[1]products!$A$1:$A$49,0),MATCH([1]orders!L$1,[1]products!$A$1:$G$1,0))</f>
        <v>13.75</v>
      </c>
      <c r="I555" s="6">
        <f t="shared" si="8"/>
        <v>68.75</v>
      </c>
    </row>
    <row r="556" spans="1:9" x14ac:dyDescent="0.3">
      <c r="A556" s="1" t="s">
        <v>1087</v>
      </c>
      <c r="B556" s="2">
        <v>43737</v>
      </c>
      <c r="C556" s="3" t="s">
        <v>1088</v>
      </c>
      <c r="D556" s="3" t="str">
        <f>INDEX('Customers (2)'!B:B,MATCH('Customers (2)'!A556,'Customers (2)'!A:A,0))</f>
        <v>Madelaine Sharples</v>
      </c>
      <c r="E556" s="4" t="s">
        <v>10</v>
      </c>
      <c r="F556" s="3">
        <v>2</v>
      </c>
      <c r="G556" s="5">
        <f>INDEX([1]products!$A$1:$G$49,MATCH([1]orders!$D556,[1]products!$A$1:$A$49,0),MATCH([1]orders!K$1,[1]products!$A$1:$G$1,0))</f>
        <v>2.5</v>
      </c>
      <c r="H556" s="6">
        <f>INDEX([1]products!$A$1:$G$49,MATCH([1]orders!$D556,[1]products!$A$1:$A$49,0),MATCH([1]orders!L$1,[1]products!$A$1:$G$1,0))</f>
        <v>27.484999999999996</v>
      </c>
      <c r="I556" s="6">
        <f t="shared" si="8"/>
        <v>54.969999999999992</v>
      </c>
    </row>
    <row r="557" spans="1:9" x14ac:dyDescent="0.3">
      <c r="A557" s="1" t="s">
        <v>1089</v>
      </c>
      <c r="B557" s="2">
        <v>44258</v>
      </c>
      <c r="C557" s="3" t="s">
        <v>1090</v>
      </c>
      <c r="D557" s="3" t="str">
        <f>INDEX('Customers (2)'!B:B,MATCH('Customers (2)'!A557,'Customers (2)'!A:A,0))</f>
        <v>Sigfrid Busch</v>
      </c>
      <c r="E557" s="4" t="s">
        <v>9</v>
      </c>
      <c r="F557" s="3">
        <v>6</v>
      </c>
      <c r="G557" s="5">
        <f>INDEX([1]products!$A$1:$G$49,MATCH([1]orders!$D557,[1]products!$A$1:$A$49,0),MATCH([1]orders!K$1,[1]products!$A$1:$G$1,0))</f>
        <v>1</v>
      </c>
      <c r="H557" s="6">
        <f>INDEX([1]products!$A$1:$G$49,MATCH([1]orders!$D557,[1]products!$A$1:$A$49,0),MATCH([1]orders!L$1,[1]products!$A$1:$G$1,0))</f>
        <v>13.75</v>
      </c>
      <c r="I557" s="6">
        <f t="shared" si="8"/>
        <v>82.5</v>
      </c>
    </row>
    <row r="558" spans="1:9" x14ac:dyDescent="0.3">
      <c r="A558" s="1" t="s">
        <v>1091</v>
      </c>
      <c r="B558" s="2">
        <v>44523</v>
      </c>
      <c r="C558" s="3" t="s">
        <v>1092</v>
      </c>
      <c r="D558" s="3" t="str">
        <f>INDEX('Customers (2)'!B:B,MATCH('Customers (2)'!A558,'Customers (2)'!A:A,0))</f>
        <v>Cissiee Raisbeck</v>
      </c>
      <c r="E558" s="4" t="s">
        <v>77</v>
      </c>
      <c r="F558" s="3">
        <v>2</v>
      </c>
      <c r="G558" s="5">
        <f>INDEX([1]products!$A$1:$G$49,MATCH([1]orders!$D558,[1]products!$A$1:$A$49,0),MATCH([1]orders!K$1,[1]products!$A$1:$G$1,0))</f>
        <v>0.2</v>
      </c>
      <c r="H558" s="6">
        <f>INDEX([1]products!$A$1:$G$49,MATCH([1]orders!$D558,[1]products!$A$1:$A$49,0),MATCH([1]orders!L$1,[1]products!$A$1:$G$1,0))</f>
        <v>4.3650000000000002</v>
      </c>
      <c r="I558" s="6">
        <f t="shared" si="8"/>
        <v>8.73</v>
      </c>
    </row>
    <row r="559" spans="1:9" x14ac:dyDescent="0.3">
      <c r="A559" s="1" t="s">
        <v>1093</v>
      </c>
      <c r="B559" s="2">
        <v>44506</v>
      </c>
      <c r="C559" s="3" t="s">
        <v>988</v>
      </c>
      <c r="D559" s="3" t="str">
        <f>INDEX('Customers (2)'!B:B,MATCH('Customers (2)'!A559,'Customers (2)'!A:A,0))</f>
        <v>Leslie Laughton</v>
      </c>
      <c r="E559" s="4" t="s">
        <v>137</v>
      </c>
      <c r="F559" s="3">
        <v>4</v>
      </c>
      <c r="G559" s="5">
        <f>INDEX([1]products!$A$1:$G$49,MATCH([1]orders!$D559,[1]products!$A$1:$A$49,0),MATCH([1]orders!K$1,[1]products!$A$1:$G$1,0))</f>
        <v>1</v>
      </c>
      <c r="H559" s="6">
        <f>INDEX([1]products!$A$1:$G$49,MATCH([1]orders!$D559,[1]products!$A$1:$A$49,0),MATCH([1]orders!L$1,[1]products!$A$1:$G$1,0))</f>
        <v>14.85</v>
      </c>
      <c r="I559" s="6">
        <f t="shared" si="8"/>
        <v>59.4</v>
      </c>
    </row>
    <row r="560" spans="1:9" x14ac:dyDescent="0.3">
      <c r="A560" s="1" t="s">
        <v>1094</v>
      </c>
      <c r="B560" s="2">
        <v>44225</v>
      </c>
      <c r="C560" s="3" t="s">
        <v>1095</v>
      </c>
      <c r="D560" s="3" t="str">
        <f>INDEX('Customers (2)'!B:B,MATCH('Customers (2)'!A560,'Customers (2)'!A:A,0))</f>
        <v>Kenton Wetherick</v>
      </c>
      <c r="E560" s="4" t="s">
        <v>38</v>
      </c>
      <c r="F560" s="3">
        <v>4</v>
      </c>
      <c r="G560" s="5">
        <f>INDEX([1]products!$A$1:$G$49,MATCH([1]orders!$D560,[1]products!$A$1:$A$49,0),MATCH([1]orders!K$1,[1]products!$A$1:$G$1,0))</f>
        <v>0.2</v>
      </c>
      <c r="H560" s="6">
        <f>INDEX([1]products!$A$1:$G$49,MATCH([1]orders!$D560,[1]products!$A$1:$A$49,0),MATCH([1]orders!L$1,[1]products!$A$1:$G$1,0))</f>
        <v>3.8849999999999998</v>
      </c>
      <c r="I560" s="6">
        <f t="shared" si="8"/>
        <v>15.54</v>
      </c>
    </row>
    <row r="561" spans="1:9" x14ac:dyDescent="0.3">
      <c r="A561" s="1" t="s">
        <v>1096</v>
      </c>
      <c r="B561" s="2">
        <v>44667</v>
      </c>
      <c r="C561" s="3" t="s">
        <v>1097</v>
      </c>
      <c r="D561" s="3" t="str">
        <f>INDEX('Customers (2)'!B:B,MATCH('Customers (2)'!A561,'Customers (2)'!A:A,0))</f>
        <v>Reamonn Aynold</v>
      </c>
      <c r="E561" s="4" t="s">
        <v>6</v>
      </c>
      <c r="F561" s="3">
        <v>3</v>
      </c>
      <c r="G561" s="5">
        <f>INDEX([1]products!$A$1:$G$49,MATCH([1]orders!$D561,[1]products!$A$1:$A$49,0),MATCH([1]orders!K$1,[1]products!$A$1:$G$1,0))</f>
        <v>1</v>
      </c>
      <c r="H561" s="6">
        <f>INDEX([1]products!$A$1:$G$49,MATCH([1]orders!$D561,[1]products!$A$1:$A$49,0),MATCH([1]orders!L$1,[1]products!$A$1:$G$1,0))</f>
        <v>12.95</v>
      </c>
      <c r="I561" s="6">
        <f t="shared" si="8"/>
        <v>38.849999999999994</v>
      </c>
    </row>
    <row r="562" spans="1:9" x14ac:dyDescent="0.3">
      <c r="A562" s="1" t="s">
        <v>1098</v>
      </c>
      <c r="B562" s="2">
        <v>44401</v>
      </c>
      <c r="C562" s="3" t="s">
        <v>1099</v>
      </c>
      <c r="D562" s="3" t="str">
        <f>INDEX('Customers (2)'!B:B,MATCH('Customers (2)'!A562,'Customers (2)'!A:A,0))</f>
        <v>Hatty Dovydenas</v>
      </c>
      <c r="E562" s="4" t="s">
        <v>112</v>
      </c>
      <c r="F562" s="3">
        <v>6</v>
      </c>
      <c r="G562" s="5">
        <f>INDEX([1]products!$A$1:$G$49,MATCH([1]orders!$D562,[1]products!$A$1:$A$49,0),MATCH([1]orders!K$1,[1]products!$A$1:$G$1,0))</f>
        <v>2.5</v>
      </c>
      <c r="H562" s="6">
        <f>INDEX([1]products!$A$1:$G$49,MATCH([1]orders!$D562,[1]products!$A$1:$A$49,0),MATCH([1]orders!L$1,[1]products!$A$1:$G$1,0))</f>
        <v>31.624999999999996</v>
      </c>
      <c r="I562" s="6">
        <f t="shared" si="8"/>
        <v>189.74999999999997</v>
      </c>
    </row>
    <row r="563" spans="1:9" x14ac:dyDescent="0.3">
      <c r="A563" s="1" t="s">
        <v>1100</v>
      </c>
      <c r="B563" s="2">
        <v>43688</v>
      </c>
      <c r="C563" s="3" t="s">
        <v>1101</v>
      </c>
      <c r="D563" s="3" t="str">
        <f>INDEX('Customers (2)'!B:B,MATCH('Customers (2)'!A563,'Customers (2)'!A:A,0))</f>
        <v>Nathaniel Bloxland</v>
      </c>
      <c r="E563" s="4" t="s">
        <v>54</v>
      </c>
      <c r="F563" s="3">
        <v>6</v>
      </c>
      <c r="G563" s="5">
        <f>INDEX([1]products!$A$1:$G$49,MATCH([1]orders!$D563,[1]products!$A$1:$A$49,0),MATCH([1]orders!K$1,[1]products!$A$1:$G$1,0))</f>
        <v>0.2</v>
      </c>
      <c r="H563" s="6">
        <f>INDEX([1]products!$A$1:$G$49,MATCH([1]orders!$D563,[1]products!$A$1:$A$49,0),MATCH([1]orders!L$1,[1]products!$A$1:$G$1,0))</f>
        <v>2.9849999999999999</v>
      </c>
      <c r="I563" s="6">
        <f t="shared" si="8"/>
        <v>17.91</v>
      </c>
    </row>
    <row r="564" spans="1:9" x14ac:dyDescent="0.3">
      <c r="A564" s="1" t="s">
        <v>1102</v>
      </c>
      <c r="B564" s="2">
        <v>43669</v>
      </c>
      <c r="C564" s="3" t="s">
        <v>1103</v>
      </c>
      <c r="D564" s="3" t="str">
        <f>INDEX('Customers (2)'!B:B,MATCH('Customers (2)'!A564,'Customers (2)'!A:A,0))</f>
        <v>Brendan Grece</v>
      </c>
      <c r="E564" s="4" t="s">
        <v>19</v>
      </c>
      <c r="F564" s="3">
        <v>6</v>
      </c>
      <c r="G564" s="5">
        <f>INDEX([1]products!$A$1:$G$49,MATCH([1]orders!$D564,[1]products!$A$1:$A$49,0),MATCH([1]orders!K$1,[1]products!$A$1:$G$1,0))</f>
        <v>0.2</v>
      </c>
      <c r="H564" s="6">
        <f>INDEX([1]products!$A$1:$G$49,MATCH([1]orders!$D564,[1]products!$A$1:$A$49,0),MATCH([1]orders!L$1,[1]products!$A$1:$G$1,0))</f>
        <v>4.7549999999999999</v>
      </c>
      <c r="I564" s="6">
        <f t="shared" si="8"/>
        <v>28.53</v>
      </c>
    </row>
    <row r="565" spans="1:9" x14ac:dyDescent="0.3">
      <c r="A565" s="1" t="s">
        <v>1104</v>
      </c>
      <c r="B565" s="2">
        <v>43991</v>
      </c>
      <c r="C565" s="3" t="s">
        <v>1105</v>
      </c>
      <c r="D565" s="3" t="str">
        <f>INDEX('Customers (2)'!B:B,MATCH('Customers (2)'!A565,'Customers (2)'!A:A,0))</f>
        <v>Steffie Maddrell</v>
      </c>
      <c r="E565" s="4" t="s">
        <v>9</v>
      </c>
      <c r="F565" s="3">
        <v>6</v>
      </c>
      <c r="G565" s="5">
        <f>INDEX([1]products!$A$1:$G$49,MATCH([1]orders!$D565,[1]products!$A$1:$A$49,0),MATCH([1]orders!K$1,[1]products!$A$1:$G$1,0))</f>
        <v>1</v>
      </c>
      <c r="H565" s="6">
        <f>INDEX([1]products!$A$1:$G$49,MATCH([1]orders!$D565,[1]products!$A$1:$A$49,0),MATCH([1]orders!L$1,[1]products!$A$1:$G$1,0))</f>
        <v>13.75</v>
      </c>
      <c r="I565" s="6">
        <f t="shared" si="8"/>
        <v>82.5</v>
      </c>
    </row>
    <row r="566" spans="1:9" x14ac:dyDescent="0.3">
      <c r="A566" s="1" t="s">
        <v>1106</v>
      </c>
      <c r="B566" s="2">
        <v>43883</v>
      </c>
      <c r="C566" s="3" t="s">
        <v>1107</v>
      </c>
      <c r="D566" s="3" t="str">
        <f>INDEX('Customers (2)'!B:B,MATCH('Customers (2)'!A566,'Customers (2)'!A:A,0))</f>
        <v>Abbe Thys</v>
      </c>
      <c r="E566" s="4" t="s">
        <v>157</v>
      </c>
      <c r="F566" s="3">
        <v>2</v>
      </c>
      <c r="G566" s="5">
        <f>INDEX([1]products!$A$1:$G$49,MATCH([1]orders!$D566,[1]products!$A$1:$A$49,0),MATCH([1]orders!K$1,[1]products!$A$1:$G$1,0))</f>
        <v>0.5</v>
      </c>
      <c r="H566" s="6">
        <f>INDEX([1]products!$A$1:$G$49,MATCH([1]orders!$D566,[1]products!$A$1:$A$49,0),MATCH([1]orders!L$1,[1]products!$A$1:$G$1,0))</f>
        <v>7.169999999999999</v>
      </c>
      <c r="I566" s="6">
        <f t="shared" si="8"/>
        <v>14.339999999999998</v>
      </c>
    </row>
    <row r="567" spans="1:9" x14ac:dyDescent="0.3">
      <c r="A567" s="1" t="s">
        <v>1108</v>
      </c>
      <c r="B567" s="2">
        <v>44031</v>
      </c>
      <c r="C567" s="3" t="s">
        <v>1109</v>
      </c>
      <c r="D567" s="3" t="str">
        <f>INDEX('Customers (2)'!B:B,MATCH('Customers (2)'!A567,'Customers (2)'!A:A,0))</f>
        <v>Jackquelin Chugg</v>
      </c>
      <c r="E567" s="4" t="s">
        <v>35</v>
      </c>
      <c r="F567" s="3">
        <v>4</v>
      </c>
      <c r="G567" s="5">
        <f>INDEX([1]products!$A$1:$G$49,MATCH([1]orders!$D567,[1]products!$A$1:$A$49,0),MATCH([1]orders!K$1,[1]products!$A$1:$G$1,0))</f>
        <v>2.5</v>
      </c>
      <c r="H567" s="6">
        <f>INDEX([1]products!$A$1:$G$49,MATCH([1]orders!$D567,[1]products!$A$1:$A$49,0),MATCH([1]orders!L$1,[1]products!$A$1:$G$1,0))</f>
        <v>20.584999999999997</v>
      </c>
      <c r="I567" s="6">
        <f t="shared" si="8"/>
        <v>82.339999999999989</v>
      </c>
    </row>
    <row r="568" spans="1:9" x14ac:dyDescent="0.3">
      <c r="A568" s="1" t="s">
        <v>1110</v>
      </c>
      <c r="B568" s="2">
        <v>44459</v>
      </c>
      <c r="C568" s="3" t="s">
        <v>1111</v>
      </c>
      <c r="D568" s="3" t="str">
        <f>INDEX('Customers (2)'!B:B,MATCH('Customers (2)'!A568,'Customers (2)'!A:A,0))</f>
        <v>Audra Kelston</v>
      </c>
      <c r="E568" s="4" t="s">
        <v>44</v>
      </c>
      <c r="F568" s="3">
        <v>6</v>
      </c>
      <c r="G568" s="5">
        <f>INDEX([1]products!$A$1:$G$49,MATCH([1]orders!$D568,[1]products!$A$1:$A$49,0),MATCH([1]orders!K$1,[1]products!$A$1:$G$1,0))</f>
        <v>0.2</v>
      </c>
      <c r="H568" s="6">
        <f>INDEX([1]products!$A$1:$G$49,MATCH([1]orders!$D568,[1]products!$A$1:$A$49,0),MATCH([1]orders!L$1,[1]products!$A$1:$G$1,0))</f>
        <v>3.375</v>
      </c>
      <c r="I568" s="6">
        <f t="shared" si="8"/>
        <v>20.25</v>
      </c>
    </row>
    <row r="569" spans="1:9" x14ac:dyDescent="0.3">
      <c r="A569" s="1" t="s">
        <v>1112</v>
      </c>
      <c r="B569" s="2">
        <v>44318</v>
      </c>
      <c r="C569" s="3" t="s">
        <v>1113</v>
      </c>
      <c r="D569" s="3" t="str">
        <f>INDEX('Customers (2)'!B:B,MATCH('Customers (2)'!A569,'Customers (2)'!A:A,0))</f>
        <v>Elvina Angel</v>
      </c>
      <c r="E569" s="4" t="s">
        <v>10</v>
      </c>
      <c r="F569" s="3">
        <v>6</v>
      </c>
      <c r="G569" s="5">
        <f>INDEX([1]products!$A$1:$G$49,MATCH([1]orders!$D569,[1]products!$A$1:$A$49,0),MATCH([1]orders!K$1,[1]products!$A$1:$G$1,0))</f>
        <v>2.5</v>
      </c>
      <c r="H569" s="6">
        <f>INDEX([1]products!$A$1:$G$49,MATCH([1]orders!$D569,[1]products!$A$1:$A$49,0),MATCH([1]orders!L$1,[1]products!$A$1:$G$1,0))</f>
        <v>27.484999999999996</v>
      </c>
      <c r="I569" s="6">
        <f t="shared" si="8"/>
        <v>164.90999999999997</v>
      </c>
    </row>
    <row r="570" spans="1:9" x14ac:dyDescent="0.3">
      <c r="A570" s="1" t="s">
        <v>1114</v>
      </c>
      <c r="B570" s="2">
        <v>44526</v>
      </c>
      <c r="C570" s="3" t="s">
        <v>1115</v>
      </c>
      <c r="D570" s="3" t="str">
        <f>INDEX('Customers (2)'!B:B,MATCH('Customers (2)'!A570,'Customers (2)'!A:A,0))</f>
        <v>Claiborne Mottram</v>
      </c>
      <c r="E570" s="4" t="s">
        <v>19</v>
      </c>
      <c r="F570" s="3">
        <v>4</v>
      </c>
      <c r="G570" s="5">
        <f>INDEX([1]products!$A$1:$G$49,MATCH([1]orders!$D570,[1]products!$A$1:$A$49,0),MATCH([1]orders!K$1,[1]products!$A$1:$G$1,0))</f>
        <v>0.2</v>
      </c>
      <c r="H570" s="6">
        <f>INDEX([1]products!$A$1:$G$49,MATCH([1]orders!$D570,[1]products!$A$1:$A$49,0),MATCH([1]orders!L$1,[1]products!$A$1:$G$1,0))</f>
        <v>4.7549999999999999</v>
      </c>
      <c r="I570" s="6">
        <f t="shared" si="8"/>
        <v>19.02</v>
      </c>
    </row>
    <row r="571" spans="1:9" x14ac:dyDescent="0.3">
      <c r="A571" s="1" t="s">
        <v>1116</v>
      </c>
      <c r="B571" s="2">
        <v>43879</v>
      </c>
      <c r="C571" s="3" t="s">
        <v>1105</v>
      </c>
      <c r="D571" s="3" t="str">
        <f>INDEX('Customers (2)'!B:B,MATCH('Customers (2)'!A571,'Customers (2)'!A:A,0))</f>
        <v>Dilly Marrison</v>
      </c>
      <c r="E571" s="4" t="s">
        <v>118</v>
      </c>
      <c r="F571" s="3">
        <v>6</v>
      </c>
      <c r="G571" s="5">
        <f>INDEX([1]products!$A$1:$G$49,MATCH([1]orders!$D571,[1]products!$A$1:$A$49,0),MATCH([1]orders!K$1,[1]products!$A$1:$G$1,0))</f>
        <v>2.5</v>
      </c>
      <c r="H571" s="6">
        <f>INDEX([1]products!$A$1:$G$49,MATCH([1]orders!$D571,[1]products!$A$1:$A$49,0),MATCH([1]orders!L$1,[1]products!$A$1:$G$1,0))</f>
        <v>22.884999999999998</v>
      </c>
      <c r="I571" s="6">
        <f t="shared" si="8"/>
        <v>137.31</v>
      </c>
    </row>
    <row r="572" spans="1:9" x14ac:dyDescent="0.3">
      <c r="A572" s="1" t="s">
        <v>1117</v>
      </c>
      <c r="B572" s="2">
        <v>43928</v>
      </c>
      <c r="C572" s="3" t="s">
        <v>1118</v>
      </c>
      <c r="D572" s="3" t="str">
        <f>INDEX('Customers (2)'!B:B,MATCH('Customers (2)'!A572,'Customers (2)'!A:A,0))</f>
        <v>Donalt Sangwin</v>
      </c>
      <c r="E572" s="4" t="s">
        <v>67</v>
      </c>
      <c r="F572" s="3">
        <v>4</v>
      </c>
      <c r="G572" s="5">
        <f>INDEX([1]products!$A$1:$G$49,MATCH([1]orders!$D572,[1]products!$A$1:$A$49,0),MATCH([1]orders!K$1,[1]products!$A$1:$G$1,0))</f>
        <v>0.5</v>
      </c>
      <c r="H572" s="6">
        <f>INDEX([1]products!$A$1:$G$49,MATCH([1]orders!$D572,[1]products!$A$1:$A$49,0),MATCH([1]orders!L$1,[1]products!$A$1:$G$1,0))</f>
        <v>6.75</v>
      </c>
      <c r="I572" s="6">
        <f t="shared" si="8"/>
        <v>27</v>
      </c>
    </row>
    <row r="573" spans="1:9" x14ac:dyDescent="0.3">
      <c r="A573" s="1" t="s">
        <v>1119</v>
      </c>
      <c r="B573" s="2">
        <v>44592</v>
      </c>
      <c r="C573" s="3" t="s">
        <v>1120</v>
      </c>
      <c r="D573" s="3" t="str">
        <f>INDEX('Customers (2)'!B:B,MATCH('Customers (2)'!A573,'Customers (2)'!A:A,0))</f>
        <v>Elizabet Aizikowitz</v>
      </c>
      <c r="E573" s="4" t="s">
        <v>176</v>
      </c>
      <c r="F573" s="3">
        <v>4</v>
      </c>
      <c r="G573" s="5">
        <f>INDEX([1]products!$A$1:$G$49,MATCH([1]orders!$D573,[1]products!$A$1:$A$49,0),MATCH([1]orders!K$1,[1]products!$A$1:$G$1,0))</f>
        <v>0.5</v>
      </c>
      <c r="H573" s="6">
        <f>INDEX([1]products!$A$1:$G$49,MATCH([1]orders!$D573,[1]products!$A$1:$A$49,0),MATCH([1]orders!L$1,[1]products!$A$1:$G$1,0))</f>
        <v>8.91</v>
      </c>
      <c r="I573" s="6">
        <f t="shared" si="8"/>
        <v>35.64</v>
      </c>
    </row>
    <row r="574" spans="1:9" x14ac:dyDescent="0.3">
      <c r="A574" s="1" t="s">
        <v>1121</v>
      </c>
      <c r="B574" s="2">
        <v>43515</v>
      </c>
      <c r="C574" s="3" t="s">
        <v>1122</v>
      </c>
      <c r="D574" s="3" t="str">
        <f>INDEX('Customers (2)'!B:B,MATCH('Customers (2)'!A574,'Customers (2)'!A:A,0))</f>
        <v>Herbie Peppard</v>
      </c>
      <c r="E574" s="4" t="s">
        <v>54</v>
      </c>
      <c r="F574" s="3">
        <v>2</v>
      </c>
      <c r="G574" s="5">
        <f>INDEX([1]products!$A$1:$G$49,MATCH([1]orders!$D574,[1]products!$A$1:$A$49,0),MATCH([1]orders!K$1,[1]products!$A$1:$G$1,0))</f>
        <v>0.2</v>
      </c>
      <c r="H574" s="6">
        <f>INDEX([1]products!$A$1:$G$49,MATCH([1]orders!$D574,[1]products!$A$1:$A$49,0),MATCH([1]orders!L$1,[1]products!$A$1:$G$1,0))</f>
        <v>2.9849999999999999</v>
      </c>
      <c r="I574" s="6">
        <f t="shared" si="8"/>
        <v>5.97</v>
      </c>
    </row>
    <row r="575" spans="1:9" x14ac:dyDescent="0.3">
      <c r="A575" s="1" t="s">
        <v>1123</v>
      </c>
      <c r="B575" s="2">
        <v>43781</v>
      </c>
      <c r="C575" s="3" t="s">
        <v>1124</v>
      </c>
      <c r="D575" s="3" t="str">
        <f>INDEX('Customers (2)'!B:B,MATCH('Customers (2)'!A575,'Customers (2)'!A:A,0))</f>
        <v>Cornie Venour</v>
      </c>
      <c r="E575" s="4" t="s">
        <v>61</v>
      </c>
      <c r="F575" s="3">
        <v>6</v>
      </c>
      <c r="G575" s="5">
        <f>INDEX([1]products!$A$1:$G$49,MATCH([1]orders!$D575,[1]products!$A$1:$A$49,0),MATCH([1]orders!K$1,[1]products!$A$1:$G$1,0))</f>
        <v>1</v>
      </c>
      <c r="H575" s="6">
        <f>INDEX([1]products!$A$1:$G$49,MATCH([1]orders!$D575,[1]products!$A$1:$A$49,0),MATCH([1]orders!L$1,[1]products!$A$1:$G$1,0))</f>
        <v>11.25</v>
      </c>
      <c r="I575" s="6">
        <f t="shared" si="8"/>
        <v>67.5</v>
      </c>
    </row>
    <row r="576" spans="1:9" x14ac:dyDescent="0.3">
      <c r="A576" s="1" t="s">
        <v>1125</v>
      </c>
      <c r="B576" s="2">
        <v>44697</v>
      </c>
      <c r="C576" s="3" t="s">
        <v>1126</v>
      </c>
      <c r="D576" s="3" t="str">
        <f>INDEX('Customers (2)'!B:B,MATCH('Customers (2)'!A576,'Customers (2)'!A:A,0))</f>
        <v>Maggy Harby</v>
      </c>
      <c r="E576" s="4" t="s">
        <v>182</v>
      </c>
      <c r="F576" s="3">
        <v>6</v>
      </c>
      <c r="G576" s="5">
        <f>INDEX([1]products!$A$1:$G$49,MATCH([1]orders!$D576,[1]products!$A$1:$A$49,0),MATCH([1]orders!K$1,[1]products!$A$1:$G$1,0))</f>
        <v>0.2</v>
      </c>
      <c r="H576" s="6">
        <f>INDEX([1]products!$A$1:$G$49,MATCH([1]orders!$D576,[1]products!$A$1:$A$49,0),MATCH([1]orders!L$1,[1]products!$A$1:$G$1,0))</f>
        <v>3.5849999999999995</v>
      </c>
      <c r="I576" s="6">
        <f t="shared" si="8"/>
        <v>21.509999999999998</v>
      </c>
    </row>
    <row r="577" spans="1:9" x14ac:dyDescent="0.3">
      <c r="A577" s="1" t="s">
        <v>1127</v>
      </c>
      <c r="B577" s="2">
        <v>44239</v>
      </c>
      <c r="C577" s="3" t="s">
        <v>1128</v>
      </c>
      <c r="D577" s="3" t="str">
        <f>INDEX('Customers (2)'!B:B,MATCH('Customers (2)'!A577,'Customers (2)'!A:A,0))</f>
        <v>Reggie Thickpenny</v>
      </c>
      <c r="E577" s="4" t="s">
        <v>197</v>
      </c>
      <c r="F577" s="3">
        <v>2</v>
      </c>
      <c r="G577" s="5">
        <f>INDEX([1]products!$A$1:$G$49,MATCH([1]orders!$D577,[1]products!$A$1:$A$49,0),MATCH([1]orders!K$1,[1]products!$A$1:$G$1,0))</f>
        <v>2.5</v>
      </c>
      <c r="H577" s="6">
        <f>INDEX([1]products!$A$1:$G$49,MATCH([1]orders!$D577,[1]products!$A$1:$A$49,0),MATCH([1]orders!L$1,[1]products!$A$1:$G$1,0))</f>
        <v>33.464999999999996</v>
      </c>
      <c r="I577" s="6">
        <f t="shared" si="8"/>
        <v>66.929999999999993</v>
      </c>
    </row>
    <row r="578" spans="1:9" x14ac:dyDescent="0.3">
      <c r="A578" s="1" t="s">
        <v>1129</v>
      </c>
      <c r="B578" s="2">
        <v>44290</v>
      </c>
      <c r="C578" s="3" t="s">
        <v>1130</v>
      </c>
      <c r="D578" s="3" t="str">
        <f>INDEX('Customers (2)'!B:B,MATCH('Customers (2)'!A578,'Customers (2)'!A:A,0))</f>
        <v>Phyllys Ormerod</v>
      </c>
      <c r="E578" s="4" t="s">
        <v>54</v>
      </c>
      <c r="F578" s="3">
        <v>6</v>
      </c>
      <c r="G578" s="5">
        <f>INDEX([1]products!$A$1:$G$49,MATCH([1]orders!$D578,[1]products!$A$1:$A$49,0),MATCH([1]orders!K$1,[1]products!$A$1:$G$1,0))</f>
        <v>0.2</v>
      </c>
      <c r="H578" s="6">
        <f>INDEX([1]products!$A$1:$G$49,MATCH([1]orders!$D578,[1]products!$A$1:$A$49,0),MATCH([1]orders!L$1,[1]products!$A$1:$G$1,0))</f>
        <v>2.9849999999999999</v>
      </c>
      <c r="I578" s="6">
        <f t="shared" ref="I578:I641" si="9">F578*H578</f>
        <v>17.91</v>
      </c>
    </row>
    <row r="579" spans="1:9" x14ac:dyDescent="0.3">
      <c r="A579" s="1" t="s">
        <v>1131</v>
      </c>
      <c r="B579" s="2">
        <v>44410</v>
      </c>
      <c r="C579" s="3" t="s">
        <v>1105</v>
      </c>
      <c r="D579" s="3" t="str">
        <f>INDEX('Customers (2)'!B:B,MATCH('Customers (2)'!A579,'Customers (2)'!A:A,0))</f>
        <v>Don Flintiff</v>
      </c>
      <c r="E579" s="4" t="s">
        <v>96</v>
      </c>
      <c r="F579" s="3">
        <v>4</v>
      </c>
      <c r="G579" s="5">
        <f>INDEX([1]products!$A$1:$G$49,MATCH([1]orders!$D579,[1]products!$A$1:$A$49,0),MATCH([1]orders!K$1,[1]products!$A$1:$G$1,0))</f>
        <v>1</v>
      </c>
      <c r="H579" s="6">
        <f>INDEX([1]products!$A$1:$G$49,MATCH([1]orders!$D579,[1]products!$A$1:$A$49,0),MATCH([1]orders!L$1,[1]products!$A$1:$G$1,0))</f>
        <v>14.55</v>
      </c>
      <c r="I579" s="6">
        <f t="shared" si="9"/>
        <v>58.2</v>
      </c>
    </row>
    <row r="580" spans="1:9" x14ac:dyDescent="0.3">
      <c r="A580" s="1" t="s">
        <v>1132</v>
      </c>
      <c r="B580" s="2">
        <v>44720</v>
      </c>
      <c r="C580" s="3" t="s">
        <v>1133</v>
      </c>
      <c r="D580" s="3" t="str">
        <f>INDEX('Customers (2)'!B:B,MATCH('Customers (2)'!A580,'Customers (2)'!A:A,0))</f>
        <v>Tymon Zanetti</v>
      </c>
      <c r="E580" s="4" t="s">
        <v>254</v>
      </c>
      <c r="F580" s="3">
        <v>3</v>
      </c>
      <c r="G580" s="5">
        <f>INDEX([1]products!$A$1:$G$49,MATCH([1]orders!$D580,[1]products!$A$1:$A$49,0),MATCH([1]orders!K$1,[1]products!$A$1:$G$1,0))</f>
        <v>0.2</v>
      </c>
      <c r="H580" s="6">
        <f>INDEX([1]products!$A$1:$G$49,MATCH([1]orders!$D580,[1]products!$A$1:$A$49,0),MATCH([1]orders!L$1,[1]products!$A$1:$G$1,0))</f>
        <v>4.4550000000000001</v>
      </c>
      <c r="I580" s="6">
        <f t="shared" si="9"/>
        <v>13.365</v>
      </c>
    </row>
    <row r="581" spans="1:9" x14ac:dyDescent="0.3">
      <c r="A581" s="1" t="s">
        <v>1132</v>
      </c>
      <c r="B581" s="2">
        <v>44720</v>
      </c>
      <c r="C581" s="3" t="s">
        <v>1133</v>
      </c>
      <c r="D581" s="3" t="str">
        <f>INDEX('Customers (2)'!B:B,MATCH('Customers (2)'!A581,'Customers (2)'!A:A,0))</f>
        <v>Bili Follet</v>
      </c>
      <c r="E581" s="4" t="s">
        <v>67</v>
      </c>
      <c r="F581" s="3">
        <v>5</v>
      </c>
      <c r="G581" s="5">
        <f>INDEX([1]products!$A$1:$G$49,MATCH([1]orders!$D581,[1]products!$A$1:$A$49,0),MATCH([1]orders!K$1,[1]products!$A$1:$G$1,0))</f>
        <v>0.5</v>
      </c>
      <c r="H581" s="6">
        <f>INDEX([1]products!$A$1:$G$49,MATCH([1]orders!$D581,[1]products!$A$1:$A$49,0),MATCH([1]orders!L$1,[1]products!$A$1:$G$1,0))</f>
        <v>6.75</v>
      </c>
      <c r="I581" s="6">
        <f t="shared" si="9"/>
        <v>33.75</v>
      </c>
    </row>
    <row r="582" spans="1:9" x14ac:dyDescent="0.3">
      <c r="A582" s="1" t="s">
        <v>1134</v>
      </c>
      <c r="B582" s="2">
        <v>43965</v>
      </c>
      <c r="C582" s="3" t="s">
        <v>1135</v>
      </c>
      <c r="D582" s="3" t="str">
        <f>INDEX('Customers (2)'!B:B,MATCH('Customers (2)'!A582,'Customers (2)'!A:A,0))</f>
        <v>Reinaldos Kirtley</v>
      </c>
      <c r="E582" s="4" t="s">
        <v>137</v>
      </c>
      <c r="F582" s="3">
        <v>3</v>
      </c>
      <c r="G582" s="5">
        <f>INDEX([1]products!$A$1:$G$49,MATCH([1]orders!$D582,[1]products!$A$1:$A$49,0),MATCH([1]orders!K$1,[1]products!$A$1:$G$1,0))</f>
        <v>1</v>
      </c>
      <c r="H582" s="6">
        <f>INDEX([1]products!$A$1:$G$49,MATCH([1]orders!$D582,[1]products!$A$1:$A$49,0),MATCH([1]orders!L$1,[1]products!$A$1:$G$1,0))</f>
        <v>14.85</v>
      </c>
      <c r="I582" s="6">
        <f t="shared" si="9"/>
        <v>44.55</v>
      </c>
    </row>
    <row r="583" spans="1:9" x14ac:dyDescent="0.3">
      <c r="A583" s="1" t="s">
        <v>1136</v>
      </c>
      <c r="B583" s="2">
        <v>44190</v>
      </c>
      <c r="C583" s="3" t="s">
        <v>1137</v>
      </c>
      <c r="D583" s="3" t="str">
        <f>INDEX('Customers (2)'!B:B,MATCH('Customers (2)'!A583,'Customers (2)'!A:A,0))</f>
        <v>Carney Clemencet</v>
      </c>
      <c r="E583" s="4" t="s">
        <v>176</v>
      </c>
      <c r="F583" s="3">
        <v>5</v>
      </c>
      <c r="G583" s="5">
        <f>INDEX([1]products!$A$1:$G$49,MATCH([1]orders!$D583,[1]products!$A$1:$A$49,0),MATCH([1]orders!K$1,[1]products!$A$1:$G$1,0))</f>
        <v>0.5</v>
      </c>
      <c r="H583" s="6">
        <f>INDEX([1]products!$A$1:$G$49,MATCH([1]orders!$D583,[1]products!$A$1:$A$49,0),MATCH([1]orders!L$1,[1]products!$A$1:$G$1,0))</f>
        <v>8.91</v>
      </c>
      <c r="I583" s="6">
        <f t="shared" si="9"/>
        <v>44.55</v>
      </c>
    </row>
    <row r="584" spans="1:9" x14ac:dyDescent="0.3">
      <c r="A584" s="1" t="s">
        <v>1138</v>
      </c>
      <c r="B584" s="2">
        <v>44382</v>
      </c>
      <c r="C584" s="3" t="s">
        <v>1139</v>
      </c>
      <c r="D584" s="3" t="str">
        <f>INDEX('Customers (2)'!B:B,MATCH('Customers (2)'!A584,'Customers (2)'!A:A,0))</f>
        <v>Russell Donet</v>
      </c>
      <c r="E584" s="4" t="s">
        <v>245</v>
      </c>
      <c r="F584" s="3">
        <v>5</v>
      </c>
      <c r="G584" s="5">
        <f>INDEX([1]products!$A$1:$G$49,MATCH([1]orders!$D584,[1]products!$A$1:$A$49,0),MATCH([1]orders!K$1,[1]products!$A$1:$G$1,0))</f>
        <v>1</v>
      </c>
      <c r="H584" s="6">
        <f>INDEX([1]products!$A$1:$G$49,MATCH([1]orders!$D584,[1]products!$A$1:$A$49,0),MATCH([1]orders!L$1,[1]products!$A$1:$G$1,0))</f>
        <v>12.15</v>
      </c>
      <c r="I584" s="6">
        <f t="shared" si="9"/>
        <v>60.75</v>
      </c>
    </row>
    <row r="585" spans="1:9" x14ac:dyDescent="0.3">
      <c r="A585" s="1" t="s">
        <v>1140</v>
      </c>
      <c r="B585" s="2">
        <v>43538</v>
      </c>
      <c r="C585" s="3" t="s">
        <v>1141</v>
      </c>
      <c r="D585" s="3" t="str">
        <f>INDEX('Customers (2)'!B:B,MATCH('Customers (2)'!A585,'Customers (2)'!A:A,0))</f>
        <v>Sidney Gawen</v>
      </c>
      <c r="E585" s="4" t="s">
        <v>182</v>
      </c>
      <c r="F585" s="3">
        <v>1</v>
      </c>
      <c r="G585" s="5">
        <f>INDEX([1]products!$A$1:$G$49,MATCH([1]orders!$D585,[1]products!$A$1:$A$49,0),MATCH([1]orders!K$1,[1]products!$A$1:$G$1,0))</f>
        <v>0.2</v>
      </c>
      <c r="H585" s="6">
        <f>INDEX([1]products!$A$1:$G$49,MATCH([1]orders!$D585,[1]products!$A$1:$A$49,0),MATCH([1]orders!L$1,[1]products!$A$1:$G$1,0))</f>
        <v>3.5849999999999995</v>
      </c>
      <c r="I585" s="6">
        <f t="shared" si="9"/>
        <v>3.5849999999999995</v>
      </c>
    </row>
    <row r="586" spans="1:9" x14ac:dyDescent="0.3">
      <c r="A586" s="1" t="s">
        <v>1142</v>
      </c>
      <c r="B586" s="2">
        <v>44262</v>
      </c>
      <c r="C586" s="3" t="s">
        <v>1143</v>
      </c>
      <c r="D586" s="3" t="str">
        <f>INDEX('Customers (2)'!B:B,MATCH('Customers (2)'!A586,'Customers (2)'!A:A,0))</f>
        <v>Rickey Readie</v>
      </c>
      <c r="E586" s="4" t="s">
        <v>182</v>
      </c>
      <c r="F586" s="3">
        <v>6</v>
      </c>
      <c r="G586" s="5">
        <f>INDEX([1]products!$A$1:$G$49,MATCH([1]orders!$D586,[1]products!$A$1:$A$49,0),MATCH([1]orders!K$1,[1]products!$A$1:$G$1,0))</f>
        <v>0.2</v>
      </c>
      <c r="H586" s="6">
        <f>INDEX([1]products!$A$1:$G$49,MATCH([1]orders!$D586,[1]products!$A$1:$A$49,0),MATCH([1]orders!L$1,[1]products!$A$1:$G$1,0))</f>
        <v>3.5849999999999995</v>
      </c>
      <c r="I586" s="6">
        <f t="shared" si="9"/>
        <v>21.509999999999998</v>
      </c>
    </row>
    <row r="587" spans="1:9" x14ac:dyDescent="0.3">
      <c r="A587" s="1" t="s">
        <v>1144</v>
      </c>
      <c r="B587" s="2">
        <v>44505</v>
      </c>
      <c r="C587" s="3" t="s">
        <v>1145</v>
      </c>
      <c r="D587" s="3" t="str">
        <f>INDEX('Customers (2)'!B:B,MATCH('Customers (2)'!A587,'Customers (2)'!A:A,0))</f>
        <v>Conchita Dietzler</v>
      </c>
      <c r="E587" s="4" t="s">
        <v>3</v>
      </c>
      <c r="F587" s="3">
        <v>2</v>
      </c>
      <c r="G587" s="5">
        <f>INDEX([1]products!$A$1:$G$49,MATCH([1]orders!$D587,[1]products!$A$1:$A$49,0),MATCH([1]orders!K$1,[1]products!$A$1:$G$1,0))</f>
        <v>0.5</v>
      </c>
      <c r="H587" s="6">
        <f>INDEX([1]products!$A$1:$G$49,MATCH([1]orders!$D587,[1]products!$A$1:$A$49,0),MATCH([1]orders!L$1,[1]products!$A$1:$G$1,0))</f>
        <v>8.25</v>
      </c>
      <c r="I587" s="6">
        <f t="shared" si="9"/>
        <v>16.5</v>
      </c>
    </row>
    <row r="588" spans="1:9" x14ac:dyDescent="0.3">
      <c r="A588" s="1" t="s">
        <v>1146</v>
      </c>
      <c r="B588" s="2">
        <v>43867</v>
      </c>
      <c r="C588" s="3" t="s">
        <v>1147</v>
      </c>
      <c r="D588" s="3" t="str">
        <f>INDEX('Customers (2)'!B:B,MATCH('Customers (2)'!A588,'Customers (2)'!A:A,0))</f>
        <v>Zilvia Claisse</v>
      </c>
      <c r="E588" s="4" t="s">
        <v>10</v>
      </c>
      <c r="F588" s="3">
        <v>3</v>
      </c>
      <c r="G588" s="5">
        <f>INDEX([1]products!$A$1:$G$49,MATCH([1]orders!$D588,[1]products!$A$1:$A$49,0),MATCH([1]orders!K$1,[1]products!$A$1:$G$1,0))</f>
        <v>2.5</v>
      </c>
      <c r="H588" s="6">
        <f>INDEX([1]products!$A$1:$G$49,MATCH([1]orders!$D588,[1]products!$A$1:$A$49,0),MATCH([1]orders!L$1,[1]products!$A$1:$G$1,0))</f>
        <v>27.484999999999996</v>
      </c>
      <c r="I588" s="6">
        <f t="shared" si="9"/>
        <v>82.454999999999984</v>
      </c>
    </row>
    <row r="589" spans="1:9" x14ac:dyDescent="0.3">
      <c r="A589" s="1" t="s">
        <v>1148</v>
      </c>
      <c r="B589" s="2">
        <v>44267</v>
      </c>
      <c r="C589" s="3" t="s">
        <v>1149</v>
      </c>
      <c r="D589" s="3" t="str">
        <f>INDEX('Customers (2)'!B:B,MATCH('Customers (2)'!A589,'Customers (2)'!A:A,0))</f>
        <v>Bar O' Mahony</v>
      </c>
      <c r="E589" s="4" t="s">
        <v>123</v>
      </c>
      <c r="F589" s="3">
        <v>1</v>
      </c>
      <c r="G589" s="5">
        <f>INDEX([1]products!$A$1:$G$49,MATCH([1]orders!$D589,[1]products!$A$1:$A$49,0),MATCH([1]orders!K$1,[1]products!$A$1:$G$1,0))</f>
        <v>0.5</v>
      </c>
      <c r="H589" s="6">
        <f>INDEX([1]products!$A$1:$G$49,MATCH([1]orders!$D589,[1]products!$A$1:$A$49,0),MATCH([1]orders!L$1,[1]products!$A$1:$G$1,0))</f>
        <v>7.77</v>
      </c>
      <c r="I589" s="6">
        <f t="shared" si="9"/>
        <v>7.77</v>
      </c>
    </row>
    <row r="590" spans="1:9" x14ac:dyDescent="0.3">
      <c r="A590" s="1" t="s">
        <v>1150</v>
      </c>
      <c r="B590" s="2">
        <v>44046</v>
      </c>
      <c r="C590" s="3" t="s">
        <v>1151</v>
      </c>
      <c r="D590" s="3" t="str">
        <f>INDEX('Customers (2)'!B:B,MATCH('Customers (2)'!A590,'Customers (2)'!A:A,0))</f>
        <v>Valenka Stansbury</v>
      </c>
      <c r="E590" s="4" t="s">
        <v>22</v>
      </c>
      <c r="F590" s="3">
        <v>2</v>
      </c>
      <c r="G590" s="5">
        <f>INDEX([1]products!$A$1:$G$49,MATCH([1]orders!$D590,[1]products!$A$1:$A$49,0),MATCH([1]orders!K$1,[1]products!$A$1:$G$1,0))</f>
        <v>0.5</v>
      </c>
      <c r="H590" s="6">
        <f>INDEX([1]products!$A$1:$G$49,MATCH([1]orders!$D590,[1]products!$A$1:$A$49,0),MATCH([1]orders!L$1,[1]products!$A$1:$G$1,0))</f>
        <v>5.97</v>
      </c>
      <c r="I590" s="6">
        <f t="shared" si="9"/>
        <v>11.94</v>
      </c>
    </row>
    <row r="591" spans="1:9" x14ac:dyDescent="0.3">
      <c r="A591" s="1" t="s">
        <v>1152</v>
      </c>
      <c r="B591" s="2">
        <v>43671</v>
      </c>
      <c r="C591" s="3" t="s">
        <v>1153</v>
      </c>
      <c r="D591" s="3" t="str">
        <f>INDEX('Customers (2)'!B:B,MATCH('Customers (2)'!A591,'Customers (2)'!A:A,0))</f>
        <v>Daniel Heinonen</v>
      </c>
      <c r="E591" s="4" t="s">
        <v>30</v>
      </c>
      <c r="F591" s="3">
        <v>6</v>
      </c>
      <c r="G591" s="5">
        <f>INDEX([1]products!$A$1:$G$49,MATCH([1]orders!$D591,[1]products!$A$1:$A$49,0),MATCH([1]orders!K$1,[1]products!$A$1:$G$1,0))</f>
        <v>2.5</v>
      </c>
      <c r="H591" s="6">
        <f>INDEX([1]products!$A$1:$G$49,MATCH([1]orders!$D591,[1]products!$A$1:$A$49,0),MATCH([1]orders!L$1,[1]products!$A$1:$G$1,0))</f>
        <v>34.154999999999994</v>
      </c>
      <c r="I591" s="6">
        <f t="shared" si="9"/>
        <v>204.92999999999995</v>
      </c>
    </row>
    <row r="592" spans="1:9" x14ac:dyDescent="0.3">
      <c r="A592" s="1" t="s">
        <v>1154</v>
      </c>
      <c r="B592" s="2">
        <v>43950</v>
      </c>
      <c r="C592" s="3" t="s">
        <v>1155</v>
      </c>
      <c r="D592" s="3" t="str">
        <f>INDEX('Customers (2)'!B:B,MATCH('Customers (2)'!A592,'Customers (2)'!A:A,0))</f>
        <v>Jewelle Shenton</v>
      </c>
      <c r="E592" s="4" t="s">
        <v>112</v>
      </c>
      <c r="F592" s="3">
        <v>2</v>
      </c>
      <c r="G592" s="5">
        <f>INDEX([1]products!$A$1:$G$49,MATCH([1]orders!$D592,[1]products!$A$1:$A$49,0),MATCH([1]orders!K$1,[1]products!$A$1:$G$1,0))</f>
        <v>2.5</v>
      </c>
      <c r="H592" s="6">
        <f>INDEX([1]products!$A$1:$G$49,MATCH([1]orders!$D592,[1]products!$A$1:$A$49,0),MATCH([1]orders!L$1,[1]products!$A$1:$G$1,0))</f>
        <v>31.624999999999996</v>
      </c>
      <c r="I592" s="6">
        <f t="shared" si="9"/>
        <v>63.249999999999993</v>
      </c>
    </row>
    <row r="593" spans="1:9" x14ac:dyDescent="0.3">
      <c r="A593" s="1" t="s">
        <v>1156</v>
      </c>
      <c r="B593" s="2">
        <v>43587</v>
      </c>
      <c r="C593" s="3" t="s">
        <v>1157</v>
      </c>
      <c r="D593" s="3" t="str">
        <f>INDEX('Customers (2)'!B:B,MATCH('Customers (2)'!A593,'Customers (2)'!A:A,0))</f>
        <v>Jennifer Wilkisson</v>
      </c>
      <c r="E593" s="4" t="s">
        <v>101</v>
      </c>
      <c r="F593" s="3">
        <v>3</v>
      </c>
      <c r="G593" s="5">
        <f>INDEX([1]products!$A$1:$G$49,MATCH([1]orders!$D593,[1]products!$A$1:$A$49,0),MATCH([1]orders!K$1,[1]products!$A$1:$G$1,0))</f>
        <v>0.2</v>
      </c>
      <c r="H593" s="6">
        <f>INDEX([1]products!$A$1:$G$49,MATCH([1]orders!$D593,[1]products!$A$1:$A$49,0),MATCH([1]orders!L$1,[1]products!$A$1:$G$1,0))</f>
        <v>2.6849999999999996</v>
      </c>
      <c r="I593" s="6">
        <f t="shared" si="9"/>
        <v>8.0549999999999997</v>
      </c>
    </row>
    <row r="594" spans="1:9" x14ac:dyDescent="0.3">
      <c r="A594" s="1" t="s">
        <v>1158</v>
      </c>
      <c r="B594" s="2">
        <v>44437</v>
      </c>
      <c r="C594" s="3" t="s">
        <v>1159</v>
      </c>
      <c r="D594" s="3" t="str">
        <f>INDEX('Customers (2)'!B:B,MATCH('Customers (2)'!A594,'Customers (2)'!A:A,0))</f>
        <v>Kylie Mowat</v>
      </c>
      <c r="E594" s="4" t="s">
        <v>171</v>
      </c>
      <c r="F594" s="3">
        <v>2</v>
      </c>
      <c r="G594" s="5">
        <f>INDEX([1]products!$A$1:$G$49,MATCH([1]orders!$D594,[1]products!$A$1:$A$49,0),MATCH([1]orders!K$1,[1]products!$A$1:$G$1,0))</f>
        <v>2.5</v>
      </c>
      <c r="H594" s="6">
        <f>INDEX([1]products!$A$1:$G$49,MATCH([1]orders!$D594,[1]products!$A$1:$A$49,0),MATCH([1]orders!L$1,[1]products!$A$1:$G$1,0))</f>
        <v>25.874999999999996</v>
      </c>
      <c r="I594" s="6">
        <f t="shared" si="9"/>
        <v>51.749999999999993</v>
      </c>
    </row>
    <row r="595" spans="1:9" x14ac:dyDescent="0.3">
      <c r="A595" s="1" t="s">
        <v>1160</v>
      </c>
      <c r="B595" s="2">
        <v>43903</v>
      </c>
      <c r="C595" s="3" t="s">
        <v>1145</v>
      </c>
      <c r="D595" s="3" t="str">
        <f>INDEX('Customers (2)'!B:B,MATCH('Customers (2)'!A595,'Customers (2)'!A:A,0))</f>
        <v>Cody Verissimo</v>
      </c>
      <c r="E595" s="4" t="s">
        <v>530</v>
      </c>
      <c r="F595" s="3">
        <v>1</v>
      </c>
      <c r="G595" s="5">
        <f>INDEX([1]products!$A$1:$G$49,MATCH([1]orders!$D595,[1]products!$A$1:$A$49,0),MATCH([1]orders!K$1,[1]products!$A$1:$G$1,0))</f>
        <v>2.5</v>
      </c>
      <c r="H595" s="6">
        <f>INDEX([1]products!$A$1:$G$49,MATCH([1]orders!$D595,[1]products!$A$1:$A$49,0),MATCH([1]orders!L$1,[1]products!$A$1:$G$1,0))</f>
        <v>27.945</v>
      </c>
      <c r="I595" s="6">
        <f t="shared" si="9"/>
        <v>27.945</v>
      </c>
    </row>
    <row r="596" spans="1:9" x14ac:dyDescent="0.3">
      <c r="A596" s="1" t="s">
        <v>1161</v>
      </c>
      <c r="B596" s="2">
        <v>43512</v>
      </c>
      <c r="C596" s="3" t="s">
        <v>1162</v>
      </c>
      <c r="D596" s="3" t="str">
        <f>INDEX('Customers (2)'!B:B,MATCH('Customers (2)'!A596,'Customers (2)'!A:A,0))</f>
        <v>Gabriel Starcks</v>
      </c>
      <c r="E596" s="4" t="s">
        <v>204</v>
      </c>
      <c r="F596" s="3">
        <v>2</v>
      </c>
      <c r="G596" s="5">
        <f>INDEX([1]products!$A$1:$G$49,MATCH([1]orders!$D596,[1]products!$A$1:$A$49,0),MATCH([1]orders!K$1,[1]products!$A$1:$G$1,0))</f>
        <v>2.5</v>
      </c>
      <c r="H596" s="6">
        <f>INDEX([1]products!$A$1:$G$49,MATCH([1]orders!$D596,[1]products!$A$1:$A$49,0),MATCH([1]orders!L$1,[1]products!$A$1:$G$1,0))</f>
        <v>29.784999999999997</v>
      </c>
      <c r="I596" s="6">
        <f t="shared" si="9"/>
        <v>59.569999999999993</v>
      </c>
    </row>
    <row r="597" spans="1:9" x14ac:dyDescent="0.3">
      <c r="A597" s="1" t="s">
        <v>1163</v>
      </c>
      <c r="B597" s="2">
        <v>44527</v>
      </c>
      <c r="C597" s="3" t="s">
        <v>1164</v>
      </c>
      <c r="D597" s="3" t="str">
        <f>INDEX('Customers (2)'!B:B,MATCH('Customers (2)'!A597,'Customers (2)'!A:A,0))</f>
        <v>Darby Dummer</v>
      </c>
      <c r="E597" s="4" t="s">
        <v>137</v>
      </c>
      <c r="F597" s="3">
        <v>1</v>
      </c>
      <c r="G597" s="5">
        <f>INDEX([1]products!$A$1:$G$49,MATCH([1]orders!$D597,[1]products!$A$1:$A$49,0),MATCH([1]orders!K$1,[1]products!$A$1:$G$1,0))</f>
        <v>1</v>
      </c>
      <c r="H597" s="6">
        <f>INDEX([1]products!$A$1:$G$49,MATCH([1]orders!$D597,[1]products!$A$1:$A$49,0),MATCH([1]orders!L$1,[1]products!$A$1:$G$1,0))</f>
        <v>14.85</v>
      </c>
      <c r="I597" s="6">
        <f t="shared" si="9"/>
        <v>14.85</v>
      </c>
    </row>
    <row r="598" spans="1:9" x14ac:dyDescent="0.3">
      <c r="A598" s="1" t="s">
        <v>1165</v>
      </c>
      <c r="B598" s="2">
        <v>44523</v>
      </c>
      <c r="C598" s="3" t="s">
        <v>1166</v>
      </c>
      <c r="D598" s="3" t="str">
        <f>INDEX('Customers (2)'!B:B,MATCH('Customers (2)'!A598,'Customers (2)'!A:A,0))</f>
        <v>Kienan Scholard</v>
      </c>
      <c r="E598" s="4" t="s">
        <v>67</v>
      </c>
      <c r="F598" s="3">
        <v>5</v>
      </c>
      <c r="G598" s="5">
        <f>INDEX([1]products!$A$1:$G$49,MATCH([1]orders!$D598,[1]products!$A$1:$A$49,0),MATCH([1]orders!K$1,[1]products!$A$1:$G$1,0))</f>
        <v>0.5</v>
      </c>
      <c r="H598" s="6">
        <f>INDEX([1]products!$A$1:$G$49,MATCH([1]orders!$D598,[1]products!$A$1:$A$49,0),MATCH([1]orders!L$1,[1]products!$A$1:$G$1,0))</f>
        <v>6.75</v>
      </c>
      <c r="I598" s="6">
        <f t="shared" si="9"/>
        <v>33.75</v>
      </c>
    </row>
    <row r="599" spans="1:9" x14ac:dyDescent="0.3">
      <c r="A599" s="1" t="s">
        <v>1167</v>
      </c>
      <c r="B599" s="2">
        <v>44532</v>
      </c>
      <c r="C599" s="3" t="s">
        <v>1168</v>
      </c>
      <c r="D599" s="3" t="str">
        <f>INDEX('Customers (2)'!B:B,MATCH('Customers (2)'!A599,'Customers (2)'!A:A,0))</f>
        <v>Bo Kindley</v>
      </c>
      <c r="E599" s="4" t="s">
        <v>104</v>
      </c>
      <c r="F599" s="3">
        <v>4</v>
      </c>
      <c r="G599" s="5">
        <f>INDEX([1]products!$A$1:$G$49,MATCH([1]orders!$D599,[1]products!$A$1:$A$49,0),MATCH([1]orders!K$1,[1]products!$A$1:$G$1,0))</f>
        <v>2.5</v>
      </c>
      <c r="H599" s="6">
        <f>INDEX([1]products!$A$1:$G$49,MATCH([1]orders!$D599,[1]products!$A$1:$A$49,0),MATCH([1]orders!L$1,[1]products!$A$1:$G$1,0))</f>
        <v>36.454999999999998</v>
      </c>
      <c r="I599" s="6">
        <f t="shared" si="9"/>
        <v>145.82</v>
      </c>
    </row>
    <row r="600" spans="1:9" x14ac:dyDescent="0.3">
      <c r="A600" s="1" t="s">
        <v>1169</v>
      </c>
      <c r="B600" s="2">
        <v>43471</v>
      </c>
      <c r="C600" s="3" t="s">
        <v>1170</v>
      </c>
      <c r="D600" s="3" t="str">
        <f>INDEX('Customers (2)'!B:B,MATCH('Customers (2)'!A600,'Customers (2)'!A:A,0))</f>
        <v>Krissie Hammett</v>
      </c>
      <c r="E600" s="4" t="s">
        <v>162</v>
      </c>
      <c r="F600" s="3">
        <v>4</v>
      </c>
      <c r="G600" s="5">
        <f>INDEX([1]products!$A$1:$G$49,MATCH([1]orders!$D600,[1]products!$A$1:$A$49,0),MATCH([1]orders!K$1,[1]products!$A$1:$G$1,0))</f>
        <v>0.2</v>
      </c>
      <c r="H600" s="6">
        <f>INDEX([1]products!$A$1:$G$49,MATCH([1]orders!$D600,[1]products!$A$1:$A$49,0),MATCH([1]orders!L$1,[1]products!$A$1:$G$1,0))</f>
        <v>2.9849999999999999</v>
      </c>
      <c r="I600" s="6">
        <f t="shared" si="9"/>
        <v>11.94</v>
      </c>
    </row>
    <row r="601" spans="1:9" x14ac:dyDescent="0.3">
      <c r="A601" s="1" t="s">
        <v>1171</v>
      </c>
      <c r="B601" s="2">
        <v>44321</v>
      </c>
      <c r="C601" s="3" t="s">
        <v>1172</v>
      </c>
      <c r="D601" s="3" t="str">
        <f>INDEX('Customers (2)'!B:B,MATCH('Customers (2)'!A601,'Customers (2)'!A:A,0))</f>
        <v>Alisha Hulburt</v>
      </c>
      <c r="E601" s="4" t="s">
        <v>54</v>
      </c>
      <c r="F601" s="3">
        <v>4</v>
      </c>
      <c r="G601" s="5">
        <f>INDEX([1]products!$A$1:$G$49,MATCH([1]orders!$D601,[1]products!$A$1:$A$49,0),MATCH([1]orders!K$1,[1]products!$A$1:$G$1,0))</f>
        <v>0.2</v>
      </c>
      <c r="H601" s="6">
        <f>INDEX([1]products!$A$1:$G$49,MATCH([1]orders!$D601,[1]products!$A$1:$A$49,0),MATCH([1]orders!L$1,[1]products!$A$1:$G$1,0))</f>
        <v>2.9849999999999999</v>
      </c>
      <c r="I601" s="6">
        <f t="shared" si="9"/>
        <v>11.94</v>
      </c>
    </row>
    <row r="602" spans="1:9" x14ac:dyDescent="0.3">
      <c r="A602" s="1" t="s">
        <v>1173</v>
      </c>
      <c r="B602" s="2">
        <v>44492</v>
      </c>
      <c r="C602" s="3" t="s">
        <v>1174</v>
      </c>
      <c r="D602" s="3" t="str">
        <f>INDEX('Customers (2)'!B:B,MATCH('Customers (2)'!A602,'Customers (2)'!A:A,0))</f>
        <v>Peyter Lauritzen</v>
      </c>
      <c r="E602" s="4" t="s">
        <v>123</v>
      </c>
      <c r="F602" s="3">
        <v>1</v>
      </c>
      <c r="G602" s="5">
        <f>INDEX([1]products!$A$1:$G$49,MATCH([1]orders!$D602,[1]products!$A$1:$A$49,0),MATCH([1]orders!K$1,[1]products!$A$1:$G$1,0))</f>
        <v>0.5</v>
      </c>
      <c r="H602" s="6">
        <f>INDEX([1]products!$A$1:$G$49,MATCH([1]orders!$D602,[1]products!$A$1:$A$49,0),MATCH([1]orders!L$1,[1]products!$A$1:$G$1,0))</f>
        <v>7.77</v>
      </c>
      <c r="I602" s="6">
        <f t="shared" si="9"/>
        <v>7.77</v>
      </c>
    </row>
    <row r="603" spans="1:9" x14ac:dyDescent="0.3">
      <c r="A603" s="1" t="s">
        <v>1175</v>
      </c>
      <c r="B603" s="2">
        <v>43815</v>
      </c>
      <c r="C603" s="3" t="s">
        <v>1176</v>
      </c>
      <c r="D603" s="3" t="str">
        <f>INDEX('Customers (2)'!B:B,MATCH('Customers (2)'!A603,'Customers (2)'!A:A,0))</f>
        <v>Aurelia Burgwin</v>
      </c>
      <c r="E603" s="4" t="s">
        <v>10</v>
      </c>
      <c r="F603" s="3">
        <v>4</v>
      </c>
      <c r="G603" s="5">
        <f>INDEX([1]products!$A$1:$G$49,MATCH([1]orders!$D603,[1]products!$A$1:$A$49,0),MATCH([1]orders!K$1,[1]products!$A$1:$G$1,0))</f>
        <v>2.5</v>
      </c>
      <c r="H603" s="6">
        <f>INDEX([1]products!$A$1:$G$49,MATCH([1]orders!$D603,[1]products!$A$1:$A$49,0),MATCH([1]orders!L$1,[1]products!$A$1:$G$1,0))</f>
        <v>27.484999999999996</v>
      </c>
      <c r="I603" s="6">
        <f t="shared" si="9"/>
        <v>109.93999999999998</v>
      </c>
    </row>
    <row r="604" spans="1:9" x14ac:dyDescent="0.3">
      <c r="A604" s="1" t="s">
        <v>1177</v>
      </c>
      <c r="B604" s="2">
        <v>43603</v>
      </c>
      <c r="C604" s="3" t="s">
        <v>1178</v>
      </c>
      <c r="D604" s="3" t="str">
        <f>INDEX('Customers (2)'!B:B,MATCH('Customers (2)'!A604,'Customers (2)'!A:A,0))</f>
        <v>Emalee Rolin</v>
      </c>
      <c r="E604" s="4" t="s">
        <v>254</v>
      </c>
      <c r="F604" s="3">
        <v>5</v>
      </c>
      <c r="G604" s="5">
        <f>INDEX([1]products!$A$1:$G$49,MATCH([1]orders!$D604,[1]products!$A$1:$A$49,0),MATCH([1]orders!K$1,[1]products!$A$1:$G$1,0))</f>
        <v>0.2</v>
      </c>
      <c r="H604" s="6">
        <f>INDEX([1]products!$A$1:$G$49,MATCH([1]orders!$D604,[1]products!$A$1:$A$49,0),MATCH([1]orders!L$1,[1]products!$A$1:$G$1,0))</f>
        <v>4.4550000000000001</v>
      </c>
      <c r="I604" s="6">
        <f t="shared" si="9"/>
        <v>22.274999999999999</v>
      </c>
    </row>
    <row r="605" spans="1:9" x14ac:dyDescent="0.3">
      <c r="A605" s="1" t="s">
        <v>1179</v>
      </c>
      <c r="B605" s="2">
        <v>43660</v>
      </c>
      <c r="C605" s="3" t="s">
        <v>1180</v>
      </c>
      <c r="D605" s="3" t="str">
        <f>INDEX('Customers (2)'!B:B,MATCH('Customers (2)'!A605,'Customers (2)'!A:A,0))</f>
        <v>Donavon Fowle</v>
      </c>
      <c r="E605" s="4" t="s">
        <v>162</v>
      </c>
      <c r="F605" s="3">
        <v>3</v>
      </c>
      <c r="G605" s="5">
        <f>INDEX([1]products!$A$1:$G$49,MATCH([1]orders!$D605,[1]products!$A$1:$A$49,0),MATCH([1]orders!K$1,[1]products!$A$1:$G$1,0))</f>
        <v>0.2</v>
      </c>
      <c r="H605" s="6">
        <f>INDEX([1]products!$A$1:$G$49,MATCH([1]orders!$D605,[1]products!$A$1:$A$49,0),MATCH([1]orders!L$1,[1]products!$A$1:$G$1,0))</f>
        <v>2.9849999999999999</v>
      </c>
      <c r="I605" s="6">
        <f t="shared" si="9"/>
        <v>8.9550000000000001</v>
      </c>
    </row>
    <row r="606" spans="1:9" x14ac:dyDescent="0.3">
      <c r="A606" s="1" t="s">
        <v>1181</v>
      </c>
      <c r="B606" s="2">
        <v>44148</v>
      </c>
      <c r="C606" s="3" t="s">
        <v>1182</v>
      </c>
      <c r="D606" s="3" t="str">
        <f>INDEX('Customers (2)'!B:B,MATCH('Customers (2)'!A606,'Customers (2)'!A:A,0))</f>
        <v>Jorge Bettison</v>
      </c>
      <c r="E606" s="4" t="s">
        <v>109</v>
      </c>
      <c r="F606" s="3">
        <v>4</v>
      </c>
      <c r="G606" s="5">
        <f>INDEX([1]products!$A$1:$G$49,MATCH([1]orders!$D606,[1]products!$A$1:$A$49,0),MATCH([1]orders!K$1,[1]products!$A$1:$G$1,0))</f>
        <v>2.5</v>
      </c>
      <c r="H606" s="6">
        <f>INDEX([1]products!$A$1:$G$49,MATCH([1]orders!$D606,[1]products!$A$1:$A$49,0),MATCH([1]orders!L$1,[1]products!$A$1:$G$1,0))</f>
        <v>29.784999999999997</v>
      </c>
      <c r="I606" s="6">
        <f t="shared" si="9"/>
        <v>119.13999999999999</v>
      </c>
    </row>
    <row r="607" spans="1:9" x14ac:dyDescent="0.3">
      <c r="A607" s="1" t="s">
        <v>1183</v>
      </c>
      <c r="B607" s="2">
        <v>44028</v>
      </c>
      <c r="C607" s="3" t="s">
        <v>1184</v>
      </c>
      <c r="D607" s="3" t="str">
        <f>INDEX('Customers (2)'!B:B,MATCH('Customers (2)'!A607,'Customers (2)'!A:A,0))</f>
        <v>Wang Powlesland</v>
      </c>
      <c r="E607" s="4" t="s">
        <v>204</v>
      </c>
      <c r="F607" s="3">
        <v>5</v>
      </c>
      <c r="G607" s="5">
        <f>INDEX([1]products!$A$1:$G$49,MATCH([1]orders!$D607,[1]products!$A$1:$A$49,0),MATCH([1]orders!K$1,[1]products!$A$1:$G$1,0))</f>
        <v>2.5</v>
      </c>
      <c r="H607" s="6">
        <f>INDEX([1]products!$A$1:$G$49,MATCH([1]orders!$D607,[1]products!$A$1:$A$49,0),MATCH([1]orders!L$1,[1]products!$A$1:$G$1,0))</f>
        <v>29.784999999999997</v>
      </c>
      <c r="I607" s="6">
        <f t="shared" si="9"/>
        <v>148.92499999999998</v>
      </c>
    </row>
    <row r="608" spans="1:9" x14ac:dyDescent="0.3">
      <c r="A608" s="1" t="s">
        <v>1185</v>
      </c>
      <c r="B608" s="2">
        <v>44138</v>
      </c>
      <c r="C608" s="3" t="s">
        <v>1145</v>
      </c>
      <c r="D608" s="3" t="str">
        <f>INDEX('Customers (2)'!B:B,MATCH('Customers (2)'!A608,'Customers (2)'!A:A,0))</f>
        <v>Brendin Peattie</v>
      </c>
      <c r="E608" s="4" t="s">
        <v>104</v>
      </c>
      <c r="F608" s="3">
        <v>3</v>
      </c>
      <c r="G608" s="5">
        <f>INDEX([1]products!$A$1:$G$49,MATCH([1]orders!$D608,[1]products!$A$1:$A$49,0),MATCH([1]orders!K$1,[1]products!$A$1:$G$1,0))</f>
        <v>2.5</v>
      </c>
      <c r="H608" s="6">
        <f>INDEX([1]products!$A$1:$G$49,MATCH([1]orders!$D608,[1]products!$A$1:$A$49,0),MATCH([1]orders!L$1,[1]products!$A$1:$G$1,0))</f>
        <v>36.454999999999998</v>
      </c>
      <c r="I608" s="6">
        <f t="shared" si="9"/>
        <v>109.36499999999999</v>
      </c>
    </row>
    <row r="609" spans="1:9" x14ac:dyDescent="0.3">
      <c r="A609" s="1" t="s">
        <v>1186</v>
      </c>
      <c r="B609" s="2">
        <v>44640</v>
      </c>
      <c r="C609" s="3" t="s">
        <v>1187</v>
      </c>
      <c r="D609" s="3" t="str">
        <f>INDEX('Customers (2)'!B:B,MATCH('Customers (2)'!A609,'Customers (2)'!A:A,0))</f>
        <v>Laurence Ellingham</v>
      </c>
      <c r="E609" s="4" t="s">
        <v>51</v>
      </c>
      <c r="F609" s="3">
        <v>1</v>
      </c>
      <c r="G609" s="5">
        <f>INDEX([1]products!$A$1:$G$49,MATCH([1]orders!$D609,[1]products!$A$1:$A$49,0),MATCH([1]orders!K$1,[1]products!$A$1:$G$1,0))</f>
        <v>0.2</v>
      </c>
      <c r="H609" s="6">
        <f>INDEX([1]products!$A$1:$G$49,MATCH([1]orders!$D609,[1]products!$A$1:$A$49,0),MATCH([1]orders!L$1,[1]products!$A$1:$G$1,0))</f>
        <v>3.645</v>
      </c>
      <c r="I609" s="6">
        <f t="shared" si="9"/>
        <v>3.645</v>
      </c>
    </row>
    <row r="610" spans="1:9" x14ac:dyDescent="0.3">
      <c r="A610" s="1" t="s">
        <v>1188</v>
      </c>
      <c r="B610" s="2">
        <v>44608</v>
      </c>
      <c r="C610" s="3" t="s">
        <v>1189</v>
      </c>
      <c r="D610" s="3" t="str">
        <f>INDEX('Customers (2)'!B:B,MATCH('Customers (2)'!A610,'Customers (2)'!A:A,0))</f>
        <v>Billy Neiland</v>
      </c>
      <c r="E610" s="4" t="s">
        <v>530</v>
      </c>
      <c r="F610" s="3">
        <v>2</v>
      </c>
      <c r="G610" s="5">
        <f>INDEX([1]products!$A$1:$G$49,MATCH([1]orders!$D610,[1]products!$A$1:$A$49,0),MATCH([1]orders!K$1,[1]products!$A$1:$G$1,0))</f>
        <v>2.5</v>
      </c>
      <c r="H610" s="6">
        <f>INDEX([1]products!$A$1:$G$49,MATCH([1]orders!$D610,[1]products!$A$1:$A$49,0),MATCH([1]orders!L$1,[1]products!$A$1:$G$1,0))</f>
        <v>27.945</v>
      </c>
      <c r="I610" s="6">
        <f t="shared" si="9"/>
        <v>55.89</v>
      </c>
    </row>
    <row r="611" spans="1:9" x14ac:dyDescent="0.3">
      <c r="A611" s="1" t="s">
        <v>1190</v>
      </c>
      <c r="B611" s="2">
        <v>44147</v>
      </c>
      <c r="C611" s="3" t="s">
        <v>1191</v>
      </c>
      <c r="D611" s="3" t="str">
        <f>INDEX('Customers (2)'!B:B,MATCH('Customers (2)'!A611,'Customers (2)'!A:A,0))</f>
        <v>Ancell Fendt</v>
      </c>
      <c r="E611" s="4" t="s">
        <v>77</v>
      </c>
      <c r="F611" s="3">
        <v>6</v>
      </c>
      <c r="G611" s="5">
        <f>INDEX([1]products!$A$1:$G$49,MATCH([1]orders!$D611,[1]products!$A$1:$A$49,0),MATCH([1]orders!K$1,[1]products!$A$1:$G$1,0))</f>
        <v>0.2</v>
      </c>
      <c r="H611" s="6">
        <f>INDEX([1]products!$A$1:$G$49,MATCH([1]orders!$D611,[1]products!$A$1:$A$49,0),MATCH([1]orders!L$1,[1]products!$A$1:$G$1,0))</f>
        <v>4.3650000000000002</v>
      </c>
      <c r="I611" s="6">
        <f t="shared" si="9"/>
        <v>26.19</v>
      </c>
    </row>
    <row r="612" spans="1:9" x14ac:dyDescent="0.3">
      <c r="A612" s="1" t="s">
        <v>1192</v>
      </c>
      <c r="B612" s="2">
        <v>43743</v>
      </c>
      <c r="C612" s="3" t="s">
        <v>1193</v>
      </c>
      <c r="D612" s="3" t="str">
        <f>INDEX('Customers (2)'!B:B,MATCH('Customers (2)'!A612,'Customers (2)'!A:A,0))</f>
        <v>Angelia Cleyburn</v>
      </c>
      <c r="E612" s="4" t="s">
        <v>2</v>
      </c>
      <c r="F612" s="3">
        <v>4</v>
      </c>
      <c r="G612" s="5">
        <f>INDEX([1]products!$A$1:$G$49,MATCH([1]orders!$D612,[1]products!$A$1:$A$49,0),MATCH([1]orders!K$1,[1]products!$A$1:$G$1,0))</f>
        <v>1</v>
      </c>
      <c r="H612" s="6">
        <f>INDEX([1]products!$A$1:$G$49,MATCH([1]orders!$D612,[1]products!$A$1:$A$49,0),MATCH([1]orders!L$1,[1]products!$A$1:$G$1,0))</f>
        <v>9.9499999999999993</v>
      </c>
      <c r="I612" s="6">
        <f t="shared" si="9"/>
        <v>39.799999999999997</v>
      </c>
    </row>
    <row r="613" spans="1:9" x14ac:dyDescent="0.3">
      <c r="A613" s="1" t="s">
        <v>1194</v>
      </c>
      <c r="B613" s="2">
        <v>43739</v>
      </c>
      <c r="C613" s="3" t="s">
        <v>1195</v>
      </c>
      <c r="D613" s="3" t="str">
        <f>INDEX('Customers (2)'!B:B,MATCH('Customers (2)'!A613,'Customers (2)'!A:A,0))</f>
        <v>Temple Castiglione</v>
      </c>
      <c r="E613" s="4" t="s">
        <v>30</v>
      </c>
      <c r="F613" s="3">
        <v>2</v>
      </c>
      <c r="G613" s="5">
        <f>INDEX([1]products!$A$1:$G$49,MATCH([1]orders!$D613,[1]products!$A$1:$A$49,0),MATCH([1]orders!K$1,[1]products!$A$1:$G$1,0))</f>
        <v>2.5</v>
      </c>
      <c r="H613" s="6">
        <f>INDEX([1]products!$A$1:$G$49,MATCH([1]orders!$D613,[1]products!$A$1:$A$49,0),MATCH([1]orders!L$1,[1]products!$A$1:$G$1,0))</f>
        <v>34.154999999999994</v>
      </c>
      <c r="I613" s="6">
        <f t="shared" si="9"/>
        <v>68.309999999999988</v>
      </c>
    </row>
    <row r="614" spans="1:9" x14ac:dyDescent="0.3">
      <c r="A614" s="1" t="s">
        <v>1196</v>
      </c>
      <c r="B614" s="2">
        <v>43896</v>
      </c>
      <c r="C614" s="3" t="s">
        <v>1197</v>
      </c>
      <c r="D614" s="3" t="str">
        <f>INDEX('Customers (2)'!B:B,MATCH('Customers (2)'!A614,'Customers (2)'!A:A,0))</f>
        <v>Betti Lacasa</v>
      </c>
      <c r="E614" s="4" t="s">
        <v>44</v>
      </c>
      <c r="F614" s="3">
        <v>4</v>
      </c>
      <c r="G614" s="5">
        <f>INDEX([1]products!$A$1:$G$49,MATCH([1]orders!$D614,[1]products!$A$1:$A$49,0),MATCH([1]orders!K$1,[1]products!$A$1:$G$1,0))</f>
        <v>0.2</v>
      </c>
      <c r="H614" s="6">
        <f>INDEX([1]products!$A$1:$G$49,MATCH([1]orders!$D614,[1]products!$A$1:$A$49,0),MATCH([1]orders!L$1,[1]products!$A$1:$G$1,0))</f>
        <v>3.375</v>
      </c>
      <c r="I614" s="6">
        <f t="shared" si="9"/>
        <v>13.5</v>
      </c>
    </row>
    <row r="615" spans="1:9" x14ac:dyDescent="0.3">
      <c r="A615" s="1" t="s">
        <v>1198</v>
      </c>
      <c r="B615" s="2">
        <v>43761</v>
      </c>
      <c r="C615" s="3" t="s">
        <v>1199</v>
      </c>
      <c r="D615" s="3" t="str">
        <f>INDEX('Customers (2)'!B:B,MATCH('Customers (2)'!A615,'Customers (2)'!A:A,0))</f>
        <v>Gunilla Lynch</v>
      </c>
      <c r="E615" s="4" t="s">
        <v>22</v>
      </c>
      <c r="F615" s="3">
        <v>1</v>
      </c>
      <c r="G615" s="5">
        <f>INDEX([1]products!$A$1:$G$49,MATCH([1]orders!$D615,[1]products!$A$1:$A$49,0),MATCH([1]orders!K$1,[1]products!$A$1:$G$1,0))</f>
        <v>0.5</v>
      </c>
      <c r="H615" s="6">
        <f>INDEX([1]products!$A$1:$G$49,MATCH([1]orders!$D615,[1]products!$A$1:$A$49,0),MATCH([1]orders!L$1,[1]products!$A$1:$G$1,0))</f>
        <v>5.97</v>
      </c>
      <c r="I615" s="6">
        <f t="shared" si="9"/>
        <v>5.97</v>
      </c>
    </row>
    <row r="616" spans="1:9" x14ac:dyDescent="0.3">
      <c r="A616" s="1" t="s">
        <v>1200</v>
      </c>
      <c r="B616" s="2">
        <v>43944</v>
      </c>
      <c r="C616" s="3" t="s">
        <v>1145</v>
      </c>
      <c r="D616" s="3" t="str">
        <f>INDEX('Customers (2)'!B:B,MATCH('Customers (2)'!A616,'Customers (2)'!A:A,0))</f>
        <v>Vita Pummery</v>
      </c>
      <c r="E616" s="4" t="s">
        <v>22</v>
      </c>
      <c r="F616" s="3">
        <v>5</v>
      </c>
      <c r="G616" s="5">
        <f>INDEX([1]products!$A$1:$G$49,MATCH([1]orders!$D616,[1]products!$A$1:$A$49,0),MATCH([1]orders!K$1,[1]products!$A$1:$G$1,0))</f>
        <v>0.5</v>
      </c>
      <c r="H616" s="6">
        <f>INDEX([1]products!$A$1:$G$49,MATCH([1]orders!$D616,[1]products!$A$1:$A$49,0),MATCH([1]orders!L$1,[1]products!$A$1:$G$1,0))</f>
        <v>5.97</v>
      </c>
      <c r="I616" s="6">
        <f t="shared" si="9"/>
        <v>29.849999999999998</v>
      </c>
    </row>
    <row r="617" spans="1:9" x14ac:dyDescent="0.3">
      <c r="A617" s="1" t="s">
        <v>1201</v>
      </c>
      <c r="B617" s="2">
        <v>44006</v>
      </c>
      <c r="C617" s="3" t="s">
        <v>1202</v>
      </c>
      <c r="D617" s="3" t="str">
        <f>INDEX('Customers (2)'!B:B,MATCH('Customers (2)'!A617,'Customers (2)'!A:A,0))</f>
        <v>Shay Couronne</v>
      </c>
      <c r="E617" s="4" t="s">
        <v>104</v>
      </c>
      <c r="F617" s="3">
        <v>2</v>
      </c>
      <c r="G617" s="5">
        <f>INDEX([1]products!$A$1:$G$49,MATCH([1]orders!$D617,[1]products!$A$1:$A$49,0),MATCH([1]orders!K$1,[1]products!$A$1:$G$1,0))</f>
        <v>2.5</v>
      </c>
      <c r="H617" s="6">
        <f>INDEX([1]products!$A$1:$G$49,MATCH([1]orders!$D617,[1]products!$A$1:$A$49,0),MATCH([1]orders!L$1,[1]products!$A$1:$G$1,0))</f>
        <v>36.454999999999998</v>
      </c>
      <c r="I617" s="6">
        <f t="shared" si="9"/>
        <v>72.91</v>
      </c>
    </row>
    <row r="618" spans="1:9" x14ac:dyDescent="0.3">
      <c r="A618" s="1" t="s">
        <v>1203</v>
      </c>
      <c r="B618" s="2">
        <v>44271</v>
      </c>
      <c r="C618" s="3" t="s">
        <v>1204</v>
      </c>
      <c r="D618" s="3" t="str">
        <f>INDEX('Customers (2)'!B:B,MATCH('Customers (2)'!A618,'Customers (2)'!A:A,0))</f>
        <v>Linus Flippelli</v>
      </c>
      <c r="E618" s="4" t="s">
        <v>112</v>
      </c>
      <c r="F618" s="3">
        <v>4</v>
      </c>
      <c r="G618" s="5">
        <f>INDEX([1]products!$A$1:$G$49,MATCH([1]orders!$D618,[1]products!$A$1:$A$49,0),MATCH([1]orders!K$1,[1]products!$A$1:$G$1,0))</f>
        <v>2.5</v>
      </c>
      <c r="H618" s="6">
        <f>INDEX([1]products!$A$1:$G$49,MATCH([1]orders!$D618,[1]products!$A$1:$A$49,0),MATCH([1]orders!L$1,[1]products!$A$1:$G$1,0))</f>
        <v>31.624999999999996</v>
      </c>
      <c r="I618" s="6">
        <f t="shared" si="9"/>
        <v>126.49999999999999</v>
      </c>
    </row>
    <row r="619" spans="1:9" x14ac:dyDescent="0.3">
      <c r="A619" s="1" t="s">
        <v>1205</v>
      </c>
      <c r="B619" s="2">
        <v>43928</v>
      </c>
      <c r="C619" s="3" t="s">
        <v>1206</v>
      </c>
      <c r="D619" s="3" t="str">
        <f>INDEX('Customers (2)'!B:B,MATCH('Customers (2)'!A619,'Customers (2)'!A:A,0))</f>
        <v>Rachelle Elizabeth</v>
      </c>
      <c r="E619" s="4" t="s">
        <v>197</v>
      </c>
      <c r="F619" s="3">
        <v>1</v>
      </c>
      <c r="G619" s="5">
        <f>INDEX([1]products!$A$1:$G$49,MATCH([1]orders!$D619,[1]products!$A$1:$A$49,0),MATCH([1]orders!K$1,[1]products!$A$1:$G$1,0))</f>
        <v>2.5</v>
      </c>
      <c r="H619" s="6">
        <f>INDEX([1]products!$A$1:$G$49,MATCH([1]orders!$D619,[1]products!$A$1:$A$49,0),MATCH([1]orders!L$1,[1]products!$A$1:$G$1,0))</f>
        <v>33.464999999999996</v>
      </c>
      <c r="I619" s="6">
        <f t="shared" si="9"/>
        <v>33.464999999999996</v>
      </c>
    </row>
    <row r="620" spans="1:9" x14ac:dyDescent="0.3">
      <c r="A620" s="1" t="s">
        <v>1207</v>
      </c>
      <c r="B620" s="2">
        <v>44469</v>
      </c>
      <c r="C620" s="3" t="s">
        <v>1208</v>
      </c>
      <c r="D620" s="3" t="str">
        <f>INDEX('Customers (2)'!B:B,MATCH('Customers (2)'!A620,'Customers (2)'!A:A,0))</f>
        <v>Innis Renhard</v>
      </c>
      <c r="E620" s="4" t="s">
        <v>245</v>
      </c>
      <c r="F620" s="3">
        <v>6</v>
      </c>
      <c r="G620" s="5">
        <f>INDEX([1]products!$A$1:$G$49,MATCH([1]orders!$D620,[1]products!$A$1:$A$49,0),MATCH([1]orders!K$1,[1]products!$A$1:$G$1,0))</f>
        <v>1</v>
      </c>
      <c r="H620" s="6">
        <f>INDEX([1]products!$A$1:$G$49,MATCH([1]orders!$D620,[1]products!$A$1:$A$49,0),MATCH([1]orders!L$1,[1]products!$A$1:$G$1,0))</f>
        <v>12.15</v>
      </c>
      <c r="I620" s="6">
        <f t="shared" si="9"/>
        <v>72.900000000000006</v>
      </c>
    </row>
    <row r="621" spans="1:9" x14ac:dyDescent="0.3">
      <c r="A621" s="1" t="s">
        <v>1209</v>
      </c>
      <c r="B621" s="2">
        <v>44682</v>
      </c>
      <c r="C621" s="3" t="s">
        <v>1210</v>
      </c>
      <c r="D621" s="3" t="str">
        <f>INDEX('Customers (2)'!B:B,MATCH('Customers (2)'!A621,'Customers (2)'!A:A,0))</f>
        <v>Winne Roche</v>
      </c>
      <c r="E621" s="4" t="s">
        <v>123</v>
      </c>
      <c r="F621" s="3">
        <v>2</v>
      </c>
      <c r="G621" s="5">
        <f>INDEX([1]products!$A$1:$G$49,MATCH([1]orders!$D621,[1]products!$A$1:$A$49,0),MATCH([1]orders!K$1,[1]products!$A$1:$G$1,0))</f>
        <v>0.5</v>
      </c>
      <c r="H621" s="6">
        <f>INDEX([1]products!$A$1:$G$49,MATCH([1]orders!$D621,[1]products!$A$1:$A$49,0),MATCH([1]orders!L$1,[1]products!$A$1:$G$1,0))</f>
        <v>7.77</v>
      </c>
      <c r="I621" s="6">
        <f t="shared" si="9"/>
        <v>15.54</v>
      </c>
    </row>
    <row r="622" spans="1:9" x14ac:dyDescent="0.3">
      <c r="A622" s="1" t="s">
        <v>1211</v>
      </c>
      <c r="B622" s="2">
        <v>44217</v>
      </c>
      <c r="C622" s="3" t="s">
        <v>1212</v>
      </c>
      <c r="D622" s="3" t="str">
        <f>INDEX('Customers (2)'!B:B,MATCH('Customers (2)'!A622,'Customers (2)'!A:A,0))</f>
        <v>Josy Bus</v>
      </c>
      <c r="E622" s="4" t="s">
        <v>44</v>
      </c>
      <c r="F622" s="3">
        <v>6</v>
      </c>
      <c r="G622" s="5">
        <f>INDEX([1]products!$A$1:$G$49,MATCH([1]orders!$D622,[1]products!$A$1:$A$49,0),MATCH([1]orders!K$1,[1]products!$A$1:$G$1,0))</f>
        <v>0.2</v>
      </c>
      <c r="H622" s="6">
        <f>INDEX([1]products!$A$1:$G$49,MATCH([1]orders!$D622,[1]products!$A$1:$A$49,0),MATCH([1]orders!L$1,[1]products!$A$1:$G$1,0))</f>
        <v>3.375</v>
      </c>
      <c r="I622" s="6">
        <f t="shared" si="9"/>
        <v>20.25</v>
      </c>
    </row>
    <row r="623" spans="1:9" x14ac:dyDescent="0.3">
      <c r="A623" s="1" t="s">
        <v>1213</v>
      </c>
      <c r="B623" s="2">
        <v>44006</v>
      </c>
      <c r="C623" s="3" t="s">
        <v>1214</v>
      </c>
      <c r="D623" s="3" t="str">
        <f>INDEX('Customers (2)'!B:B,MATCH('Customers (2)'!A623,'Customers (2)'!A:A,0))</f>
        <v>Cordy Odgaard</v>
      </c>
      <c r="E623" s="4" t="s">
        <v>6</v>
      </c>
      <c r="F623" s="3">
        <v>6</v>
      </c>
      <c r="G623" s="5">
        <f>INDEX([1]products!$A$1:$G$49,MATCH([1]orders!$D623,[1]products!$A$1:$A$49,0),MATCH([1]orders!K$1,[1]products!$A$1:$G$1,0))</f>
        <v>1</v>
      </c>
      <c r="H623" s="6">
        <f>INDEX([1]products!$A$1:$G$49,MATCH([1]orders!$D623,[1]products!$A$1:$A$49,0),MATCH([1]orders!L$1,[1]products!$A$1:$G$1,0))</f>
        <v>12.95</v>
      </c>
      <c r="I623" s="6">
        <f t="shared" si="9"/>
        <v>77.699999999999989</v>
      </c>
    </row>
    <row r="624" spans="1:9" x14ac:dyDescent="0.3">
      <c r="A624" s="1" t="s">
        <v>1215</v>
      </c>
      <c r="B624" s="2">
        <v>43527</v>
      </c>
      <c r="C624" s="3" t="s">
        <v>1216</v>
      </c>
      <c r="D624" s="3" t="str">
        <f>INDEX('Customers (2)'!B:B,MATCH('Customers (2)'!A624,'Customers (2)'!A:A,0))</f>
        <v>Bertine Byrd</v>
      </c>
      <c r="E624" s="4" t="s">
        <v>197</v>
      </c>
      <c r="F624" s="3">
        <v>4</v>
      </c>
      <c r="G624" s="5">
        <f>INDEX([1]products!$A$1:$G$49,MATCH([1]orders!$D624,[1]products!$A$1:$A$49,0),MATCH([1]orders!K$1,[1]products!$A$1:$G$1,0))</f>
        <v>2.5</v>
      </c>
      <c r="H624" s="6">
        <f>INDEX([1]products!$A$1:$G$49,MATCH([1]orders!$D624,[1]products!$A$1:$A$49,0),MATCH([1]orders!L$1,[1]products!$A$1:$G$1,0))</f>
        <v>33.464999999999996</v>
      </c>
      <c r="I624" s="6">
        <f t="shared" si="9"/>
        <v>133.85999999999999</v>
      </c>
    </row>
    <row r="625" spans="1:9" x14ac:dyDescent="0.3">
      <c r="A625" s="1" t="s">
        <v>1217</v>
      </c>
      <c r="B625" s="2">
        <v>44224</v>
      </c>
      <c r="C625" s="3" t="s">
        <v>1218</v>
      </c>
      <c r="D625" s="3" t="str">
        <f>INDEX('Customers (2)'!B:B,MATCH('Customers (2)'!A625,'Customers (2)'!A:A,0))</f>
        <v>Nelie Garnson</v>
      </c>
      <c r="E625" s="4" t="s">
        <v>245</v>
      </c>
      <c r="F625" s="3">
        <v>1</v>
      </c>
      <c r="G625" s="5">
        <f>INDEX([1]products!$A$1:$G$49,MATCH([1]orders!$D625,[1]products!$A$1:$A$49,0),MATCH([1]orders!K$1,[1]products!$A$1:$G$1,0))</f>
        <v>1</v>
      </c>
      <c r="H625" s="6">
        <f>INDEX([1]products!$A$1:$G$49,MATCH([1]orders!$D625,[1]products!$A$1:$A$49,0),MATCH([1]orders!L$1,[1]products!$A$1:$G$1,0))</f>
        <v>12.15</v>
      </c>
      <c r="I625" s="6">
        <f t="shared" si="9"/>
        <v>12.15</v>
      </c>
    </row>
    <row r="626" spans="1:9" x14ac:dyDescent="0.3">
      <c r="A626" s="1" t="s">
        <v>1219</v>
      </c>
      <c r="B626" s="2">
        <v>44010</v>
      </c>
      <c r="C626" s="3" t="s">
        <v>1220</v>
      </c>
      <c r="D626" s="3" t="str">
        <f>INDEX('Customers (2)'!B:B,MATCH('Customers (2)'!A626,'Customers (2)'!A:A,0))</f>
        <v>Dianne Chardin</v>
      </c>
      <c r="E626" s="4" t="s">
        <v>112</v>
      </c>
      <c r="F626" s="3">
        <v>2</v>
      </c>
      <c r="G626" s="5">
        <f>INDEX([1]products!$A$1:$G$49,MATCH([1]orders!$D626,[1]products!$A$1:$A$49,0),MATCH([1]orders!K$1,[1]products!$A$1:$G$1,0))</f>
        <v>2.5</v>
      </c>
      <c r="H626" s="6">
        <f>INDEX([1]products!$A$1:$G$49,MATCH([1]orders!$D626,[1]products!$A$1:$A$49,0),MATCH([1]orders!L$1,[1]products!$A$1:$G$1,0))</f>
        <v>31.624999999999996</v>
      </c>
      <c r="I626" s="6">
        <f t="shared" si="9"/>
        <v>63.249999999999993</v>
      </c>
    </row>
    <row r="627" spans="1:9" x14ac:dyDescent="0.3">
      <c r="A627" s="1" t="s">
        <v>1221</v>
      </c>
      <c r="B627" s="2">
        <v>44017</v>
      </c>
      <c r="C627" s="3" t="s">
        <v>1222</v>
      </c>
      <c r="D627" s="3" t="str">
        <f>INDEX('Customers (2)'!B:B,MATCH('Customers (2)'!A627,'Customers (2)'!A:A,0))</f>
        <v>Hailee Radbone</v>
      </c>
      <c r="E627" s="4" t="s">
        <v>157</v>
      </c>
      <c r="F627" s="3">
        <v>5</v>
      </c>
      <c r="G627" s="5">
        <f>INDEX([1]products!$A$1:$G$49,MATCH([1]orders!$D627,[1]products!$A$1:$A$49,0),MATCH([1]orders!K$1,[1]products!$A$1:$G$1,0))</f>
        <v>0.5</v>
      </c>
      <c r="H627" s="6">
        <f>INDEX([1]products!$A$1:$G$49,MATCH([1]orders!$D627,[1]products!$A$1:$A$49,0),MATCH([1]orders!L$1,[1]products!$A$1:$G$1,0))</f>
        <v>7.169999999999999</v>
      </c>
      <c r="I627" s="6">
        <f t="shared" si="9"/>
        <v>35.849999999999994</v>
      </c>
    </row>
    <row r="628" spans="1:9" x14ac:dyDescent="0.3">
      <c r="A628" s="1" t="s">
        <v>1223</v>
      </c>
      <c r="B628" s="2">
        <v>43526</v>
      </c>
      <c r="C628" s="3" t="s">
        <v>1224</v>
      </c>
      <c r="D628" s="3" t="str">
        <f>INDEX('Customers (2)'!B:B,MATCH('Customers (2)'!A628,'Customers (2)'!A:A,0))</f>
        <v>Wallis Bernth</v>
      </c>
      <c r="E628" s="4" t="s">
        <v>171</v>
      </c>
      <c r="F628" s="3">
        <v>3</v>
      </c>
      <c r="G628" s="5">
        <f>INDEX([1]products!$A$1:$G$49,MATCH([1]orders!$D628,[1]products!$A$1:$A$49,0),MATCH([1]orders!K$1,[1]products!$A$1:$G$1,0))</f>
        <v>2.5</v>
      </c>
      <c r="H628" s="6">
        <f>INDEX([1]products!$A$1:$G$49,MATCH([1]orders!$D628,[1]products!$A$1:$A$49,0),MATCH([1]orders!L$1,[1]products!$A$1:$G$1,0))</f>
        <v>25.874999999999996</v>
      </c>
      <c r="I628" s="6">
        <f t="shared" si="9"/>
        <v>77.624999999999986</v>
      </c>
    </row>
    <row r="629" spans="1:9" x14ac:dyDescent="0.3">
      <c r="A629" s="1" t="s">
        <v>1225</v>
      </c>
      <c r="B629" s="2">
        <v>44682</v>
      </c>
      <c r="C629" s="3" t="s">
        <v>1226</v>
      </c>
      <c r="D629" s="3" t="str">
        <f>INDEX('Customers (2)'!B:B,MATCH('Customers (2)'!A629,'Customers (2)'!A:A,0))</f>
        <v>Byron Acarson</v>
      </c>
      <c r="E629" s="4" t="s">
        <v>112</v>
      </c>
      <c r="F629" s="3">
        <v>2</v>
      </c>
      <c r="G629" s="5">
        <f>INDEX([1]products!$A$1:$G$49,MATCH([1]orders!$D629,[1]products!$A$1:$A$49,0),MATCH([1]orders!K$1,[1]products!$A$1:$G$1,0))</f>
        <v>2.5</v>
      </c>
      <c r="H629" s="6">
        <f>INDEX([1]products!$A$1:$G$49,MATCH([1]orders!$D629,[1]products!$A$1:$A$49,0),MATCH([1]orders!L$1,[1]products!$A$1:$G$1,0))</f>
        <v>31.624999999999996</v>
      </c>
      <c r="I629" s="6">
        <f t="shared" si="9"/>
        <v>63.249999999999993</v>
      </c>
    </row>
    <row r="630" spans="1:9" x14ac:dyDescent="0.3">
      <c r="A630" s="1" t="s">
        <v>1227</v>
      </c>
      <c r="B630" s="2">
        <v>44680</v>
      </c>
      <c r="C630" s="3" t="s">
        <v>1228</v>
      </c>
      <c r="D630" s="3" t="str">
        <f>INDEX('Customers (2)'!B:B,MATCH('Customers (2)'!A630,'Customers (2)'!A:A,0))</f>
        <v>Faunie Brigham</v>
      </c>
      <c r="E630" s="4" t="s">
        <v>254</v>
      </c>
      <c r="F630" s="3">
        <v>6</v>
      </c>
      <c r="G630" s="5">
        <f>INDEX([1]products!$A$1:$G$49,MATCH([1]orders!$D630,[1]products!$A$1:$A$49,0),MATCH([1]orders!K$1,[1]products!$A$1:$G$1,0))</f>
        <v>0.2</v>
      </c>
      <c r="H630" s="6">
        <f>INDEX([1]products!$A$1:$G$49,MATCH([1]orders!$D630,[1]products!$A$1:$A$49,0),MATCH([1]orders!L$1,[1]products!$A$1:$G$1,0))</f>
        <v>4.4550000000000001</v>
      </c>
      <c r="I630" s="6">
        <f t="shared" si="9"/>
        <v>26.73</v>
      </c>
    </row>
    <row r="631" spans="1:9" x14ac:dyDescent="0.3">
      <c r="A631" s="1" t="s">
        <v>1227</v>
      </c>
      <c r="B631" s="2">
        <v>44680</v>
      </c>
      <c r="C631" s="3" t="s">
        <v>1228</v>
      </c>
      <c r="D631" s="3" t="str">
        <f>INDEX('Customers (2)'!B:B,MATCH('Customers (2)'!A631,'Customers (2)'!A:A,0))</f>
        <v>Linn Alaway</v>
      </c>
      <c r="E631" s="4" t="s">
        <v>123</v>
      </c>
      <c r="F631" s="3">
        <v>4</v>
      </c>
      <c r="G631" s="5">
        <f>INDEX([1]products!$A$1:$G$49,MATCH([1]orders!$D631,[1]products!$A$1:$A$49,0),MATCH([1]orders!K$1,[1]products!$A$1:$G$1,0))</f>
        <v>0.5</v>
      </c>
      <c r="H631" s="6">
        <f>INDEX([1]products!$A$1:$G$49,MATCH([1]orders!$D631,[1]products!$A$1:$A$49,0),MATCH([1]orders!L$1,[1]products!$A$1:$G$1,0))</f>
        <v>7.77</v>
      </c>
      <c r="I631" s="6">
        <f t="shared" si="9"/>
        <v>31.08</v>
      </c>
    </row>
    <row r="632" spans="1:9" x14ac:dyDescent="0.3">
      <c r="A632" s="1" t="s">
        <v>1227</v>
      </c>
      <c r="B632" s="2">
        <v>44680</v>
      </c>
      <c r="C632" s="3" t="s">
        <v>1228</v>
      </c>
      <c r="D632" s="3" t="str">
        <f>INDEX('Customers (2)'!B:B,MATCH('Customers (2)'!A632,'Customers (2)'!A:A,0))</f>
        <v>Cami Meir</v>
      </c>
      <c r="E632" s="4" t="s">
        <v>54</v>
      </c>
      <c r="F632" s="3">
        <v>1</v>
      </c>
      <c r="G632" s="5">
        <f>INDEX([1]products!$A$1:$G$49,MATCH([1]orders!$D632,[1]products!$A$1:$A$49,0),MATCH([1]orders!K$1,[1]products!$A$1:$G$1,0))</f>
        <v>0.2</v>
      </c>
      <c r="H632" s="6">
        <f>INDEX([1]products!$A$1:$G$49,MATCH([1]orders!$D632,[1]products!$A$1:$A$49,0),MATCH([1]orders!L$1,[1]products!$A$1:$G$1,0))</f>
        <v>2.9849999999999999</v>
      </c>
      <c r="I632" s="6">
        <f t="shared" si="9"/>
        <v>2.9849999999999999</v>
      </c>
    </row>
    <row r="633" spans="1:9" x14ac:dyDescent="0.3">
      <c r="A633" s="1" t="s">
        <v>1227</v>
      </c>
      <c r="B633" s="2">
        <v>44680</v>
      </c>
      <c r="C633" s="3" t="s">
        <v>1228</v>
      </c>
      <c r="D633" s="3" t="str">
        <f>INDEX('Customers (2)'!B:B,MATCH('Customers (2)'!A633,'Customers (2)'!A:A,0))</f>
        <v>Marcie Aingell</v>
      </c>
      <c r="E633" s="4" t="s">
        <v>35</v>
      </c>
      <c r="F633" s="3">
        <v>5</v>
      </c>
      <c r="G633" s="5">
        <f>INDEX([1]products!$A$1:$G$49,MATCH([1]orders!$D633,[1]products!$A$1:$A$49,0),MATCH([1]orders!K$1,[1]products!$A$1:$G$1,0))</f>
        <v>2.5</v>
      </c>
      <c r="H633" s="6">
        <f>INDEX([1]products!$A$1:$G$49,MATCH([1]orders!$D633,[1]products!$A$1:$A$49,0),MATCH([1]orders!L$1,[1]products!$A$1:$G$1,0))</f>
        <v>20.584999999999997</v>
      </c>
      <c r="I633" s="6">
        <f t="shared" si="9"/>
        <v>102.92499999999998</v>
      </c>
    </row>
    <row r="634" spans="1:9" x14ac:dyDescent="0.3">
      <c r="A634" s="1" t="s">
        <v>1229</v>
      </c>
      <c r="B634" s="2">
        <v>44049</v>
      </c>
      <c r="C634" s="3" t="s">
        <v>1230</v>
      </c>
      <c r="D634" s="3" t="str">
        <f>INDEX('Customers (2)'!B:B,MATCH('Customers (2)'!A634,'Customers (2)'!A:A,0))</f>
        <v>Marjorie Yoxen</v>
      </c>
      <c r="E634" s="4" t="s">
        <v>176</v>
      </c>
      <c r="F634" s="3">
        <v>4</v>
      </c>
      <c r="G634" s="5">
        <f>INDEX([1]products!$A$1:$G$49,MATCH([1]orders!$D634,[1]products!$A$1:$A$49,0),MATCH([1]orders!K$1,[1]products!$A$1:$G$1,0))</f>
        <v>0.5</v>
      </c>
      <c r="H634" s="6">
        <f>INDEX([1]products!$A$1:$G$49,MATCH([1]orders!$D634,[1]products!$A$1:$A$49,0),MATCH([1]orders!L$1,[1]products!$A$1:$G$1,0))</f>
        <v>8.91</v>
      </c>
      <c r="I634" s="6">
        <f t="shared" si="9"/>
        <v>35.64</v>
      </c>
    </row>
    <row r="635" spans="1:9" x14ac:dyDescent="0.3">
      <c r="A635" s="1" t="s">
        <v>1231</v>
      </c>
      <c r="B635" s="2">
        <v>43820</v>
      </c>
      <c r="C635" s="3" t="s">
        <v>1232</v>
      </c>
      <c r="D635" s="3" t="str">
        <f>INDEX('Customers (2)'!B:B,MATCH('Customers (2)'!A635,'Customers (2)'!A:A,0))</f>
        <v>Gaspar McGavin</v>
      </c>
      <c r="E635" s="4" t="s">
        <v>189</v>
      </c>
      <c r="F635" s="3">
        <v>4</v>
      </c>
      <c r="G635" s="5">
        <f>INDEX([1]products!$A$1:$G$49,MATCH([1]orders!$D635,[1]products!$A$1:$A$49,0),MATCH([1]orders!K$1,[1]products!$A$1:$G$1,0))</f>
        <v>1</v>
      </c>
      <c r="H635" s="6">
        <f>INDEX([1]products!$A$1:$G$49,MATCH([1]orders!$D635,[1]products!$A$1:$A$49,0),MATCH([1]orders!L$1,[1]products!$A$1:$G$1,0))</f>
        <v>11.95</v>
      </c>
      <c r="I635" s="6">
        <f t="shared" si="9"/>
        <v>47.8</v>
      </c>
    </row>
    <row r="636" spans="1:9" x14ac:dyDescent="0.3">
      <c r="A636" s="1" t="s">
        <v>1233</v>
      </c>
      <c r="B636" s="2">
        <v>43940</v>
      </c>
      <c r="C636" s="3" t="s">
        <v>1234</v>
      </c>
      <c r="D636" s="3" t="str">
        <f>INDEX('Customers (2)'!B:B,MATCH('Customers (2)'!A636,'Customers (2)'!A:A,0))</f>
        <v>Lindy Uttermare</v>
      </c>
      <c r="E636" s="4" t="s">
        <v>96</v>
      </c>
      <c r="F636" s="3">
        <v>3</v>
      </c>
      <c r="G636" s="5">
        <f>INDEX([1]products!$A$1:$G$49,MATCH([1]orders!$D636,[1]products!$A$1:$A$49,0),MATCH([1]orders!K$1,[1]products!$A$1:$G$1,0))</f>
        <v>1</v>
      </c>
      <c r="H636" s="6">
        <f>INDEX([1]products!$A$1:$G$49,MATCH([1]orders!$D636,[1]products!$A$1:$A$49,0),MATCH([1]orders!L$1,[1]products!$A$1:$G$1,0))</f>
        <v>14.55</v>
      </c>
      <c r="I636" s="6">
        <f t="shared" si="9"/>
        <v>43.650000000000006</v>
      </c>
    </row>
    <row r="637" spans="1:9" x14ac:dyDescent="0.3">
      <c r="A637" s="1" t="s">
        <v>1235</v>
      </c>
      <c r="B637" s="2">
        <v>44578</v>
      </c>
      <c r="C637" s="3" t="s">
        <v>1236</v>
      </c>
      <c r="D637" s="3" t="str">
        <f>INDEX('Customers (2)'!B:B,MATCH('Customers (2)'!A637,'Customers (2)'!A:A,0))</f>
        <v>Eal D'Ambrogio</v>
      </c>
      <c r="E637" s="4" t="s">
        <v>176</v>
      </c>
      <c r="F637" s="3">
        <v>4</v>
      </c>
      <c r="G637" s="5">
        <f>INDEX([1]products!$A$1:$G$49,MATCH([1]orders!$D637,[1]products!$A$1:$A$49,0),MATCH([1]orders!K$1,[1]products!$A$1:$G$1,0))</f>
        <v>0.5</v>
      </c>
      <c r="H637" s="6">
        <f>INDEX([1]products!$A$1:$G$49,MATCH([1]orders!$D637,[1]products!$A$1:$A$49,0),MATCH([1]orders!L$1,[1]products!$A$1:$G$1,0))</f>
        <v>8.91</v>
      </c>
      <c r="I637" s="6">
        <f t="shared" si="9"/>
        <v>35.64</v>
      </c>
    </row>
    <row r="638" spans="1:9" x14ac:dyDescent="0.3">
      <c r="A638" s="1" t="s">
        <v>1237</v>
      </c>
      <c r="B638" s="2">
        <v>43487</v>
      </c>
      <c r="C638" s="3" t="s">
        <v>1238</v>
      </c>
      <c r="D638" s="3" t="str">
        <f>INDEX('Customers (2)'!B:B,MATCH('Customers (2)'!A638,'Customers (2)'!A:A,0))</f>
        <v>Carolee Winchcombe</v>
      </c>
      <c r="E638" s="4" t="s">
        <v>132</v>
      </c>
      <c r="F638" s="3">
        <v>6</v>
      </c>
      <c r="G638" s="5">
        <f>INDEX([1]products!$A$1:$G$49,MATCH([1]orders!$D638,[1]products!$A$1:$A$49,0),MATCH([1]orders!K$1,[1]products!$A$1:$G$1,0))</f>
        <v>1</v>
      </c>
      <c r="H638" s="6">
        <f>INDEX([1]products!$A$1:$G$49,MATCH([1]orders!$D638,[1]products!$A$1:$A$49,0),MATCH([1]orders!L$1,[1]products!$A$1:$G$1,0))</f>
        <v>15.85</v>
      </c>
      <c r="I638" s="6">
        <f t="shared" si="9"/>
        <v>95.1</v>
      </c>
    </row>
    <row r="639" spans="1:9" x14ac:dyDescent="0.3">
      <c r="A639" s="1" t="s">
        <v>1239</v>
      </c>
      <c r="B639" s="2">
        <v>43889</v>
      </c>
      <c r="C639" s="3" t="s">
        <v>1240</v>
      </c>
      <c r="D639" s="3" t="str">
        <f>INDEX('Customers (2)'!B:B,MATCH('Customers (2)'!A639,'Customers (2)'!A:A,0))</f>
        <v>Benedikta Paumier</v>
      </c>
      <c r="E639" s="4" t="s">
        <v>112</v>
      </c>
      <c r="F639" s="3">
        <v>1</v>
      </c>
      <c r="G639" s="5">
        <f>INDEX([1]products!$A$1:$G$49,MATCH([1]orders!$D639,[1]products!$A$1:$A$49,0),MATCH([1]orders!K$1,[1]products!$A$1:$G$1,0))</f>
        <v>2.5</v>
      </c>
      <c r="H639" s="6">
        <f>INDEX([1]products!$A$1:$G$49,MATCH([1]orders!$D639,[1]products!$A$1:$A$49,0),MATCH([1]orders!L$1,[1]products!$A$1:$G$1,0))</f>
        <v>31.624999999999996</v>
      </c>
      <c r="I639" s="6">
        <f t="shared" si="9"/>
        <v>31.624999999999996</v>
      </c>
    </row>
    <row r="640" spans="1:9" x14ac:dyDescent="0.3">
      <c r="A640" s="1" t="s">
        <v>1241</v>
      </c>
      <c r="B640" s="2">
        <v>43684</v>
      </c>
      <c r="C640" s="3" t="s">
        <v>1242</v>
      </c>
      <c r="D640" s="3" t="str">
        <f>INDEX('Customers (2)'!B:B,MATCH('Customers (2)'!A640,'Customers (2)'!A:A,0))</f>
        <v>Neville Piatto</v>
      </c>
      <c r="E640" s="4" t="s">
        <v>171</v>
      </c>
      <c r="F640" s="3">
        <v>3</v>
      </c>
      <c r="G640" s="5">
        <f>INDEX([1]products!$A$1:$G$49,MATCH([1]orders!$D640,[1]products!$A$1:$A$49,0),MATCH([1]orders!K$1,[1]products!$A$1:$G$1,0))</f>
        <v>2.5</v>
      </c>
      <c r="H640" s="6">
        <f>INDEX([1]products!$A$1:$G$49,MATCH([1]orders!$D640,[1]products!$A$1:$A$49,0),MATCH([1]orders!L$1,[1]products!$A$1:$G$1,0))</f>
        <v>25.874999999999996</v>
      </c>
      <c r="I640" s="6">
        <f t="shared" si="9"/>
        <v>77.624999999999986</v>
      </c>
    </row>
    <row r="641" spans="1:9" x14ac:dyDescent="0.3">
      <c r="A641" s="1" t="s">
        <v>1243</v>
      </c>
      <c r="B641" s="2">
        <v>44331</v>
      </c>
      <c r="C641" s="3" t="s">
        <v>1244</v>
      </c>
      <c r="D641" s="3" t="str">
        <f>INDEX('Customers (2)'!B:B,MATCH('Customers (2)'!A641,'Customers (2)'!A:A,0))</f>
        <v>Jeno Capey</v>
      </c>
      <c r="E641" s="4" t="s">
        <v>38</v>
      </c>
      <c r="F641" s="3">
        <v>1</v>
      </c>
      <c r="G641" s="5">
        <f>INDEX([1]products!$A$1:$G$49,MATCH([1]orders!$D641,[1]products!$A$1:$A$49,0),MATCH([1]orders!K$1,[1]products!$A$1:$G$1,0))</f>
        <v>0.2</v>
      </c>
      <c r="H641" s="6">
        <f>INDEX([1]products!$A$1:$G$49,MATCH([1]orders!$D641,[1]products!$A$1:$A$49,0),MATCH([1]orders!L$1,[1]products!$A$1:$G$1,0))</f>
        <v>3.8849999999999998</v>
      </c>
      <c r="I641" s="6">
        <f t="shared" si="9"/>
        <v>3.8849999999999998</v>
      </c>
    </row>
    <row r="642" spans="1:9" x14ac:dyDescent="0.3">
      <c r="A642" s="1" t="s">
        <v>1245</v>
      </c>
      <c r="B642" s="2">
        <v>44547</v>
      </c>
      <c r="C642" s="3" t="s">
        <v>1246</v>
      </c>
      <c r="D642" s="3" t="str">
        <f>INDEX('Customers (2)'!B:B,MATCH('Customers (2)'!A642,'Customers (2)'!A:A,0))</f>
        <v>Carmella Bruffell</v>
      </c>
      <c r="E642" s="4" t="s">
        <v>10</v>
      </c>
      <c r="F642" s="3">
        <v>5</v>
      </c>
      <c r="G642" s="5">
        <f>INDEX([1]products!$A$1:$G$49,MATCH([1]orders!$D642,[1]products!$A$1:$A$49,0),MATCH([1]orders!K$1,[1]products!$A$1:$G$1,0))</f>
        <v>2.5</v>
      </c>
      <c r="H642" s="6">
        <f>INDEX([1]products!$A$1:$G$49,MATCH([1]orders!$D642,[1]products!$A$1:$A$49,0),MATCH([1]orders!L$1,[1]products!$A$1:$G$1,0))</f>
        <v>27.484999999999996</v>
      </c>
      <c r="I642" s="6">
        <f t="shared" ref="I642:I705" si="10">F642*H642</f>
        <v>137.42499999999998</v>
      </c>
    </row>
    <row r="643" spans="1:9" x14ac:dyDescent="0.3">
      <c r="A643" s="1" t="s">
        <v>1247</v>
      </c>
      <c r="B643" s="2">
        <v>44448</v>
      </c>
      <c r="C643" s="3" t="s">
        <v>1248</v>
      </c>
      <c r="D643" s="3" t="str">
        <f>INDEX('Customers (2)'!B:B,MATCH('Customers (2)'!A643,'Customers (2)'!A:A,0))</f>
        <v>Yardley Basill</v>
      </c>
      <c r="E643" s="4" t="s">
        <v>189</v>
      </c>
      <c r="F643" s="3">
        <v>3</v>
      </c>
      <c r="G643" s="5">
        <f>INDEX([1]products!$A$1:$G$49,MATCH([1]orders!$D643,[1]products!$A$1:$A$49,0),MATCH([1]orders!K$1,[1]products!$A$1:$G$1,0))</f>
        <v>1</v>
      </c>
      <c r="H643" s="6">
        <f>INDEX([1]products!$A$1:$G$49,MATCH([1]orders!$D643,[1]products!$A$1:$A$49,0),MATCH([1]orders!L$1,[1]products!$A$1:$G$1,0))</f>
        <v>11.95</v>
      </c>
      <c r="I643" s="6">
        <f t="shared" si="10"/>
        <v>35.849999999999994</v>
      </c>
    </row>
    <row r="644" spans="1:9" x14ac:dyDescent="0.3">
      <c r="A644" s="1" t="s">
        <v>1249</v>
      </c>
      <c r="B644" s="2">
        <v>43880</v>
      </c>
      <c r="C644" s="3" t="s">
        <v>1250</v>
      </c>
      <c r="D644" s="3" t="str">
        <f>INDEX('Customers (2)'!B:B,MATCH('Customers (2)'!A644,'Customers (2)'!A:A,0))</f>
        <v>Maggy Baistow</v>
      </c>
      <c r="E644" s="4" t="s">
        <v>64</v>
      </c>
      <c r="F644" s="3">
        <v>2</v>
      </c>
      <c r="G644" s="5">
        <f>INDEX([1]products!$A$1:$G$49,MATCH([1]orders!$D644,[1]products!$A$1:$A$49,0),MATCH([1]orders!K$1,[1]products!$A$1:$G$1,0))</f>
        <v>0.2</v>
      </c>
      <c r="H644" s="6">
        <f>INDEX([1]products!$A$1:$G$49,MATCH([1]orders!$D644,[1]products!$A$1:$A$49,0),MATCH([1]orders!L$1,[1]products!$A$1:$G$1,0))</f>
        <v>4.125</v>
      </c>
      <c r="I644" s="6">
        <f t="shared" si="10"/>
        <v>8.25</v>
      </c>
    </row>
    <row r="645" spans="1:9" x14ac:dyDescent="0.3">
      <c r="A645" s="1" t="s">
        <v>1251</v>
      </c>
      <c r="B645" s="2">
        <v>44011</v>
      </c>
      <c r="C645" s="3" t="s">
        <v>1252</v>
      </c>
      <c r="D645" s="3" t="str">
        <f>INDEX('Customers (2)'!B:B,MATCH('Customers (2)'!A645,'Customers (2)'!A:A,0))</f>
        <v>Courtney Pallant</v>
      </c>
      <c r="E645" s="4" t="s">
        <v>30</v>
      </c>
      <c r="F645" s="3">
        <v>3</v>
      </c>
      <c r="G645" s="5">
        <f>INDEX([1]products!$A$1:$G$49,MATCH([1]orders!$D645,[1]products!$A$1:$A$49,0),MATCH([1]orders!K$1,[1]products!$A$1:$G$1,0))</f>
        <v>2.5</v>
      </c>
      <c r="H645" s="6">
        <f>INDEX([1]products!$A$1:$G$49,MATCH([1]orders!$D645,[1]products!$A$1:$A$49,0),MATCH([1]orders!L$1,[1]products!$A$1:$G$1,0))</f>
        <v>34.154999999999994</v>
      </c>
      <c r="I645" s="6">
        <f t="shared" si="10"/>
        <v>102.46499999999997</v>
      </c>
    </row>
    <row r="646" spans="1:9" x14ac:dyDescent="0.3">
      <c r="A646" s="1" t="s">
        <v>1253</v>
      </c>
      <c r="B646" s="2">
        <v>44694</v>
      </c>
      <c r="C646" s="3" t="s">
        <v>1254</v>
      </c>
      <c r="D646" s="3" t="str">
        <f>INDEX('Customers (2)'!B:B,MATCH('Customers (2)'!A646,'Customers (2)'!A:A,0))</f>
        <v>Marne Mingey</v>
      </c>
      <c r="E646" s="4" t="s">
        <v>35</v>
      </c>
      <c r="F646" s="3">
        <v>2</v>
      </c>
      <c r="G646" s="5">
        <f>INDEX([1]products!$A$1:$G$49,MATCH([1]orders!$D646,[1]products!$A$1:$A$49,0),MATCH([1]orders!K$1,[1]products!$A$1:$G$1,0))</f>
        <v>2.5</v>
      </c>
      <c r="H646" s="6">
        <f>INDEX([1]products!$A$1:$G$49,MATCH([1]orders!$D646,[1]products!$A$1:$A$49,0),MATCH([1]orders!L$1,[1]products!$A$1:$G$1,0))</f>
        <v>20.584999999999997</v>
      </c>
      <c r="I646" s="6">
        <f t="shared" si="10"/>
        <v>41.169999999999995</v>
      </c>
    </row>
    <row r="647" spans="1:9" x14ac:dyDescent="0.3">
      <c r="A647" s="1" t="s">
        <v>1255</v>
      </c>
      <c r="B647" s="2">
        <v>44106</v>
      </c>
      <c r="C647" s="3" t="s">
        <v>1256</v>
      </c>
      <c r="D647" s="3" t="str">
        <f>INDEX('Customers (2)'!B:B,MATCH('Customers (2)'!A647,'Customers (2)'!A:A,0))</f>
        <v>Denny O' Ronan</v>
      </c>
      <c r="E647" s="4" t="s">
        <v>118</v>
      </c>
      <c r="F647" s="3">
        <v>3</v>
      </c>
      <c r="G647" s="5">
        <f>INDEX([1]products!$A$1:$G$49,MATCH([1]orders!$D647,[1]products!$A$1:$A$49,0),MATCH([1]orders!K$1,[1]products!$A$1:$G$1,0))</f>
        <v>2.5</v>
      </c>
      <c r="H647" s="6">
        <f>INDEX([1]products!$A$1:$G$49,MATCH([1]orders!$D647,[1]products!$A$1:$A$49,0),MATCH([1]orders!L$1,[1]products!$A$1:$G$1,0))</f>
        <v>22.884999999999998</v>
      </c>
      <c r="I647" s="6">
        <f t="shared" si="10"/>
        <v>68.655000000000001</v>
      </c>
    </row>
    <row r="648" spans="1:9" x14ac:dyDescent="0.3">
      <c r="A648" s="1" t="s">
        <v>1257</v>
      </c>
      <c r="B648" s="2">
        <v>44532</v>
      </c>
      <c r="C648" s="3" t="s">
        <v>1258</v>
      </c>
      <c r="D648" s="3" t="str">
        <f>INDEX('Customers (2)'!B:B,MATCH('Customers (2)'!A648,'Customers (2)'!A:A,0))</f>
        <v>Dottie Rallin</v>
      </c>
      <c r="E648" s="4" t="s">
        <v>27</v>
      </c>
      <c r="F648" s="3">
        <v>1</v>
      </c>
      <c r="G648" s="5">
        <f>INDEX([1]products!$A$1:$G$49,MATCH([1]orders!$D648,[1]products!$A$1:$A$49,0),MATCH([1]orders!K$1,[1]products!$A$1:$G$1,0))</f>
        <v>1</v>
      </c>
      <c r="H648" s="6">
        <f>INDEX([1]products!$A$1:$G$49,MATCH([1]orders!$D648,[1]products!$A$1:$A$49,0),MATCH([1]orders!L$1,[1]products!$A$1:$G$1,0))</f>
        <v>9.9499999999999993</v>
      </c>
      <c r="I648" s="6">
        <f t="shared" si="10"/>
        <v>9.9499999999999993</v>
      </c>
    </row>
    <row r="649" spans="1:9" x14ac:dyDescent="0.3">
      <c r="A649" s="1" t="s">
        <v>1259</v>
      </c>
      <c r="B649" s="2">
        <v>44502</v>
      </c>
      <c r="C649" s="3" t="s">
        <v>1260</v>
      </c>
      <c r="D649" s="3" t="str">
        <f>INDEX('Customers (2)'!B:B,MATCH('Customers (2)'!A649,'Customers (2)'!A:A,0))</f>
        <v>Ardith Chill</v>
      </c>
      <c r="E649" s="4" t="s">
        <v>83</v>
      </c>
      <c r="F649" s="3">
        <v>3</v>
      </c>
      <c r="G649" s="5">
        <f>INDEX([1]products!$A$1:$G$49,MATCH([1]orders!$D649,[1]products!$A$1:$A$49,0),MATCH([1]orders!K$1,[1]products!$A$1:$G$1,0))</f>
        <v>0.5</v>
      </c>
      <c r="H649" s="6">
        <f>INDEX([1]products!$A$1:$G$49,MATCH([1]orders!$D649,[1]products!$A$1:$A$49,0),MATCH([1]orders!L$1,[1]products!$A$1:$G$1,0))</f>
        <v>9.51</v>
      </c>
      <c r="I649" s="6">
        <f t="shared" si="10"/>
        <v>28.53</v>
      </c>
    </row>
    <row r="650" spans="1:9" x14ac:dyDescent="0.3">
      <c r="A650" s="1" t="s">
        <v>1261</v>
      </c>
      <c r="B650" s="2">
        <v>43884</v>
      </c>
      <c r="C650" s="3" t="s">
        <v>1246</v>
      </c>
      <c r="D650" s="3" t="str">
        <f>INDEX('Customers (2)'!B:B,MATCH('Customers (2)'!A650,'Customers (2)'!A:A,0))</f>
        <v>Tuckie Mathonnet</v>
      </c>
      <c r="E650" s="4" t="s">
        <v>101</v>
      </c>
      <c r="F650" s="3">
        <v>6</v>
      </c>
      <c r="G650" s="5">
        <f>INDEX([1]products!$A$1:$G$49,MATCH([1]orders!$D650,[1]products!$A$1:$A$49,0),MATCH([1]orders!K$1,[1]products!$A$1:$G$1,0))</f>
        <v>0.2</v>
      </c>
      <c r="H650" s="6">
        <f>INDEX([1]products!$A$1:$G$49,MATCH([1]orders!$D650,[1]products!$A$1:$A$49,0),MATCH([1]orders!L$1,[1]products!$A$1:$G$1,0))</f>
        <v>2.6849999999999996</v>
      </c>
      <c r="I650" s="6">
        <f t="shared" si="10"/>
        <v>16.11</v>
      </c>
    </row>
    <row r="651" spans="1:9" x14ac:dyDescent="0.3">
      <c r="A651" s="1" t="s">
        <v>1262</v>
      </c>
      <c r="B651" s="2">
        <v>44015</v>
      </c>
      <c r="C651" s="3" t="s">
        <v>1263</v>
      </c>
      <c r="D651" s="3" t="str">
        <f>INDEX('Customers (2)'!B:B,MATCH('Customers (2)'!A651,'Customers (2)'!A:A,0))</f>
        <v>Charmane Denys</v>
      </c>
      <c r="E651" s="4" t="s">
        <v>132</v>
      </c>
      <c r="F651" s="3">
        <v>6</v>
      </c>
      <c r="G651" s="5">
        <f>INDEX([1]products!$A$1:$G$49,MATCH([1]orders!$D651,[1]products!$A$1:$A$49,0),MATCH([1]orders!K$1,[1]products!$A$1:$G$1,0))</f>
        <v>1</v>
      </c>
      <c r="H651" s="6">
        <f>INDEX([1]products!$A$1:$G$49,MATCH([1]orders!$D651,[1]products!$A$1:$A$49,0),MATCH([1]orders!L$1,[1]products!$A$1:$G$1,0))</f>
        <v>15.85</v>
      </c>
      <c r="I651" s="6">
        <f t="shared" si="10"/>
        <v>95.1</v>
      </c>
    </row>
    <row r="652" spans="1:9" x14ac:dyDescent="0.3">
      <c r="A652" s="1" t="s">
        <v>1264</v>
      </c>
      <c r="B652" s="2">
        <v>43507</v>
      </c>
      <c r="C652" s="3" t="s">
        <v>1265</v>
      </c>
      <c r="D652" s="3" t="str">
        <f>INDEX('Customers (2)'!B:B,MATCH('Customers (2)'!A652,'Customers (2)'!A:A,0))</f>
        <v>Cecily Stebbings</v>
      </c>
      <c r="E652" s="4" t="s">
        <v>146</v>
      </c>
      <c r="F652" s="3">
        <v>1</v>
      </c>
      <c r="G652" s="5">
        <f>INDEX([1]products!$A$1:$G$49,MATCH([1]orders!$D652,[1]products!$A$1:$A$49,0),MATCH([1]orders!K$1,[1]products!$A$1:$G$1,0))</f>
        <v>0.5</v>
      </c>
      <c r="H652" s="6">
        <f>INDEX([1]products!$A$1:$G$49,MATCH([1]orders!$D652,[1]products!$A$1:$A$49,0),MATCH([1]orders!L$1,[1]products!$A$1:$G$1,0))</f>
        <v>5.3699999999999992</v>
      </c>
      <c r="I652" s="6">
        <f t="shared" si="10"/>
        <v>5.3699999999999992</v>
      </c>
    </row>
    <row r="653" spans="1:9" x14ac:dyDescent="0.3">
      <c r="A653" s="1" t="s">
        <v>1266</v>
      </c>
      <c r="B653" s="2">
        <v>44084</v>
      </c>
      <c r="C653" s="3" t="s">
        <v>1267</v>
      </c>
      <c r="D653" s="3" t="str">
        <f>INDEX('Customers (2)'!B:B,MATCH('Customers (2)'!A653,'Customers (2)'!A:A,0))</f>
        <v>Giana Tonnesen</v>
      </c>
      <c r="E653" s="4" t="s">
        <v>189</v>
      </c>
      <c r="F653" s="3">
        <v>4</v>
      </c>
      <c r="G653" s="5">
        <f>INDEX([1]products!$A$1:$G$49,MATCH([1]orders!$D653,[1]products!$A$1:$A$49,0),MATCH([1]orders!K$1,[1]products!$A$1:$G$1,0))</f>
        <v>1</v>
      </c>
      <c r="H653" s="6">
        <f>INDEX([1]products!$A$1:$G$49,MATCH([1]orders!$D653,[1]products!$A$1:$A$49,0),MATCH([1]orders!L$1,[1]products!$A$1:$G$1,0))</f>
        <v>11.95</v>
      </c>
      <c r="I653" s="6">
        <f t="shared" si="10"/>
        <v>47.8</v>
      </c>
    </row>
    <row r="654" spans="1:9" x14ac:dyDescent="0.3">
      <c r="A654" s="1" t="s">
        <v>1268</v>
      </c>
      <c r="B654" s="2">
        <v>43892</v>
      </c>
      <c r="C654" s="3" t="s">
        <v>1269</v>
      </c>
      <c r="D654" s="3" t="str">
        <f>INDEX('Customers (2)'!B:B,MATCH('Customers (2)'!A654,'Customers (2)'!A:A,0))</f>
        <v>Rhetta Zywicki</v>
      </c>
      <c r="E654" s="4" t="s">
        <v>132</v>
      </c>
      <c r="F654" s="3">
        <v>4</v>
      </c>
      <c r="G654" s="5">
        <f>INDEX([1]products!$A$1:$G$49,MATCH([1]orders!$D654,[1]products!$A$1:$A$49,0),MATCH([1]orders!K$1,[1]products!$A$1:$G$1,0))</f>
        <v>1</v>
      </c>
      <c r="H654" s="6">
        <f>INDEX([1]products!$A$1:$G$49,MATCH([1]orders!$D654,[1]products!$A$1:$A$49,0),MATCH([1]orders!L$1,[1]products!$A$1:$G$1,0))</f>
        <v>15.85</v>
      </c>
      <c r="I654" s="6">
        <f t="shared" si="10"/>
        <v>63.4</v>
      </c>
    </row>
    <row r="655" spans="1:9" x14ac:dyDescent="0.3">
      <c r="A655" s="1" t="s">
        <v>1270</v>
      </c>
      <c r="B655" s="2">
        <v>44375</v>
      </c>
      <c r="C655" s="3" t="s">
        <v>1271</v>
      </c>
      <c r="D655" s="3" t="str">
        <f>INDEX('Customers (2)'!B:B,MATCH('Customers (2)'!A655,'Customers (2)'!A:A,0))</f>
        <v>Almeria Burgett</v>
      </c>
      <c r="E655" s="4" t="s">
        <v>171</v>
      </c>
      <c r="F655" s="3">
        <v>4</v>
      </c>
      <c r="G655" s="5">
        <f>INDEX([1]products!$A$1:$G$49,MATCH([1]orders!$D655,[1]products!$A$1:$A$49,0),MATCH([1]orders!K$1,[1]products!$A$1:$G$1,0))</f>
        <v>2.5</v>
      </c>
      <c r="H655" s="6">
        <f>INDEX([1]products!$A$1:$G$49,MATCH([1]orders!$D655,[1]products!$A$1:$A$49,0),MATCH([1]orders!L$1,[1]products!$A$1:$G$1,0))</f>
        <v>25.874999999999996</v>
      </c>
      <c r="I655" s="6">
        <f t="shared" si="10"/>
        <v>103.49999999999999</v>
      </c>
    </row>
    <row r="656" spans="1:9" x14ac:dyDescent="0.3">
      <c r="A656" s="1" t="s">
        <v>1272</v>
      </c>
      <c r="B656" s="2">
        <v>43476</v>
      </c>
      <c r="C656" s="3" t="s">
        <v>1273</v>
      </c>
      <c r="D656" s="3" t="str">
        <f>INDEX('Customers (2)'!B:B,MATCH('Customers (2)'!A656,'Customers (2)'!A:A,0))</f>
        <v>Marvin Malloy</v>
      </c>
      <c r="E656" s="4" t="s">
        <v>118</v>
      </c>
      <c r="F656" s="3">
        <v>3</v>
      </c>
      <c r="G656" s="5">
        <f>INDEX([1]products!$A$1:$G$49,MATCH([1]orders!$D656,[1]products!$A$1:$A$49,0),MATCH([1]orders!K$1,[1]products!$A$1:$G$1,0))</f>
        <v>2.5</v>
      </c>
      <c r="H656" s="6">
        <f>INDEX([1]products!$A$1:$G$49,MATCH([1]orders!$D656,[1]products!$A$1:$A$49,0),MATCH([1]orders!L$1,[1]products!$A$1:$G$1,0))</f>
        <v>22.884999999999998</v>
      </c>
      <c r="I656" s="6">
        <f t="shared" si="10"/>
        <v>68.655000000000001</v>
      </c>
    </row>
    <row r="657" spans="1:9" x14ac:dyDescent="0.3">
      <c r="A657" s="1" t="s">
        <v>1274</v>
      </c>
      <c r="B657" s="2">
        <v>43728</v>
      </c>
      <c r="C657" s="3" t="s">
        <v>1275</v>
      </c>
      <c r="D657" s="3" t="str">
        <f>INDEX('Customers (2)'!B:B,MATCH('Customers (2)'!A657,'Customers (2)'!A:A,0))</f>
        <v>Maxim McParland</v>
      </c>
      <c r="E657" s="4" t="s">
        <v>41</v>
      </c>
      <c r="F657" s="3">
        <v>2</v>
      </c>
      <c r="G657" s="5">
        <f>INDEX([1]products!$A$1:$G$49,MATCH([1]orders!$D657,[1]products!$A$1:$A$49,0),MATCH([1]orders!K$1,[1]products!$A$1:$G$1,0))</f>
        <v>2.5</v>
      </c>
      <c r="H657" s="6">
        <f>INDEX([1]products!$A$1:$G$49,MATCH([1]orders!$D657,[1]products!$A$1:$A$49,0),MATCH([1]orders!L$1,[1]products!$A$1:$G$1,0))</f>
        <v>22.884999999999998</v>
      </c>
      <c r="I657" s="6">
        <f t="shared" si="10"/>
        <v>45.769999999999996</v>
      </c>
    </row>
    <row r="658" spans="1:9" x14ac:dyDescent="0.3">
      <c r="A658" s="1" t="s">
        <v>1276</v>
      </c>
      <c r="B658" s="2">
        <v>44485</v>
      </c>
      <c r="C658" s="3" t="s">
        <v>1277</v>
      </c>
      <c r="D658" s="3" t="str">
        <f>INDEX('Customers (2)'!B:B,MATCH('Customers (2)'!A658,'Customers (2)'!A:A,0))</f>
        <v>Sylas Jennaroy</v>
      </c>
      <c r="E658" s="4" t="s">
        <v>13</v>
      </c>
      <c r="F658" s="3">
        <v>4</v>
      </c>
      <c r="G658" s="5">
        <f>INDEX([1]products!$A$1:$G$49,MATCH([1]orders!$D658,[1]products!$A$1:$A$49,0),MATCH([1]orders!K$1,[1]products!$A$1:$G$1,0))</f>
        <v>1</v>
      </c>
      <c r="H658" s="6">
        <f>INDEX([1]products!$A$1:$G$49,MATCH([1]orders!$D658,[1]products!$A$1:$A$49,0),MATCH([1]orders!L$1,[1]products!$A$1:$G$1,0))</f>
        <v>12.95</v>
      </c>
      <c r="I658" s="6">
        <f t="shared" si="10"/>
        <v>51.8</v>
      </c>
    </row>
    <row r="659" spans="1:9" x14ac:dyDescent="0.3">
      <c r="A659" s="1" t="s">
        <v>1278</v>
      </c>
      <c r="B659" s="2">
        <v>43831</v>
      </c>
      <c r="C659" s="3" t="s">
        <v>1279</v>
      </c>
      <c r="D659" s="3" t="str">
        <f>INDEX('Customers (2)'!B:B,MATCH('Customers (2)'!A659,'Customers (2)'!A:A,0))</f>
        <v>Wren Place</v>
      </c>
      <c r="E659" s="4" t="s">
        <v>67</v>
      </c>
      <c r="F659" s="3">
        <v>2</v>
      </c>
      <c r="G659" s="5">
        <f>INDEX([1]products!$A$1:$G$49,MATCH([1]orders!$D659,[1]products!$A$1:$A$49,0),MATCH([1]orders!K$1,[1]products!$A$1:$G$1,0))</f>
        <v>0.5</v>
      </c>
      <c r="H659" s="6">
        <f>INDEX([1]products!$A$1:$G$49,MATCH([1]orders!$D659,[1]products!$A$1:$A$49,0),MATCH([1]orders!L$1,[1]products!$A$1:$G$1,0))</f>
        <v>6.75</v>
      </c>
      <c r="I659" s="6">
        <f t="shared" si="10"/>
        <v>13.5</v>
      </c>
    </row>
    <row r="660" spans="1:9" x14ac:dyDescent="0.3">
      <c r="A660" s="1" t="s">
        <v>1280</v>
      </c>
      <c r="B660" s="2">
        <v>44630</v>
      </c>
      <c r="C660" s="3" t="s">
        <v>1281</v>
      </c>
      <c r="D660" s="3" t="str">
        <f>INDEX('Customers (2)'!B:B,MATCH('Customers (2)'!A660,'Customers (2)'!A:A,0))</f>
        <v>Hewitt Jarret</v>
      </c>
      <c r="E660" s="4" t="s">
        <v>3</v>
      </c>
      <c r="F660" s="3">
        <v>3</v>
      </c>
      <c r="G660" s="5">
        <f>INDEX([1]products!$A$1:$G$49,MATCH([1]orders!$D660,[1]products!$A$1:$A$49,0),MATCH([1]orders!K$1,[1]products!$A$1:$G$1,0))</f>
        <v>0.5</v>
      </c>
      <c r="H660" s="6">
        <f>INDEX([1]products!$A$1:$G$49,MATCH([1]orders!$D660,[1]products!$A$1:$A$49,0),MATCH([1]orders!L$1,[1]products!$A$1:$G$1,0))</f>
        <v>8.25</v>
      </c>
      <c r="I660" s="6">
        <f t="shared" si="10"/>
        <v>24.75</v>
      </c>
    </row>
    <row r="661" spans="1:9" x14ac:dyDescent="0.3">
      <c r="A661" s="1" t="s">
        <v>1282</v>
      </c>
      <c r="B661" s="2">
        <v>44693</v>
      </c>
      <c r="C661" s="3" t="s">
        <v>1283</v>
      </c>
      <c r="D661" s="3" t="str">
        <f>INDEX('Customers (2)'!B:B,MATCH('Customers (2)'!A661,'Customers (2)'!A:A,0))</f>
        <v>Dollie Gadsden</v>
      </c>
      <c r="E661" s="4" t="s">
        <v>118</v>
      </c>
      <c r="F661" s="3">
        <v>2</v>
      </c>
      <c r="G661" s="5">
        <f>INDEX([1]products!$A$1:$G$49,MATCH([1]orders!$D661,[1]products!$A$1:$A$49,0),MATCH([1]orders!K$1,[1]products!$A$1:$G$1,0))</f>
        <v>2.5</v>
      </c>
      <c r="H661" s="6">
        <f>INDEX([1]products!$A$1:$G$49,MATCH([1]orders!$D661,[1]products!$A$1:$A$49,0),MATCH([1]orders!L$1,[1]products!$A$1:$G$1,0))</f>
        <v>22.884999999999998</v>
      </c>
      <c r="I661" s="6">
        <f t="shared" si="10"/>
        <v>45.769999999999996</v>
      </c>
    </row>
    <row r="662" spans="1:9" x14ac:dyDescent="0.3">
      <c r="A662" s="1" t="s">
        <v>1284</v>
      </c>
      <c r="B662" s="2">
        <v>44084</v>
      </c>
      <c r="C662" s="3" t="s">
        <v>1285</v>
      </c>
      <c r="D662" s="3" t="str">
        <f>INDEX('Customers (2)'!B:B,MATCH('Customers (2)'!A662,'Customers (2)'!A:A,0))</f>
        <v>Val Wakelin</v>
      </c>
      <c r="E662" s="4" t="s">
        <v>176</v>
      </c>
      <c r="F662" s="3">
        <v>6</v>
      </c>
      <c r="G662" s="5">
        <f>INDEX([1]products!$A$1:$G$49,MATCH([1]orders!$D662,[1]products!$A$1:$A$49,0),MATCH([1]orders!K$1,[1]products!$A$1:$G$1,0))</f>
        <v>0.5</v>
      </c>
      <c r="H662" s="6">
        <f>INDEX([1]products!$A$1:$G$49,MATCH([1]orders!$D662,[1]products!$A$1:$A$49,0),MATCH([1]orders!L$1,[1]products!$A$1:$G$1,0))</f>
        <v>8.91</v>
      </c>
      <c r="I662" s="6">
        <f t="shared" si="10"/>
        <v>53.46</v>
      </c>
    </row>
    <row r="663" spans="1:9" x14ac:dyDescent="0.3">
      <c r="A663" s="1" t="s">
        <v>1286</v>
      </c>
      <c r="B663" s="2">
        <v>44485</v>
      </c>
      <c r="C663" s="3" t="s">
        <v>1287</v>
      </c>
      <c r="D663" s="3" t="str">
        <f>INDEX('Customers (2)'!B:B,MATCH('Customers (2)'!A663,'Customers (2)'!A:A,0))</f>
        <v>Annie Campsall</v>
      </c>
      <c r="E663" s="4" t="s">
        <v>44</v>
      </c>
      <c r="F663" s="3">
        <v>6</v>
      </c>
      <c r="G663" s="5">
        <f>INDEX([1]products!$A$1:$G$49,MATCH([1]orders!$D663,[1]products!$A$1:$A$49,0),MATCH([1]orders!K$1,[1]products!$A$1:$G$1,0))</f>
        <v>0.2</v>
      </c>
      <c r="H663" s="6">
        <f>INDEX([1]products!$A$1:$G$49,MATCH([1]orders!$D663,[1]products!$A$1:$A$49,0),MATCH([1]orders!L$1,[1]products!$A$1:$G$1,0))</f>
        <v>3.375</v>
      </c>
      <c r="I663" s="6">
        <f t="shared" si="10"/>
        <v>20.25</v>
      </c>
    </row>
    <row r="664" spans="1:9" x14ac:dyDescent="0.3">
      <c r="A664" s="1" t="s">
        <v>1288</v>
      </c>
      <c r="B664" s="2">
        <v>44364</v>
      </c>
      <c r="C664" s="3" t="s">
        <v>1289</v>
      </c>
      <c r="D664" s="3" t="str">
        <f>INDEX('Customers (2)'!B:B,MATCH('Customers (2)'!A664,'Customers (2)'!A:A,0))</f>
        <v>Shermy Moseby</v>
      </c>
      <c r="E664" s="4" t="s">
        <v>109</v>
      </c>
      <c r="F664" s="3">
        <v>5</v>
      </c>
      <c r="G664" s="5">
        <f>INDEX([1]products!$A$1:$G$49,MATCH([1]orders!$D664,[1]products!$A$1:$A$49,0),MATCH([1]orders!K$1,[1]products!$A$1:$G$1,0))</f>
        <v>2.5</v>
      </c>
      <c r="H664" s="6">
        <f>INDEX([1]products!$A$1:$G$49,MATCH([1]orders!$D664,[1]products!$A$1:$A$49,0),MATCH([1]orders!L$1,[1]products!$A$1:$G$1,0))</f>
        <v>29.784999999999997</v>
      </c>
      <c r="I664" s="6">
        <f t="shared" si="10"/>
        <v>148.92499999999998</v>
      </c>
    </row>
    <row r="665" spans="1:9" x14ac:dyDescent="0.3">
      <c r="A665" s="1" t="s">
        <v>1290</v>
      </c>
      <c r="B665" s="2">
        <v>43554</v>
      </c>
      <c r="C665" s="3" t="s">
        <v>1291</v>
      </c>
      <c r="D665" s="3" t="str">
        <f>INDEX('Customers (2)'!B:B,MATCH('Customers (2)'!A665,'Customers (2)'!A:A,0))</f>
        <v>Corrie Wass</v>
      </c>
      <c r="E665" s="4" t="s">
        <v>61</v>
      </c>
      <c r="F665" s="3">
        <v>6</v>
      </c>
      <c r="G665" s="5">
        <f>INDEX([1]products!$A$1:$G$49,MATCH([1]orders!$D665,[1]products!$A$1:$A$49,0),MATCH([1]orders!K$1,[1]products!$A$1:$G$1,0))</f>
        <v>1</v>
      </c>
      <c r="H665" s="6">
        <f>INDEX([1]products!$A$1:$G$49,MATCH([1]orders!$D665,[1]products!$A$1:$A$49,0),MATCH([1]orders!L$1,[1]products!$A$1:$G$1,0))</f>
        <v>11.25</v>
      </c>
      <c r="I665" s="6">
        <f t="shared" si="10"/>
        <v>67.5</v>
      </c>
    </row>
    <row r="666" spans="1:9" x14ac:dyDescent="0.3">
      <c r="A666" s="1" t="s">
        <v>1292</v>
      </c>
      <c r="B666" s="2">
        <v>44549</v>
      </c>
      <c r="C666" s="3" t="s">
        <v>1293</v>
      </c>
      <c r="D666" s="3" t="str">
        <f>INDEX('Customers (2)'!B:B,MATCH('Customers (2)'!A666,'Customers (2)'!A:A,0))</f>
        <v>Ira Sjostrom</v>
      </c>
      <c r="E666" s="4" t="s">
        <v>245</v>
      </c>
      <c r="F666" s="3">
        <v>6</v>
      </c>
      <c r="G666" s="5">
        <f>INDEX([1]products!$A$1:$G$49,MATCH([1]orders!$D666,[1]products!$A$1:$A$49,0),MATCH([1]orders!K$1,[1]products!$A$1:$G$1,0))</f>
        <v>1</v>
      </c>
      <c r="H666" s="6">
        <f>INDEX([1]products!$A$1:$G$49,MATCH([1]orders!$D666,[1]products!$A$1:$A$49,0),MATCH([1]orders!L$1,[1]products!$A$1:$G$1,0))</f>
        <v>12.15</v>
      </c>
      <c r="I666" s="6">
        <f t="shared" si="10"/>
        <v>72.900000000000006</v>
      </c>
    </row>
    <row r="667" spans="1:9" x14ac:dyDescent="0.3">
      <c r="A667" s="1" t="s">
        <v>1292</v>
      </c>
      <c r="B667" s="2">
        <v>44549</v>
      </c>
      <c r="C667" s="3" t="s">
        <v>1293</v>
      </c>
      <c r="D667" s="3" t="str">
        <f>INDEX('Customers (2)'!B:B,MATCH('Customers (2)'!A667,'Customers (2)'!A:A,0))</f>
        <v>Helli Load</v>
      </c>
      <c r="E667" s="4" t="s">
        <v>38</v>
      </c>
      <c r="F667" s="3">
        <v>2</v>
      </c>
      <c r="G667" s="5">
        <f>INDEX([1]products!$A$1:$G$49,MATCH([1]orders!$D667,[1]products!$A$1:$A$49,0),MATCH([1]orders!K$1,[1]products!$A$1:$G$1,0))</f>
        <v>0.2</v>
      </c>
      <c r="H667" s="6">
        <f>INDEX([1]products!$A$1:$G$49,MATCH([1]orders!$D667,[1]products!$A$1:$A$49,0),MATCH([1]orders!L$1,[1]products!$A$1:$G$1,0))</f>
        <v>3.8849999999999998</v>
      </c>
      <c r="I667" s="6">
        <f t="shared" si="10"/>
        <v>7.77</v>
      </c>
    </row>
    <row r="668" spans="1:9" x14ac:dyDescent="0.3">
      <c r="A668" s="1" t="s">
        <v>1294</v>
      </c>
      <c r="B668" s="2">
        <v>43987</v>
      </c>
      <c r="C668" s="3" t="s">
        <v>1295</v>
      </c>
      <c r="D668" s="3" t="str">
        <f>INDEX('Customers (2)'!B:B,MATCH('Customers (2)'!A668,'Customers (2)'!A:A,0))</f>
        <v>Jermaine Branchett</v>
      </c>
      <c r="E668" s="4" t="s">
        <v>118</v>
      </c>
      <c r="F668" s="3">
        <v>4</v>
      </c>
      <c r="G668" s="5">
        <f>INDEX([1]products!$A$1:$G$49,MATCH([1]orders!$D668,[1]products!$A$1:$A$49,0),MATCH([1]orders!K$1,[1]products!$A$1:$G$1,0))</f>
        <v>2.5</v>
      </c>
      <c r="H668" s="6">
        <f>INDEX([1]products!$A$1:$G$49,MATCH([1]orders!$D668,[1]products!$A$1:$A$49,0),MATCH([1]orders!L$1,[1]products!$A$1:$G$1,0))</f>
        <v>22.884999999999998</v>
      </c>
      <c r="I668" s="6">
        <f t="shared" si="10"/>
        <v>91.539999999999992</v>
      </c>
    </row>
    <row r="669" spans="1:9" x14ac:dyDescent="0.3">
      <c r="A669" s="1" t="s">
        <v>1296</v>
      </c>
      <c r="B669" s="2">
        <v>44451</v>
      </c>
      <c r="C669" s="3" t="s">
        <v>1297</v>
      </c>
      <c r="D669" s="3" t="str">
        <f>INDEX('Customers (2)'!B:B,MATCH('Customers (2)'!A669,'Customers (2)'!A:A,0))</f>
        <v>Nissie Rudland</v>
      </c>
      <c r="E669" s="4" t="s">
        <v>27</v>
      </c>
      <c r="F669" s="3">
        <v>6</v>
      </c>
      <c r="G669" s="5">
        <f>INDEX([1]products!$A$1:$G$49,MATCH([1]orders!$D669,[1]products!$A$1:$A$49,0),MATCH([1]orders!K$1,[1]products!$A$1:$G$1,0))</f>
        <v>1</v>
      </c>
      <c r="H669" s="6">
        <f>INDEX([1]products!$A$1:$G$49,MATCH([1]orders!$D669,[1]products!$A$1:$A$49,0),MATCH([1]orders!L$1,[1]products!$A$1:$G$1,0))</f>
        <v>9.9499999999999993</v>
      </c>
      <c r="I669" s="6">
        <f t="shared" si="10"/>
        <v>59.699999999999996</v>
      </c>
    </row>
    <row r="670" spans="1:9" x14ac:dyDescent="0.3">
      <c r="A670" s="1" t="s">
        <v>1298</v>
      </c>
      <c r="B670" s="2">
        <v>44636</v>
      </c>
      <c r="C670" s="3" t="s">
        <v>1281</v>
      </c>
      <c r="D670" s="3" t="str">
        <f>INDEX('Customers (2)'!B:B,MATCH('Customers (2)'!A670,'Customers (2)'!A:A,0))</f>
        <v>Janella Millett</v>
      </c>
      <c r="E670" s="4" t="s">
        <v>10</v>
      </c>
      <c r="F670" s="3">
        <v>5</v>
      </c>
      <c r="G670" s="5">
        <f>INDEX([1]products!$A$1:$G$49,MATCH([1]orders!$D670,[1]products!$A$1:$A$49,0),MATCH([1]orders!K$1,[1]products!$A$1:$G$1,0))</f>
        <v>2.5</v>
      </c>
      <c r="H670" s="6">
        <f>INDEX([1]products!$A$1:$G$49,MATCH([1]orders!$D670,[1]products!$A$1:$A$49,0),MATCH([1]orders!L$1,[1]products!$A$1:$G$1,0))</f>
        <v>27.484999999999996</v>
      </c>
      <c r="I670" s="6">
        <f t="shared" si="10"/>
        <v>137.42499999999998</v>
      </c>
    </row>
    <row r="671" spans="1:9" x14ac:dyDescent="0.3">
      <c r="A671" s="1" t="s">
        <v>1299</v>
      </c>
      <c r="B671" s="2">
        <v>44551</v>
      </c>
      <c r="C671" s="3" t="s">
        <v>1300</v>
      </c>
      <c r="D671" s="3" t="str">
        <f>INDEX('Customers (2)'!B:B,MATCH('Customers (2)'!A671,'Customers (2)'!A:A,0))</f>
        <v>Ferdie Tourry</v>
      </c>
      <c r="E671" s="4" t="s">
        <v>197</v>
      </c>
      <c r="F671" s="3">
        <v>2</v>
      </c>
      <c r="G671" s="5">
        <f>INDEX([1]products!$A$1:$G$49,MATCH([1]orders!$D671,[1]products!$A$1:$A$49,0),MATCH([1]orders!K$1,[1]products!$A$1:$G$1,0))</f>
        <v>2.5</v>
      </c>
      <c r="H671" s="6">
        <f>INDEX([1]products!$A$1:$G$49,MATCH([1]orders!$D671,[1]products!$A$1:$A$49,0),MATCH([1]orders!L$1,[1]products!$A$1:$G$1,0))</f>
        <v>33.464999999999996</v>
      </c>
      <c r="I671" s="6">
        <f t="shared" si="10"/>
        <v>66.929999999999993</v>
      </c>
    </row>
    <row r="672" spans="1:9" x14ac:dyDescent="0.3">
      <c r="A672" s="1" t="s">
        <v>1301</v>
      </c>
      <c r="B672" s="2">
        <v>43606</v>
      </c>
      <c r="C672" s="3" t="s">
        <v>1302</v>
      </c>
      <c r="D672" s="3" t="str">
        <f>INDEX('Customers (2)'!B:B,MATCH('Customers (2)'!A672,'Customers (2)'!A:A,0))</f>
        <v>Cecil Weatherall</v>
      </c>
      <c r="E672" s="4" t="s">
        <v>77</v>
      </c>
      <c r="F672" s="3">
        <v>3</v>
      </c>
      <c r="G672" s="5">
        <f>INDEX([1]products!$A$1:$G$49,MATCH([1]orders!$D672,[1]products!$A$1:$A$49,0),MATCH([1]orders!K$1,[1]products!$A$1:$G$1,0))</f>
        <v>0.2</v>
      </c>
      <c r="H672" s="6">
        <f>INDEX([1]products!$A$1:$G$49,MATCH([1]orders!$D672,[1]products!$A$1:$A$49,0),MATCH([1]orders!L$1,[1]products!$A$1:$G$1,0))</f>
        <v>4.3650000000000002</v>
      </c>
      <c r="I672" s="6">
        <f t="shared" si="10"/>
        <v>13.095000000000001</v>
      </c>
    </row>
    <row r="673" spans="1:9" x14ac:dyDescent="0.3">
      <c r="A673" s="1" t="s">
        <v>1303</v>
      </c>
      <c r="B673" s="2">
        <v>44495</v>
      </c>
      <c r="C673" s="3" t="s">
        <v>1304</v>
      </c>
      <c r="D673" s="3" t="str">
        <f>INDEX('Customers (2)'!B:B,MATCH('Customers (2)'!A673,'Customers (2)'!A:A,0))</f>
        <v>Gale Heindrick</v>
      </c>
      <c r="E673" s="4" t="s">
        <v>189</v>
      </c>
      <c r="F673" s="3">
        <v>5</v>
      </c>
      <c r="G673" s="5">
        <f>INDEX([1]products!$A$1:$G$49,MATCH([1]orders!$D673,[1]products!$A$1:$A$49,0),MATCH([1]orders!K$1,[1]products!$A$1:$G$1,0))</f>
        <v>1</v>
      </c>
      <c r="H673" s="6">
        <f>INDEX([1]products!$A$1:$G$49,MATCH([1]orders!$D673,[1]products!$A$1:$A$49,0),MATCH([1]orders!L$1,[1]products!$A$1:$G$1,0))</f>
        <v>11.95</v>
      </c>
      <c r="I673" s="6">
        <f t="shared" si="10"/>
        <v>59.75</v>
      </c>
    </row>
    <row r="674" spans="1:9" x14ac:dyDescent="0.3">
      <c r="A674" s="1" t="s">
        <v>1305</v>
      </c>
      <c r="B674" s="2">
        <v>43916</v>
      </c>
      <c r="C674" s="3" t="s">
        <v>1306</v>
      </c>
      <c r="D674" s="3" t="str">
        <f>INDEX('Customers (2)'!B:B,MATCH('Customers (2)'!A674,'Customers (2)'!A:A,0))</f>
        <v>Layne Imason</v>
      </c>
      <c r="E674" s="4" t="s">
        <v>78</v>
      </c>
      <c r="F674" s="3">
        <v>5</v>
      </c>
      <c r="G674" s="5">
        <f>INDEX([1]products!$A$1:$G$49,MATCH([1]orders!$D674,[1]products!$A$1:$A$49,0),MATCH([1]orders!K$1,[1]products!$A$1:$G$1,0))</f>
        <v>0.5</v>
      </c>
      <c r="H674" s="6">
        <f>INDEX([1]products!$A$1:$G$49,MATCH([1]orders!$D674,[1]products!$A$1:$A$49,0),MATCH([1]orders!L$1,[1]products!$A$1:$G$1,0))</f>
        <v>8.73</v>
      </c>
      <c r="I674" s="6">
        <f t="shared" si="10"/>
        <v>43.650000000000006</v>
      </c>
    </row>
    <row r="675" spans="1:9" x14ac:dyDescent="0.3">
      <c r="A675" s="1" t="s">
        <v>1307</v>
      </c>
      <c r="B675" s="2">
        <v>44118</v>
      </c>
      <c r="C675" s="3" t="s">
        <v>1308</v>
      </c>
      <c r="D675" s="3" t="str">
        <f>INDEX('Customers (2)'!B:B,MATCH('Customers (2)'!A675,'Customers (2)'!A:A,0))</f>
        <v>Hazel Saill</v>
      </c>
      <c r="E675" s="4" t="s">
        <v>9</v>
      </c>
      <c r="F675" s="3">
        <v>6</v>
      </c>
      <c r="G675" s="5">
        <f>INDEX([1]products!$A$1:$G$49,MATCH([1]orders!$D675,[1]products!$A$1:$A$49,0),MATCH([1]orders!K$1,[1]products!$A$1:$G$1,0))</f>
        <v>1</v>
      </c>
      <c r="H675" s="6">
        <f>INDEX([1]products!$A$1:$G$49,MATCH([1]orders!$D675,[1]products!$A$1:$A$49,0),MATCH([1]orders!L$1,[1]products!$A$1:$G$1,0))</f>
        <v>13.75</v>
      </c>
      <c r="I675" s="6">
        <f t="shared" si="10"/>
        <v>82.5</v>
      </c>
    </row>
    <row r="676" spans="1:9" x14ac:dyDescent="0.3">
      <c r="A676" s="1" t="s">
        <v>1309</v>
      </c>
      <c r="B676" s="2">
        <v>44543</v>
      </c>
      <c r="C676" s="3" t="s">
        <v>1310</v>
      </c>
      <c r="D676" s="3" t="str">
        <f>INDEX('Customers (2)'!B:B,MATCH('Customers (2)'!A676,'Customers (2)'!A:A,0))</f>
        <v>Hermann Larvor</v>
      </c>
      <c r="E676" s="4" t="s">
        <v>204</v>
      </c>
      <c r="F676" s="3">
        <v>6</v>
      </c>
      <c r="G676" s="5">
        <f>INDEX([1]products!$A$1:$G$49,MATCH([1]orders!$D676,[1]products!$A$1:$A$49,0),MATCH([1]orders!K$1,[1]products!$A$1:$G$1,0))</f>
        <v>2.5</v>
      </c>
      <c r="H676" s="6">
        <f>INDEX([1]products!$A$1:$G$49,MATCH([1]orders!$D676,[1]products!$A$1:$A$49,0),MATCH([1]orders!L$1,[1]products!$A$1:$G$1,0))</f>
        <v>29.784999999999997</v>
      </c>
      <c r="I676" s="6">
        <f t="shared" si="10"/>
        <v>178.70999999999998</v>
      </c>
    </row>
    <row r="677" spans="1:9" x14ac:dyDescent="0.3">
      <c r="A677" s="1" t="s">
        <v>1311</v>
      </c>
      <c r="B677" s="2">
        <v>44263</v>
      </c>
      <c r="C677" s="3" t="s">
        <v>1312</v>
      </c>
      <c r="D677" s="3" t="str">
        <f>INDEX('Customers (2)'!B:B,MATCH('Customers (2)'!A677,'Customers (2)'!A:A,0))</f>
        <v>Terri Lyford</v>
      </c>
      <c r="E677" s="4" t="s">
        <v>109</v>
      </c>
      <c r="F677" s="3">
        <v>4</v>
      </c>
      <c r="G677" s="5">
        <f>INDEX([1]products!$A$1:$G$49,MATCH([1]orders!$D677,[1]products!$A$1:$A$49,0),MATCH([1]orders!K$1,[1]products!$A$1:$G$1,0))</f>
        <v>2.5</v>
      </c>
      <c r="H677" s="6">
        <f>INDEX([1]products!$A$1:$G$49,MATCH([1]orders!$D677,[1]products!$A$1:$A$49,0),MATCH([1]orders!L$1,[1]products!$A$1:$G$1,0))</f>
        <v>29.784999999999997</v>
      </c>
      <c r="I677" s="6">
        <f t="shared" si="10"/>
        <v>119.13999999999999</v>
      </c>
    </row>
    <row r="678" spans="1:9" x14ac:dyDescent="0.3">
      <c r="A678" s="1" t="s">
        <v>1313</v>
      </c>
      <c r="B678" s="2">
        <v>44217</v>
      </c>
      <c r="C678" s="3" t="s">
        <v>1314</v>
      </c>
      <c r="D678" s="3" t="str">
        <f>INDEX('Customers (2)'!B:B,MATCH('Customers (2)'!A678,'Customers (2)'!A:A,0))</f>
        <v>Gabey Cogan</v>
      </c>
      <c r="E678" s="4" t="s">
        <v>83</v>
      </c>
      <c r="F678" s="3">
        <v>5</v>
      </c>
      <c r="G678" s="5">
        <f>INDEX([1]products!$A$1:$G$49,MATCH([1]orders!$D678,[1]products!$A$1:$A$49,0),MATCH([1]orders!K$1,[1]products!$A$1:$G$1,0))</f>
        <v>0.5</v>
      </c>
      <c r="H678" s="6">
        <f>INDEX([1]products!$A$1:$G$49,MATCH([1]orders!$D678,[1]products!$A$1:$A$49,0),MATCH([1]orders!L$1,[1]products!$A$1:$G$1,0))</f>
        <v>9.51</v>
      </c>
      <c r="I678" s="6">
        <f t="shared" si="10"/>
        <v>47.55</v>
      </c>
    </row>
    <row r="679" spans="1:9" x14ac:dyDescent="0.3">
      <c r="A679" s="1" t="s">
        <v>1315</v>
      </c>
      <c r="B679" s="2">
        <v>44206</v>
      </c>
      <c r="C679" s="3" t="s">
        <v>1316</v>
      </c>
      <c r="D679" s="3" t="str">
        <f>INDEX('Customers (2)'!B:B,MATCH('Customers (2)'!A679,'Customers (2)'!A:A,0))</f>
        <v>Charin Penwarden</v>
      </c>
      <c r="E679" s="4" t="s">
        <v>78</v>
      </c>
      <c r="F679" s="3">
        <v>5</v>
      </c>
      <c r="G679" s="5">
        <f>INDEX([1]products!$A$1:$G$49,MATCH([1]orders!$D679,[1]products!$A$1:$A$49,0),MATCH([1]orders!K$1,[1]products!$A$1:$G$1,0))</f>
        <v>0.5</v>
      </c>
      <c r="H679" s="6">
        <f>INDEX([1]products!$A$1:$G$49,MATCH([1]orders!$D679,[1]products!$A$1:$A$49,0),MATCH([1]orders!L$1,[1]products!$A$1:$G$1,0))</f>
        <v>8.73</v>
      </c>
      <c r="I679" s="6">
        <f t="shared" si="10"/>
        <v>43.650000000000006</v>
      </c>
    </row>
    <row r="680" spans="1:9" x14ac:dyDescent="0.3">
      <c r="A680" s="1" t="s">
        <v>1317</v>
      </c>
      <c r="B680" s="2">
        <v>44281</v>
      </c>
      <c r="C680" s="3" t="s">
        <v>1318</v>
      </c>
      <c r="D680" s="3" t="str">
        <f>INDEX('Customers (2)'!B:B,MATCH('Customers (2)'!A680,'Customers (2)'!A:A,0))</f>
        <v>Milty Middis</v>
      </c>
      <c r="E680" s="4" t="s">
        <v>204</v>
      </c>
      <c r="F680" s="3">
        <v>6</v>
      </c>
      <c r="G680" s="5">
        <f>INDEX([1]products!$A$1:$G$49,MATCH([1]orders!$D680,[1]products!$A$1:$A$49,0),MATCH([1]orders!K$1,[1]products!$A$1:$G$1,0))</f>
        <v>2.5</v>
      </c>
      <c r="H680" s="6">
        <f>INDEX([1]products!$A$1:$G$49,MATCH([1]orders!$D680,[1]products!$A$1:$A$49,0),MATCH([1]orders!L$1,[1]products!$A$1:$G$1,0))</f>
        <v>29.784999999999997</v>
      </c>
      <c r="I680" s="6">
        <f t="shared" si="10"/>
        <v>178.70999999999998</v>
      </c>
    </row>
    <row r="681" spans="1:9" x14ac:dyDescent="0.3">
      <c r="A681" s="1" t="s">
        <v>1319</v>
      </c>
      <c r="B681" s="2">
        <v>44645</v>
      </c>
      <c r="C681" s="3" t="s">
        <v>1320</v>
      </c>
      <c r="D681" s="3" t="str">
        <f>INDEX('Customers (2)'!B:B,MATCH('Customers (2)'!A681,'Customers (2)'!A:A,0))</f>
        <v>Adrianne Vairow</v>
      </c>
      <c r="E681" s="4" t="s">
        <v>10</v>
      </c>
      <c r="F681" s="3">
        <v>1</v>
      </c>
      <c r="G681" s="5">
        <f>INDEX([1]products!$A$1:$G$49,MATCH([1]orders!$D681,[1]products!$A$1:$A$49,0),MATCH([1]orders!K$1,[1]products!$A$1:$G$1,0))</f>
        <v>2.5</v>
      </c>
      <c r="H681" s="6">
        <f>INDEX([1]products!$A$1:$G$49,MATCH([1]orders!$D681,[1]products!$A$1:$A$49,0),MATCH([1]orders!L$1,[1]products!$A$1:$G$1,0))</f>
        <v>27.484999999999996</v>
      </c>
      <c r="I681" s="6">
        <f t="shared" si="10"/>
        <v>27.484999999999996</v>
      </c>
    </row>
    <row r="682" spans="1:9" x14ac:dyDescent="0.3">
      <c r="A682" s="1" t="s">
        <v>1321</v>
      </c>
      <c r="B682" s="2">
        <v>44399</v>
      </c>
      <c r="C682" s="3" t="s">
        <v>1322</v>
      </c>
      <c r="D682" s="3" t="str">
        <f>INDEX('Customers (2)'!B:B,MATCH('Customers (2)'!A682,'Customers (2)'!A:A,0))</f>
        <v>Anjanette Goldie</v>
      </c>
      <c r="E682" s="4" t="s">
        <v>61</v>
      </c>
      <c r="F682" s="3">
        <v>5</v>
      </c>
      <c r="G682" s="5">
        <f>INDEX([1]products!$A$1:$G$49,MATCH([1]orders!$D682,[1]products!$A$1:$A$49,0),MATCH([1]orders!K$1,[1]products!$A$1:$G$1,0))</f>
        <v>1</v>
      </c>
      <c r="H682" s="6">
        <f>INDEX([1]products!$A$1:$G$49,MATCH([1]orders!$D682,[1]products!$A$1:$A$49,0),MATCH([1]orders!L$1,[1]products!$A$1:$G$1,0))</f>
        <v>11.25</v>
      </c>
      <c r="I682" s="6">
        <f t="shared" si="10"/>
        <v>56.25</v>
      </c>
    </row>
    <row r="683" spans="1:9" x14ac:dyDescent="0.3">
      <c r="A683" s="1" t="s">
        <v>1323</v>
      </c>
      <c r="B683" s="2">
        <v>44080</v>
      </c>
      <c r="C683" s="3" t="s">
        <v>1324</v>
      </c>
      <c r="D683" s="3" t="str">
        <f>INDEX('Customers (2)'!B:B,MATCH('Customers (2)'!A683,'Customers (2)'!A:A,0))</f>
        <v>Nicky Ayris</v>
      </c>
      <c r="E683" s="4" t="s">
        <v>19</v>
      </c>
      <c r="F683" s="3">
        <v>2</v>
      </c>
      <c r="G683" s="5">
        <f>INDEX([1]products!$A$1:$G$49,MATCH([1]orders!$D683,[1]products!$A$1:$A$49,0),MATCH([1]orders!K$1,[1]products!$A$1:$G$1,0))</f>
        <v>0.2</v>
      </c>
      <c r="H683" s="6">
        <f>INDEX([1]products!$A$1:$G$49,MATCH([1]orders!$D683,[1]products!$A$1:$A$49,0),MATCH([1]orders!L$1,[1]products!$A$1:$G$1,0))</f>
        <v>4.7549999999999999</v>
      </c>
      <c r="I683" s="6">
        <f t="shared" si="10"/>
        <v>9.51</v>
      </c>
    </row>
    <row r="684" spans="1:9" x14ac:dyDescent="0.3">
      <c r="A684" s="1" t="s">
        <v>1325</v>
      </c>
      <c r="B684" s="2">
        <v>43827</v>
      </c>
      <c r="C684" s="3" t="s">
        <v>1326</v>
      </c>
      <c r="D684" s="3" t="str">
        <f>INDEX('Customers (2)'!B:B,MATCH('Customers (2)'!A684,'Customers (2)'!A:A,0))</f>
        <v>Laryssa Benediktovich</v>
      </c>
      <c r="E684" s="4" t="s">
        <v>64</v>
      </c>
      <c r="F684" s="3">
        <v>2</v>
      </c>
      <c r="G684" s="5">
        <f>INDEX([1]products!$A$1:$G$49,MATCH([1]orders!$D684,[1]products!$A$1:$A$49,0),MATCH([1]orders!K$1,[1]products!$A$1:$G$1,0))</f>
        <v>0.2</v>
      </c>
      <c r="H684" s="6">
        <f>INDEX([1]products!$A$1:$G$49,MATCH([1]orders!$D684,[1]products!$A$1:$A$49,0),MATCH([1]orders!L$1,[1]products!$A$1:$G$1,0))</f>
        <v>4.125</v>
      </c>
      <c r="I684" s="6">
        <f t="shared" si="10"/>
        <v>8.25</v>
      </c>
    </row>
    <row r="685" spans="1:9" x14ac:dyDescent="0.3">
      <c r="A685" s="1" t="s">
        <v>1327</v>
      </c>
      <c r="B685" s="2">
        <v>43941</v>
      </c>
      <c r="C685" s="3" t="s">
        <v>1328</v>
      </c>
      <c r="D685" s="3" t="str">
        <f>INDEX('Customers (2)'!B:B,MATCH('Customers (2)'!A685,'Customers (2)'!A:A,0))</f>
        <v>Theo Jacobovitz</v>
      </c>
      <c r="E685" s="4" t="s">
        <v>123</v>
      </c>
      <c r="F685" s="3">
        <v>6</v>
      </c>
      <c r="G685" s="5">
        <f>INDEX([1]products!$A$1:$G$49,MATCH([1]orders!$D685,[1]products!$A$1:$A$49,0),MATCH([1]orders!K$1,[1]products!$A$1:$G$1,0))</f>
        <v>0.5</v>
      </c>
      <c r="H685" s="6">
        <f>INDEX([1]products!$A$1:$G$49,MATCH([1]orders!$D685,[1]products!$A$1:$A$49,0),MATCH([1]orders!L$1,[1]products!$A$1:$G$1,0))</f>
        <v>7.77</v>
      </c>
      <c r="I685" s="6">
        <f t="shared" si="10"/>
        <v>46.62</v>
      </c>
    </row>
    <row r="686" spans="1:9" x14ac:dyDescent="0.3">
      <c r="A686" s="1" t="s">
        <v>1329</v>
      </c>
      <c r="B686" s="2">
        <v>43517</v>
      </c>
      <c r="C686" s="3" t="s">
        <v>1330</v>
      </c>
      <c r="D686" s="3" t="str">
        <f>INDEX('Customers (2)'!B:B,MATCH('Customers (2)'!A686,'Customers (2)'!A:A,0))</f>
        <v>Becca Ableson</v>
      </c>
      <c r="E686" s="4" t="s">
        <v>189</v>
      </c>
      <c r="F686" s="3">
        <v>6</v>
      </c>
      <c r="G686" s="5">
        <f>INDEX([1]products!$A$1:$G$49,MATCH([1]orders!$D686,[1]products!$A$1:$A$49,0),MATCH([1]orders!K$1,[1]products!$A$1:$G$1,0))</f>
        <v>1</v>
      </c>
      <c r="H686" s="6">
        <f>INDEX([1]products!$A$1:$G$49,MATCH([1]orders!$D686,[1]products!$A$1:$A$49,0),MATCH([1]orders!L$1,[1]products!$A$1:$G$1,0))</f>
        <v>11.95</v>
      </c>
      <c r="I686" s="6">
        <f t="shared" si="10"/>
        <v>71.699999999999989</v>
      </c>
    </row>
    <row r="687" spans="1:9" x14ac:dyDescent="0.3">
      <c r="A687" s="1" t="s">
        <v>1331</v>
      </c>
      <c r="B687" s="2">
        <v>44637</v>
      </c>
      <c r="C687" s="3" t="s">
        <v>1332</v>
      </c>
      <c r="D687" s="3" t="str">
        <f>INDEX('Customers (2)'!B:B,MATCH('Customers (2)'!A687,'Customers (2)'!A:A,0))</f>
        <v>Jeno Druitt</v>
      </c>
      <c r="E687" s="4" t="s">
        <v>104</v>
      </c>
      <c r="F687" s="3">
        <v>2</v>
      </c>
      <c r="G687" s="5">
        <f>INDEX([1]products!$A$1:$G$49,MATCH([1]orders!$D687,[1]products!$A$1:$A$49,0),MATCH([1]orders!K$1,[1]products!$A$1:$G$1,0))</f>
        <v>2.5</v>
      </c>
      <c r="H687" s="6">
        <f>INDEX([1]products!$A$1:$G$49,MATCH([1]orders!$D687,[1]products!$A$1:$A$49,0),MATCH([1]orders!L$1,[1]products!$A$1:$G$1,0))</f>
        <v>36.454999999999998</v>
      </c>
      <c r="I687" s="6">
        <f t="shared" si="10"/>
        <v>72.91</v>
      </c>
    </row>
    <row r="688" spans="1:9" x14ac:dyDescent="0.3">
      <c r="A688" s="1" t="s">
        <v>1333</v>
      </c>
      <c r="B688" s="2">
        <v>44330</v>
      </c>
      <c r="C688" s="3" t="s">
        <v>1334</v>
      </c>
      <c r="D688" s="3" t="str">
        <f>INDEX('Customers (2)'!B:B,MATCH('Customers (2)'!A688,'Customers (2)'!A:A,0))</f>
        <v>Deonne Shortall</v>
      </c>
      <c r="E688" s="4" t="s">
        <v>101</v>
      </c>
      <c r="F688" s="3">
        <v>3</v>
      </c>
      <c r="G688" s="5">
        <f>INDEX([1]products!$A$1:$G$49,MATCH([1]orders!$D688,[1]products!$A$1:$A$49,0),MATCH([1]orders!K$1,[1]products!$A$1:$G$1,0))</f>
        <v>0.2</v>
      </c>
      <c r="H688" s="6">
        <f>INDEX([1]products!$A$1:$G$49,MATCH([1]orders!$D688,[1]products!$A$1:$A$49,0),MATCH([1]orders!L$1,[1]products!$A$1:$G$1,0))</f>
        <v>2.6849999999999996</v>
      </c>
      <c r="I688" s="6">
        <f t="shared" si="10"/>
        <v>8.0549999999999997</v>
      </c>
    </row>
    <row r="689" spans="1:9" x14ac:dyDescent="0.3">
      <c r="A689" s="1" t="s">
        <v>1335</v>
      </c>
      <c r="B689" s="2">
        <v>43471</v>
      </c>
      <c r="C689" s="3" t="s">
        <v>1336</v>
      </c>
      <c r="D689" s="3" t="str">
        <f>INDEX('Customers (2)'!B:B,MATCH('Customers (2)'!A689,'Customers (2)'!A:A,0))</f>
        <v>Wilton Cottier</v>
      </c>
      <c r="E689" s="4" t="s">
        <v>3</v>
      </c>
      <c r="F689" s="3">
        <v>2</v>
      </c>
      <c r="G689" s="5">
        <f>INDEX([1]products!$A$1:$G$49,MATCH([1]orders!$D689,[1]products!$A$1:$A$49,0),MATCH([1]orders!K$1,[1]products!$A$1:$G$1,0))</f>
        <v>0.5</v>
      </c>
      <c r="H689" s="6">
        <f>INDEX([1]products!$A$1:$G$49,MATCH([1]orders!$D689,[1]products!$A$1:$A$49,0),MATCH([1]orders!L$1,[1]products!$A$1:$G$1,0))</f>
        <v>8.25</v>
      </c>
      <c r="I689" s="6">
        <f t="shared" si="10"/>
        <v>16.5</v>
      </c>
    </row>
    <row r="690" spans="1:9" x14ac:dyDescent="0.3">
      <c r="A690" s="1" t="s">
        <v>1337</v>
      </c>
      <c r="B690" s="2">
        <v>43579</v>
      </c>
      <c r="C690" s="3" t="s">
        <v>1338</v>
      </c>
      <c r="D690" s="3" t="str">
        <f>INDEX('Customers (2)'!B:B,MATCH('Customers (2)'!A690,'Customers (2)'!A:A,0))</f>
        <v>Kevan Grinsted</v>
      </c>
      <c r="E690" s="4" t="s">
        <v>6</v>
      </c>
      <c r="F690" s="3">
        <v>5</v>
      </c>
      <c r="G690" s="5">
        <f>INDEX([1]products!$A$1:$G$49,MATCH([1]orders!$D690,[1]products!$A$1:$A$49,0),MATCH([1]orders!K$1,[1]products!$A$1:$G$1,0))</f>
        <v>1</v>
      </c>
      <c r="H690" s="6">
        <f>INDEX([1]products!$A$1:$G$49,MATCH([1]orders!$D690,[1]products!$A$1:$A$49,0),MATCH([1]orders!L$1,[1]products!$A$1:$G$1,0))</f>
        <v>12.95</v>
      </c>
      <c r="I690" s="6">
        <f t="shared" si="10"/>
        <v>64.75</v>
      </c>
    </row>
    <row r="691" spans="1:9" x14ac:dyDescent="0.3">
      <c r="A691" s="1" t="s">
        <v>1339</v>
      </c>
      <c r="B691" s="2">
        <v>44346</v>
      </c>
      <c r="C691" s="3" t="s">
        <v>1340</v>
      </c>
      <c r="D691" s="3" t="str">
        <f>INDEX('Customers (2)'!B:B,MATCH('Customers (2)'!A691,'Customers (2)'!A:A,0))</f>
        <v>Dionne Skyner</v>
      </c>
      <c r="E691" s="4" t="s">
        <v>67</v>
      </c>
      <c r="F691" s="3">
        <v>5</v>
      </c>
      <c r="G691" s="5">
        <f>INDEX([1]products!$A$1:$G$49,MATCH([1]orders!$D691,[1]products!$A$1:$A$49,0),MATCH([1]orders!K$1,[1]products!$A$1:$G$1,0))</f>
        <v>0.5</v>
      </c>
      <c r="H691" s="6">
        <f>INDEX([1]products!$A$1:$G$49,MATCH([1]orders!$D691,[1]products!$A$1:$A$49,0),MATCH([1]orders!L$1,[1]products!$A$1:$G$1,0))</f>
        <v>6.75</v>
      </c>
      <c r="I691" s="6">
        <f t="shared" si="10"/>
        <v>33.75</v>
      </c>
    </row>
    <row r="692" spans="1:9" x14ac:dyDescent="0.3">
      <c r="A692" s="1" t="s">
        <v>1341</v>
      </c>
      <c r="B692" s="2">
        <v>44754</v>
      </c>
      <c r="C692" s="3" t="s">
        <v>1342</v>
      </c>
      <c r="D692" s="3" t="str">
        <f>INDEX('Customers (2)'!B:B,MATCH('Customers (2)'!A692,'Customers (2)'!A:A,0))</f>
        <v>Francesco Dressel</v>
      </c>
      <c r="E692" s="4" t="s">
        <v>109</v>
      </c>
      <c r="F692" s="3">
        <v>6</v>
      </c>
      <c r="G692" s="5">
        <f>INDEX([1]products!$A$1:$G$49,MATCH([1]orders!$D692,[1]products!$A$1:$A$49,0),MATCH([1]orders!K$1,[1]products!$A$1:$G$1,0))</f>
        <v>2.5</v>
      </c>
      <c r="H692" s="6">
        <f>INDEX([1]products!$A$1:$G$49,MATCH([1]orders!$D692,[1]products!$A$1:$A$49,0),MATCH([1]orders!L$1,[1]products!$A$1:$G$1,0))</f>
        <v>29.784999999999997</v>
      </c>
      <c r="I692" s="6">
        <f t="shared" si="10"/>
        <v>178.70999999999998</v>
      </c>
    </row>
    <row r="693" spans="1:9" x14ac:dyDescent="0.3">
      <c r="A693" s="1" t="s">
        <v>1343</v>
      </c>
      <c r="B693" s="2">
        <v>44227</v>
      </c>
      <c r="C693" s="3" t="s">
        <v>1344</v>
      </c>
      <c r="D693" s="3" t="str">
        <f>INDEX('Customers (2)'!B:B,MATCH('Customers (2)'!A693,'Customers (2)'!A:A,0))</f>
        <v>Paola Normanvill</v>
      </c>
      <c r="E693" s="4" t="s">
        <v>61</v>
      </c>
      <c r="F693" s="3">
        <v>2</v>
      </c>
      <c r="G693" s="5">
        <f>INDEX([1]products!$A$1:$G$49,MATCH([1]orders!$D693,[1]products!$A$1:$A$49,0),MATCH([1]orders!K$1,[1]products!$A$1:$G$1,0))</f>
        <v>1</v>
      </c>
      <c r="H693" s="6">
        <f>INDEX([1]products!$A$1:$G$49,MATCH([1]orders!$D693,[1]products!$A$1:$A$49,0),MATCH([1]orders!L$1,[1]products!$A$1:$G$1,0))</f>
        <v>11.25</v>
      </c>
      <c r="I693" s="6">
        <f t="shared" si="10"/>
        <v>22.5</v>
      </c>
    </row>
    <row r="694" spans="1:9" x14ac:dyDescent="0.3">
      <c r="A694" s="1" t="s">
        <v>1345</v>
      </c>
      <c r="B694" s="2">
        <v>43720</v>
      </c>
      <c r="C694" s="3" t="s">
        <v>1346</v>
      </c>
      <c r="D694" s="3" t="str">
        <f>INDEX('Customers (2)'!B:B,MATCH('Customers (2)'!A694,'Customers (2)'!A:A,0))</f>
        <v>Ambrosio Weinmann</v>
      </c>
      <c r="E694" s="4" t="s">
        <v>13</v>
      </c>
      <c r="F694" s="3">
        <v>1</v>
      </c>
      <c r="G694" s="5">
        <f>INDEX([1]products!$A$1:$G$49,MATCH([1]orders!$D694,[1]products!$A$1:$A$49,0),MATCH([1]orders!K$1,[1]products!$A$1:$G$1,0))</f>
        <v>1</v>
      </c>
      <c r="H694" s="6">
        <f>INDEX([1]products!$A$1:$G$49,MATCH([1]orders!$D694,[1]products!$A$1:$A$49,0),MATCH([1]orders!L$1,[1]products!$A$1:$G$1,0))</f>
        <v>12.95</v>
      </c>
      <c r="I694" s="6">
        <f t="shared" si="10"/>
        <v>12.95</v>
      </c>
    </row>
    <row r="695" spans="1:9" x14ac:dyDescent="0.3">
      <c r="A695" s="1" t="s">
        <v>1347</v>
      </c>
      <c r="B695" s="2">
        <v>44012</v>
      </c>
      <c r="C695" s="3" t="s">
        <v>1348</v>
      </c>
      <c r="D695" s="3" t="str">
        <f>INDEX('Customers (2)'!B:B,MATCH('Customers (2)'!A695,'Customers (2)'!A:A,0))</f>
        <v>Elden Andriessen</v>
      </c>
      <c r="E695" s="4" t="s">
        <v>171</v>
      </c>
      <c r="F695" s="3">
        <v>2</v>
      </c>
      <c r="G695" s="5">
        <f>INDEX([1]products!$A$1:$G$49,MATCH([1]orders!$D695,[1]products!$A$1:$A$49,0),MATCH([1]orders!K$1,[1]products!$A$1:$G$1,0))</f>
        <v>2.5</v>
      </c>
      <c r="H695" s="6">
        <f>INDEX([1]products!$A$1:$G$49,MATCH([1]orders!$D695,[1]products!$A$1:$A$49,0),MATCH([1]orders!L$1,[1]products!$A$1:$G$1,0))</f>
        <v>25.874999999999996</v>
      </c>
      <c r="I695" s="6">
        <f t="shared" si="10"/>
        <v>51.749999999999993</v>
      </c>
    </row>
    <row r="696" spans="1:9" x14ac:dyDescent="0.3">
      <c r="A696" s="1" t="s">
        <v>1349</v>
      </c>
      <c r="B696" s="2">
        <v>43915</v>
      </c>
      <c r="C696" s="3" t="s">
        <v>1350</v>
      </c>
      <c r="D696" s="3" t="str">
        <f>INDEX('Customers (2)'!B:B,MATCH('Customers (2)'!A696,'Customers (2)'!A:A,0))</f>
        <v>Roxie Deaconson</v>
      </c>
      <c r="E696" s="4" t="s">
        <v>16</v>
      </c>
      <c r="F696" s="3">
        <v>5</v>
      </c>
      <c r="G696" s="5">
        <f>INDEX([1]products!$A$1:$G$49,MATCH([1]orders!$D696,[1]products!$A$1:$A$49,0),MATCH([1]orders!K$1,[1]products!$A$1:$G$1,0))</f>
        <v>0.5</v>
      </c>
      <c r="H696" s="6">
        <f>INDEX([1]products!$A$1:$G$49,MATCH([1]orders!$D696,[1]products!$A$1:$A$49,0),MATCH([1]orders!L$1,[1]products!$A$1:$G$1,0))</f>
        <v>7.29</v>
      </c>
      <c r="I696" s="6">
        <f t="shared" si="10"/>
        <v>36.450000000000003</v>
      </c>
    </row>
    <row r="697" spans="1:9" x14ac:dyDescent="0.3">
      <c r="A697" s="1" t="s">
        <v>1351</v>
      </c>
      <c r="B697" s="2">
        <v>44300</v>
      </c>
      <c r="C697" s="3" t="s">
        <v>1352</v>
      </c>
      <c r="D697" s="3" t="str">
        <f>INDEX('Customers (2)'!B:B,MATCH('Customers (2)'!A697,'Customers (2)'!A:A,0))</f>
        <v>Davida Caro</v>
      </c>
      <c r="E697" s="4" t="s">
        <v>104</v>
      </c>
      <c r="F697" s="3">
        <v>5</v>
      </c>
      <c r="G697" s="5">
        <f>INDEX([1]products!$A$1:$G$49,MATCH([1]orders!$D697,[1]products!$A$1:$A$49,0),MATCH([1]orders!K$1,[1]products!$A$1:$G$1,0))</f>
        <v>2.5</v>
      </c>
      <c r="H697" s="6">
        <f>INDEX([1]products!$A$1:$G$49,MATCH([1]orders!$D697,[1]products!$A$1:$A$49,0),MATCH([1]orders!L$1,[1]products!$A$1:$G$1,0))</f>
        <v>36.454999999999998</v>
      </c>
      <c r="I697" s="6">
        <f t="shared" si="10"/>
        <v>182.27499999999998</v>
      </c>
    </row>
    <row r="698" spans="1:9" x14ac:dyDescent="0.3">
      <c r="A698" s="1" t="s">
        <v>1353</v>
      </c>
      <c r="B698" s="2">
        <v>43693</v>
      </c>
      <c r="C698" s="3" t="s">
        <v>1354</v>
      </c>
      <c r="D698" s="3" t="str">
        <f>INDEX('Customers (2)'!B:B,MATCH('Customers (2)'!A698,'Customers (2)'!A:A,0))</f>
        <v>Johna Bluck</v>
      </c>
      <c r="E698" s="4" t="s">
        <v>123</v>
      </c>
      <c r="F698" s="3">
        <v>4</v>
      </c>
      <c r="G698" s="5">
        <f>INDEX([1]products!$A$1:$G$49,MATCH([1]orders!$D698,[1]products!$A$1:$A$49,0),MATCH([1]orders!K$1,[1]products!$A$1:$G$1,0))</f>
        <v>0.5</v>
      </c>
      <c r="H698" s="6">
        <f>INDEX([1]products!$A$1:$G$49,MATCH([1]orders!$D698,[1]products!$A$1:$A$49,0),MATCH([1]orders!L$1,[1]products!$A$1:$G$1,0))</f>
        <v>7.77</v>
      </c>
      <c r="I698" s="6">
        <f t="shared" si="10"/>
        <v>31.08</v>
      </c>
    </row>
    <row r="699" spans="1:9" x14ac:dyDescent="0.3">
      <c r="A699" s="1" t="s">
        <v>1355</v>
      </c>
      <c r="B699" s="2">
        <v>44547</v>
      </c>
      <c r="C699" s="3" t="s">
        <v>1356</v>
      </c>
      <c r="D699" s="3" t="str">
        <f>INDEX('Customers (2)'!B:B,MATCH('Customers (2)'!A699,'Customers (2)'!A:A,0))</f>
        <v>Myrle Dearden</v>
      </c>
      <c r="E699" s="4" t="s">
        <v>67</v>
      </c>
      <c r="F699" s="3">
        <v>3</v>
      </c>
      <c r="G699" s="5">
        <f>INDEX([1]products!$A$1:$G$49,MATCH([1]orders!$D699,[1]products!$A$1:$A$49,0),MATCH([1]orders!K$1,[1]products!$A$1:$G$1,0))</f>
        <v>0.5</v>
      </c>
      <c r="H699" s="6">
        <f>INDEX([1]products!$A$1:$G$49,MATCH([1]orders!$D699,[1]products!$A$1:$A$49,0),MATCH([1]orders!L$1,[1]products!$A$1:$G$1,0))</f>
        <v>6.75</v>
      </c>
      <c r="I699" s="6">
        <f t="shared" si="10"/>
        <v>20.25</v>
      </c>
    </row>
    <row r="700" spans="1:9" x14ac:dyDescent="0.3">
      <c r="A700" s="1" t="s">
        <v>1357</v>
      </c>
      <c r="B700" s="2">
        <v>43830</v>
      </c>
      <c r="C700" s="3" t="s">
        <v>1344</v>
      </c>
      <c r="D700" s="3" t="str">
        <f>INDEX('Customers (2)'!B:B,MATCH('Customers (2)'!A700,'Customers (2)'!A:A,0))</f>
        <v>Jimmy Dymoke</v>
      </c>
      <c r="E700" s="4" t="s">
        <v>13</v>
      </c>
      <c r="F700" s="3">
        <v>2</v>
      </c>
      <c r="G700" s="5">
        <f>INDEX([1]products!$A$1:$G$49,MATCH([1]orders!$D700,[1]products!$A$1:$A$49,0),MATCH([1]orders!K$1,[1]products!$A$1:$G$1,0))</f>
        <v>1</v>
      </c>
      <c r="H700" s="6">
        <f>INDEX([1]products!$A$1:$G$49,MATCH([1]orders!$D700,[1]products!$A$1:$A$49,0),MATCH([1]orders!L$1,[1]products!$A$1:$G$1,0))</f>
        <v>12.95</v>
      </c>
      <c r="I700" s="6">
        <f t="shared" si="10"/>
        <v>25.9</v>
      </c>
    </row>
    <row r="701" spans="1:9" x14ac:dyDescent="0.3">
      <c r="A701" s="1" t="s">
        <v>1358</v>
      </c>
      <c r="B701" s="2">
        <v>44298</v>
      </c>
      <c r="C701" s="3" t="s">
        <v>1359</v>
      </c>
      <c r="D701" s="3" t="str">
        <f>INDEX('Customers (2)'!B:B,MATCH('Customers (2)'!A701,'Customers (2)'!A:A,0))</f>
        <v>Orland Tadman</v>
      </c>
      <c r="E701" s="4" t="s">
        <v>72</v>
      </c>
      <c r="F701" s="3">
        <v>4</v>
      </c>
      <c r="G701" s="5">
        <f>INDEX([1]products!$A$1:$G$49,MATCH([1]orders!$D701,[1]products!$A$1:$A$49,0),MATCH([1]orders!K$1,[1]products!$A$1:$G$1,0))</f>
        <v>0.5</v>
      </c>
      <c r="H701" s="6">
        <f>INDEX([1]products!$A$1:$G$49,MATCH([1]orders!$D701,[1]products!$A$1:$A$49,0),MATCH([1]orders!L$1,[1]products!$A$1:$G$1,0))</f>
        <v>5.97</v>
      </c>
      <c r="I701" s="6">
        <f t="shared" si="10"/>
        <v>23.88</v>
      </c>
    </row>
    <row r="702" spans="1:9" x14ac:dyDescent="0.3">
      <c r="A702" s="1" t="s">
        <v>1360</v>
      </c>
      <c r="B702" s="2">
        <v>43736</v>
      </c>
      <c r="C702" s="3" t="s">
        <v>1361</v>
      </c>
      <c r="D702" s="3" t="str">
        <f>INDEX('Customers (2)'!B:B,MATCH('Customers (2)'!A702,'Customers (2)'!A:A,0))</f>
        <v>Barrett Gudde</v>
      </c>
      <c r="E702" s="4" t="s">
        <v>83</v>
      </c>
      <c r="F702" s="3">
        <v>2</v>
      </c>
      <c r="G702" s="5">
        <f>INDEX([1]products!$A$1:$G$49,MATCH([1]orders!$D702,[1]products!$A$1:$A$49,0),MATCH([1]orders!K$1,[1]products!$A$1:$G$1,0))</f>
        <v>0.5</v>
      </c>
      <c r="H702" s="6">
        <f>INDEX([1]products!$A$1:$G$49,MATCH([1]orders!$D702,[1]products!$A$1:$A$49,0),MATCH([1]orders!L$1,[1]products!$A$1:$G$1,0))</f>
        <v>9.51</v>
      </c>
      <c r="I702" s="6">
        <f t="shared" si="10"/>
        <v>19.02</v>
      </c>
    </row>
    <row r="703" spans="1:9" x14ac:dyDescent="0.3">
      <c r="A703" s="1" t="s">
        <v>1362</v>
      </c>
      <c r="B703" s="2">
        <v>44727</v>
      </c>
      <c r="C703" s="3" t="s">
        <v>1363</v>
      </c>
      <c r="D703" s="3" t="str">
        <f>INDEX('Customers (2)'!B:B,MATCH('Customers (2)'!A703,'Customers (2)'!A:A,0))</f>
        <v>Nathan Sictornes</v>
      </c>
      <c r="E703" s="4" t="s">
        <v>72</v>
      </c>
      <c r="F703" s="3">
        <v>5</v>
      </c>
      <c r="G703" s="5">
        <f>INDEX([1]products!$A$1:$G$49,MATCH([1]orders!$D703,[1]products!$A$1:$A$49,0),MATCH([1]orders!K$1,[1]products!$A$1:$G$1,0))</f>
        <v>0.5</v>
      </c>
      <c r="H703" s="6">
        <f>INDEX([1]products!$A$1:$G$49,MATCH([1]orders!$D703,[1]products!$A$1:$A$49,0),MATCH([1]orders!L$1,[1]products!$A$1:$G$1,0))</f>
        <v>5.97</v>
      </c>
      <c r="I703" s="6">
        <f t="shared" si="10"/>
        <v>29.849999999999998</v>
      </c>
    </row>
    <row r="704" spans="1:9" x14ac:dyDescent="0.3">
      <c r="A704" s="1" t="s">
        <v>1364</v>
      </c>
      <c r="B704" s="2">
        <v>43661</v>
      </c>
      <c r="C704" s="3" t="s">
        <v>1365</v>
      </c>
      <c r="D704" s="3" t="str">
        <f>INDEX('Customers (2)'!B:B,MATCH('Customers (2)'!A704,'Customers (2)'!A:A,0))</f>
        <v>Vivyan Dunning</v>
      </c>
      <c r="E704" s="4" t="s">
        <v>192</v>
      </c>
      <c r="F704" s="3">
        <v>1</v>
      </c>
      <c r="G704" s="5">
        <f>INDEX([1]products!$A$1:$G$49,MATCH([1]orders!$D704,[1]products!$A$1:$A$49,0),MATCH([1]orders!K$1,[1]products!$A$1:$G$1,0))</f>
        <v>0.5</v>
      </c>
      <c r="H704" s="6">
        <f>INDEX([1]products!$A$1:$G$49,MATCH([1]orders!$D704,[1]products!$A$1:$A$49,0),MATCH([1]orders!L$1,[1]products!$A$1:$G$1,0))</f>
        <v>7.77</v>
      </c>
      <c r="I704" s="6">
        <f t="shared" si="10"/>
        <v>7.77</v>
      </c>
    </row>
    <row r="705" spans="1:9" x14ac:dyDescent="0.3">
      <c r="A705" s="1" t="s">
        <v>1366</v>
      </c>
      <c r="B705" s="2">
        <v>43506</v>
      </c>
      <c r="C705" s="3" t="s">
        <v>1367</v>
      </c>
      <c r="D705" s="3" t="str">
        <f>INDEX('Customers (2)'!B:B,MATCH('Customers (2)'!A705,'Customers (2)'!A:A,0))</f>
        <v>Doralin Baison</v>
      </c>
      <c r="E705" s="4" t="s">
        <v>109</v>
      </c>
      <c r="F705" s="3">
        <v>4</v>
      </c>
      <c r="G705" s="5">
        <f>INDEX([1]products!$A$1:$G$49,MATCH([1]orders!$D705,[1]products!$A$1:$A$49,0),MATCH([1]orders!K$1,[1]products!$A$1:$G$1,0))</f>
        <v>2.5</v>
      </c>
      <c r="H705" s="6">
        <f>INDEX([1]products!$A$1:$G$49,MATCH([1]orders!$D705,[1]products!$A$1:$A$49,0),MATCH([1]orders!L$1,[1]products!$A$1:$G$1,0))</f>
        <v>29.784999999999997</v>
      </c>
      <c r="I705" s="6">
        <f t="shared" si="10"/>
        <v>119.13999999999999</v>
      </c>
    </row>
    <row r="706" spans="1:9" x14ac:dyDescent="0.3">
      <c r="A706" s="1" t="s">
        <v>1368</v>
      </c>
      <c r="B706" s="2">
        <v>44716</v>
      </c>
      <c r="C706" s="3" t="s">
        <v>1369</v>
      </c>
      <c r="D706" s="3" t="str">
        <f>INDEX('Customers (2)'!B:B,MATCH('Customers (2)'!A706,'Customers (2)'!A:A,0))</f>
        <v>Josefina Ferens</v>
      </c>
      <c r="E706" s="4" t="s">
        <v>51</v>
      </c>
      <c r="F706" s="3">
        <v>6</v>
      </c>
      <c r="G706" s="5">
        <f>INDEX([1]products!$A$1:$G$49,MATCH([1]orders!$D706,[1]products!$A$1:$A$49,0),MATCH([1]orders!K$1,[1]products!$A$1:$G$1,0))</f>
        <v>0.2</v>
      </c>
      <c r="H706" s="6">
        <f>INDEX([1]products!$A$1:$G$49,MATCH([1]orders!$D706,[1]products!$A$1:$A$49,0),MATCH([1]orders!L$1,[1]products!$A$1:$G$1,0))</f>
        <v>3.645</v>
      </c>
      <c r="I706" s="6">
        <f t="shared" ref="I706:I769" si="11">F706*H706</f>
        <v>21.87</v>
      </c>
    </row>
    <row r="707" spans="1:9" x14ac:dyDescent="0.3">
      <c r="A707" s="1" t="s">
        <v>1370</v>
      </c>
      <c r="B707" s="2">
        <v>44114</v>
      </c>
      <c r="C707" s="3" t="s">
        <v>1371</v>
      </c>
      <c r="D707" s="3" t="str">
        <f>INDEX('Customers (2)'!B:B,MATCH('Customers (2)'!A707,'Customers (2)'!A:A,0))</f>
        <v>Shelley Gehring</v>
      </c>
      <c r="E707" s="4" t="s">
        <v>176</v>
      </c>
      <c r="F707" s="3">
        <v>2</v>
      </c>
      <c r="G707" s="5">
        <f>INDEX([1]products!$A$1:$G$49,MATCH([1]orders!$D707,[1]products!$A$1:$A$49,0),MATCH([1]orders!K$1,[1]products!$A$1:$G$1,0))</f>
        <v>0.5</v>
      </c>
      <c r="H707" s="6">
        <f>INDEX([1]products!$A$1:$G$49,MATCH([1]orders!$D707,[1]products!$A$1:$A$49,0),MATCH([1]orders!L$1,[1]products!$A$1:$G$1,0))</f>
        <v>8.91</v>
      </c>
      <c r="I707" s="6">
        <f t="shared" si="11"/>
        <v>17.82</v>
      </c>
    </row>
    <row r="708" spans="1:9" x14ac:dyDescent="0.3">
      <c r="A708" s="1" t="s">
        <v>1372</v>
      </c>
      <c r="B708" s="2">
        <v>44353</v>
      </c>
      <c r="C708" s="3" t="s">
        <v>1373</v>
      </c>
      <c r="D708" s="3" t="str">
        <f>INDEX('Customers (2)'!B:B,MATCH('Customers (2)'!A708,'Customers (2)'!A:A,0))</f>
        <v>Barrie Fallowes</v>
      </c>
      <c r="E708" s="4" t="s">
        <v>64</v>
      </c>
      <c r="F708" s="3">
        <v>3</v>
      </c>
      <c r="G708" s="5">
        <f>INDEX([1]products!$A$1:$G$49,MATCH([1]orders!$D708,[1]products!$A$1:$A$49,0),MATCH([1]orders!K$1,[1]products!$A$1:$G$1,0))</f>
        <v>0.2</v>
      </c>
      <c r="H708" s="6">
        <f>INDEX([1]products!$A$1:$G$49,MATCH([1]orders!$D708,[1]products!$A$1:$A$49,0),MATCH([1]orders!L$1,[1]products!$A$1:$G$1,0))</f>
        <v>4.125</v>
      </c>
      <c r="I708" s="6">
        <f t="shared" si="11"/>
        <v>12.375</v>
      </c>
    </row>
    <row r="709" spans="1:9" x14ac:dyDescent="0.3">
      <c r="A709" s="1" t="s">
        <v>1374</v>
      </c>
      <c r="B709" s="2">
        <v>43540</v>
      </c>
      <c r="C709" s="3" t="s">
        <v>1375</v>
      </c>
      <c r="D709" s="3" t="str">
        <f>INDEX('Customers (2)'!B:B,MATCH('Customers (2)'!A709,'Customers (2)'!A:A,0))</f>
        <v>Nicolas Aiton</v>
      </c>
      <c r="E709" s="4" t="s">
        <v>13</v>
      </c>
      <c r="F709" s="3">
        <v>2</v>
      </c>
      <c r="G709" s="5">
        <f>INDEX([1]products!$A$1:$G$49,MATCH([1]orders!$D709,[1]products!$A$1:$A$49,0),MATCH([1]orders!K$1,[1]products!$A$1:$G$1,0))</f>
        <v>1</v>
      </c>
      <c r="H709" s="6">
        <f>INDEX([1]products!$A$1:$G$49,MATCH([1]orders!$D709,[1]products!$A$1:$A$49,0),MATCH([1]orders!L$1,[1]products!$A$1:$G$1,0))</f>
        <v>12.95</v>
      </c>
      <c r="I709" s="6">
        <f t="shared" si="11"/>
        <v>25.9</v>
      </c>
    </row>
    <row r="710" spans="1:9" x14ac:dyDescent="0.3">
      <c r="A710" s="1" t="s">
        <v>1376</v>
      </c>
      <c r="B710" s="2">
        <v>43804</v>
      </c>
      <c r="C710" s="3" t="s">
        <v>1377</v>
      </c>
      <c r="D710" s="3" t="str">
        <f>INDEX('Customers (2)'!B:B,MATCH('Customers (2)'!A710,'Customers (2)'!A:A,0))</f>
        <v>Shelli De Banke</v>
      </c>
      <c r="E710" s="4" t="s">
        <v>67</v>
      </c>
      <c r="F710" s="3">
        <v>2</v>
      </c>
      <c r="G710" s="5">
        <f>INDEX([1]products!$A$1:$G$49,MATCH([1]orders!$D710,[1]products!$A$1:$A$49,0),MATCH([1]orders!K$1,[1]products!$A$1:$G$1,0))</f>
        <v>0.5</v>
      </c>
      <c r="H710" s="6">
        <f>INDEX([1]products!$A$1:$G$49,MATCH([1]orders!$D710,[1]products!$A$1:$A$49,0),MATCH([1]orders!L$1,[1]products!$A$1:$G$1,0))</f>
        <v>6.75</v>
      </c>
      <c r="I710" s="6">
        <f t="shared" si="11"/>
        <v>13.5</v>
      </c>
    </row>
    <row r="711" spans="1:9" x14ac:dyDescent="0.3">
      <c r="A711" s="1" t="s">
        <v>1378</v>
      </c>
      <c r="B711" s="2">
        <v>43485</v>
      </c>
      <c r="C711" s="3" t="s">
        <v>1379</v>
      </c>
      <c r="D711" s="3" t="str">
        <f>INDEX('Customers (2)'!B:B,MATCH('Customers (2)'!A711,'Customers (2)'!A:A,0))</f>
        <v>Lyell Murch</v>
      </c>
      <c r="E711" s="4" t="s">
        <v>176</v>
      </c>
      <c r="F711" s="3">
        <v>2</v>
      </c>
      <c r="G711" s="5">
        <f>INDEX([1]products!$A$1:$G$49,MATCH([1]orders!$D711,[1]products!$A$1:$A$49,0),MATCH([1]orders!K$1,[1]products!$A$1:$G$1,0))</f>
        <v>0.5</v>
      </c>
      <c r="H711" s="6">
        <f>INDEX([1]products!$A$1:$G$49,MATCH([1]orders!$D711,[1]products!$A$1:$A$49,0),MATCH([1]orders!L$1,[1]products!$A$1:$G$1,0))</f>
        <v>8.91</v>
      </c>
      <c r="I711" s="6">
        <f t="shared" si="11"/>
        <v>17.82</v>
      </c>
    </row>
    <row r="712" spans="1:9" x14ac:dyDescent="0.3">
      <c r="A712" s="1" t="s">
        <v>1380</v>
      </c>
      <c r="B712" s="2">
        <v>44655</v>
      </c>
      <c r="C712" s="3" t="s">
        <v>1381</v>
      </c>
      <c r="D712" s="3" t="str">
        <f>INDEX('Customers (2)'!B:B,MATCH('Customers (2)'!A712,'Customers (2)'!A:A,0))</f>
        <v>Stearne Count</v>
      </c>
      <c r="E712" s="4" t="s">
        <v>3</v>
      </c>
      <c r="F712" s="3">
        <v>3</v>
      </c>
      <c r="G712" s="5">
        <f>INDEX([1]products!$A$1:$G$49,MATCH([1]orders!$D712,[1]products!$A$1:$A$49,0),MATCH([1]orders!K$1,[1]products!$A$1:$G$1,0))</f>
        <v>0.5</v>
      </c>
      <c r="H712" s="6">
        <f>INDEX([1]products!$A$1:$G$49,MATCH([1]orders!$D712,[1]products!$A$1:$A$49,0),MATCH([1]orders!L$1,[1]products!$A$1:$G$1,0))</f>
        <v>8.25</v>
      </c>
      <c r="I712" s="6">
        <f t="shared" si="11"/>
        <v>24.75</v>
      </c>
    </row>
    <row r="713" spans="1:9" x14ac:dyDescent="0.3">
      <c r="A713" s="1" t="s">
        <v>1382</v>
      </c>
      <c r="B713" s="2">
        <v>44600</v>
      </c>
      <c r="C713" s="3" t="s">
        <v>1383</v>
      </c>
      <c r="D713" s="3" t="str">
        <f>INDEX('Customers (2)'!B:B,MATCH('Customers (2)'!A713,'Customers (2)'!A:A,0))</f>
        <v>Selia Ragles</v>
      </c>
      <c r="E713" s="4" t="s">
        <v>162</v>
      </c>
      <c r="F713" s="3">
        <v>6</v>
      </c>
      <c r="G713" s="5">
        <f>INDEX([1]products!$A$1:$G$49,MATCH([1]orders!$D713,[1]products!$A$1:$A$49,0),MATCH([1]orders!K$1,[1]products!$A$1:$G$1,0))</f>
        <v>0.2</v>
      </c>
      <c r="H713" s="6">
        <f>INDEX([1]products!$A$1:$G$49,MATCH([1]orders!$D713,[1]products!$A$1:$A$49,0),MATCH([1]orders!L$1,[1]products!$A$1:$G$1,0))</f>
        <v>2.9849999999999999</v>
      </c>
      <c r="I713" s="6">
        <f t="shared" si="11"/>
        <v>17.91</v>
      </c>
    </row>
    <row r="714" spans="1:9" x14ac:dyDescent="0.3">
      <c r="A714" s="1" t="s">
        <v>1384</v>
      </c>
      <c r="B714" s="2">
        <v>43646</v>
      </c>
      <c r="C714" s="3" t="s">
        <v>1385</v>
      </c>
      <c r="D714" s="3" t="str">
        <f>INDEX('Customers (2)'!B:B,MATCH('Customers (2)'!A714,'Customers (2)'!A:A,0))</f>
        <v>Silas Deehan</v>
      </c>
      <c r="E714" s="4" t="s">
        <v>3</v>
      </c>
      <c r="F714" s="3">
        <v>2</v>
      </c>
      <c r="G714" s="5">
        <f>INDEX([1]products!$A$1:$G$49,MATCH([1]orders!$D714,[1]products!$A$1:$A$49,0),MATCH([1]orders!K$1,[1]products!$A$1:$G$1,0))</f>
        <v>0.5</v>
      </c>
      <c r="H714" s="6">
        <f>INDEX([1]products!$A$1:$G$49,MATCH([1]orders!$D714,[1]products!$A$1:$A$49,0),MATCH([1]orders!L$1,[1]products!$A$1:$G$1,0))</f>
        <v>8.25</v>
      </c>
      <c r="I714" s="6">
        <f t="shared" si="11"/>
        <v>16.5</v>
      </c>
    </row>
    <row r="715" spans="1:9" x14ac:dyDescent="0.3">
      <c r="A715" s="1" t="s">
        <v>1386</v>
      </c>
      <c r="B715" s="2">
        <v>43960</v>
      </c>
      <c r="C715" s="3" t="s">
        <v>1387</v>
      </c>
      <c r="D715" s="3" t="str">
        <f>INDEX('Customers (2)'!B:B,MATCH('Customers (2)'!A715,'Customers (2)'!A:A,0))</f>
        <v>Sacha Bruun</v>
      </c>
      <c r="E715" s="4" t="s">
        <v>162</v>
      </c>
      <c r="F715" s="3">
        <v>1</v>
      </c>
      <c r="G715" s="5">
        <f>INDEX([1]products!$A$1:$G$49,MATCH([1]orders!$D715,[1]products!$A$1:$A$49,0),MATCH([1]orders!K$1,[1]products!$A$1:$G$1,0))</f>
        <v>0.2</v>
      </c>
      <c r="H715" s="6">
        <f>INDEX([1]products!$A$1:$G$49,MATCH([1]orders!$D715,[1]products!$A$1:$A$49,0),MATCH([1]orders!L$1,[1]products!$A$1:$G$1,0))</f>
        <v>2.9849999999999999</v>
      </c>
      <c r="I715" s="6">
        <f t="shared" si="11"/>
        <v>2.9849999999999999</v>
      </c>
    </row>
    <row r="716" spans="1:9" x14ac:dyDescent="0.3">
      <c r="A716" s="1" t="s">
        <v>1388</v>
      </c>
      <c r="B716" s="2">
        <v>44358</v>
      </c>
      <c r="C716" s="3" t="s">
        <v>1389</v>
      </c>
      <c r="D716" s="3" t="str">
        <f>INDEX('Customers (2)'!B:B,MATCH('Customers (2)'!A716,'Customers (2)'!A:A,0))</f>
        <v>Alon Pllu</v>
      </c>
      <c r="E716" s="4" t="s">
        <v>51</v>
      </c>
      <c r="F716" s="3">
        <v>4</v>
      </c>
      <c r="G716" s="5">
        <f>INDEX([1]products!$A$1:$G$49,MATCH([1]orders!$D716,[1]products!$A$1:$A$49,0),MATCH([1]orders!K$1,[1]products!$A$1:$G$1,0))</f>
        <v>0.2</v>
      </c>
      <c r="H716" s="6">
        <f>INDEX([1]products!$A$1:$G$49,MATCH([1]orders!$D716,[1]products!$A$1:$A$49,0),MATCH([1]orders!L$1,[1]products!$A$1:$G$1,0))</f>
        <v>3.645</v>
      </c>
      <c r="I716" s="6">
        <f t="shared" si="11"/>
        <v>14.58</v>
      </c>
    </row>
    <row r="717" spans="1:9" x14ac:dyDescent="0.3">
      <c r="A717" s="1" t="s">
        <v>1390</v>
      </c>
      <c r="B717" s="2">
        <v>44504</v>
      </c>
      <c r="C717" s="3" t="s">
        <v>1391</v>
      </c>
      <c r="D717" s="3" t="str">
        <f>INDEX('Customers (2)'!B:B,MATCH('Customers (2)'!A717,'Customers (2)'!A:A,0))</f>
        <v>Gilberto Cornier</v>
      </c>
      <c r="E717" s="4" t="s">
        <v>137</v>
      </c>
      <c r="F717" s="3">
        <v>6</v>
      </c>
      <c r="G717" s="5">
        <f>INDEX([1]products!$A$1:$G$49,MATCH([1]orders!$D717,[1]products!$A$1:$A$49,0),MATCH([1]orders!K$1,[1]products!$A$1:$G$1,0))</f>
        <v>1</v>
      </c>
      <c r="H717" s="6">
        <f>INDEX([1]products!$A$1:$G$49,MATCH([1]orders!$D717,[1]products!$A$1:$A$49,0),MATCH([1]orders!L$1,[1]products!$A$1:$G$1,0))</f>
        <v>14.85</v>
      </c>
      <c r="I717" s="6">
        <f t="shared" si="11"/>
        <v>89.1</v>
      </c>
    </row>
    <row r="718" spans="1:9" x14ac:dyDescent="0.3">
      <c r="A718" s="1" t="s">
        <v>1392</v>
      </c>
      <c r="B718" s="2">
        <v>44612</v>
      </c>
      <c r="C718" s="3" t="s">
        <v>1344</v>
      </c>
      <c r="D718" s="3" t="str">
        <f>INDEX('Customers (2)'!B:B,MATCH('Customers (2)'!A718,'Customers (2)'!A:A,0))</f>
        <v>Selestina Greedyer</v>
      </c>
      <c r="E718" s="4" t="s">
        <v>189</v>
      </c>
      <c r="F718" s="3">
        <v>3</v>
      </c>
      <c r="G718" s="5">
        <f>INDEX([1]products!$A$1:$G$49,MATCH([1]orders!$D718,[1]products!$A$1:$A$49,0),MATCH([1]orders!K$1,[1]products!$A$1:$G$1,0))</f>
        <v>1</v>
      </c>
      <c r="H718" s="6">
        <f>INDEX([1]products!$A$1:$G$49,MATCH([1]orders!$D718,[1]products!$A$1:$A$49,0),MATCH([1]orders!L$1,[1]products!$A$1:$G$1,0))</f>
        <v>11.95</v>
      </c>
      <c r="I718" s="6">
        <f t="shared" si="11"/>
        <v>35.849999999999994</v>
      </c>
    </row>
    <row r="719" spans="1:9" x14ac:dyDescent="0.3">
      <c r="A719" s="1" t="s">
        <v>1393</v>
      </c>
      <c r="B719" s="2">
        <v>43649</v>
      </c>
      <c r="C719" s="3" t="s">
        <v>1394</v>
      </c>
      <c r="D719" s="3" t="str">
        <f>INDEX('Customers (2)'!B:B,MATCH('Customers (2)'!A719,'Customers (2)'!A:A,0))</f>
        <v>Willabella Harvison</v>
      </c>
      <c r="E719" s="4" t="s">
        <v>118</v>
      </c>
      <c r="F719" s="3">
        <v>3</v>
      </c>
      <c r="G719" s="5">
        <f>INDEX([1]products!$A$1:$G$49,MATCH([1]orders!$D719,[1]products!$A$1:$A$49,0),MATCH([1]orders!K$1,[1]products!$A$1:$G$1,0))</f>
        <v>2.5</v>
      </c>
      <c r="H719" s="6">
        <f>INDEX([1]products!$A$1:$G$49,MATCH([1]orders!$D719,[1]products!$A$1:$A$49,0),MATCH([1]orders!L$1,[1]products!$A$1:$G$1,0))</f>
        <v>22.884999999999998</v>
      </c>
      <c r="I719" s="6">
        <f t="shared" si="11"/>
        <v>68.655000000000001</v>
      </c>
    </row>
    <row r="720" spans="1:9" x14ac:dyDescent="0.3">
      <c r="A720" s="1" t="s">
        <v>1395</v>
      </c>
      <c r="B720" s="2">
        <v>44348</v>
      </c>
      <c r="C720" s="3" t="s">
        <v>1396</v>
      </c>
      <c r="D720" s="3" t="str">
        <f>INDEX('Customers (2)'!B:B,MATCH('Customers (2)'!A720,'Customers (2)'!A:A,0))</f>
        <v>Darice Heaford</v>
      </c>
      <c r="E720" s="4" t="s">
        <v>13</v>
      </c>
      <c r="F720" s="3">
        <v>3</v>
      </c>
      <c r="G720" s="5">
        <f>INDEX([1]products!$A$1:$G$49,MATCH([1]orders!$D720,[1]products!$A$1:$A$49,0),MATCH([1]orders!K$1,[1]products!$A$1:$G$1,0))</f>
        <v>1</v>
      </c>
      <c r="H720" s="6">
        <f>INDEX([1]products!$A$1:$G$49,MATCH([1]orders!$D720,[1]products!$A$1:$A$49,0),MATCH([1]orders!L$1,[1]products!$A$1:$G$1,0))</f>
        <v>12.95</v>
      </c>
      <c r="I720" s="6">
        <f t="shared" si="11"/>
        <v>38.849999999999994</v>
      </c>
    </row>
    <row r="721" spans="1:9" x14ac:dyDescent="0.3">
      <c r="A721" s="1" t="s">
        <v>1397</v>
      </c>
      <c r="B721" s="2">
        <v>44150</v>
      </c>
      <c r="C721" s="3" t="s">
        <v>1398</v>
      </c>
      <c r="D721" s="3" t="str">
        <f>INDEX('Customers (2)'!B:B,MATCH('Customers (2)'!A721,'Customers (2)'!A:A,0))</f>
        <v>Granger Fantham</v>
      </c>
      <c r="E721" s="4" t="s">
        <v>132</v>
      </c>
      <c r="F721" s="3">
        <v>5</v>
      </c>
      <c r="G721" s="5">
        <f>INDEX([1]products!$A$1:$G$49,MATCH([1]orders!$D721,[1]products!$A$1:$A$49,0),MATCH([1]orders!K$1,[1]products!$A$1:$G$1,0))</f>
        <v>1</v>
      </c>
      <c r="H721" s="6">
        <f>INDEX([1]products!$A$1:$G$49,MATCH([1]orders!$D721,[1]products!$A$1:$A$49,0),MATCH([1]orders!L$1,[1]products!$A$1:$G$1,0))</f>
        <v>15.85</v>
      </c>
      <c r="I721" s="6">
        <f t="shared" si="11"/>
        <v>79.25</v>
      </c>
    </row>
    <row r="722" spans="1:9" x14ac:dyDescent="0.3">
      <c r="A722" s="1" t="s">
        <v>1399</v>
      </c>
      <c r="B722" s="2">
        <v>44215</v>
      </c>
      <c r="C722" s="3" t="s">
        <v>1400</v>
      </c>
      <c r="D722" s="3" t="str">
        <f>INDEX('Customers (2)'!B:B,MATCH('Customers (2)'!A722,'Customers (2)'!A:A,0))</f>
        <v>Reynolds Crookshanks</v>
      </c>
      <c r="E722" s="4" t="s">
        <v>16</v>
      </c>
      <c r="F722" s="3">
        <v>5</v>
      </c>
      <c r="G722" s="5">
        <f>INDEX([1]products!$A$1:$G$49,MATCH([1]orders!$D722,[1]products!$A$1:$A$49,0),MATCH([1]orders!K$1,[1]products!$A$1:$G$1,0))</f>
        <v>0.5</v>
      </c>
      <c r="H722" s="6">
        <f>INDEX([1]products!$A$1:$G$49,MATCH([1]orders!$D722,[1]products!$A$1:$A$49,0),MATCH([1]orders!L$1,[1]products!$A$1:$G$1,0))</f>
        <v>7.29</v>
      </c>
      <c r="I722" s="6">
        <f t="shared" si="11"/>
        <v>36.450000000000003</v>
      </c>
    </row>
    <row r="723" spans="1:9" x14ac:dyDescent="0.3">
      <c r="A723" s="1" t="s">
        <v>1401</v>
      </c>
      <c r="B723" s="2">
        <v>44479</v>
      </c>
      <c r="C723" s="3" t="s">
        <v>1402</v>
      </c>
      <c r="D723" s="3" t="str">
        <f>INDEX('Customers (2)'!B:B,MATCH('Customers (2)'!A723,'Customers (2)'!A:A,0))</f>
        <v>Niels Leake</v>
      </c>
      <c r="E723" s="4" t="s">
        <v>162</v>
      </c>
      <c r="F723" s="3">
        <v>3</v>
      </c>
      <c r="G723" s="5">
        <f>INDEX([1]products!$A$1:$G$49,MATCH([1]orders!$D723,[1]products!$A$1:$A$49,0),MATCH([1]orders!K$1,[1]products!$A$1:$G$1,0))</f>
        <v>0.2</v>
      </c>
      <c r="H723" s="6">
        <f>INDEX([1]products!$A$1:$G$49,MATCH([1]orders!$D723,[1]products!$A$1:$A$49,0),MATCH([1]orders!L$1,[1]products!$A$1:$G$1,0))</f>
        <v>2.9849999999999999</v>
      </c>
      <c r="I723" s="6">
        <f t="shared" si="11"/>
        <v>8.9550000000000001</v>
      </c>
    </row>
    <row r="724" spans="1:9" x14ac:dyDescent="0.3">
      <c r="A724" s="1" t="s">
        <v>1403</v>
      </c>
      <c r="B724" s="2">
        <v>44620</v>
      </c>
      <c r="C724" s="3" t="s">
        <v>1404</v>
      </c>
      <c r="D724" s="3" t="str">
        <f>INDEX('Customers (2)'!B:B,MATCH('Customers (2)'!A724,'Customers (2)'!A:A,0))</f>
        <v>Hetti Measures</v>
      </c>
      <c r="E724" s="4" t="s">
        <v>245</v>
      </c>
      <c r="F724" s="3">
        <v>2</v>
      </c>
      <c r="G724" s="5">
        <f>INDEX([1]products!$A$1:$G$49,MATCH([1]orders!$D724,[1]products!$A$1:$A$49,0),MATCH([1]orders!K$1,[1]products!$A$1:$G$1,0))</f>
        <v>1</v>
      </c>
      <c r="H724" s="6">
        <f>INDEX([1]products!$A$1:$G$49,MATCH([1]orders!$D724,[1]products!$A$1:$A$49,0),MATCH([1]orders!L$1,[1]products!$A$1:$G$1,0))</f>
        <v>12.15</v>
      </c>
      <c r="I724" s="6">
        <f t="shared" si="11"/>
        <v>24.3</v>
      </c>
    </row>
    <row r="725" spans="1:9" x14ac:dyDescent="0.3">
      <c r="A725" s="1" t="s">
        <v>1405</v>
      </c>
      <c r="B725" s="2">
        <v>44470</v>
      </c>
      <c r="C725" s="3" t="s">
        <v>1406</v>
      </c>
      <c r="D725" s="3" t="str">
        <f>INDEX('Customers (2)'!B:B,MATCH('Customers (2)'!A725,'Customers (2)'!A:A,0))</f>
        <v>Gay Eilhersen</v>
      </c>
      <c r="E725" s="4" t="s">
        <v>112</v>
      </c>
      <c r="F725" s="3">
        <v>2</v>
      </c>
      <c r="G725" s="5">
        <f>INDEX([1]products!$A$1:$G$49,MATCH([1]orders!$D725,[1]products!$A$1:$A$49,0),MATCH([1]orders!K$1,[1]products!$A$1:$G$1,0))</f>
        <v>2.5</v>
      </c>
      <c r="H725" s="6">
        <f>INDEX([1]products!$A$1:$G$49,MATCH([1]orders!$D725,[1]products!$A$1:$A$49,0),MATCH([1]orders!L$1,[1]products!$A$1:$G$1,0))</f>
        <v>31.624999999999996</v>
      </c>
      <c r="I725" s="6">
        <f t="shared" si="11"/>
        <v>63.249999999999993</v>
      </c>
    </row>
    <row r="726" spans="1:9" x14ac:dyDescent="0.3">
      <c r="A726" s="1" t="s">
        <v>1407</v>
      </c>
      <c r="B726" s="2">
        <v>44076</v>
      </c>
      <c r="C726" s="3" t="s">
        <v>1408</v>
      </c>
      <c r="D726" s="3" t="str">
        <f>INDEX('Customers (2)'!B:B,MATCH('Customers (2)'!A726,'Customers (2)'!A:A,0))</f>
        <v>Nico Hubert</v>
      </c>
      <c r="E726" s="4" t="s">
        <v>44</v>
      </c>
      <c r="F726" s="3">
        <v>2</v>
      </c>
      <c r="G726" s="5">
        <f>INDEX([1]products!$A$1:$G$49,MATCH([1]orders!$D726,[1]products!$A$1:$A$49,0),MATCH([1]orders!K$1,[1]products!$A$1:$G$1,0))</f>
        <v>0.2</v>
      </c>
      <c r="H726" s="6">
        <f>INDEX([1]products!$A$1:$G$49,MATCH([1]orders!$D726,[1]products!$A$1:$A$49,0),MATCH([1]orders!L$1,[1]products!$A$1:$G$1,0))</f>
        <v>3.375</v>
      </c>
      <c r="I726" s="6">
        <f t="shared" si="11"/>
        <v>6.75</v>
      </c>
    </row>
    <row r="727" spans="1:9" x14ac:dyDescent="0.3">
      <c r="A727" s="1" t="s">
        <v>1409</v>
      </c>
      <c r="B727" s="2">
        <v>44043</v>
      </c>
      <c r="C727" s="3" t="s">
        <v>1410</v>
      </c>
      <c r="D727" s="3" t="str">
        <f>INDEX('Customers (2)'!B:B,MATCH('Customers (2)'!A727,'Customers (2)'!A:A,0))</f>
        <v>Cristina Aleixo</v>
      </c>
      <c r="E727" s="4" t="s">
        <v>115</v>
      </c>
      <c r="F727" s="3">
        <v>6</v>
      </c>
      <c r="G727" s="5">
        <f>INDEX([1]products!$A$1:$G$49,MATCH([1]orders!$D727,[1]products!$A$1:$A$49,0),MATCH([1]orders!K$1,[1]products!$A$1:$G$1,0))</f>
        <v>0.2</v>
      </c>
      <c r="H727" s="6">
        <f>INDEX([1]products!$A$1:$G$49,MATCH([1]orders!$D727,[1]products!$A$1:$A$49,0),MATCH([1]orders!L$1,[1]products!$A$1:$G$1,0))</f>
        <v>3.8849999999999998</v>
      </c>
      <c r="I727" s="6">
        <f t="shared" si="11"/>
        <v>23.31</v>
      </c>
    </row>
    <row r="728" spans="1:9" x14ac:dyDescent="0.3">
      <c r="A728" s="1" t="s">
        <v>1411</v>
      </c>
      <c r="B728" s="2">
        <v>44571</v>
      </c>
      <c r="C728" s="3" t="s">
        <v>1412</v>
      </c>
      <c r="D728" s="3" t="str">
        <f>INDEX('Customers (2)'!B:B,MATCH('Customers (2)'!A728,'Customers (2)'!A:A,0))</f>
        <v>Derrek Allpress</v>
      </c>
      <c r="E728" s="4" t="s">
        <v>104</v>
      </c>
      <c r="F728" s="3">
        <v>4</v>
      </c>
      <c r="G728" s="5">
        <f>INDEX([1]products!$A$1:$G$49,MATCH([1]orders!$D728,[1]products!$A$1:$A$49,0),MATCH([1]orders!K$1,[1]products!$A$1:$G$1,0))</f>
        <v>2.5</v>
      </c>
      <c r="H728" s="6">
        <f>INDEX([1]products!$A$1:$G$49,MATCH([1]orders!$D728,[1]products!$A$1:$A$49,0),MATCH([1]orders!L$1,[1]products!$A$1:$G$1,0))</f>
        <v>36.454999999999998</v>
      </c>
      <c r="I728" s="6">
        <f t="shared" si="11"/>
        <v>145.82</v>
      </c>
    </row>
    <row r="729" spans="1:9" x14ac:dyDescent="0.3">
      <c r="A729" s="1" t="s">
        <v>1413</v>
      </c>
      <c r="B729" s="2">
        <v>44264</v>
      </c>
      <c r="C729" s="3" t="s">
        <v>1414</v>
      </c>
      <c r="D729" s="3" t="str">
        <f>INDEX('Customers (2)'!B:B,MATCH('Customers (2)'!A729,'Customers (2)'!A:A,0))</f>
        <v>Rikki Tomkowicz</v>
      </c>
      <c r="E729" s="4" t="s">
        <v>22</v>
      </c>
      <c r="F729" s="3">
        <v>5</v>
      </c>
      <c r="G729" s="5">
        <f>INDEX([1]products!$A$1:$G$49,MATCH([1]orders!$D729,[1]products!$A$1:$A$49,0),MATCH([1]orders!K$1,[1]products!$A$1:$G$1,0))</f>
        <v>0.5</v>
      </c>
      <c r="H729" s="6">
        <f>INDEX([1]products!$A$1:$G$49,MATCH([1]orders!$D729,[1]products!$A$1:$A$49,0),MATCH([1]orders!L$1,[1]products!$A$1:$G$1,0))</f>
        <v>5.97</v>
      </c>
      <c r="I729" s="6">
        <f t="shared" si="11"/>
        <v>29.849999999999998</v>
      </c>
    </row>
    <row r="730" spans="1:9" x14ac:dyDescent="0.3">
      <c r="A730" s="1" t="s">
        <v>1415</v>
      </c>
      <c r="B730" s="2">
        <v>44155</v>
      </c>
      <c r="C730" s="3" t="s">
        <v>1416</v>
      </c>
      <c r="D730" s="3" t="str">
        <f>INDEX('Customers (2)'!B:B,MATCH('Customers (2)'!A730,'Customers (2)'!A:A,0))</f>
        <v>Rochette Huscroft</v>
      </c>
      <c r="E730" s="4" t="s">
        <v>16</v>
      </c>
      <c r="F730" s="3">
        <v>3</v>
      </c>
      <c r="G730" s="5">
        <f>INDEX([1]products!$A$1:$G$49,MATCH([1]orders!$D730,[1]products!$A$1:$A$49,0),MATCH([1]orders!K$1,[1]products!$A$1:$G$1,0))</f>
        <v>0.5</v>
      </c>
      <c r="H730" s="6">
        <f>INDEX([1]products!$A$1:$G$49,MATCH([1]orders!$D730,[1]products!$A$1:$A$49,0),MATCH([1]orders!L$1,[1]products!$A$1:$G$1,0))</f>
        <v>7.29</v>
      </c>
      <c r="I730" s="6">
        <f t="shared" si="11"/>
        <v>21.87</v>
      </c>
    </row>
    <row r="731" spans="1:9" x14ac:dyDescent="0.3">
      <c r="A731" s="1" t="s">
        <v>1417</v>
      </c>
      <c r="B731" s="2">
        <v>44634</v>
      </c>
      <c r="C731" s="3" t="s">
        <v>1418</v>
      </c>
      <c r="D731" s="3" t="str">
        <f>INDEX('Customers (2)'!B:B,MATCH('Customers (2)'!A731,'Customers (2)'!A:A,0))</f>
        <v>Selle Scurrer</v>
      </c>
      <c r="E731" s="4" t="s">
        <v>77</v>
      </c>
      <c r="F731" s="3">
        <v>1</v>
      </c>
      <c r="G731" s="5">
        <f>INDEX([1]products!$A$1:$G$49,MATCH([1]orders!$D731,[1]products!$A$1:$A$49,0),MATCH([1]orders!K$1,[1]products!$A$1:$G$1,0))</f>
        <v>0.2</v>
      </c>
      <c r="H731" s="6">
        <f>INDEX([1]products!$A$1:$G$49,MATCH([1]orders!$D731,[1]products!$A$1:$A$49,0),MATCH([1]orders!L$1,[1]products!$A$1:$G$1,0))</f>
        <v>4.3650000000000002</v>
      </c>
      <c r="I731" s="6">
        <f t="shared" si="11"/>
        <v>4.3650000000000002</v>
      </c>
    </row>
    <row r="732" spans="1:9" x14ac:dyDescent="0.3">
      <c r="A732" s="1" t="s">
        <v>1419</v>
      </c>
      <c r="B732" s="2">
        <v>43475</v>
      </c>
      <c r="C732" s="3" t="s">
        <v>1420</v>
      </c>
      <c r="D732" s="3" t="str">
        <f>INDEX('Customers (2)'!B:B,MATCH('Customers (2)'!A732,'Customers (2)'!A:A,0))</f>
        <v>Andie Rudram</v>
      </c>
      <c r="E732" s="4" t="s">
        <v>104</v>
      </c>
      <c r="F732" s="3">
        <v>1</v>
      </c>
      <c r="G732" s="5">
        <f>INDEX([1]products!$A$1:$G$49,MATCH([1]orders!$D732,[1]products!$A$1:$A$49,0),MATCH([1]orders!K$1,[1]products!$A$1:$G$1,0))</f>
        <v>2.5</v>
      </c>
      <c r="H732" s="6">
        <f>INDEX([1]products!$A$1:$G$49,MATCH([1]orders!$D732,[1]products!$A$1:$A$49,0),MATCH([1]orders!L$1,[1]products!$A$1:$G$1,0))</f>
        <v>36.454999999999998</v>
      </c>
      <c r="I732" s="6">
        <f t="shared" si="11"/>
        <v>36.454999999999998</v>
      </c>
    </row>
    <row r="733" spans="1:9" x14ac:dyDescent="0.3">
      <c r="A733" s="1" t="s">
        <v>1421</v>
      </c>
      <c r="B733" s="2">
        <v>44222</v>
      </c>
      <c r="C733" s="3" t="s">
        <v>1422</v>
      </c>
      <c r="D733" s="3" t="str">
        <f>INDEX('Customers (2)'!B:B,MATCH('Customers (2)'!A733,'Customers (2)'!A:A,0))</f>
        <v>Leta Clarricoates</v>
      </c>
      <c r="E733" s="4" t="s">
        <v>38</v>
      </c>
      <c r="F733" s="3">
        <v>4</v>
      </c>
      <c r="G733" s="5">
        <f>INDEX([1]products!$A$1:$G$49,MATCH([1]orders!$D733,[1]products!$A$1:$A$49,0),MATCH([1]orders!K$1,[1]products!$A$1:$G$1,0))</f>
        <v>0.2</v>
      </c>
      <c r="H733" s="6">
        <f>INDEX([1]products!$A$1:$G$49,MATCH([1]orders!$D733,[1]products!$A$1:$A$49,0),MATCH([1]orders!L$1,[1]products!$A$1:$G$1,0))</f>
        <v>3.8849999999999998</v>
      </c>
      <c r="I733" s="6">
        <f t="shared" si="11"/>
        <v>15.54</v>
      </c>
    </row>
    <row r="734" spans="1:9" x14ac:dyDescent="0.3">
      <c r="A734" s="1" t="s">
        <v>1423</v>
      </c>
      <c r="B734" s="2">
        <v>44312</v>
      </c>
      <c r="C734" s="3" t="s">
        <v>1424</v>
      </c>
      <c r="D734" s="3" t="str">
        <f>INDEX('Customers (2)'!B:B,MATCH('Customers (2)'!A734,'Customers (2)'!A:A,0))</f>
        <v>Jacquelyn Maha</v>
      </c>
      <c r="E734" s="4" t="s">
        <v>254</v>
      </c>
      <c r="F734" s="3">
        <v>2</v>
      </c>
      <c r="G734" s="5">
        <f>INDEX([1]products!$A$1:$G$49,MATCH([1]orders!$D734,[1]products!$A$1:$A$49,0),MATCH([1]orders!K$1,[1]products!$A$1:$G$1,0))</f>
        <v>0.2</v>
      </c>
      <c r="H734" s="6">
        <f>INDEX([1]products!$A$1:$G$49,MATCH([1]orders!$D734,[1]products!$A$1:$A$49,0),MATCH([1]orders!L$1,[1]products!$A$1:$G$1,0))</f>
        <v>4.4550000000000001</v>
      </c>
      <c r="I734" s="6">
        <f t="shared" si="11"/>
        <v>8.91</v>
      </c>
    </row>
    <row r="735" spans="1:9" x14ac:dyDescent="0.3">
      <c r="A735" s="1" t="s">
        <v>1425</v>
      </c>
      <c r="B735" s="2">
        <v>44565</v>
      </c>
      <c r="C735" s="3" t="s">
        <v>1426</v>
      </c>
      <c r="D735" s="3" t="str">
        <f>INDEX('Customers (2)'!B:B,MATCH('Customers (2)'!A735,'Customers (2)'!A:A,0))</f>
        <v>Glory Clemon</v>
      </c>
      <c r="E735" s="4" t="s">
        <v>197</v>
      </c>
      <c r="F735" s="3">
        <v>3</v>
      </c>
      <c r="G735" s="5">
        <f>INDEX([1]products!$A$1:$G$49,MATCH([1]orders!$D735,[1]products!$A$1:$A$49,0),MATCH([1]orders!K$1,[1]products!$A$1:$G$1,0))</f>
        <v>2.5</v>
      </c>
      <c r="H735" s="6">
        <f>INDEX([1]products!$A$1:$G$49,MATCH([1]orders!$D735,[1]products!$A$1:$A$49,0),MATCH([1]orders!L$1,[1]products!$A$1:$G$1,0))</f>
        <v>33.464999999999996</v>
      </c>
      <c r="I735" s="6">
        <f t="shared" si="11"/>
        <v>100.39499999999998</v>
      </c>
    </row>
    <row r="736" spans="1:9" x14ac:dyDescent="0.3">
      <c r="A736" s="1" t="s">
        <v>1427</v>
      </c>
      <c r="B736" s="2">
        <v>43697</v>
      </c>
      <c r="C736" s="3" t="s">
        <v>1428</v>
      </c>
      <c r="D736" s="3" t="str">
        <f>INDEX('Customers (2)'!B:B,MATCH('Customers (2)'!A736,'Customers (2)'!A:A,0))</f>
        <v>Alica Kift</v>
      </c>
      <c r="E736" s="4" t="s">
        <v>101</v>
      </c>
      <c r="F736" s="3">
        <v>5</v>
      </c>
      <c r="G736" s="5">
        <f>INDEX([1]products!$A$1:$G$49,MATCH([1]orders!$D736,[1]products!$A$1:$A$49,0),MATCH([1]orders!K$1,[1]products!$A$1:$G$1,0))</f>
        <v>0.2</v>
      </c>
      <c r="H736" s="6">
        <f>INDEX([1]products!$A$1:$G$49,MATCH([1]orders!$D736,[1]products!$A$1:$A$49,0),MATCH([1]orders!L$1,[1]products!$A$1:$G$1,0))</f>
        <v>2.6849999999999996</v>
      </c>
      <c r="I736" s="6">
        <f t="shared" si="11"/>
        <v>13.424999999999997</v>
      </c>
    </row>
    <row r="737" spans="1:9" x14ac:dyDescent="0.3">
      <c r="A737" s="1" t="s">
        <v>1429</v>
      </c>
      <c r="B737" s="2">
        <v>44757</v>
      </c>
      <c r="C737" s="3" t="s">
        <v>1430</v>
      </c>
      <c r="D737" s="3" t="str">
        <f>INDEX('Customers (2)'!B:B,MATCH('Customers (2)'!A737,'Customers (2)'!A:A,0))</f>
        <v>Babb Pollins</v>
      </c>
      <c r="E737" s="4" t="s">
        <v>51</v>
      </c>
      <c r="F737" s="3">
        <v>6</v>
      </c>
      <c r="G737" s="5">
        <f>INDEX([1]products!$A$1:$G$49,MATCH([1]orders!$D737,[1]products!$A$1:$A$49,0),MATCH([1]orders!K$1,[1]products!$A$1:$G$1,0))</f>
        <v>0.2</v>
      </c>
      <c r="H737" s="6">
        <f>INDEX([1]products!$A$1:$G$49,MATCH([1]orders!$D737,[1]products!$A$1:$A$49,0),MATCH([1]orders!L$1,[1]products!$A$1:$G$1,0))</f>
        <v>3.645</v>
      </c>
      <c r="I737" s="6">
        <f t="shared" si="11"/>
        <v>21.87</v>
      </c>
    </row>
    <row r="738" spans="1:9" x14ac:dyDescent="0.3">
      <c r="A738" s="1" t="s">
        <v>1431</v>
      </c>
      <c r="B738" s="2">
        <v>43508</v>
      </c>
      <c r="C738" s="3" t="s">
        <v>1432</v>
      </c>
      <c r="D738" s="3" t="str">
        <f>INDEX('Customers (2)'!B:B,MATCH('Customers (2)'!A738,'Customers (2)'!A:A,0))</f>
        <v>Jarret Toye</v>
      </c>
      <c r="E738" s="4" t="s">
        <v>13</v>
      </c>
      <c r="F738" s="3">
        <v>2</v>
      </c>
      <c r="G738" s="5">
        <f>INDEX([1]products!$A$1:$G$49,MATCH([1]orders!$D738,[1]products!$A$1:$A$49,0),MATCH([1]orders!K$1,[1]products!$A$1:$G$1,0))</f>
        <v>1</v>
      </c>
      <c r="H738" s="6">
        <f>INDEX([1]products!$A$1:$G$49,MATCH([1]orders!$D738,[1]products!$A$1:$A$49,0),MATCH([1]orders!L$1,[1]products!$A$1:$G$1,0))</f>
        <v>12.95</v>
      </c>
      <c r="I738" s="6">
        <f t="shared" si="11"/>
        <v>25.9</v>
      </c>
    </row>
    <row r="739" spans="1:9" x14ac:dyDescent="0.3">
      <c r="A739" s="1" t="s">
        <v>1433</v>
      </c>
      <c r="B739" s="2">
        <v>44447</v>
      </c>
      <c r="C739" s="3" t="s">
        <v>1434</v>
      </c>
      <c r="D739" s="3" t="str">
        <f>INDEX('Customers (2)'!B:B,MATCH('Customers (2)'!A739,'Customers (2)'!A:A,0))</f>
        <v>Carlie Linskill</v>
      </c>
      <c r="E739" s="4" t="s">
        <v>61</v>
      </c>
      <c r="F739" s="3">
        <v>5</v>
      </c>
      <c r="G739" s="5">
        <f>INDEX([1]products!$A$1:$G$49,MATCH([1]orders!$D739,[1]products!$A$1:$A$49,0),MATCH([1]orders!K$1,[1]products!$A$1:$G$1,0))</f>
        <v>1</v>
      </c>
      <c r="H739" s="6">
        <f>INDEX([1]products!$A$1:$G$49,MATCH([1]orders!$D739,[1]products!$A$1:$A$49,0),MATCH([1]orders!L$1,[1]products!$A$1:$G$1,0))</f>
        <v>11.25</v>
      </c>
      <c r="I739" s="6">
        <f t="shared" si="11"/>
        <v>56.25</v>
      </c>
    </row>
    <row r="740" spans="1:9" x14ac:dyDescent="0.3">
      <c r="A740" s="1" t="s">
        <v>1435</v>
      </c>
      <c r="B740" s="2">
        <v>43812</v>
      </c>
      <c r="C740" s="3" t="s">
        <v>1436</v>
      </c>
      <c r="D740" s="3" t="str">
        <f>INDEX('Customers (2)'!B:B,MATCH('Customers (2)'!A740,'Customers (2)'!A:A,0))</f>
        <v>Natal Vigrass</v>
      </c>
      <c r="E740" s="4" t="s">
        <v>182</v>
      </c>
      <c r="F740" s="3">
        <v>3</v>
      </c>
      <c r="G740" s="5">
        <f>INDEX([1]products!$A$1:$G$49,MATCH([1]orders!$D740,[1]products!$A$1:$A$49,0),MATCH([1]orders!K$1,[1]products!$A$1:$G$1,0))</f>
        <v>0.2</v>
      </c>
      <c r="H740" s="6">
        <f>INDEX([1]products!$A$1:$G$49,MATCH([1]orders!$D740,[1]products!$A$1:$A$49,0),MATCH([1]orders!L$1,[1]products!$A$1:$G$1,0))</f>
        <v>3.5849999999999995</v>
      </c>
      <c r="I740" s="6">
        <f t="shared" si="11"/>
        <v>10.754999999999999</v>
      </c>
    </row>
    <row r="741" spans="1:9" x14ac:dyDescent="0.3">
      <c r="A741" s="1" t="s">
        <v>1437</v>
      </c>
      <c r="B741" s="2">
        <v>44433</v>
      </c>
      <c r="C741" s="3" t="s">
        <v>1344</v>
      </c>
      <c r="D741" s="3" t="str">
        <f>INDEX('Customers (2)'!B:B,MATCH('Customers (2)'!A741,'Customers (2)'!A:A,0))</f>
        <v>Burlie Issac</v>
      </c>
      <c r="E741" s="4" t="s">
        <v>51</v>
      </c>
      <c r="F741" s="3">
        <v>5</v>
      </c>
      <c r="G741" s="5">
        <f>INDEX([1]products!$A$1:$G$49,MATCH([1]orders!$D741,[1]products!$A$1:$A$49,0),MATCH([1]orders!K$1,[1]products!$A$1:$G$1,0))</f>
        <v>0.2</v>
      </c>
      <c r="H741" s="6">
        <f>INDEX([1]products!$A$1:$G$49,MATCH([1]orders!$D741,[1]products!$A$1:$A$49,0),MATCH([1]orders!L$1,[1]products!$A$1:$G$1,0))</f>
        <v>3.645</v>
      </c>
      <c r="I741" s="6">
        <f t="shared" si="11"/>
        <v>18.225000000000001</v>
      </c>
    </row>
    <row r="742" spans="1:9" x14ac:dyDescent="0.3">
      <c r="A742" s="1" t="s">
        <v>1438</v>
      </c>
      <c r="B742" s="2">
        <v>44643</v>
      </c>
      <c r="C742" s="3" t="s">
        <v>1439</v>
      </c>
      <c r="D742" s="3" t="str">
        <f>INDEX('Customers (2)'!B:B,MATCH('Customers (2)'!A742,'Customers (2)'!A:A,0))</f>
        <v>Kandace Cragell</v>
      </c>
      <c r="E742" s="4" t="s">
        <v>157</v>
      </c>
      <c r="F742" s="3">
        <v>4</v>
      </c>
      <c r="G742" s="5">
        <f>INDEX([1]products!$A$1:$G$49,MATCH([1]orders!$D742,[1]products!$A$1:$A$49,0),MATCH([1]orders!K$1,[1]products!$A$1:$G$1,0))</f>
        <v>0.5</v>
      </c>
      <c r="H742" s="6">
        <f>INDEX([1]products!$A$1:$G$49,MATCH([1]orders!$D742,[1]products!$A$1:$A$49,0),MATCH([1]orders!L$1,[1]products!$A$1:$G$1,0))</f>
        <v>7.169999999999999</v>
      </c>
      <c r="I742" s="6">
        <f t="shared" si="11"/>
        <v>28.679999999999996</v>
      </c>
    </row>
    <row r="743" spans="1:9" x14ac:dyDescent="0.3">
      <c r="A743" s="1" t="s">
        <v>1440</v>
      </c>
      <c r="B743" s="2">
        <v>43566</v>
      </c>
      <c r="C743" s="3" t="s">
        <v>1441</v>
      </c>
      <c r="D743" s="3" t="str">
        <f>INDEX('Customers (2)'!B:B,MATCH('Customers (2)'!A743,'Customers (2)'!A:A,0))</f>
        <v>Lyon Ibert</v>
      </c>
      <c r="E743" s="4" t="s">
        <v>77</v>
      </c>
      <c r="F743" s="3">
        <v>2</v>
      </c>
      <c r="G743" s="5">
        <f>INDEX([1]products!$A$1:$G$49,MATCH([1]orders!$D743,[1]products!$A$1:$A$49,0),MATCH([1]orders!K$1,[1]products!$A$1:$G$1,0))</f>
        <v>0.2</v>
      </c>
      <c r="H743" s="6">
        <f>INDEX([1]products!$A$1:$G$49,MATCH([1]orders!$D743,[1]products!$A$1:$A$49,0),MATCH([1]orders!L$1,[1]products!$A$1:$G$1,0))</f>
        <v>4.3650000000000002</v>
      </c>
      <c r="I743" s="6">
        <f t="shared" si="11"/>
        <v>8.73</v>
      </c>
    </row>
    <row r="744" spans="1:9" x14ac:dyDescent="0.3">
      <c r="A744" s="1" t="s">
        <v>1442</v>
      </c>
      <c r="B744" s="2">
        <v>44133</v>
      </c>
      <c r="C744" s="3" t="s">
        <v>1443</v>
      </c>
      <c r="D744" s="3" t="str">
        <f>INDEX('Customers (2)'!B:B,MATCH('Customers (2)'!A744,'Customers (2)'!A:A,0))</f>
        <v>Reese Lidgey</v>
      </c>
      <c r="E744" s="4" t="s">
        <v>96</v>
      </c>
      <c r="F744" s="3">
        <v>4</v>
      </c>
      <c r="G744" s="5">
        <f>INDEX([1]products!$A$1:$G$49,MATCH([1]orders!$D744,[1]products!$A$1:$A$49,0),MATCH([1]orders!K$1,[1]products!$A$1:$G$1,0))</f>
        <v>1</v>
      </c>
      <c r="H744" s="6">
        <f>INDEX([1]products!$A$1:$G$49,MATCH([1]orders!$D744,[1]products!$A$1:$A$49,0),MATCH([1]orders!L$1,[1]products!$A$1:$G$1,0))</f>
        <v>14.55</v>
      </c>
      <c r="I744" s="6">
        <f t="shared" si="11"/>
        <v>58.2</v>
      </c>
    </row>
    <row r="745" spans="1:9" x14ac:dyDescent="0.3">
      <c r="A745" s="1" t="s">
        <v>1444</v>
      </c>
      <c r="B745" s="2">
        <v>44042</v>
      </c>
      <c r="C745" s="3" t="s">
        <v>1445</v>
      </c>
      <c r="D745" s="3" t="str">
        <f>INDEX('Customers (2)'!B:B,MATCH('Customers (2)'!A745,'Customers (2)'!A:A,0))</f>
        <v>Tersina Castagne</v>
      </c>
      <c r="E745" s="4" t="s">
        <v>72</v>
      </c>
      <c r="F745" s="3">
        <v>3</v>
      </c>
      <c r="G745" s="5">
        <f>INDEX([1]products!$A$1:$G$49,MATCH([1]orders!$D745,[1]products!$A$1:$A$49,0),MATCH([1]orders!K$1,[1]products!$A$1:$G$1,0))</f>
        <v>0.5</v>
      </c>
      <c r="H745" s="6">
        <f>INDEX([1]products!$A$1:$G$49,MATCH([1]orders!$D745,[1]products!$A$1:$A$49,0),MATCH([1]orders!L$1,[1]products!$A$1:$G$1,0))</f>
        <v>5.97</v>
      </c>
      <c r="I745" s="6">
        <f t="shared" si="11"/>
        <v>17.91</v>
      </c>
    </row>
    <row r="746" spans="1:9" x14ac:dyDescent="0.3">
      <c r="A746" s="1" t="s">
        <v>1446</v>
      </c>
      <c r="B746" s="2">
        <v>43539</v>
      </c>
      <c r="C746" s="3" t="s">
        <v>1447</v>
      </c>
      <c r="D746" s="3" t="str">
        <f>INDEX('Customers (2)'!B:B,MATCH('Customers (2)'!A746,'Customers (2)'!A:A,0))</f>
        <v>Samuele Klaaassen</v>
      </c>
      <c r="E746" s="4" t="s">
        <v>162</v>
      </c>
      <c r="F746" s="3">
        <v>6</v>
      </c>
      <c r="G746" s="5">
        <f>INDEX([1]products!$A$1:$G$49,MATCH([1]orders!$D746,[1]products!$A$1:$A$49,0),MATCH([1]orders!K$1,[1]products!$A$1:$G$1,0))</f>
        <v>0.2</v>
      </c>
      <c r="H746" s="6">
        <f>INDEX([1]products!$A$1:$G$49,MATCH([1]orders!$D746,[1]products!$A$1:$A$49,0),MATCH([1]orders!L$1,[1]products!$A$1:$G$1,0))</f>
        <v>2.9849999999999999</v>
      </c>
      <c r="I746" s="6">
        <f t="shared" si="11"/>
        <v>17.91</v>
      </c>
    </row>
    <row r="747" spans="1:9" x14ac:dyDescent="0.3">
      <c r="A747" s="1" t="s">
        <v>1448</v>
      </c>
      <c r="B747" s="2">
        <v>44557</v>
      </c>
      <c r="C747" s="3" t="s">
        <v>1449</v>
      </c>
      <c r="D747" s="3" t="str">
        <f>INDEX('Customers (2)'!B:B,MATCH('Customers (2)'!A747,'Customers (2)'!A:A,0))</f>
        <v>Jordana Halden</v>
      </c>
      <c r="E747" s="4" t="s">
        <v>16</v>
      </c>
      <c r="F747" s="3">
        <v>2</v>
      </c>
      <c r="G747" s="5">
        <f>INDEX([1]products!$A$1:$G$49,MATCH([1]orders!$D747,[1]products!$A$1:$A$49,0),MATCH([1]orders!K$1,[1]products!$A$1:$G$1,0))</f>
        <v>0.5</v>
      </c>
      <c r="H747" s="6">
        <f>INDEX([1]products!$A$1:$G$49,MATCH([1]orders!$D747,[1]products!$A$1:$A$49,0),MATCH([1]orders!L$1,[1]products!$A$1:$G$1,0))</f>
        <v>7.29</v>
      </c>
      <c r="I747" s="6">
        <f t="shared" si="11"/>
        <v>14.58</v>
      </c>
    </row>
    <row r="748" spans="1:9" x14ac:dyDescent="0.3">
      <c r="A748" s="1" t="s">
        <v>1450</v>
      </c>
      <c r="B748" s="2">
        <v>43741</v>
      </c>
      <c r="C748" s="3" t="s">
        <v>1451</v>
      </c>
      <c r="D748" s="3" t="str">
        <f>INDEX('Customers (2)'!B:B,MATCH('Customers (2)'!A748,'Customers (2)'!A:A,0))</f>
        <v>Hussein Olliff</v>
      </c>
      <c r="E748" s="4" t="s">
        <v>61</v>
      </c>
      <c r="F748" s="3">
        <v>3</v>
      </c>
      <c r="G748" s="5">
        <f>INDEX([1]products!$A$1:$G$49,MATCH([1]orders!$D748,[1]products!$A$1:$A$49,0),MATCH([1]orders!K$1,[1]products!$A$1:$G$1,0))</f>
        <v>1</v>
      </c>
      <c r="H748" s="6">
        <f>INDEX([1]products!$A$1:$G$49,MATCH([1]orders!$D748,[1]products!$A$1:$A$49,0),MATCH([1]orders!L$1,[1]products!$A$1:$G$1,0))</f>
        <v>11.25</v>
      </c>
      <c r="I748" s="6">
        <f t="shared" si="11"/>
        <v>33.75</v>
      </c>
    </row>
    <row r="749" spans="1:9" x14ac:dyDescent="0.3">
      <c r="A749" s="1" t="s">
        <v>1452</v>
      </c>
      <c r="B749" s="2">
        <v>43501</v>
      </c>
      <c r="C749" s="3" t="s">
        <v>1453</v>
      </c>
      <c r="D749" s="3" t="str">
        <f>INDEX('Customers (2)'!B:B,MATCH('Customers (2)'!A749,'Customers (2)'!A:A,0))</f>
        <v>Teddi Quadri</v>
      </c>
      <c r="E749" s="4" t="s">
        <v>78</v>
      </c>
      <c r="F749" s="3">
        <v>4</v>
      </c>
      <c r="G749" s="5">
        <f>INDEX([1]products!$A$1:$G$49,MATCH([1]orders!$D749,[1]products!$A$1:$A$49,0),MATCH([1]orders!K$1,[1]products!$A$1:$G$1,0))</f>
        <v>0.5</v>
      </c>
      <c r="H749" s="6">
        <f>INDEX([1]products!$A$1:$G$49,MATCH([1]orders!$D749,[1]products!$A$1:$A$49,0),MATCH([1]orders!L$1,[1]products!$A$1:$G$1,0))</f>
        <v>8.73</v>
      </c>
      <c r="I749" s="6">
        <f t="shared" si="11"/>
        <v>34.92</v>
      </c>
    </row>
    <row r="750" spans="1:9" x14ac:dyDescent="0.3">
      <c r="A750" s="1" t="s">
        <v>1454</v>
      </c>
      <c r="B750" s="2">
        <v>44074</v>
      </c>
      <c r="C750" s="3" t="s">
        <v>1455</v>
      </c>
      <c r="D750" s="3" t="str">
        <f>INDEX('Customers (2)'!B:B,MATCH('Customers (2)'!A750,'Customers (2)'!A:A,0))</f>
        <v>Felita Eshmade</v>
      </c>
      <c r="E750" s="4" t="s">
        <v>16</v>
      </c>
      <c r="F750" s="3">
        <v>2</v>
      </c>
      <c r="G750" s="5">
        <f>INDEX([1]products!$A$1:$G$49,MATCH([1]orders!$D750,[1]products!$A$1:$A$49,0),MATCH([1]orders!K$1,[1]products!$A$1:$G$1,0))</f>
        <v>0.5</v>
      </c>
      <c r="H750" s="6">
        <f>INDEX([1]products!$A$1:$G$49,MATCH([1]orders!$D750,[1]products!$A$1:$A$49,0),MATCH([1]orders!L$1,[1]products!$A$1:$G$1,0))</f>
        <v>7.29</v>
      </c>
      <c r="I750" s="6">
        <f t="shared" si="11"/>
        <v>14.58</v>
      </c>
    </row>
    <row r="751" spans="1:9" x14ac:dyDescent="0.3">
      <c r="A751" s="1" t="s">
        <v>1456</v>
      </c>
      <c r="B751" s="2">
        <v>44209</v>
      </c>
      <c r="C751" s="3" t="s">
        <v>1457</v>
      </c>
      <c r="D751" s="3" t="str">
        <f>INDEX('Customers (2)'!B:B,MATCH('Customers (2)'!A751,'Customers (2)'!A:A,0))</f>
        <v>Melodie OIlier</v>
      </c>
      <c r="E751" s="4" t="s">
        <v>101</v>
      </c>
      <c r="F751" s="3">
        <v>2</v>
      </c>
      <c r="G751" s="5">
        <f>INDEX([1]products!$A$1:$G$49,MATCH([1]orders!$D751,[1]products!$A$1:$A$49,0),MATCH([1]orders!K$1,[1]products!$A$1:$G$1,0))</f>
        <v>0.2</v>
      </c>
      <c r="H751" s="6">
        <f>INDEX([1]products!$A$1:$G$49,MATCH([1]orders!$D751,[1]products!$A$1:$A$49,0),MATCH([1]orders!L$1,[1]products!$A$1:$G$1,0))</f>
        <v>2.6849999999999996</v>
      </c>
      <c r="I751" s="6">
        <f t="shared" si="11"/>
        <v>5.3699999999999992</v>
      </c>
    </row>
    <row r="752" spans="1:9" x14ac:dyDescent="0.3">
      <c r="A752" s="1" t="s">
        <v>1458</v>
      </c>
      <c r="B752" s="2">
        <v>44277</v>
      </c>
      <c r="C752" s="3" t="s">
        <v>1459</v>
      </c>
      <c r="D752" s="3" t="str">
        <f>INDEX('Customers (2)'!B:B,MATCH('Customers (2)'!A752,'Customers (2)'!A:A,0))</f>
        <v>Hazel Iacopini</v>
      </c>
      <c r="E752" s="4" t="s">
        <v>22</v>
      </c>
      <c r="F752" s="3">
        <v>1</v>
      </c>
      <c r="G752" s="5">
        <f>INDEX([1]products!$A$1:$G$49,MATCH([1]orders!$D752,[1]products!$A$1:$A$49,0),MATCH([1]orders!K$1,[1]products!$A$1:$G$1,0))</f>
        <v>0.5</v>
      </c>
      <c r="H752" s="6">
        <f>INDEX([1]products!$A$1:$G$49,MATCH([1]orders!$D752,[1]products!$A$1:$A$49,0),MATCH([1]orders!L$1,[1]products!$A$1:$G$1,0))</f>
        <v>5.97</v>
      </c>
      <c r="I752" s="6">
        <f t="shared" si="11"/>
        <v>5.97</v>
      </c>
    </row>
    <row r="753" spans="1:9" x14ac:dyDescent="0.3">
      <c r="A753" s="1" t="s">
        <v>1460</v>
      </c>
      <c r="B753" s="2">
        <v>43847</v>
      </c>
      <c r="C753" s="3" t="s">
        <v>1461</v>
      </c>
      <c r="D753" s="3" t="str">
        <f>INDEX('Customers (2)'!B:B,MATCH('Customers (2)'!A753,'Customers (2)'!A:A,0))</f>
        <v>Vinny Shoebotham</v>
      </c>
      <c r="E753" s="4" t="s">
        <v>83</v>
      </c>
      <c r="F753" s="3">
        <v>2</v>
      </c>
      <c r="G753" s="5">
        <f>INDEX([1]products!$A$1:$G$49,MATCH([1]orders!$D753,[1]products!$A$1:$A$49,0),MATCH([1]orders!K$1,[1]products!$A$1:$G$1,0))</f>
        <v>0.5</v>
      </c>
      <c r="H753" s="6">
        <f>INDEX([1]products!$A$1:$G$49,MATCH([1]orders!$D753,[1]products!$A$1:$A$49,0),MATCH([1]orders!L$1,[1]products!$A$1:$G$1,0))</f>
        <v>9.51</v>
      </c>
      <c r="I753" s="6">
        <f t="shared" si="11"/>
        <v>19.02</v>
      </c>
    </row>
    <row r="754" spans="1:9" x14ac:dyDescent="0.3">
      <c r="A754" s="1" t="s">
        <v>1462</v>
      </c>
      <c r="B754" s="2">
        <v>43648</v>
      </c>
      <c r="C754" s="3" t="s">
        <v>1463</v>
      </c>
      <c r="D754" s="3" t="str">
        <f>INDEX('Customers (2)'!B:B,MATCH('Customers (2)'!A754,'Customers (2)'!A:A,0))</f>
        <v>Bran Sterke</v>
      </c>
      <c r="E754" s="4" t="s">
        <v>9</v>
      </c>
      <c r="F754" s="3">
        <v>2</v>
      </c>
      <c r="G754" s="5">
        <f>INDEX([1]products!$A$1:$G$49,MATCH([1]orders!$D754,[1]products!$A$1:$A$49,0),MATCH([1]orders!K$1,[1]products!$A$1:$G$1,0))</f>
        <v>1</v>
      </c>
      <c r="H754" s="6">
        <f>INDEX([1]products!$A$1:$G$49,MATCH([1]orders!$D754,[1]products!$A$1:$A$49,0),MATCH([1]orders!L$1,[1]products!$A$1:$G$1,0))</f>
        <v>13.75</v>
      </c>
      <c r="I754" s="6">
        <f t="shared" si="11"/>
        <v>27.5</v>
      </c>
    </row>
    <row r="755" spans="1:9" x14ac:dyDescent="0.3">
      <c r="A755" s="1" t="s">
        <v>1464</v>
      </c>
      <c r="B755" s="2">
        <v>44704</v>
      </c>
      <c r="C755" s="3" t="s">
        <v>1465</v>
      </c>
      <c r="D755" s="3" t="str">
        <f>INDEX('Customers (2)'!B:B,MATCH('Customers (2)'!A755,'Customers (2)'!A:A,0))</f>
        <v>Simone Capon</v>
      </c>
      <c r="E755" s="4" t="s">
        <v>72</v>
      </c>
      <c r="F755" s="3">
        <v>5</v>
      </c>
      <c r="G755" s="5">
        <f>INDEX([1]products!$A$1:$G$49,MATCH([1]orders!$D755,[1]products!$A$1:$A$49,0),MATCH([1]orders!K$1,[1]products!$A$1:$G$1,0))</f>
        <v>0.5</v>
      </c>
      <c r="H755" s="6">
        <f>INDEX([1]products!$A$1:$G$49,MATCH([1]orders!$D755,[1]products!$A$1:$A$49,0),MATCH([1]orders!L$1,[1]products!$A$1:$G$1,0))</f>
        <v>5.97</v>
      </c>
      <c r="I755" s="6">
        <f t="shared" si="11"/>
        <v>29.849999999999998</v>
      </c>
    </row>
    <row r="756" spans="1:9" x14ac:dyDescent="0.3">
      <c r="A756" s="1" t="s">
        <v>1466</v>
      </c>
      <c r="B756" s="2">
        <v>44726</v>
      </c>
      <c r="C756" s="3" t="s">
        <v>1344</v>
      </c>
      <c r="D756" s="3" t="str">
        <f>INDEX('Customers (2)'!B:B,MATCH('Customers (2)'!A756,'Customers (2)'!A:A,0))</f>
        <v>Philomena Traite</v>
      </c>
      <c r="E756" s="4" t="s">
        <v>54</v>
      </c>
      <c r="F756" s="3">
        <v>6</v>
      </c>
      <c r="G756" s="5">
        <f>INDEX([1]products!$A$1:$G$49,MATCH([1]orders!$D756,[1]products!$A$1:$A$49,0),MATCH([1]orders!K$1,[1]products!$A$1:$G$1,0))</f>
        <v>0.2</v>
      </c>
      <c r="H756" s="6">
        <f>INDEX([1]products!$A$1:$G$49,MATCH([1]orders!$D756,[1]products!$A$1:$A$49,0),MATCH([1]orders!L$1,[1]products!$A$1:$G$1,0))</f>
        <v>2.9849999999999999</v>
      </c>
      <c r="I756" s="6">
        <f t="shared" si="11"/>
        <v>17.91</v>
      </c>
    </row>
    <row r="757" spans="1:9" x14ac:dyDescent="0.3">
      <c r="A757" s="1" t="s">
        <v>1467</v>
      </c>
      <c r="B757" s="2">
        <v>44397</v>
      </c>
      <c r="C757" s="3" t="s">
        <v>1468</v>
      </c>
      <c r="D757" s="3" t="str">
        <f>INDEX('Customers (2)'!B:B,MATCH('Customers (2)'!A757,'Customers (2)'!A:A,0))</f>
        <v>Foster Constance</v>
      </c>
      <c r="E757" s="4" t="s">
        <v>19</v>
      </c>
      <c r="F757" s="3">
        <v>6</v>
      </c>
      <c r="G757" s="5">
        <f>INDEX([1]products!$A$1:$G$49,MATCH([1]orders!$D757,[1]products!$A$1:$A$49,0),MATCH([1]orders!K$1,[1]products!$A$1:$G$1,0))</f>
        <v>0.2</v>
      </c>
      <c r="H757" s="6">
        <f>INDEX([1]products!$A$1:$G$49,MATCH([1]orders!$D757,[1]products!$A$1:$A$49,0),MATCH([1]orders!L$1,[1]products!$A$1:$G$1,0))</f>
        <v>4.7549999999999999</v>
      </c>
      <c r="I757" s="6">
        <f t="shared" si="11"/>
        <v>28.53</v>
      </c>
    </row>
    <row r="758" spans="1:9" x14ac:dyDescent="0.3">
      <c r="A758" s="1" t="s">
        <v>1469</v>
      </c>
      <c r="B758" s="2">
        <v>44715</v>
      </c>
      <c r="C758" s="3" t="s">
        <v>1470</v>
      </c>
      <c r="D758" s="3" t="str">
        <f>INDEX('Customers (2)'!B:B,MATCH('Customers (2)'!A758,'Customers (2)'!A:A,0))</f>
        <v>Fernando Sulman</v>
      </c>
      <c r="E758" s="4" t="s">
        <v>179</v>
      </c>
      <c r="F758" s="3">
        <v>4</v>
      </c>
      <c r="G758" s="5">
        <f>INDEX([1]products!$A$1:$G$49,MATCH([1]orders!$D758,[1]products!$A$1:$A$49,0),MATCH([1]orders!K$1,[1]products!$A$1:$G$1,0))</f>
        <v>1</v>
      </c>
      <c r="H758" s="6">
        <f>INDEX([1]products!$A$1:$G$49,MATCH([1]orders!$D758,[1]products!$A$1:$A$49,0),MATCH([1]orders!L$1,[1]products!$A$1:$G$1,0))</f>
        <v>8.9499999999999993</v>
      </c>
      <c r="I758" s="6">
        <f t="shared" si="11"/>
        <v>35.799999999999997</v>
      </c>
    </row>
    <row r="759" spans="1:9" x14ac:dyDescent="0.3">
      <c r="A759" s="1" t="s">
        <v>1471</v>
      </c>
      <c r="B759" s="2">
        <v>43977</v>
      </c>
      <c r="C759" s="3" t="s">
        <v>1472</v>
      </c>
      <c r="D759" s="3" t="str">
        <f>INDEX('Customers (2)'!B:B,MATCH('Customers (2)'!A759,'Customers (2)'!A:A,0))</f>
        <v>Dorotea Hollyman</v>
      </c>
      <c r="E759" s="4" t="s">
        <v>72</v>
      </c>
      <c r="F759" s="3">
        <v>3</v>
      </c>
      <c r="G759" s="5">
        <f>INDEX([1]products!$A$1:$G$49,MATCH([1]orders!$D759,[1]products!$A$1:$A$49,0),MATCH([1]orders!K$1,[1]products!$A$1:$G$1,0))</f>
        <v>0.5</v>
      </c>
      <c r="H759" s="6">
        <f>INDEX([1]products!$A$1:$G$49,MATCH([1]orders!$D759,[1]products!$A$1:$A$49,0),MATCH([1]orders!L$1,[1]products!$A$1:$G$1,0))</f>
        <v>5.97</v>
      </c>
      <c r="I759" s="6">
        <f t="shared" si="11"/>
        <v>17.91</v>
      </c>
    </row>
    <row r="760" spans="1:9" x14ac:dyDescent="0.3">
      <c r="A760" s="1" t="s">
        <v>1473</v>
      </c>
      <c r="B760" s="2">
        <v>43672</v>
      </c>
      <c r="C760" s="3" t="s">
        <v>1474</v>
      </c>
      <c r="D760" s="3" t="str">
        <f>INDEX('Customers (2)'!B:B,MATCH('Customers (2)'!A760,'Customers (2)'!A:A,0))</f>
        <v>Lorelei Nardoni</v>
      </c>
      <c r="E760" s="4" t="s">
        <v>179</v>
      </c>
      <c r="F760" s="3">
        <v>1</v>
      </c>
      <c r="G760" s="5">
        <f>INDEX([1]products!$A$1:$G$49,MATCH([1]orders!$D760,[1]products!$A$1:$A$49,0),MATCH([1]orders!K$1,[1]products!$A$1:$G$1,0))</f>
        <v>1</v>
      </c>
      <c r="H760" s="6">
        <f>INDEX([1]products!$A$1:$G$49,MATCH([1]orders!$D760,[1]products!$A$1:$A$49,0),MATCH([1]orders!L$1,[1]products!$A$1:$G$1,0))</f>
        <v>8.9499999999999993</v>
      </c>
      <c r="I760" s="6">
        <f t="shared" si="11"/>
        <v>8.9499999999999993</v>
      </c>
    </row>
    <row r="761" spans="1:9" x14ac:dyDescent="0.3">
      <c r="A761" s="1" t="s">
        <v>1475</v>
      </c>
      <c r="B761" s="2">
        <v>44126</v>
      </c>
      <c r="C761" s="3" t="s">
        <v>1476</v>
      </c>
      <c r="D761" s="3" t="str">
        <f>INDEX('Customers (2)'!B:B,MATCH('Customers (2)'!A761,'Customers (2)'!A:A,0))</f>
        <v>Dallas Yarham</v>
      </c>
      <c r="E761" s="4" t="s">
        <v>109</v>
      </c>
      <c r="F761" s="3">
        <v>1</v>
      </c>
      <c r="G761" s="5">
        <f>INDEX([1]products!$A$1:$G$49,MATCH([1]orders!$D761,[1]products!$A$1:$A$49,0),MATCH([1]orders!K$1,[1]products!$A$1:$G$1,0))</f>
        <v>2.5</v>
      </c>
      <c r="H761" s="6">
        <f>INDEX([1]products!$A$1:$G$49,MATCH([1]orders!$D761,[1]products!$A$1:$A$49,0),MATCH([1]orders!L$1,[1]products!$A$1:$G$1,0))</f>
        <v>29.784999999999997</v>
      </c>
      <c r="I761" s="6">
        <f t="shared" si="11"/>
        <v>29.784999999999997</v>
      </c>
    </row>
    <row r="762" spans="1:9" x14ac:dyDescent="0.3">
      <c r="A762" s="1" t="s">
        <v>1477</v>
      </c>
      <c r="B762" s="2">
        <v>44189</v>
      </c>
      <c r="C762" s="3" t="s">
        <v>1478</v>
      </c>
      <c r="D762" s="3" t="str">
        <f>INDEX('Customers (2)'!B:B,MATCH('Customers (2)'!A762,'Customers (2)'!A:A,0))</f>
        <v>Arlana Ferrea</v>
      </c>
      <c r="E762" s="4" t="s">
        <v>176</v>
      </c>
      <c r="F762" s="3">
        <v>5</v>
      </c>
      <c r="G762" s="5">
        <f>INDEX([1]products!$A$1:$G$49,MATCH([1]orders!$D762,[1]products!$A$1:$A$49,0),MATCH([1]orders!K$1,[1]products!$A$1:$G$1,0))</f>
        <v>0.5</v>
      </c>
      <c r="H762" s="6">
        <f>INDEX([1]products!$A$1:$G$49,MATCH([1]orders!$D762,[1]products!$A$1:$A$49,0),MATCH([1]orders!L$1,[1]products!$A$1:$G$1,0))</f>
        <v>8.91</v>
      </c>
      <c r="I762" s="6">
        <f t="shared" si="11"/>
        <v>44.55</v>
      </c>
    </row>
    <row r="763" spans="1:9" x14ac:dyDescent="0.3">
      <c r="A763" s="1" t="s">
        <v>1479</v>
      </c>
      <c r="B763" s="2">
        <v>43714</v>
      </c>
      <c r="C763" s="3" t="s">
        <v>1480</v>
      </c>
      <c r="D763" s="3" t="str">
        <f>INDEX('Customers (2)'!B:B,MATCH('Customers (2)'!A763,'Customers (2)'!A:A,0))</f>
        <v>Chuck Kendrick</v>
      </c>
      <c r="E763" s="4" t="s">
        <v>137</v>
      </c>
      <c r="F763" s="3">
        <v>6</v>
      </c>
      <c r="G763" s="5">
        <f>INDEX([1]products!$A$1:$G$49,MATCH([1]orders!$D763,[1]products!$A$1:$A$49,0),MATCH([1]orders!K$1,[1]products!$A$1:$G$1,0))</f>
        <v>1</v>
      </c>
      <c r="H763" s="6">
        <f>INDEX([1]products!$A$1:$G$49,MATCH([1]orders!$D763,[1]products!$A$1:$A$49,0),MATCH([1]orders!L$1,[1]products!$A$1:$G$1,0))</f>
        <v>14.85</v>
      </c>
      <c r="I763" s="6">
        <f t="shared" si="11"/>
        <v>89.1</v>
      </c>
    </row>
    <row r="764" spans="1:9" x14ac:dyDescent="0.3">
      <c r="A764" s="1" t="s">
        <v>1481</v>
      </c>
      <c r="B764" s="2">
        <v>43563</v>
      </c>
      <c r="C764" s="3" t="s">
        <v>1482</v>
      </c>
      <c r="D764" s="3" t="str">
        <f>INDEX('Customers (2)'!B:B,MATCH('Customers (2)'!A764,'Customers (2)'!A:A,0))</f>
        <v>Sharona Danilchik</v>
      </c>
      <c r="E764" s="4" t="s">
        <v>78</v>
      </c>
      <c r="F764" s="3">
        <v>5</v>
      </c>
      <c r="G764" s="5">
        <f>INDEX([1]products!$A$1:$G$49,MATCH([1]orders!$D764,[1]products!$A$1:$A$49,0),MATCH([1]orders!K$1,[1]products!$A$1:$G$1,0))</f>
        <v>0.5</v>
      </c>
      <c r="H764" s="6">
        <f>INDEX([1]products!$A$1:$G$49,MATCH([1]orders!$D764,[1]products!$A$1:$A$49,0),MATCH([1]orders!L$1,[1]products!$A$1:$G$1,0))</f>
        <v>8.73</v>
      </c>
      <c r="I764" s="6">
        <f t="shared" si="11"/>
        <v>43.650000000000006</v>
      </c>
    </row>
    <row r="765" spans="1:9" x14ac:dyDescent="0.3">
      <c r="A765" s="1" t="s">
        <v>1483</v>
      </c>
      <c r="B765" s="2">
        <v>44587</v>
      </c>
      <c r="C765" s="3" t="s">
        <v>1484</v>
      </c>
      <c r="D765" s="3" t="str">
        <f>INDEX('Customers (2)'!B:B,MATCH('Customers (2)'!A765,'Customers (2)'!A:A,0))</f>
        <v>Sarajane Potter</v>
      </c>
      <c r="E765" s="4" t="s">
        <v>192</v>
      </c>
      <c r="F765" s="3">
        <v>3</v>
      </c>
      <c r="G765" s="5">
        <f>INDEX([1]products!$A$1:$G$49,MATCH([1]orders!$D765,[1]products!$A$1:$A$49,0),MATCH([1]orders!K$1,[1]products!$A$1:$G$1,0))</f>
        <v>0.5</v>
      </c>
      <c r="H765" s="6">
        <f>INDEX([1]products!$A$1:$G$49,MATCH([1]orders!$D765,[1]products!$A$1:$A$49,0),MATCH([1]orders!L$1,[1]products!$A$1:$G$1,0))</f>
        <v>7.77</v>
      </c>
      <c r="I765" s="6">
        <f t="shared" si="11"/>
        <v>23.31</v>
      </c>
    </row>
    <row r="766" spans="1:9" x14ac:dyDescent="0.3">
      <c r="A766" s="1" t="s">
        <v>1485</v>
      </c>
      <c r="B766" s="2">
        <v>43797</v>
      </c>
      <c r="C766" s="3" t="s">
        <v>1486</v>
      </c>
      <c r="D766" s="3" t="str">
        <f>INDEX('Customers (2)'!B:B,MATCH('Customers (2)'!A766,'Customers (2)'!A:A,0))</f>
        <v>Bobby Folomkin</v>
      </c>
      <c r="E766" s="4" t="s">
        <v>204</v>
      </c>
      <c r="F766" s="3">
        <v>6</v>
      </c>
      <c r="G766" s="5">
        <f>INDEX([1]products!$A$1:$G$49,MATCH([1]orders!$D766,[1]products!$A$1:$A$49,0),MATCH([1]orders!K$1,[1]products!$A$1:$G$1,0))</f>
        <v>2.5</v>
      </c>
      <c r="H766" s="6">
        <f>INDEX([1]products!$A$1:$G$49,MATCH([1]orders!$D766,[1]products!$A$1:$A$49,0),MATCH([1]orders!L$1,[1]products!$A$1:$G$1,0))</f>
        <v>29.784999999999997</v>
      </c>
      <c r="I766" s="6">
        <f t="shared" si="11"/>
        <v>178.70999999999998</v>
      </c>
    </row>
    <row r="767" spans="1:9" x14ac:dyDescent="0.3">
      <c r="A767" s="1" t="s">
        <v>1487</v>
      </c>
      <c r="B767" s="2">
        <v>43667</v>
      </c>
      <c r="C767" s="3" t="s">
        <v>1488</v>
      </c>
      <c r="D767" s="3" t="str">
        <f>INDEX('Customers (2)'!B:B,MATCH('Customers (2)'!A767,'Customers (2)'!A:A,0))</f>
        <v>Rafferty Pursglove</v>
      </c>
      <c r="E767" s="4" t="s">
        <v>2</v>
      </c>
      <c r="F767" s="3">
        <v>6</v>
      </c>
      <c r="G767" s="5">
        <f>INDEX([1]products!$A$1:$G$49,MATCH([1]orders!$D767,[1]products!$A$1:$A$49,0),MATCH([1]orders!K$1,[1]products!$A$1:$G$1,0))</f>
        <v>1</v>
      </c>
      <c r="H767" s="6">
        <f>INDEX([1]products!$A$1:$G$49,MATCH([1]orders!$D767,[1]products!$A$1:$A$49,0),MATCH([1]orders!L$1,[1]products!$A$1:$G$1,0))</f>
        <v>9.9499999999999993</v>
      </c>
      <c r="I767" s="6">
        <f t="shared" si="11"/>
        <v>59.699999999999996</v>
      </c>
    </row>
    <row r="768" spans="1:9" x14ac:dyDescent="0.3">
      <c r="A768" s="1" t="s">
        <v>1487</v>
      </c>
      <c r="B768" s="2">
        <v>43667</v>
      </c>
      <c r="C768" s="3" t="s">
        <v>1488</v>
      </c>
      <c r="D768" s="3" t="str">
        <f>INDEX('Customers (2)'!B:B,MATCH('Customers (2)'!A768,'Customers (2)'!A:A,0))</f>
        <v>Riva De Micoli</v>
      </c>
      <c r="E768" s="4" t="s">
        <v>192</v>
      </c>
      <c r="F768" s="3">
        <v>2</v>
      </c>
      <c r="G768" s="5">
        <f>INDEX([1]products!$A$1:$G$49,MATCH([1]orders!$D768,[1]products!$A$1:$A$49,0),MATCH([1]orders!K$1,[1]products!$A$1:$G$1,0))</f>
        <v>0.5</v>
      </c>
      <c r="H768" s="6">
        <f>INDEX([1]products!$A$1:$G$49,MATCH([1]orders!$D768,[1]products!$A$1:$A$49,0),MATCH([1]orders!L$1,[1]products!$A$1:$G$1,0))</f>
        <v>7.77</v>
      </c>
      <c r="I768" s="6">
        <f t="shared" si="11"/>
        <v>15.54</v>
      </c>
    </row>
    <row r="769" spans="1:9" x14ac:dyDescent="0.3">
      <c r="A769" s="1" t="s">
        <v>1489</v>
      </c>
      <c r="B769" s="2">
        <v>44267</v>
      </c>
      <c r="C769" s="3" t="s">
        <v>1468</v>
      </c>
      <c r="D769" s="3" t="str">
        <f>INDEX('Customers (2)'!B:B,MATCH('Customers (2)'!A769,'Customers (2)'!A:A,0))</f>
        <v>Antoine Taunton.</v>
      </c>
      <c r="E769" s="4" t="s">
        <v>204</v>
      </c>
      <c r="F769" s="3">
        <v>3</v>
      </c>
      <c r="G769" s="5">
        <f>INDEX([1]products!$A$1:$G$49,MATCH([1]orders!$D769,[1]products!$A$1:$A$49,0),MATCH([1]orders!K$1,[1]products!$A$1:$G$1,0))</f>
        <v>2.5</v>
      </c>
      <c r="H769" s="6">
        <f>INDEX([1]products!$A$1:$G$49,MATCH([1]orders!$D769,[1]products!$A$1:$A$49,0),MATCH([1]orders!L$1,[1]products!$A$1:$G$1,0))</f>
        <v>29.784999999999997</v>
      </c>
      <c r="I769" s="6">
        <f t="shared" si="11"/>
        <v>89.35499999999999</v>
      </c>
    </row>
    <row r="770" spans="1:9" x14ac:dyDescent="0.3">
      <c r="A770" s="1" t="s">
        <v>1490</v>
      </c>
      <c r="B770" s="2">
        <v>44562</v>
      </c>
      <c r="C770" s="3" t="s">
        <v>1468</v>
      </c>
      <c r="D770" s="3" t="str">
        <f>INDEX('Customers (2)'!B:B,MATCH('Customers (2)'!A770,'Customers (2)'!A:A,0))</f>
        <v>Krishnah Incogna</v>
      </c>
      <c r="E770" s="4" t="s">
        <v>189</v>
      </c>
      <c r="F770" s="3">
        <v>2</v>
      </c>
      <c r="G770" s="5">
        <f>INDEX([1]products!$A$1:$G$49,MATCH([1]orders!$D770,[1]products!$A$1:$A$49,0),MATCH([1]orders!K$1,[1]products!$A$1:$G$1,0))</f>
        <v>1</v>
      </c>
      <c r="H770" s="6">
        <f>INDEX([1]products!$A$1:$G$49,MATCH([1]orders!$D770,[1]products!$A$1:$A$49,0),MATCH([1]orders!L$1,[1]products!$A$1:$G$1,0))</f>
        <v>11.95</v>
      </c>
      <c r="I770" s="6">
        <f t="shared" ref="I770:I833" si="12">F770*H770</f>
        <v>23.9</v>
      </c>
    </row>
    <row r="771" spans="1:9" x14ac:dyDescent="0.3">
      <c r="A771" s="1" t="s">
        <v>1491</v>
      </c>
      <c r="B771" s="2">
        <v>43912</v>
      </c>
      <c r="C771" s="3" t="s">
        <v>1492</v>
      </c>
      <c r="D771" s="3" t="str">
        <f>INDEX('Customers (2)'!B:B,MATCH('Customers (2)'!A771,'Customers (2)'!A:A,0))</f>
        <v>Dalia Eburah</v>
      </c>
      <c r="E771" s="4" t="s">
        <v>41</v>
      </c>
      <c r="F771" s="3">
        <v>6</v>
      </c>
      <c r="G771" s="5">
        <f>INDEX([1]products!$A$1:$G$49,MATCH([1]orders!$D771,[1]products!$A$1:$A$49,0),MATCH([1]orders!K$1,[1]products!$A$1:$G$1,0))</f>
        <v>2.5</v>
      </c>
      <c r="H771" s="6">
        <f>INDEX([1]products!$A$1:$G$49,MATCH([1]orders!$D771,[1]products!$A$1:$A$49,0),MATCH([1]orders!L$1,[1]products!$A$1:$G$1,0))</f>
        <v>22.884999999999998</v>
      </c>
      <c r="I771" s="6">
        <f t="shared" si="12"/>
        <v>137.31</v>
      </c>
    </row>
    <row r="772" spans="1:9" x14ac:dyDescent="0.3">
      <c r="A772" s="1" t="s">
        <v>1493</v>
      </c>
      <c r="B772" s="2">
        <v>44092</v>
      </c>
      <c r="C772" s="3" t="s">
        <v>1494</v>
      </c>
      <c r="D772" s="3" t="str">
        <f>INDEX('Customers (2)'!B:B,MATCH('Customers (2)'!A772,'Customers (2)'!A:A,0))</f>
        <v>Martie Brimilcombe</v>
      </c>
      <c r="E772" s="4" t="s">
        <v>27</v>
      </c>
      <c r="F772" s="3">
        <v>1</v>
      </c>
      <c r="G772" s="5">
        <f>INDEX([1]products!$A$1:$G$49,MATCH([1]orders!$D772,[1]products!$A$1:$A$49,0),MATCH([1]orders!K$1,[1]products!$A$1:$G$1,0))</f>
        <v>1</v>
      </c>
      <c r="H772" s="6">
        <f>INDEX([1]products!$A$1:$G$49,MATCH([1]orders!$D772,[1]products!$A$1:$A$49,0),MATCH([1]orders!L$1,[1]products!$A$1:$G$1,0))</f>
        <v>9.9499999999999993</v>
      </c>
      <c r="I772" s="6">
        <f t="shared" si="12"/>
        <v>9.9499999999999993</v>
      </c>
    </row>
    <row r="773" spans="1:9" x14ac:dyDescent="0.3">
      <c r="A773" s="1" t="s">
        <v>1495</v>
      </c>
      <c r="B773" s="2">
        <v>43468</v>
      </c>
      <c r="C773" s="3" t="s">
        <v>1496</v>
      </c>
      <c r="D773" s="3" t="str">
        <f>INDEX('Customers (2)'!B:B,MATCH('Customers (2)'!A773,'Customers (2)'!A:A,0))</f>
        <v>Suzanna Bollam</v>
      </c>
      <c r="E773" s="4" t="s">
        <v>157</v>
      </c>
      <c r="F773" s="3">
        <v>3</v>
      </c>
      <c r="G773" s="5">
        <f>INDEX([1]products!$A$1:$G$49,MATCH([1]orders!$D773,[1]products!$A$1:$A$49,0),MATCH([1]orders!K$1,[1]products!$A$1:$G$1,0))</f>
        <v>0.5</v>
      </c>
      <c r="H773" s="6">
        <f>INDEX([1]products!$A$1:$G$49,MATCH([1]orders!$D773,[1]products!$A$1:$A$49,0),MATCH([1]orders!L$1,[1]products!$A$1:$G$1,0))</f>
        <v>7.169999999999999</v>
      </c>
      <c r="I773" s="6">
        <f t="shared" si="12"/>
        <v>21.509999999999998</v>
      </c>
    </row>
    <row r="774" spans="1:9" x14ac:dyDescent="0.3">
      <c r="A774" s="1" t="s">
        <v>1497</v>
      </c>
      <c r="B774" s="2">
        <v>44468</v>
      </c>
      <c r="C774" s="3" t="s">
        <v>1498</v>
      </c>
      <c r="D774" s="3" t="str">
        <f>INDEX('Customers (2)'!B:B,MATCH('Customers (2)'!A774,'Customers (2)'!A:A,0))</f>
        <v>Mellisa Mebes</v>
      </c>
      <c r="E774" s="4" t="s">
        <v>9</v>
      </c>
      <c r="F774" s="3">
        <v>6</v>
      </c>
      <c r="G774" s="5">
        <f>INDEX([1]products!$A$1:$G$49,MATCH([1]orders!$D774,[1]products!$A$1:$A$49,0),MATCH([1]orders!K$1,[1]products!$A$1:$G$1,0))</f>
        <v>1</v>
      </c>
      <c r="H774" s="6">
        <f>INDEX([1]products!$A$1:$G$49,MATCH([1]orders!$D774,[1]products!$A$1:$A$49,0),MATCH([1]orders!L$1,[1]products!$A$1:$G$1,0))</f>
        <v>13.75</v>
      </c>
      <c r="I774" s="6">
        <f t="shared" si="12"/>
        <v>82.5</v>
      </c>
    </row>
    <row r="775" spans="1:9" x14ac:dyDescent="0.3">
      <c r="A775" s="1" t="s">
        <v>1499</v>
      </c>
      <c r="B775" s="2">
        <v>44488</v>
      </c>
      <c r="C775" s="3" t="s">
        <v>1500</v>
      </c>
      <c r="D775" s="3" t="str">
        <f>INDEX('Customers (2)'!B:B,MATCH('Customers (2)'!A775,'Customers (2)'!A:A,0))</f>
        <v>Alva Filipczak</v>
      </c>
      <c r="E775" s="4" t="s">
        <v>77</v>
      </c>
      <c r="F775" s="3">
        <v>2</v>
      </c>
      <c r="G775" s="5">
        <f>INDEX([1]products!$A$1:$G$49,MATCH([1]orders!$D775,[1]products!$A$1:$A$49,0),MATCH([1]orders!K$1,[1]products!$A$1:$G$1,0))</f>
        <v>0.2</v>
      </c>
      <c r="H775" s="6">
        <f>INDEX([1]products!$A$1:$G$49,MATCH([1]orders!$D775,[1]products!$A$1:$A$49,0),MATCH([1]orders!L$1,[1]products!$A$1:$G$1,0))</f>
        <v>4.3650000000000002</v>
      </c>
      <c r="I775" s="6">
        <f t="shared" si="12"/>
        <v>8.73</v>
      </c>
    </row>
    <row r="776" spans="1:9" x14ac:dyDescent="0.3">
      <c r="A776" s="1" t="s">
        <v>1501</v>
      </c>
      <c r="B776" s="2">
        <v>44756</v>
      </c>
      <c r="C776" s="3" t="s">
        <v>1502</v>
      </c>
      <c r="D776" s="3" t="str">
        <f>INDEX('Customers (2)'!B:B,MATCH('Customers (2)'!A776,'Customers (2)'!A:A,0))</f>
        <v>Dorette Hinemoor</v>
      </c>
      <c r="E776" s="4" t="s">
        <v>2</v>
      </c>
      <c r="F776" s="3">
        <v>2</v>
      </c>
      <c r="G776" s="5">
        <f>INDEX([1]products!$A$1:$G$49,MATCH([1]orders!$D776,[1]products!$A$1:$A$49,0),MATCH([1]orders!K$1,[1]products!$A$1:$G$1,0))</f>
        <v>1</v>
      </c>
      <c r="H776" s="6">
        <f>INDEX([1]products!$A$1:$G$49,MATCH([1]orders!$D776,[1]products!$A$1:$A$49,0),MATCH([1]orders!L$1,[1]products!$A$1:$G$1,0))</f>
        <v>9.9499999999999993</v>
      </c>
      <c r="I776" s="6">
        <f t="shared" si="12"/>
        <v>19.899999999999999</v>
      </c>
    </row>
    <row r="777" spans="1:9" x14ac:dyDescent="0.3">
      <c r="A777" s="1" t="s">
        <v>1503</v>
      </c>
      <c r="B777" s="2">
        <v>44396</v>
      </c>
      <c r="C777" s="3" t="s">
        <v>1504</v>
      </c>
      <c r="D777" s="3" t="str">
        <f>INDEX('Customers (2)'!B:B,MATCH('Customers (2)'!A777,'Customers (2)'!A:A,0))</f>
        <v>Rhetta Elnaugh</v>
      </c>
      <c r="E777" s="4" t="s">
        <v>176</v>
      </c>
      <c r="F777" s="3">
        <v>2</v>
      </c>
      <c r="G777" s="5">
        <f>INDEX([1]products!$A$1:$G$49,MATCH([1]orders!$D777,[1]products!$A$1:$A$49,0),MATCH([1]orders!K$1,[1]products!$A$1:$G$1,0))</f>
        <v>0.5</v>
      </c>
      <c r="H777" s="6">
        <f>INDEX([1]products!$A$1:$G$49,MATCH([1]orders!$D777,[1]products!$A$1:$A$49,0),MATCH([1]orders!L$1,[1]products!$A$1:$G$1,0))</f>
        <v>8.91</v>
      </c>
      <c r="I777" s="6">
        <f t="shared" si="12"/>
        <v>17.82</v>
      </c>
    </row>
    <row r="778" spans="1:9" x14ac:dyDescent="0.3">
      <c r="A778" s="1" t="s">
        <v>1505</v>
      </c>
      <c r="B778" s="2">
        <v>44540</v>
      </c>
      <c r="C778" s="3" t="s">
        <v>1506</v>
      </c>
      <c r="D778" s="3" t="str">
        <f>INDEX('Customers (2)'!B:B,MATCH('Customers (2)'!A778,'Customers (2)'!A:A,0))</f>
        <v>Jule Deehan</v>
      </c>
      <c r="E778" s="4" t="s">
        <v>67</v>
      </c>
      <c r="F778" s="3">
        <v>3</v>
      </c>
      <c r="G778" s="5">
        <f>INDEX([1]products!$A$1:$G$49,MATCH([1]orders!$D778,[1]products!$A$1:$A$49,0),MATCH([1]orders!K$1,[1]products!$A$1:$G$1,0))</f>
        <v>0.5</v>
      </c>
      <c r="H778" s="6">
        <f>INDEX([1]products!$A$1:$G$49,MATCH([1]orders!$D778,[1]products!$A$1:$A$49,0),MATCH([1]orders!L$1,[1]products!$A$1:$G$1,0))</f>
        <v>6.75</v>
      </c>
      <c r="I778" s="6">
        <f t="shared" si="12"/>
        <v>20.25</v>
      </c>
    </row>
    <row r="779" spans="1:9" x14ac:dyDescent="0.3">
      <c r="A779" s="1" t="s">
        <v>1507</v>
      </c>
      <c r="B779" s="2">
        <v>43541</v>
      </c>
      <c r="C779" s="3" t="s">
        <v>1508</v>
      </c>
      <c r="D779" s="3" t="str">
        <f>INDEX('Customers (2)'!B:B,MATCH('Customers (2)'!A779,'Customers (2)'!A:A,0))</f>
        <v>Janella Eden</v>
      </c>
      <c r="E779" s="4" t="s">
        <v>204</v>
      </c>
      <c r="F779" s="3">
        <v>2</v>
      </c>
      <c r="G779" s="5">
        <f>INDEX([1]products!$A$1:$G$49,MATCH([1]orders!$D779,[1]products!$A$1:$A$49,0),MATCH([1]orders!K$1,[1]products!$A$1:$G$1,0))</f>
        <v>2.5</v>
      </c>
      <c r="H779" s="6">
        <f>INDEX([1]products!$A$1:$G$49,MATCH([1]orders!$D779,[1]products!$A$1:$A$49,0),MATCH([1]orders!L$1,[1]products!$A$1:$G$1,0))</f>
        <v>29.784999999999997</v>
      </c>
      <c r="I779" s="6">
        <f t="shared" si="12"/>
        <v>59.569999999999993</v>
      </c>
    </row>
    <row r="780" spans="1:9" x14ac:dyDescent="0.3">
      <c r="A780" s="1" t="s">
        <v>1509</v>
      </c>
      <c r="B780" s="2">
        <v>43889</v>
      </c>
      <c r="C780" s="3" t="s">
        <v>1510</v>
      </c>
      <c r="D780" s="3" t="str">
        <f>INDEX('Customers (2)'!B:B,MATCH('Customers (2)'!A780,'Customers (2)'!A:A,0))</f>
        <v>Devora Maton</v>
      </c>
      <c r="E780" s="4" t="s">
        <v>83</v>
      </c>
      <c r="F780" s="3">
        <v>2</v>
      </c>
      <c r="G780" s="5">
        <f>INDEX([1]products!$A$1:$G$49,MATCH([1]orders!$D780,[1]products!$A$1:$A$49,0),MATCH([1]orders!K$1,[1]products!$A$1:$G$1,0))</f>
        <v>0.5</v>
      </c>
      <c r="H780" s="6">
        <f>INDEX([1]products!$A$1:$G$49,MATCH([1]orders!$D780,[1]products!$A$1:$A$49,0),MATCH([1]orders!L$1,[1]products!$A$1:$G$1,0))</f>
        <v>9.51</v>
      </c>
      <c r="I780" s="6">
        <f t="shared" si="12"/>
        <v>19.02</v>
      </c>
    </row>
    <row r="781" spans="1:9" x14ac:dyDescent="0.3">
      <c r="A781" s="1" t="s">
        <v>1511</v>
      </c>
      <c r="B781" s="2">
        <v>43985</v>
      </c>
      <c r="C781" s="3" t="s">
        <v>1512</v>
      </c>
      <c r="D781" s="3" t="str">
        <f>INDEX('Customers (2)'!B:B,MATCH('Customers (2)'!A781,'Customers (2)'!A:A,0))</f>
        <v>Ugo Southerden</v>
      </c>
      <c r="E781" s="4" t="s">
        <v>13</v>
      </c>
      <c r="F781" s="3">
        <v>6</v>
      </c>
      <c r="G781" s="5">
        <f>INDEX([1]products!$A$1:$G$49,MATCH([1]orders!$D781,[1]products!$A$1:$A$49,0),MATCH([1]orders!K$1,[1]products!$A$1:$G$1,0))</f>
        <v>1</v>
      </c>
      <c r="H781" s="6">
        <f>INDEX([1]products!$A$1:$G$49,MATCH([1]orders!$D781,[1]products!$A$1:$A$49,0),MATCH([1]orders!L$1,[1]products!$A$1:$G$1,0))</f>
        <v>12.95</v>
      </c>
      <c r="I781" s="6">
        <f t="shared" si="12"/>
        <v>77.699999999999989</v>
      </c>
    </row>
    <row r="782" spans="1:9" x14ac:dyDescent="0.3">
      <c r="A782" s="1" t="s">
        <v>1513</v>
      </c>
      <c r="B782" s="2">
        <v>43883</v>
      </c>
      <c r="C782" s="3" t="s">
        <v>1514</v>
      </c>
      <c r="D782" s="3" t="str">
        <f>INDEX('Customers (2)'!B:B,MATCH('Customers (2)'!A782,'Customers (2)'!A:A,0))</f>
        <v>Verne Dunkerley</v>
      </c>
      <c r="E782" s="4" t="s">
        <v>9</v>
      </c>
      <c r="F782" s="3">
        <v>3</v>
      </c>
      <c r="G782" s="5">
        <f>INDEX([1]products!$A$1:$G$49,MATCH([1]orders!$D782,[1]products!$A$1:$A$49,0),MATCH([1]orders!K$1,[1]products!$A$1:$G$1,0))</f>
        <v>1</v>
      </c>
      <c r="H782" s="6">
        <f>INDEX([1]products!$A$1:$G$49,MATCH([1]orders!$D782,[1]products!$A$1:$A$49,0),MATCH([1]orders!L$1,[1]products!$A$1:$G$1,0))</f>
        <v>13.75</v>
      </c>
      <c r="I782" s="6">
        <f t="shared" si="12"/>
        <v>41.25</v>
      </c>
    </row>
    <row r="783" spans="1:9" x14ac:dyDescent="0.3">
      <c r="A783" s="1" t="s">
        <v>1515</v>
      </c>
      <c r="B783" s="2">
        <v>43778</v>
      </c>
      <c r="C783" s="3" t="s">
        <v>1516</v>
      </c>
      <c r="D783" s="3" t="str">
        <f>INDEX('Customers (2)'!B:B,MATCH('Customers (2)'!A783,'Customers (2)'!A:A,0))</f>
        <v>Lacee Burtenshaw</v>
      </c>
      <c r="E783" s="4" t="s">
        <v>104</v>
      </c>
      <c r="F783" s="3">
        <v>4</v>
      </c>
      <c r="G783" s="5">
        <f>INDEX([1]products!$A$1:$G$49,MATCH([1]orders!$D783,[1]products!$A$1:$A$49,0),MATCH([1]orders!K$1,[1]products!$A$1:$G$1,0))</f>
        <v>2.5</v>
      </c>
      <c r="H783" s="6">
        <f>INDEX([1]products!$A$1:$G$49,MATCH([1]orders!$D783,[1]products!$A$1:$A$49,0),MATCH([1]orders!L$1,[1]products!$A$1:$G$1,0))</f>
        <v>36.454999999999998</v>
      </c>
      <c r="I783" s="6">
        <f t="shared" si="12"/>
        <v>145.82</v>
      </c>
    </row>
    <row r="784" spans="1:9" x14ac:dyDescent="0.3">
      <c r="A784" s="1" t="s">
        <v>1517</v>
      </c>
      <c r="B784" s="2">
        <v>43897</v>
      </c>
      <c r="C784" s="3" t="s">
        <v>1518</v>
      </c>
      <c r="D784" s="3" t="str">
        <f>INDEX('Customers (2)'!B:B,MATCH('Customers (2)'!A784,'Customers (2)'!A:A,0))</f>
        <v>Adorne Gregoratti</v>
      </c>
      <c r="E784" s="4" t="s">
        <v>254</v>
      </c>
      <c r="F784" s="3">
        <v>6</v>
      </c>
      <c r="G784" s="5">
        <f>INDEX([1]products!$A$1:$G$49,MATCH([1]orders!$D784,[1]products!$A$1:$A$49,0),MATCH([1]orders!K$1,[1]products!$A$1:$G$1,0))</f>
        <v>0.2</v>
      </c>
      <c r="H784" s="6">
        <f>INDEX([1]products!$A$1:$G$49,MATCH([1]orders!$D784,[1]products!$A$1:$A$49,0),MATCH([1]orders!L$1,[1]products!$A$1:$G$1,0))</f>
        <v>4.4550000000000001</v>
      </c>
      <c r="I784" s="6">
        <f t="shared" si="12"/>
        <v>26.73</v>
      </c>
    </row>
    <row r="785" spans="1:9" x14ac:dyDescent="0.3">
      <c r="A785" s="1" t="s">
        <v>1519</v>
      </c>
      <c r="B785" s="2">
        <v>44312</v>
      </c>
      <c r="C785" s="3" t="s">
        <v>1520</v>
      </c>
      <c r="D785" s="3" t="str">
        <f>INDEX('Customers (2)'!B:B,MATCH('Customers (2)'!A785,'Customers (2)'!A:A,0))</f>
        <v>Chris Croster</v>
      </c>
      <c r="E785" s="4" t="s">
        <v>78</v>
      </c>
      <c r="F785" s="3">
        <v>5</v>
      </c>
      <c r="G785" s="5">
        <f>INDEX([1]products!$A$1:$G$49,MATCH([1]orders!$D785,[1]products!$A$1:$A$49,0),MATCH([1]orders!K$1,[1]products!$A$1:$G$1,0))</f>
        <v>0.5</v>
      </c>
      <c r="H785" s="6">
        <f>INDEX([1]products!$A$1:$G$49,MATCH([1]orders!$D785,[1]products!$A$1:$A$49,0),MATCH([1]orders!L$1,[1]products!$A$1:$G$1,0))</f>
        <v>8.73</v>
      </c>
      <c r="I785" s="6">
        <f t="shared" si="12"/>
        <v>43.650000000000006</v>
      </c>
    </row>
    <row r="786" spans="1:9" x14ac:dyDescent="0.3">
      <c r="A786" s="1" t="s">
        <v>1521</v>
      </c>
      <c r="B786" s="2">
        <v>44511</v>
      </c>
      <c r="C786" s="3" t="s">
        <v>1522</v>
      </c>
      <c r="D786" s="3" t="str">
        <f>INDEX('Customers (2)'!B:B,MATCH('Customers (2)'!A786,'Customers (2)'!A:A,0))</f>
        <v>Graeme Whitehead</v>
      </c>
      <c r="E786" s="4" t="s">
        <v>132</v>
      </c>
      <c r="F786" s="3">
        <v>2</v>
      </c>
      <c r="G786" s="5">
        <f>INDEX([1]products!$A$1:$G$49,MATCH([1]orders!$D786,[1]products!$A$1:$A$49,0),MATCH([1]orders!K$1,[1]products!$A$1:$G$1,0))</f>
        <v>1</v>
      </c>
      <c r="H786" s="6">
        <f>INDEX([1]products!$A$1:$G$49,MATCH([1]orders!$D786,[1]products!$A$1:$A$49,0),MATCH([1]orders!L$1,[1]products!$A$1:$G$1,0))</f>
        <v>15.85</v>
      </c>
      <c r="I786" s="6">
        <f t="shared" si="12"/>
        <v>31.7</v>
      </c>
    </row>
    <row r="787" spans="1:9" x14ac:dyDescent="0.3">
      <c r="A787" s="1" t="s">
        <v>1523</v>
      </c>
      <c r="B787" s="2">
        <v>44362</v>
      </c>
      <c r="C787" s="3" t="s">
        <v>1524</v>
      </c>
      <c r="D787" s="3" t="str">
        <f>INDEX('Customers (2)'!B:B,MATCH('Customers (2)'!A787,'Customers (2)'!A:A,0))</f>
        <v>Haslett Jodrelle</v>
      </c>
      <c r="E787" s="4" t="s">
        <v>118</v>
      </c>
      <c r="F787" s="3">
        <v>1</v>
      </c>
      <c r="G787" s="5">
        <f>INDEX([1]products!$A$1:$G$49,MATCH([1]orders!$D787,[1]products!$A$1:$A$49,0),MATCH([1]orders!K$1,[1]products!$A$1:$G$1,0))</f>
        <v>2.5</v>
      </c>
      <c r="H787" s="6">
        <f>INDEX([1]products!$A$1:$G$49,MATCH([1]orders!$D787,[1]products!$A$1:$A$49,0),MATCH([1]orders!L$1,[1]products!$A$1:$G$1,0))</f>
        <v>22.884999999999998</v>
      </c>
      <c r="I787" s="6">
        <f t="shared" si="12"/>
        <v>22.884999999999998</v>
      </c>
    </row>
    <row r="788" spans="1:9" x14ac:dyDescent="0.3">
      <c r="A788" s="1" t="s">
        <v>1525</v>
      </c>
      <c r="B788" s="2">
        <v>43888</v>
      </c>
      <c r="C788" s="3" t="s">
        <v>1510</v>
      </c>
      <c r="D788" s="3" t="str">
        <f>INDEX('Customers (2)'!B:B,MATCH('Customers (2)'!A788,'Customers (2)'!A:A,0))</f>
        <v>Cam Jewster</v>
      </c>
      <c r="E788" s="4" t="s">
        <v>530</v>
      </c>
      <c r="F788" s="3">
        <v>1</v>
      </c>
      <c r="G788" s="5">
        <f>INDEX([1]products!$A$1:$G$49,MATCH([1]orders!$D788,[1]products!$A$1:$A$49,0),MATCH([1]orders!K$1,[1]products!$A$1:$G$1,0))</f>
        <v>2.5</v>
      </c>
      <c r="H788" s="6">
        <f>INDEX([1]products!$A$1:$G$49,MATCH([1]orders!$D788,[1]products!$A$1:$A$49,0),MATCH([1]orders!L$1,[1]products!$A$1:$G$1,0))</f>
        <v>27.945</v>
      </c>
      <c r="I788" s="6">
        <f t="shared" si="12"/>
        <v>27.945</v>
      </c>
    </row>
    <row r="789" spans="1:9" x14ac:dyDescent="0.3">
      <c r="A789" s="1" t="s">
        <v>1526</v>
      </c>
      <c r="B789" s="2">
        <v>44305</v>
      </c>
      <c r="C789" s="3" t="s">
        <v>1527</v>
      </c>
      <c r="D789" s="3" t="str">
        <f>INDEX('Customers (2)'!B:B,MATCH('Customers (2)'!A789,'Customers (2)'!A:A,0))</f>
        <v>Beryl Osborn</v>
      </c>
      <c r="E789" s="4" t="s">
        <v>9</v>
      </c>
      <c r="F789" s="3">
        <v>6</v>
      </c>
      <c r="G789" s="5">
        <f>INDEX([1]products!$A$1:$G$49,MATCH([1]orders!$D789,[1]products!$A$1:$A$49,0),MATCH([1]orders!K$1,[1]products!$A$1:$G$1,0))</f>
        <v>1</v>
      </c>
      <c r="H789" s="6">
        <f>INDEX([1]products!$A$1:$G$49,MATCH([1]orders!$D789,[1]products!$A$1:$A$49,0),MATCH([1]orders!L$1,[1]products!$A$1:$G$1,0))</f>
        <v>13.75</v>
      </c>
      <c r="I789" s="6">
        <f t="shared" si="12"/>
        <v>82.5</v>
      </c>
    </row>
    <row r="790" spans="1:9" x14ac:dyDescent="0.3">
      <c r="A790" s="1" t="s">
        <v>1528</v>
      </c>
      <c r="B790" s="2">
        <v>44771</v>
      </c>
      <c r="C790" s="3" t="s">
        <v>1529</v>
      </c>
      <c r="D790" s="3" t="str">
        <f>INDEX('Customers (2)'!B:B,MATCH('Customers (2)'!A790,'Customers (2)'!A:A,0))</f>
        <v>Kaela Nottram</v>
      </c>
      <c r="E790" s="4" t="s">
        <v>41</v>
      </c>
      <c r="F790" s="3">
        <v>2</v>
      </c>
      <c r="G790" s="5">
        <f>INDEX([1]products!$A$1:$G$49,MATCH([1]orders!$D790,[1]products!$A$1:$A$49,0),MATCH([1]orders!K$1,[1]products!$A$1:$G$1,0))</f>
        <v>2.5</v>
      </c>
      <c r="H790" s="6">
        <f>INDEX([1]products!$A$1:$G$49,MATCH([1]orders!$D790,[1]products!$A$1:$A$49,0),MATCH([1]orders!L$1,[1]products!$A$1:$G$1,0))</f>
        <v>22.884999999999998</v>
      </c>
      <c r="I790" s="6">
        <f t="shared" si="12"/>
        <v>45.769999999999996</v>
      </c>
    </row>
    <row r="791" spans="1:9" x14ac:dyDescent="0.3">
      <c r="A791" s="1" t="s">
        <v>1530</v>
      </c>
      <c r="B791" s="2">
        <v>43485</v>
      </c>
      <c r="C791" s="3" t="s">
        <v>1531</v>
      </c>
      <c r="D791" s="3" t="str">
        <f>INDEX('Customers (2)'!B:B,MATCH('Customers (2)'!A791,'Customers (2)'!A:A,0))</f>
        <v>Nobe Buney</v>
      </c>
      <c r="E791" s="4" t="s">
        <v>6</v>
      </c>
      <c r="F791" s="3">
        <v>6</v>
      </c>
      <c r="G791" s="5">
        <f>INDEX([1]products!$A$1:$G$49,MATCH([1]orders!$D791,[1]products!$A$1:$A$49,0),MATCH([1]orders!K$1,[1]products!$A$1:$G$1,0))</f>
        <v>1</v>
      </c>
      <c r="H791" s="6">
        <f>INDEX([1]products!$A$1:$G$49,MATCH([1]orders!$D791,[1]products!$A$1:$A$49,0),MATCH([1]orders!L$1,[1]products!$A$1:$G$1,0))</f>
        <v>12.95</v>
      </c>
      <c r="I791" s="6">
        <f t="shared" si="12"/>
        <v>77.699999999999989</v>
      </c>
    </row>
    <row r="792" spans="1:9" x14ac:dyDescent="0.3">
      <c r="A792" s="1" t="s">
        <v>1532</v>
      </c>
      <c r="B792" s="2">
        <v>44613</v>
      </c>
      <c r="C792" s="3" t="s">
        <v>1533</v>
      </c>
      <c r="D792" s="3" t="str">
        <f>INDEX('Customers (2)'!B:B,MATCH('Customers (2)'!A792,'Customers (2)'!A:A,0))</f>
        <v>Silvan McShea</v>
      </c>
      <c r="E792" s="4" t="s">
        <v>192</v>
      </c>
      <c r="F792" s="3">
        <v>3</v>
      </c>
      <c r="G792" s="5">
        <f>INDEX([1]products!$A$1:$G$49,MATCH([1]orders!$D792,[1]products!$A$1:$A$49,0),MATCH([1]orders!K$1,[1]products!$A$1:$G$1,0))</f>
        <v>0.5</v>
      </c>
      <c r="H792" s="6">
        <f>INDEX([1]products!$A$1:$G$49,MATCH([1]orders!$D792,[1]products!$A$1:$A$49,0),MATCH([1]orders!L$1,[1]products!$A$1:$G$1,0))</f>
        <v>7.77</v>
      </c>
      <c r="I792" s="6">
        <f t="shared" si="12"/>
        <v>23.31</v>
      </c>
    </row>
    <row r="793" spans="1:9" x14ac:dyDescent="0.3">
      <c r="A793" s="1" t="s">
        <v>1534</v>
      </c>
      <c r="B793" s="2">
        <v>43954</v>
      </c>
      <c r="C793" s="3" t="s">
        <v>1535</v>
      </c>
      <c r="D793" s="3" t="str">
        <f>INDEX('Customers (2)'!B:B,MATCH('Customers (2)'!A793,'Customers (2)'!A:A,0))</f>
        <v>Karylin Huddart</v>
      </c>
      <c r="E793" s="4" t="s">
        <v>19</v>
      </c>
      <c r="F793" s="3">
        <v>5</v>
      </c>
      <c r="G793" s="5">
        <f>INDEX([1]products!$A$1:$G$49,MATCH([1]orders!$D793,[1]products!$A$1:$A$49,0),MATCH([1]orders!K$1,[1]products!$A$1:$G$1,0))</f>
        <v>0.2</v>
      </c>
      <c r="H793" s="6">
        <f>INDEX([1]products!$A$1:$G$49,MATCH([1]orders!$D793,[1]products!$A$1:$A$49,0),MATCH([1]orders!L$1,[1]products!$A$1:$G$1,0))</f>
        <v>4.7549999999999999</v>
      </c>
      <c r="I793" s="6">
        <f t="shared" si="12"/>
        <v>23.774999999999999</v>
      </c>
    </row>
    <row r="794" spans="1:9" x14ac:dyDescent="0.3">
      <c r="A794" s="1" t="s">
        <v>1536</v>
      </c>
      <c r="B794" s="2">
        <v>43545</v>
      </c>
      <c r="C794" s="3" t="s">
        <v>1537</v>
      </c>
      <c r="D794" s="3" t="str">
        <f>INDEX('Customers (2)'!B:B,MATCH('Customers (2)'!A794,'Customers (2)'!A:A,0))</f>
        <v>Jereme Gippes</v>
      </c>
      <c r="E794" s="4" t="s">
        <v>78</v>
      </c>
      <c r="F794" s="3">
        <v>6</v>
      </c>
      <c r="G794" s="5">
        <f>INDEX([1]products!$A$1:$G$49,MATCH([1]orders!$D794,[1]products!$A$1:$A$49,0),MATCH([1]orders!K$1,[1]products!$A$1:$G$1,0))</f>
        <v>0.5</v>
      </c>
      <c r="H794" s="6">
        <f>INDEX([1]products!$A$1:$G$49,MATCH([1]orders!$D794,[1]products!$A$1:$A$49,0),MATCH([1]orders!L$1,[1]products!$A$1:$G$1,0))</f>
        <v>8.73</v>
      </c>
      <c r="I794" s="6">
        <f t="shared" si="12"/>
        <v>52.38</v>
      </c>
    </row>
    <row r="795" spans="1:9" x14ac:dyDescent="0.3">
      <c r="A795" s="1" t="s">
        <v>1538</v>
      </c>
      <c r="B795" s="2">
        <v>43629</v>
      </c>
      <c r="C795" s="3" t="s">
        <v>1539</v>
      </c>
      <c r="D795" s="3" t="str">
        <f>INDEX('Customers (2)'!B:B,MATCH('Customers (2)'!A795,'Customers (2)'!A:A,0))</f>
        <v>Lukas Whittlesee</v>
      </c>
      <c r="E795" s="4" t="s">
        <v>182</v>
      </c>
      <c r="F795" s="3">
        <v>5</v>
      </c>
      <c r="G795" s="5">
        <f>INDEX([1]products!$A$1:$G$49,MATCH([1]orders!$D795,[1]products!$A$1:$A$49,0),MATCH([1]orders!K$1,[1]products!$A$1:$G$1,0))</f>
        <v>0.2</v>
      </c>
      <c r="H795" s="6">
        <f>INDEX([1]products!$A$1:$G$49,MATCH([1]orders!$D795,[1]products!$A$1:$A$49,0),MATCH([1]orders!L$1,[1]products!$A$1:$G$1,0))</f>
        <v>3.5849999999999995</v>
      </c>
      <c r="I795" s="6">
        <f t="shared" si="12"/>
        <v>17.924999999999997</v>
      </c>
    </row>
    <row r="796" spans="1:9" x14ac:dyDescent="0.3">
      <c r="A796" s="1" t="s">
        <v>1540</v>
      </c>
      <c r="B796" s="2">
        <v>43987</v>
      </c>
      <c r="C796" s="3" t="s">
        <v>1541</v>
      </c>
      <c r="D796" s="3" t="str">
        <f>INDEX('Customers (2)'!B:B,MATCH('Customers (2)'!A796,'Customers (2)'!A:A,0))</f>
        <v>Gregorius Trengrove</v>
      </c>
      <c r="E796" s="4" t="s">
        <v>204</v>
      </c>
      <c r="F796" s="3">
        <v>5</v>
      </c>
      <c r="G796" s="5">
        <f>INDEX([1]products!$A$1:$G$49,MATCH([1]orders!$D796,[1]products!$A$1:$A$49,0),MATCH([1]orders!K$1,[1]products!$A$1:$G$1,0))</f>
        <v>2.5</v>
      </c>
      <c r="H796" s="6">
        <f>INDEX([1]products!$A$1:$G$49,MATCH([1]orders!$D796,[1]products!$A$1:$A$49,0),MATCH([1]orders!L$1,[1]products!$A$1:$G$1,0))</f>
        <v>29.784999999999997</v>
      </c>
      <c r="I796" s="6">
        <f t="shared" si="12"/>
        <v>148.92499999999998</v>
      </c>
    </row>
    <row r="797" spans="1:9" x14ac:dyDescent="0.3">
      <c r="A797" s="1" t="s">
        <v>1542</v>
      </c>
      <c r="B797" s="2">
        <v>43540</v>
      </c>
      <c r="C797" s="3" t="s">
        <v>1543</v>
      </c>
      <c r="D797" s="3" t="str">
        <f>INDEX('Customers (2)'!B:B,MATCH('Customers (2)'!A797,'Customers (2)'!A:A,0))</f>
        <v>Wright Caldero</v>
      </c>
      <c r="E797" s="4" t="s">
        <v>157</v>
      </c>
      <c r="F797" s="3">
        <v>4</v>
      </c>
      <c r="G797" s="5">
        <f>INDEX([1]products!$A$1:$G$49,MATCH([1]orders!$D797,[1]products!$A$1:$A$49,0),MATCH([1]orders!K$1,[1]products!$A$1:$G$1,0))</f>
        <v>0.5</v>
      </c>
      <c r="H797" s="6">
        <f>INDEX([1]products!$A$1:$G$49,MATCH([1]orders!$D797,[1]products!$A$1:$A$49,0),MATCH([1]orders!L$1,[1]products!$A$1:$G$1,0))</f>
        <v>7.169999999999999</v>
      </c>
      <c r="I797" s="6">
        <f t="shared" si="12"/>
        <v>28.679999999999996</v>
      </c>
    </row>
    <row r="798" spans="1:9" x14ac:dyDescent="0.3">
      <c r="A798" s="1" t="s">
        <v>1544</v>
      </c>
      <c r="B798" s="2">
        <v>44533</v>
      </c>
      <c r="C798" s="3" t="s">
        <v>1545</v>
      </c>
      <c r="D798" s="3" t="str">
        <f>INDEX('Customers (2)'!B:B,MATCH('Customers (2)'!A798,'Customers (2)'!A:A,0))</f>
        <v>Merell Zanazzi</v>
      </c>
      <c r="E798" s="4" t="s">
        <v>83</v>
      </c>
      <c r="F798" s="3">
        <v>1</v>
      </c>
      <c r="G798" s="5">
        <f>INDEX([1]products!$A$1:$G$49,MATCH([1]orders!$D798,[1]products!$A$1:$A$49,0),MATCH([1]orders!K$1,[1]products!$A$1:$G$1,0))</f>
        <v>0.5</v>
      </c>
      <c r="H798" s="6">
        <f>INDEX([1]products!$A$1:$G$49,MATCH([1]orders!$D798,[1]products!$A$1:$A$49,0),MATCH([1]orders!L$1,[1]products!$A$1:$G$1,0))</f>
        <v>9.51</v>
      </c>
      <c r="I798" s="6">
        <f t="shared" si="12"/>
        <v>9.51</v>
      </c>
    </row>
    <row r="799" spans="1:9" x14ac:dyDescent="0.3">
      <c r="A799" s="1" t="s">
        <v>1546</v>
      </c>
      <c r="B799" s="2">
        <v>44751</v>
      </c>
      <c r="C799" s="3" t="s">
        <v>1547</v>
      </c>
      <c r="D799" s="3" t="str">
        <f>INDEX('Customers (2)'!B:B,MATCH('Customers (2)'!A799,'Customers (2)'!A:A,0))</f>
        <v>Jed Kennicott</v>
      </c>
      <c r="E799" s="4" t="s">
        <v>192</v>
      </c>
      <c r="F799" s="3">
        <v>4</v>
      </c>
      <c r="G799" s="5">
        <f>INDEX([1]products!$A$1:$G$49,MATCH([1]orders!$D799,[1]products!$A$1:$A$49,0),MATCH([1]orders!K$1,[1]products!$A$1:$G$1,0))</f>
        <v>0.5</v>
      </c>
      <c r="H799" s="6">
        <f>INDEX([1]products!$A$1:$G$49,MATCH([1]orders!$D799,[1]products!$A$1:$A$49,0),MATCH([1]orders!L$1,[1]products!$A$1:$G$1,0))</f>
        <v>7.77</v>
      </c>
      <c r="I799" s="6">
        <f t="shared" si="12"/>
        <v>31.08</v>
      </c>
    </row>
    <row r="800" spans="1:9" x14ac:dyDescent="0.3">
      <c r="A800" s="1" t="s">
        <v>1548</v>
      </c>
      <c r="B800" s="2">
        <v>43950</v>
      </c>
      <c r="C800" s="3" t="s">
        <v>1549</v>
      </c>
      <c r="D800" s="3" t="str">
        <f>INDEX('Customers (2)'!B:B,MATCH('Customers (2)'!A800,'Customers (2)'!A:A,0))</f>
        <v>Guenevere Ruggen</v>
      </c>
      <c r="E800" s="4" t="s">
        <v>101</v>
      </c>
      <c r="F800" s="3">
        <v>3</v>
      </c>
      <c r="G800" s="5">
        <f>INDEX([1]products!$A$1:$G$49,MATCH([1]orders!$D800,[1]products!$A$1:$A$49,0),MATCH([1]orders!K$1,[1]products!$A$1:$G$1,0))</f>
        <v>0.2</v>
      </c>
      <c r="H800" s="6">
        <f>INDEX([1]products!$A$1:$G$49,MATCH([1]orders!$D800,[1]products!$A$1:$A$49,0),MATCH([1]orders!L$1,[1]products!$A$1:$G$1,0))</f>
        <v>2.6849999999999996</v>
      </c>
      <c r="I800" s="6">
        <f t="shared" si="12"/>
        <v>8.0549999999999997</v>
      </c>
    </row>
    <row r="801" spans="1:9" x14ac:dyDescent="0.3">
      <c r="A801" s="1" t="s">
        <v>1550</v>
      </c>
      <c r="B801" s="2">
        <v>44588</v>
      </c>
      <c r="C801" s="3" t="s">
        <v>1551</v>
      </c>
      <c r="D801" s="3" t="str">
        <f>INDEX('Customers (2)'!B:B,MATCH('Customers (2)'!A801,'Customers (2)'!A:A,0))</f>
        <v>Gonzales Cicculi</v>
      </c>
      <c r="E801" s="4" t="s">
        <v>245</v>
      </c>
      <c r="F801" s="3">
        <v>3</v>
      </c>
      <c r="G801" s="5">
        <f>INDEX([1]products!$A$1:$G$49,MATCH([1]orders!$D801,[1]products!$A$1:$A$49,0),MATCH([1]orders!K$1,[1]products!$A$1:$G$1,0))</f>
        <v>1</v>
      </c>
      <c r="H801" s="6">
        <f>INDEX([1]products!$A$1:$G$49,MATCH([1]orders!$D801,[1]products!$A$1:$A$49,0),MATCH([1]orders!L$1,[1]products!$A$1:$G$1,0))</f>
        <v>12.15</v>
      </c>
      <c r="I801" s="6">
        <f t="shared" si="12"/>
        <v>36.450000000000003</v>
      </c>
    </row>
    <row r="802" spans="1:9" x14ac:dyDescent="0.3">
      <c r="A802" s="1" t="s">
        <v>1552</v>
      </c>
      <c r="B802" s="2">
        <v>44240</v>
      </c>
      <c r="C802" s="3" t="s">
        <v>1553</v>
      </c>
      <c r="D802" s="3" t="str">
        <f>INDEX('Customers (2)'!B:B,MATCH('Customers (2)'!A802,'Customers (2)'!A:A,0))</f>
        <v>Man Fright</v>
      </c>
      <c r="E802" s="4" t="s">
        <v>101</v>
      </c>
      <c r="F802" s="3">
        <v>6</v>
      </c>
      <c r="G802" s="5">
        <f>INDEX([1]products!$A$1:$G$49,MATCH([1]orders!$D802,[1]products!$A$1:$A$49,0),MATCH([1]orders!K$1,[1]products!$A$1:$G$1,0))</f>
        <v>0.2</v>
      </c>
      <c r="H802" s="6">
        <f>INDEX([1]products!$A$1:$G$49,MATCH([1]orders!$D802,[1]products!$A$1:$A$49,0),MATCH([1]orders!L$1,[1]products!$A$1:$G$1,0))</f>
        <v>2.6849999999999996</v>
      </c>
      <c r="I802" s="6">
        <f t="shared" si="12"/>
        <v>16.11</v>
      </c>
    </row>
    <row r="803" spans="1:9" x14ac:dyDescent="0.3">
      <c r="A803" s="1" t="s">
        <v>1554</v>
      </c>
      <c r="B803" s="2">
        <v>44025</v>
      </c>
      <c r="C803" s="3" t="s">
        <v>1555</v>
      </c>
      <c r="D803" s="3" t="str">
        <f>INDEX('Customers (2)'!B:B,MATCH('Customers (2)'!A803,'Customers (2)'!A:A,0))</f>
        <v>Boyce Tarte</v>
      </c>
      <c r="E803" s="4" t="s">
        <v>35</v>
      </c>
      <c r="F803" s="3">
        <v>2</v>
      </c>
      <c r="G803" s="5">
        <f>INDEX([1]products!$A$1:$G$49,MATCH([1]orders!$D803,[1]products!$A$1:$A$49,0),MATCH([1]orders!K$1,[1]products!$A$1:$G$1,0))</f>
        <v>2.5</v>
      </c>
      <c r="H803" s="6">
        <f>INDEX([1]products!$A$1:$G$49,MATCH([1]orders!$D803,[1]products!$A$1:$A$49,0),MATCH([1]orders!L$1,[1]products!$A$1:$G$1,0))</f>
        <v>20.584999999999997</v>
      </c>
      <c r="I803" s="6">
        <f t="shared" si="12"/>
        <v>41.169999999999995</v>
      </c>
    </row>
    <row r="804" spans="1:9" x14ac:dyDescent="0.3">
      <c r="A804" s="1" t="s">
        <v>1556</v>
      </c>
      <c r="B804" s="2">
        <v>43902</v>
      </c>
      <c r="C804" s="3" t="s">
        <v>1557</v>
      </c>
      <c r="D804" s="3" t="str">
        <f>INDEX('Customers (2)'!B:B,MATCH('Customers (2)'!A804,'Customers (2)'!A:A,0))</f>
        <v>Caddric Krzysztofiak</v>
      </c>
      <c r="E804" s="4" t="s">
        <v>101</v>
      </c>
      <c r="F804" s="3">
        <v>4</v>
      </c>
      <c r="G804" s="5">
        <f>INDEX([1]products!$A$1:$G$49,MATCH([1]orders!$D804,[1]products!$A$1:$A$49,0),MATCH([1]orders!K$1,[1]products!$A$1:$G$1,0))</f>
        <v>0.2</v>
      </c>
      <c r="H804" s="6">
        <f>INDEX([1]products!$A$1:$G$49,MATCH([1]orders!$D804,[1]products!$A$1:$A$49,0),MATCH([1]orders!L$1,[1]products!$A$1:$G$1,0))</f>
        <v>2.6849999999999996</v>
      </c>
      <c r="I804" s="6">
        <f t="shared" si="12"/>
        <v>10.739999999999998</v>
      </c>
    </row>
    <row r="805" spans="1:9" x14ac:dyDescent="0.3">
      <c r="A805" s="1" t="s">
        <v>1558</v>
      </c>
      <c r="B805" s="2">
        <v>43955</v>
      </c>
      <c r="C805" s="3" t="s">
        <v>1559</v>
      </c>
      <c r="D805" s="3" t="str">
        <f>INDEX('Customers (2)'!B:B,MATCH('Customers (2)'!A805,'Customers (2)'!A:A,0))</f>
        <v>Darn Penquet</v>
      </c>
      <c r="E805" s="4" t="s">
        <v>112</v>
      </c>
      <c r="F805" s="3">
        <v>4</v>
      </c>
      <c r="G805" s="5">
        <f>INDEX([1]products!$A$1:$G$49,MATCH([1]orders!$D805,[1]products!$A$1:$A$49,0),MATCH([1]orders!K$1,[1]products!$A$1:$G$1,0))</f>
        <v>2.5</v>
      </c>
      <c r="H805" s="6">
        <f>INDEX([1]products!$A$1:$G$49,MATCH([1]orders!$D805,[1]products!$A$1:$A$49,0),MATCH([1]orders!L$1,[1]products!$A$1:$G$1,0))</f>
        <v>31.624999999999996</v>
      </c>
      <c r="I805" s="6">
        <f t="shared" si="12"/>
        <v>126.49999999999999</v>
      </c>
    </row>
    <row r="806" spans="1:9" x14ac:dyDescent="0.3">
      <c r="A806" s="1" t="s">
        <v>1560</v>
      </c>
      <c r="B806" s="2">
        <v>44289</v>
      </c>
      <c r="C806" s="3" t="s">
        <v>1561</v>
      </c>
      <c r="D806" s="3" t="str">
        <f>INDEX('Customers (2)'!B:B,MATCH('Customers (2)'!A806,'Customers (2)'!A:A,0))</f>
        <v>Jammie Cloke</v>
      </c>
      <c r="E806" s="4" t="s">
        <v>189</v>
      </c>
      <c r="F806" s="3">
        <v>2</v>
      </c>
      <c r="G806" s="5">
        <f>INDEX([1]products!$A$1:$G$49,MATCH([1]orders!$D806,[1]products!$A$1:$A$49,0),MATCH([1]orders!K$1,[1]products!$A$1:$G$1,0))</f>
        <v>1</v>
      </c>
      <c r="H806" s="6">
        <f>INDEX([1]products!$A$1:$G$49,MATCH([1]orders!$D806,[1]products!$A$1:$A$49,0),MATCH([1]orders!L$1,[1]products!$A$1:$G$1,0))</f>
        <v>11.95</v>
      </c>
      <c r="I806" s="6">
        <f t="shared" si="12"/>
        <v>23.9</v>
      </c>
    </row>
    <row r="807" spans="1:9" x14ac:dyDescent="0.3">
      <c r="A807" s="1" t="s">
        <v>1562</v>
      </c>
      <c r="B807" s="2">
        <v>44713</v>
      </c>
      <c r="C807" s="3" t="s">
        <v>1563</v>
      </c>
      <c r="D807" s="3" t="str">
        <f>INDEX('Customers (2)'!B:B,MATCH('Customers (2)'!A807,'Customers (2)'!A:A,0))</f>
        <v>Chester Clowton</v>
      </c>
      <c r="E807" s="4" t="s">
        <v>22</v>
      </c>
      <c r="F807" s="3">
        <v>1</v>
      </c>
      <c r="G807" s="5">
        <f>INDEX([1]products!$A$1:$G$49,MATCH([1]orders!$D807,[1]products!$A$1:$A$49,0),MATCH([1]orders!K$1,[1]products!$A$1:$G$1,0))</f>
        <v>0.5</v>
      </c>
      <c r="H807" s="6">
        <f>INDEX([1]products!$A$1:$G$49,MATCH([1]orders!$D807,[1]products!$A$1:$A$49,0),MATCH([1]orders!L$1,[1]products!$A$1:$G$1,0))</f>
        <v>5.97</v>
      </c>
      <c r="I807" s="6">
        <f t="shared" si="12"/>
        <v>5.97</v>
      </c>
    </row>
    <row r="808" spans="1:9" x14ac:dyDescent="0.3">
      <c r="A808" s="1" t="s">
        <v>1564</v>
      </c>
      <c r="B808" s="2">
        <v>44241</v>
      </c>
      <c r="C808" s="3" t="s">
        <v>1565</v>
      </c>
      <c r="D808" s="3" t="str">
        <f>INDEX('Customers (2)'!B:B,MATCH('Customers (2)'!A808,'Customers (2)'!A:A,0))</f>
        <v>Kathleen Diable</v>
      </c>
      <c r="E808" s="4" t="s">
        <v>38</v>
      </c>
      <c r="F808" s="3">
        <v>2</v>
      </c>
      <c r="G808" s="5">
        <f>INDEX([1]products!$A$1:$G$49,MATCH([1]orders!$D808,[1]products!$A$1:$A$49,0),MATCH([1]orders!K$1,[1]products!$A$1:$G$1,0))</f>
        <v>0.2</v>
      </c>
      <c r="H808" s="6">
        <f>INDEX([1]products!$A$1:$G$49,MATCH([1]orders!$D808,[1]products!$A$1:$A$49,0),MATCH([1]orders!L$1,[1]products!$A$1:$G$1,0))</f>
        <v>3.8849999999999998</v>
      </c>
      <c r="I808" s="6">
        <f t="shared" si="12"/>
        <v>7.77</v>
      </c>
    </row>
    <row r="809" spans="1:9" x14ac:dyDescent="0.3">
      <c r="A809" s="1" t="s">
        <v>1566</v>
      </c>
      <c r="B809" s="2">
        <v>44543</v>
      </c>
      <c r="C809" s="3" t="s">
        <v>1567</v>
      </c>
      <c r="D809" s="3" t="str">
        <f>INDEX('Customers (2)'!B:B,MATCH('Customers (2)'!A809,'Customers (2)'!A:A,0))</f>
        <v>Koren Ferretti</v>
      </c>
      <c r="E809" s="4" t="s">
        <v>123</v>
      </c>
      <c r="F809" s="3">
        <v>3</v>
      </c>
      <c r="G809" s="5">
        <f>INDEX([1]products!$A$1:$G$49,MATCH([1]orders!$D809,[1]products!$A$1:$A$49,0),MATCH([1]orders!K$1,[1]products!$A$1:$G$1,0))</f>
        <v>0.5</v>
      </c>
      <c r="H809" s="6">
        <f>INDEX([1]products!$A$1:$G$49,MATCH([1]orders!$D809,[1]products!$A$1:$A$49,0),MATCH([1]orders!L$1,[1]products!$A$1:$G$1,0))</f>
        <v>7.77</v>
      </c>
      <c r="I809" s="6">
        <f t="shared" si="12"/>
        <v>23.31</v>
      </c>
    </row>
    <row r="810" spans="1:9" x14ac:dyDescent="0.3">
      <c r="A810" s="1" t="s">
        <v>1568</v>
      </c>
      <c r="B810" s="2">
        <v>43868</v>
      </c>
      <c r="C810" s="3" t="s">
        <v>1569</v>
      </c>
      <c r="D810" s="3" t="str">
        <f>INDEX('Customers (2)'!B:B,MATCH('Customers (2)'!A810,'Customers (2)'!A:A,0))</f>
        <v>Agretha Melland</v>
      </c>
      <c r="E810" s="4" t="s">
        <v>10</v>
      </c>
      <c r="F810" s="3">
        <v>5</v>
      </c>
      <c r="G810" s="5">
        <f>INDEX([1]products!$A$1:$G$49,MATCH([1]orders!$D810,[1]products!$A$1:$A$49,0),MATCH([1]orders!K$1,[1]products!$A$1:$G$1,0))</f>
        <v>2.5</v>
      </c>
      <c r="H810" s="6">
        <f>INDEX([1]products!$A$1:$G$49,MATCH([1]orders!$D810,[1]products!$A$1:$A$49,0),MATCH([1]orders!L$1,[1]products!$A$1:$G$1,0))</f>
        <v>27.484999999999996</v>
      </c>
      <c r="I810" s="6">
        <f t="shared" si="12"/>
        <v>137.42499999999998</v>
      </c>
    </row>
    <row r="811" spans="1:9" x14ac:dyDescent="0.3">
      <c r="A811" s="1" t="s">
        <v>1570</v>
      </c>
      <c r="B811" s="2">
        <v>44235</v>
      </c>
      <c r="C811" s="3" t="s">
        <v>1571</v>
      </c>
      <c r="D811" s="3" t="str">
        <f>INDEX('Customers (2)'!B:B,MATCH('Customers (2)'!A811,'Customers (2)'!A:A,0))</f>
        <v>Chaddie Bennie</v>
      </c>
      <c r="E811" s="4" t="s">
        <v>101</v>
      </c>
      <c r="F811" s="3">
        <v>3</v>
      </c>
      <c r="G811" s="5">
        <f>INDEX([1]products!$A$1:$G$49,MATCH([1]orders!$D811,[1]products!$A$1:$A$49,0),MATCH([1]orders!K$1,[1]products!$A$1:$G$1,0))</f>
        <v>0.2</v>
      </c>
      <c r="H811" s="6">
        <f>INDEX([1]products!$A$1:$G$49,MATCH([1]orders!$D811,[1]products!$A$1:$A$49,0),MATCH([1]orders!L$1,[1]products!$A$1:$G$1,0))</f>
        <v>2.6849999999999996</v>
      </c>
      <c r="I811" s="6">
        <f t="shared" si="12"/>
        <v>8.0549999999999997</v>
      </c>
    </row>
    <row r="812" spans="1:9" x14ac:dyDescent="0.3">
      <c r="A812" s="1" t="s">
        <v>1572</v>
      </c>
      <c r="B812" s="2">
        <v>44054</v>
      </c>
      <c r="C812" s="3" t="s">
        <v>1573</v>
      </c>
      <c r="D812" s="3" t="str">
        <f>INDEX('Customers (2)'!B:B,MATCH('Customers (2)'!A812,'Customers (2)'!A:A,0))</f>
        <v>Alberta Balsdone</v>
      </c>
      <c r="E812" s="4" t="s">
        <v>83</v>
      </c>
      <c r="F812" s="3">
        <v>3</v>
      </c>
      <c r="G812" s="5">
        <f>INDEX([1]products!$A$1:$G$49,MATCH([1]orders!$D812,[1]products!$A$1:$A$49,0),MATCH([1]orders!K$1,[1]products!$A$1:$G$1,0))</f>
        <v>0.5</v>
      </c>
      <c r="H812" s="6">
        <f>INDEX([1]products!$A$1:$G$49,MATCH([1]orders!$D812,[1]products!$A$1:$A$49,0),MATCH([1]orders!L$1,[1]products!$A$1:$G$1,0))</f>
        <v>9.51</v>
      </c>
      <c r="I812" s="6">
        <f t="shared" si="12"/>
        <v>28.53</v>
      </c>
    </row>
    <row r="813" spans="1:9" x14ac:dyDescent="0.3">
      <c r="A813" s="1" t="s">
        <v>1574</v>
      </c>
      <c r="B813" s="2">
        <v>44114</v>
      </c>
      <c r="C813" s="3" t="s">
        <v>1575</v>
      </c>
      <c r="D813" s="3" t="str">
        <f>INDEX('Customers (2)'!B:B,MATCH('Customers (2)'!A813,'Customers (2)'!A:A,0))</f>
        <v>Brice Romera</v>
      </c>
      <c r="E813" s="4" t="s">
        <v>61</v>
      </c>
      <c r="F813" s="3">
        <v>6</v>
      </c>
      <c r="G813" s="5">
        <f>INDEX([1]products!$A$1:$G$49,MATCH([1]orders!$D813,[1]products!$A$1:$A$49,0),MATCH([1]orders!K$1,[1]products!$A$1:$G$1,0))</f>
        <v>1</v>
      </c>
      <c r="H813" s="6">
        <f>INDEX([1]products!$A$1:$G$49,MATCH([1]orders!$D813,[1]products!$A$1:$A$49,0),MATCH([1]orders!L$1,[1]products!$A$1:$G$1,0))</f>
        <v>11.25</v>
      </c>
      <c r="I813" s="6">
        <f t="shared" si="12"/>
        <v>67.5</v>
      </c>
    </row>
    <row r="814" spans="1:9" x14ac:dyDescent="0.3">
      <c r="A814" s="1" t="s">
        <v>1574</v>
      </c>
      <c r="B814" s="2">
        <v>44114</v>
      </c>
      <c r="C814" s="3" t="s">
        <v>1575</v>
      </c>
      <c r="D814" s="3" t="str">
        <f>INDEX('Customers (2)'!B:B,MATCH('Customers (2)'!A814,'Customers (2)'!A:A,0))</f>
        <v>Micky Glover</v>
      </c>
      <c r="E814" s="4" t="s">
        <v>109</v>
      </c>
      <c r="F814" s="3">
        <v>6</v>
      </c>
      <c r="G814" s="5">
        <f>INDEX([1]products!$A$1:$G$49,MATCH([1]orders!$D814,[1]products!$A$1:$A$49,0),MATCH([1]orders!K$1,[1]products!$A$1:$G$1,0))</f>
        <v>2.5</v>
      </c>
      <c r="H814" s="6">
        <f>INDEX([1]products!$A$1:$G$49,MATCH([1]orders!$D814,[1]products!$A$1:$A$49,0),MATCH([1]orders!L$1,[1]products!$A$1:$G$1,0))</f>
        <v>29.784999999999997</v>
      </c>
      <c r="I814" s="6">
        <f t="shared" si="12"/>
        <v>178.70999999999998</v>
      </c>
    </row>
    <row r="815" spans="1:9" x14ac:dyDescent="0.3">
      <c r="A815" s="1" t="s">
        <v>1576</v>
      </c>
      <c r="B815" s="2">
        <v>44173</v>
      </c>
      <c r="C815" s="3" t="s">
        <v>1577</v>
      </c>
      <c r="D815" s="3" t="str">
        <f>INDEX('Customers (2)'!B:B,MATCH('Customers (2)'!A815,'Customers (2)'!A:A,0))</f>
        <v>Conchita Bryde</v>
      </c>
      <c r="E815" s="4" t="s">
        <v>112</v>
      </c>
      <c r="F815" s="3">
        <v>1</v>
      </c>
      <c r="G815" s="5">
        <f>INDEX([1]products!$A$1:$G$49,MATCH([1]orders!$D815,[1]products!$A$1:$A$49,0),MATCH([1]orders!K$1,[1]products!$A$1:$G$1,0))</f>
        <v>2.5</v>
      </c>
      <c r="H815" s="6">
        <f>INDEX([1]products!$A$1:$G$49,MATCH([1]orders!$D815,[1]products!$A$1:$A$49,0),MATCH([1]orders!L$1,[1]products!$A$1:$G$1,0))</f>
        <v>31.624999999999996</v>
      </c>
      <c r="I815" s="6">
        <f t="shared" si="12"/>
        <v>31.624999999999996</v>
      </c>
    </row>
    <row r="816" spans="1:9" x14ac:dyDescent="0.3">
      <c r="A816" s="1" t="s">
        <v>1578</v>
      </c>
      <c r="B816" s="2">
        <v>43573</v>
      </c>
      <c r="C816" s="3" t="s">
        <v>1579</v>
      </c>
      <c r="D816" s="3" t="str">
        <f>INDEX('Customers (2)'!B:B,MATCH('Customers (2)'!A816,'Customers (2)'!A:A,0))</f>
        <v>Silvanus Enefer</v>
      </c>
      <c r="E816" s="4" t="s">
        <v>254</v>
      </c>
      <c r="F816" s="3">
        <v>2</v>
      </c>
      <c r="G816" s="5">
        <f>INDEX([1]products!$A$1:$G$49,MATCH([1]orders!$D816,[1]products!$A$1:$A$49,0),MATCH([1]orders!K$1,[1]products!$A$1:$G$1,0))</f>
        <v>0.2</v>
      </c>
      <c r="H816" s="6">
        <f>INDEX([1]products!$A$1:$G$49,MATCH([1]orders!$D816,[1]products!$A$1:$A$49,0),MATCH([1]orders!L$1,[1]products!$A$1:$G$1,0))</f>
        <v>4.4550000000000001</v>
      </c>
      <c r="I816" s="6">
        <f t="shared" si="12"/>
        <v>8.91</v>
      </c>
    </row>
    <row r="817" spans="1:9" x14ac:dyDescent="0.3">
      <c r="A817" s="1" t="s">
        <v>1580</v>
      </c>
      <c r="B817" s="2">
        <v>44200</v>
      </c>
      <c r="C817" s="3" t="s">
        <v>1581</v>
      </c>
      <c r="D817" s="3" t="str">
        <f>INDEX('Customers (2)'!B:B,MATCH('Customers (2)'!A817,'Customers (2)'!A:A,0))</f>
        <v>Lenci Haggerstone</v>
      </c>
      <c r="E817" s="4" t="s">
        <v>22</v>
      </c>
      <c r="F817" s="3">
        <v>6</v>
      </c>
      <c r="G817" s="5">
        <f>INDEX([1]products!$A$1:$G$49,MATCH([1]orders!$D817,[1]products!$A$1:$A$49,0),MATCH([1]orders!K$1,[1]products!$A$1:$G$1,0))</f>
        <v>0.5</v>
      </c>
      <c r="H817" s="6">
        <f>INDEX([1]products!$A$1:$G$49,MATCH([1]orders!$D817,[1]products!$A$1:$A$49,0),MATCH([1]orders!L$1,[1]products!$A$1:$G$1,0))</f>
        <v>5.97</v>
      </c>
      <c r="I817" s="6">
        <f t="shared" si="12"/>
        <v>35.82</v>
      </c>
    </row>
    <row r="818" spans="1:9" x14ac:dyDescent="0.3">
      <c r="A818" s="1" t="s">
        <v>1582</v>
      </c>
      <c r="B818" s="2">
        <v>43534</v>
      </c>
      <c r="C818" s="3" t="s">
        <v>1583</v>
      </c>
      <c r="D818" s="3" t="str">
        <f>INDEX('Customers (2)'!B:B,MATCH('Customers (2)'!A818,'Customers (2)'!A:A,0))</f>
        <v>Marvin Gundry</v>
      </c>
      <c r="E818" s="4" t="s">
        <v>83</v>
      </c>
      <c r="F818" s="3">
        <v>4</v>
      </c>
      <c r="G818" s="5">
        <f>INDEX([1]products!$A$1:$G$49,MATCH([1]orders!$D818,[1]products!$A$1:$A$49,0),MATCH([1]orders!K$1,[1]products!$A$1:$G$1,0))</f>
        <v>0.5</v>
      </c>
      <c r="H818" s="6">
        <f>INDEX([1]products!$A$1:$G$49,MATCH([1]orders!$D818,[1]products!$A$1:$A$49,0),MATCH([1]orders!L$1,[1]products!$A$1:$G$1,0))</f>
        <v>9.51</v>
      </c>
      <c r="I818" s="6">
        <f t="shared" si="12"/>
        <v>38.04</v>
      </c>
    </row>
    <row r="819" spans="1:9" x14ac:dyDescent="0.3">
      <c r="A819" s="1" t="s">
        <v>1584</v>
      </c>
      <c r="B819" s="2">
        <v>43798</v>
      </c>
      <c r="C819" s="3" t="s">
        <v>1585</v>
      </c>
      <c r="D819" s="3" t="str">
        <f>INDEX('Customers (2)'!B:B,MATCH('Customers (2)'!A819,'Customers (2)'!A:A,0))</f>
        <v>Bayard Wellan</v>
      </c>
      <c r="E819" s="4" t="s">
        <v>123</v>
      </c>
      <c r="F819" s="3">
        <v>2</v>
      </c>
      <c r="G819" s="5">
        <f>INDEX([1]products!$A$1:$G$49,MATCH([1]orders!$D819,[1]products!$A$1:$A$49,0),MATCH([1]orders!K$1,[1]products!$A$1:$G$1,0))</f>
        <v>0.5</v>
      </c>
      <c r="H819" s="6">
        <f>INDEX([1]products!$A$1:$G$49,MATCH([1]orders!$D819,[1]products!$A$1:$A$49,0),MATCH([1]orders!L$1,[1]products!$A$1:$G$1,0))</f>
        <v>7.77</v>
      </c>
      <c r="I819" s="6">
        <f t="shared" si="12"/>
        <v>15.54</v>
      </c>
    </row>
    <row r="820" spans="1:9" x14ac:dyDescent="0.3">
      <c r="A820" s="1" t="s">
        <v>1586</v>
      </c>
      <c r="B820" s="2">
        <v>44761</v>
      </c>
      <c r="C820" s="3" t="s">
        <v>1569</v>
      </c>
      <c r="D820" s="3" t="str">
        <f>INDEX('Customers (2)'!B:B,MATCH('Customers (2)'!A820,'Customers (2)'!A:A,0))</f>
        <v>Allis Wilmore</v>
      </c>
      <c r="E820" s="4" t="s">
        <v>132</v>
      </c>
      <c r="F820" s="3">
        <v>5</v>
      </c>
      <c r="G820" s="5">
        <f>INDEX([1]products!$A$1:$G$49,MATCH([1]orders!$D820,[1]products!$A$1:$A$49,0),MATCH([1]orders!K$1,[1]products!$A$1:$G$1,0))</f>
        <v>1</v>
      </c>
      <c r="H820" s="6">
        <f>INDEX([1]products!$A$1:$G$49,MATCH([1]orders!$D820,[1]products!$A$1:$A$49,0),MATCH([1]orders!L$1,[1]products!$A$1:$G$1,0))</f>
        <v>15.85</v>
      </c>
      <c r="I820" s="6">
        <f t="shared" si="12"/>
        <v>79.25</v>
      </c>
    </row>
    <row r="821" spans="1:9" x14ac:dyDescent="0.3">
      <c r="A821" s="1" t="s">
        <v>1587</v>
      </c>
      <c r="B821" s="2">
        <v>44008</v>
      </c>
      <c r="C821" s="3" t="s">
        <v>1588</v>
      </c>
      <c r="D821" s="3" t="str">
        <f>INDEX('Customers (2)'!B:B,MATCH('Customers (2)'!A821,'Customers (2)'!A:A,0))</f>
        <v>Caddric Atcheson</v>
      </c>
      <c r="E821" s="4" t="s">
        <v>19</v>
      </c>
      <c r="F821" s="3">
        <v>1</v>
      </c>
      <c r="G821" s="5">
        <f>INDEX([1]products!$A$1:$G$49,MATCH([1]orders!$D821,[1]products!$A$1:$A$49,0),MATCH([1]orders!K$1,[1]products!$A$1:$G$1,0))</f>
        <v>0.2</v>
      </c>
      <c r="H821" s="6">
        <f>INDEX([1]products!$A$1:$G$49,MATCH([1]orders!$D821,[1]products!$A$1:$A$49,0),MATCH([1]orders!L$1,[1]products!$A$1:$G$1,0))</f>
        <v>4.7549999999999999</v>
      </c>
      <c r="I821" s="6">
        <f t="shared" si="12"/>
        <v>4.7549999999999999</v>
      </c>
    </row>
    <row r="822" spans="1:9" x14ac:dyDescent="0.3">
      <c r="A822" s="1" t="s">
        <v>1589</v>
      </c>
      <c r="B822" s="2">
        <v>43510</v>
      </c>
      <c r="C822" s="3" t="s">
        <v>1590</v>
      </c>
      <c r="D822" s="3" t="str">
        <f>INDEX('Customers (2)'!B:B,MATCH('Customers (2)'!A822,'Customers (2)'!A:A,0))</f>
        <v>Eustace Stenton</v>
      </c>
      <c r="E822" s="4" t="s">
        <v>9</v>
      </c>
      <c r="F822" s="3">
        <v>4</v>
      </c>
      <c r="G822" s="5">
        <f>INDEX([1]products!$A$1:$G$49,MATCH([1]orders!$D822,[1]products!$A$1:$A$49,0),MATCH([1]orders!K$1,[1]products!$A$1:$G$1,0))</f>
        <v>1</v>
      </c>
      <c r="H822" s="6">
        <f>INDEX([1]products!$A$1:$G$49,MATCH([1]orders!$D822,[1]products!$A$1:$A$49,0),MATCH([1]orders!L$1,[1]products!$A$1:$G$1,0))</f>
        <v>13.75</v>
      </c>
      <c r="I822" s="6">
        <f t="shared" si="12"/>
        <v>55</v>
      </c>
    </row>
    <row r="823" spans="1:9" x14ac:dyDescent="0.3">
      <c r="A823" s="1" t="s">
        <v>1591</v>
      </c>
      <c r="B823" s="2">
        <v>44144</v>
      </c>
      <c r="C823" s="3" t="s">
        <v>1592</v>
      </c>
      <c r="D823" s="3" t="str">
        <f>INDEX('Customers (2)'!B:B,MATCH('Customers (2)'!A823,'Customers (2)'!A:A,0))</f>
        <v>Ericka Tripp</v>
      </c>
      <c r="E823" s="4" t="s">
        <v>146</v>
      </c>
      <c r="F823" s="3">
        <v>5</v>
      </c>
      <c r="G823" s="5">
        <f>INDEX([1]products!$A$1:$G$49,MATCH([1]orders!$D823,[1]products!$A$1:$A$49,0),MATCH([1]orders!K$1,[1]products!$A$1:$G$1,0))</f>
        <v>0.5</v>
      </c>
      <c r="H823" s="6">
        <f>INDEX([1]products!$A$1:$G$49,MATCH([1]orders!$D823,[1]products!$A$1:$A$49,0),MATCH([1]orders!L$1,[1]products!$A$1:$G$1,0))</f>
        <v>5.3699999999999992</v>
      </c>
      <c r="I823" s="6">
        <f t="shared" si="12"/>
        <v>26.849999999999994</v>
      </c>
    </row>
    <row r="824" spans="1:9" x14ac:dyDescent="0.3">
      <c r="A824" s="1" t="s">
        <v>1593</v>
      </c>
      <c r="B824" s="2">
        <v>43585</v>
      </c>
      <c r="C824" s="3" t="s">
        <v>1594</v>
      </c>
      <c r="D824" s="3" t="str">
        <f>INDEX('Customers (2)'!B:B,MATCH('Customers (2)'!A824,'Customers (2)'!A:A,0))</f>
        <v>Lyndsey MacManus</v>
      </c>
      <c r="E824" s="4" t="s">
        <v>30</v>
      </c>
      <c r="F824" s="3">
        <v>4</v>
      </c>
      <c r="G824" s="5">
        <f>INDEX([1]products!$A$1:$G$49,MATCH([1]orders!$D824,[1]products!$A$1:$A$49,0),MATCH([1]orders!K$1,[1]products!$A$1:$G$1,0))</f>
        <v>2.5</v>
      </c>
      <c r="H824" s="6">
        <f>INDEX([1]products!$A$1:$G$49,MATCH([1]orders!$D824,[1]products!$A$1:$A$49,0),MATCH([1]orders!L$1,[1]products!$A$1:$G$1,0))</f>
        <v>34.154999999999994</v>
      </c>
      <c r="I824" s="6">
        <f t="shared" si="12"/>
        <v>136.61999999999998</v>
      </c>
    </row>
    <row r="825" spans="1:9" x14ac:dyDescent="0.3">
      <c r="A825" s="1" t="s">
        <v>1595</v>
      </c>
      <c r="B825" s="2">
        <v>44134</v>
      </c>
      <c r="C825" s="3" t="s">
        <v>1596</v>
      </c>
      <c r="D825" s="3" t="str">
        <f>INDEX('Customers (2)'!B:B,MATCH('Customers (2)'!A825,'Customers (2)'!A:A,0))</f>
        <v>Tess Benediktovich</v>
      </c>
      <c r="E825" s="4" t="s">
        <v>132</v>
      </c>
      <c r="F825" s="3">
        <v>3</v>
      </c>
      <c r="G825" s="5">
        <f>INDEX([1]products!$A$1:$G$49,MATCH([1]orders!$D825,[1]products!$A$1:$A$49,0),MATCH([1]orders!K$1,[1]products!$A$1:$G$1,0))</f>
        <v>1</v>
      </c>
      <c r="H825" s="6">
        <f>INDEX([1]products!$A$1:$G$49,MATCH([1]orders!$D825,[1]products!$A$1:$A$49,0),MATCH([1]orders!L$1,[1]products!$A$1:$G$1,0))</f>
        <v>15.85</v>
      </c>
      <c r="I825" s="6">
        <f t="shared" si="12"/>
        <v>47.55</v>
      </c>
    </row>
    <row r="826" spans="1:9" x14ac:dyDescent="0.3">
      <c r="A826" s="1" t="s">
        <v>1597</v>
      </c>
      <c r="B826" s="2">
        <v>43781</v>
      </c>
      <c r="C826" s="3" t="s">
        <v>1598</v>
      </c>
      <c r="D826" s="3" t="str">
        <f>INDEX('Customers (2)'!B:B,MATCH('Customers (2)'!A826,'Customers (2)'!A:A,0))</f>
        <v>Correy Bourner</v>
      </c>
      <c r="E826" s="4" t="s">
        <v>44</v>
      </c>
      <c r="F826" s="3">
        <v>5</v>
      </c>
      <c r="G826" s="5">
        <f>INDEX([1]products!$A$1:$G$49,MATCH([1]orders!$D826,[1]products!$A$1:$A$49,0),MATCH([1]orders!K$1,[1]products!$A$1:$G$1,0))</f>
        <v>0.2</v>
      </c>
      <c r="H826" s="6">
        <f>INDEX([1]products!$A$1:$G$49,MATCH([1]orders!$D826,[1]products!$A$1:$A$49,0),MATCH([1]orders!L$1,[1]products!$A$1:$G$1,0))</f>
        <v>3.375</v>
      </c>
      <c r="I826" s="6">
        <f t="shared" si="12"/>
        <v>16.875</v>
      </c>
    </row>
    <row r="827" spans="1:9" x14ac:dyDescent="0.3">
      <c r="A827" s="1" t="s">
        <v>1599</v>
      </c>
      <c r="B827" s="2">
        <v>44603</v>
      </c>
      <c r="C827" s="3" t="s">
        <v>1600</v>
      </c>
      <c r="D827" s="3" t="str">
        <f>INDEX('Customers (2)'!B:B,MATCH('Customers (2)'!A827,'Customers (2)'!A:A,0))</f>
        <v>Uta Kohring</v>
      </c>
      <c r="E827" s="4" t="s">
        <v>27</v>
      </c>
      <c r="F827" s="3">
        <v>3</v>
      </c>
      <c r="G827" s="5">
        <f>INDEX([1]products!$A$1:$G$49,MATCH([1]orders!$D827,[1]products!$A$1:$A$49,0),MATCH([1]orders!K$1,[1]products!$A$1:$G$1,0))</f>
        <v>1</v>
      </c>
      <c r="H827" s="6">
        <f>INDEX([1]products!$A$1:$G$49,MATCH([1]orders!$D827,[1]products!$A$1:$A$49,0),MATCH([1]orders!L$1,[1]products!$A$1:$G$1,0))</f>
        <v>9.9499999999999993</v>
      </c>
      <c r="I827" s="6">
        <f t="shared" si="12"/>
        <v>29.849999999999998</v>
      </c>
    </row>
    <row r="828" spans="1:9" x14ac:dyDescent="0.3">
      <c r="A828" s="1" t="s">
        <v>1601</v>
      </c>
      <c r="B828" s="2">
        <v>44283</v>
      </c>
      <c r="C828" s="3" t="s">
        <v>1602</v>
      </c>
      <c r="D828" s="3" t="str">
        <f>INDEX('Customers (2)'!B:B,MATCH('Customers (2)'!A828,'Customers (2)'!A:A,0))</f>
        <v>Kandy Heddan</v>
      </c>
      <c r="E828" s="4" t="s">
        <v>3</v>
      </c>
      <c r="F828" s="3">
        <v>5</v>
      </c>
      <c r="G828" s="5">
        <f>INDEX([1]products!$A$1:$G$49,MATCH([1]orders!$D828,[1]products!$A$1:$A$49,0),MATCH([1]orders!K$1,[1]products!$A$1:$G$1,0))</f>
        <v>0.5</v>
      </c>
      <c r="H828" s="6">
        <f>INDEX([1]products!$A$1:$G$49,MATCH([1]orders!$D828,[1]products!$A$1:$A$49,0),MATCH([1]orders!L$1,[1]products!$A$1:$G$1,0))</f>
        <v>8.25</v>
      </c>
      <c r="I828" s="6">
        <f t="shared" si="12"/>
        <v>41.25</v>
      </c>
    </row>
    <row r="829" spans="1:9" x14ac:dyDescent="0.3">
      <c r="A829" s="1" t="s">
        <v>1603</v>
      </c>
      <c r="B829" s="2">
        <v>44540</v>
      </c>
      <c r="C829" s="3" t="s">
        <v>1604</v>
      </c>
      <c r="D829" s="3" t="str">
        <f>INDEX('Customers (2)'!B:B,MATCH('Customers (2)'!A829,'Customers (2)'!A:A,0))</f>
        <v>Ibby Charters</v>
      </c>
      <c r="E829" s="4" t="s">
        <v>64</v>
      </c>
      <c r="F829" s="3">
        <v>5</v>
      </c>
      <c r="G829" s="5">
        <f>INDEX([1]products!$A$1:$G$49,MATCH([1]orders!$D829,[1]products!$A$1:$A$49,0),MATCH([1]orders!K$1,[1]products!$A$1:$G$1,0))</f>
        <v>0.2</v>
      </c>
      <c r="H829" s="6">
        <f>INDEX([1]products!$A$1:$G$49,MATCH([1]orders!$D829,[1]products!$A$1:$A$49,0),MATCH([1]orders!L$1,[1]products!$A$1:$G$1,0))</f>
        <v>4.125</v>
      </c>
      <c r="I829" s="6">
        <f t="shared" si="12"/>
        <v>20.625</v>
      </c>
    </row>
    <row r="830" spans="1:9" x14ac:dyDescent="0.3">
      <c r="A830" s="1" t="s">
        <v>1605</v>
      </c>
      <c r="B830" s="2">
        <v>44505</v>
      </c>
      <c r="C830" s="3" t="s">
        <v>1606</v>
      </c>
      <c r="D830" s="3" t="str">
        <f>INDEX('Customers (2)'!B:B,MATCH('Customers (2)'!A830,'Customers (2)'!A:A,0))</f>
        <v>Adora Roubert</v>
      </c>
      <c r="E830" s="4" t="s">
        <v>118</v>
      </c>
      <c r="F830" s="3">
        <v>6</v>
      </c>
      <c r="G830" s="5">
        <f>INDEX([1]products!$A$1:$G$49,MATCH([1]orders!$D830,[1]products!$A$1:$A$49,0),MATCH([1]orders!K$1,[1]products!$A$1:$G$1,0))</f>
        <v>2.5</v>
      </c>
      <c r="H830" s="6">
        <f>INDEX([1]products!$A$1:$G$49,MATCH([1]orders!$D830,[1]products!$A$1:$A$49,0),MATCH([1]orders!L$1,[1]products!$A$1:$G$1,0))</f>
        <v>22.884999999999998</v>
      </c>
      <c r="I830" s="6">
        <f t="shared" si="12"/>
        <v>137.31</v>
      </c>
    </row>
    <row r="831" spans="1:9" x14ac:dyDescent="0.3">
      <c r="A831" s="1" t="s">
        <v>1607</v>
      </c>
      <c r="B831" s="2">
        <v>43890</v>
      </c>
      <c r="C831" s="3" t="s">
        <v>1608</v>
      </c>
      <c r="D831" s="3" t="str">
        <f>INDEX('Customers (2)'!B:B,MATCH('Customers (2)'!A831,'Customers (2)'!A:A,0))</f>
        <v>Hillel Mairs</v>
      </c>
      <c r="E831" s="4" t="s">
        <v>54</v>
      </c>
      <c r="F831" s="3">
        <v>1</v>
      </c>
      <c r="G831" s="5">
        <f>INDEX([1]products!$A$1:$G$49,MATCH([1]orders!$D831,[1]products!$A$1:$A$49,0),MATCH([1]orders!K$1,[1]products!$A$1:$G$1,0))</f>
        <v>0.2</v>
      </c>
      <c r="H831" s="6">
        <f>INDEX([1]products!$A$1:$G$49,MATCH([1]orders!$D831,[1]products!$A$1:$A$49,0),MATCH([1]orders!L$1,[1]products!$A$1:$G$1,0))</f>
        <v>2.9849999999999999</v>
      </c>
      <c r="I831" s="6">
        <f t="shared" si="12"/>
        <v>2.9849999999999999</v>
      </c>
    </row>
    <row r="832" spans="1:9" x14ac:dyDescent="0.3">
      <c r="A832" s="1" t="s">
        <v>1609</v>
      </c>
      <c r="B832" s="2">
        <v>44414</v>
      </c>
      <c r="C832" s="3" t="s">
        <v>1610</v>
      </c>
      <c r="D832" s="3" t="str">
        <f>INDEX('Customers (2)'!B:B,MATCH('Customers (2)'!A832,'Customers (2)'!A:A,0))</f>
        <v>Helaina Rainforth</v>
      </c>
      <c r="E832" s="4" t="s">
        <v>9</v>
      </c>
      <c r="F832" s="3">
        <v>2</v>
      </c>
      <c r="G832" s="5">
        <f>INDEX([1]products!$A$1:$G$49,MATCH([1]orders!$D832,[1]products!$A$1:$A$49,0),MATCH([1]orders!K$1,[1]products!$A$1:$G$1,0))</f>
        <v>1</v>
      </c>
      <c r="H832" s="6">
        <f>INDEX([1]products!$A$1:$G$49,MATCH([1]orders!$D832,[1]products!$A$1:$A$49,0),MATCH([1]orders!L$1,[1]products!$A$1:$G$1,0))</f>
        <v>13.75</v>
      </c>
      <c r="I832" s="6">
        <f t="shared" si="12"/>
        <v>27.5</v>
      </c>
    </row>
    <row r="833" spans="1:9" x14ac:dyDescent="0.3">
      <c r="A833" s="1" t="s">
        <v>1609</v>
      </c>
      <c r="B833" s="2">
        <v>44414</v>
      </c>
      <c r="C833" s="3" t="s">
        <v>1610</v>
      </c>
      <c r="D833" s="3" t="str">
        <f>INDEX('Customers (2)'!B:B,MATCH('Customers (2)'!A833,'Customers (2)'!A:A,0))</f>
        <v>Odelia Skerme</v>
      </c>
      <c r="E833" s="4" t="s">
        <v>54</v>
      </c>
      <c r="F833" s="3">
        <v>2</v>
      </c>
      <c r="G833" s="5">
        <f>INDEX([1]products!$A$1:$G$49,MATCH([1]orders!$D833,[1]products!$A$1:$A$49,0),MATCH([1]orders!K$1,[1]products!$A$1:$G$1,0))</f>
        <v>0.2</v>
      </c>
      <c r="H833" s="6">
        <f>INDEX([1]products!$A$1:$G$49,MATCH([1]orders!$D833,[1]products!$A$1:$A$49,0),MATCH([1]orders!L$1,[1]products!$A$1:$G$1,0))</f>
        <v>2.9849999999999999</v>
      </c>
      <c r="I833" s="6">
        <f t="shared" si="12"/>
        <v>5.97</v>
      </c>
    </row>
    <row r="834" spans="1:9" x14ac:dyDescent="0.3">
      <c r="A834" s="1" t="s">
        <v>1611</v>
      </c>
      <c r="B834" s="2">
        <v>44274</v>
      </c>
      <c r="C834" s="3" t="s">
        <v>1612</v>
      </c>
      <c r="D834" s="3" t="str">
        <f>INDEX('Customers (2)'!B:B,MATCH('Customers (2)'!A834,'Customers (2)'!A:A,0))</f>
        <v>Isac Jesper</v>
      </c>
      <c r="E834" s="4" t="s">
        <v>2</v>
      </c>
      <c r="F834" s="3">
        <v>6</v>
      </c>
      <c r="G834" s="5">
        <f>INDEX([1]products!$A$1:$G$49,MATCH([1]orders!$D834,[1]products!$A$1:$A$49,0),MATCH([1]orders!K$1,[1]products!$A$1:$G$1,0))</f>
        <v>1</v>
      </c>
      <c r="H834" s="6">
        <f>INDEX([1]products!$A$1:$G$49,MATCH([1]orders!$D834,[1]products!$A$1:$A$49,0),MATCH([1]orders!L$1,[1]products!$A$1:$G$1,0))</f>
        <v>9.9499999999999993</v>
      </c>
      <c r="I834" s="6">
        <f t="shared" ref="I834:I897" si="13">F834*H834</f>
        <v>59.699999999999996</v>
      </c>
    </row>
    <row r="835" spans="1:9" x14ac:dyDescent="0.3">
      <c r="A835" s="1" t="s">
        <v>1613</v>
      </c>
      <c r="B835" s="2">
        <v>44302</v>
      </c>
      <c r="C835" s="3" t="s">
        <v>1614</v>
      </c>
      <c r="D835" s="3" t="str">
        <f>INDEX('Customers (2)'!B:B,MATCH('Customers (2)'!A835,'Customers (2)'!A:A,0))</f>
        <v>Lenette Dwerryhouse</v>
      </c>
      <c r="E835" s="4" t="s">
        <v>35</v>
      </c>
      <c r="F835" s="3">
        <v>4</v>
      </c>
      <c r="G835" s="5">
        <f>INDEX([1]products!$A$1:$G$49,MATCH([1]orders!$D835,[1]products!$A$1:$A$49,0),MATCH([1]orders!K$1,[1]products!$A$1:$G$1,0))</f>
        <v>2.5</v>
      </c>
      <c r="H835" s="6">
        <f>INDEX([1]products!$A$1:$G$49,MATCH([1]orders!$D835,[1]products!$A$1:$A$49,0),MATCH([1]orders!L$1,[1]products!$A$1:$G$1,0))</f>
        <v>20.584999999999997</v>
      </c>
      <c r="I835" s="6">
        <f t="shared" si="13"/>
        <v>82.339999999999989</v>
      </c>
    </row>
    <row r="836" spans="1:9" x14ac:dyDescent="0.3">
      <c r="A836" s="1" t="s">
        <v>1615</v>
      </c>
      <c r="B836" s="2">
        <v>44141</v>
      </c>
      <c r="C836" s="3" t="s">
        <v>1616</v>
      </c>
      <c r="D836" s="3" t="str">
        <f>INDEX('Customers (2)'!B:B,MATCH('Customers (2)'!A836,'Customers (2)'!A:A,0))</f>
        <v>Nadeen Broomer</v>
      </c>
      <c r="E836" s="4" t="s">
        <v>118</v>
      </c>
      <c r="F836" s="3">
        <v>1</v>
      </c>
      <c r="G836" s="5">
        <f>INDEX([1]products!$A$1:$G$49,MATCH([1]orders!$D836,[1]products!$A$1:$A$49,0),MATCH([1]orders!K$1,[1]products!$A$1:$G$1,0))</f>
        <v>2.5</v>
      </c>
      <c r="H836" s="6">
        <f>INDEX([1]products!$A$1:$G$49,MATCH([1]orders!$D836,[1]products!$A$1:$A$49,0),MATCH([1]orders!L$1,[1]products!$A$1:$G$1,0))</f>
        <v>22.884999999999998</v>
      </c>
      <c r="I836" s="6">
        <f t="shared" si="13"/>
        <v>22.884999999999998</v>
      </c>
    </row>
    <row r="837" spans="1:9" x14ac:dyDescent="0.3">
      <c r="A837" s="1" t="s">
        <v>1617</v>
      </c>
      <c r="B837" s="2">
        <v>44270</v>
      </c>
      <c r="C837" s="3" t="s">
        <v>1618</v>
      </c>
      <c r="D837" s="3" t="str">
        <f>INDEX('Customers (2)'!B:B,MATCH('Customers (2)'!A837,'Customers (2)'!A:A,0))</f>
        <v>Konstantine Thoumasson</v>
      </c>
      <c r="E837" s="4" t="s">
        <v>176</v>
      </c>
      <c r="F837" s="3">
        <v>1</v>
      </c>
      <c r="G837" s="5">
        <f>INDEX([1]products!$A$1:$G$49,MATCH([1]orders!$D837,[1]products!$A$1:$A$49,0),MATCH([1]orders!K$1,[1]products!$A$1:$G$1,0))</f>
        <v>0.5</v>
      </c>
      <c r="H837" s="6">
        <f>INDEX([1]products!$A$1:$G$49,MATCH([1]orders!$D837,[1]products!$A$1:$A$49,0),MATCH([1]orders!L$1,[1]products!$A$1:$G$1,0))</f>
        <v>8.91</v>
      </c>
      <c r="I837" s="6">
        <f t="shared" si="13"/>
        <v>8.91</v>
      </c>
    </row>
    <row r="838" spans="1:9" x14ac:dyDescent="0.3">
      <c r="A838" s="1" t="s">
        <v>1619</v>
      </c>
      <c r="B838" s="2">
        <v>44486</v>
      </c>
      <c r="C838" s="3" t="s">
        <v>1620</v>
      </c>
      <c r="D838" s="3" t="str">
        <f>INDEX('Customers (2)'!B:B,MATCH('Customers (2)'!A838,'Customers (2)'!A:A,0))</f>
        <v>Frans Habbergham</v>
      </c>
      <c r="E838" s="4" t="s">
        <v>54</v>
      </c>
      <c r="F838" s="3">
        <v>4</v>
      </c>
      <c r="G838" s="5">
        <f>INDEX([1]products!$A$1:$G$49,MATCH([1]orders!$D838,[1]products!$A$1:$A$49,0),MATCH([1]orders!K$1,[1]products!$A$1:$G$1,0))</f>
        <v>0.2</v>
      </c>
      <c r="H838" s="6">
        <f>INDEX([1]products!$A$1:$G$49,MATCH([1]orders!$D838,[1]products!$A$1:$A$49,0),MATCH([1]orders!L$1,[1]products!$A$1:$G$1,0))</f>
        <v>2.9849999999999999</v>
      </c>
      <c r="I838" s="6">
        <f t="shared" si="13"/>
        <v>11.94</v>
      </c>
    </row>
    <row r="839" spans="1:9" x14ac:dyDescent="0.3">
      <c r="A839" s="1" t="s">
        <v>1621</v>
      </c>
      <c r="B839" s="2">
        <v>43715</v>
      </c>
      <c r="C839" s="3" t="s">
        <v>1569</v>
      </c>
      <c r="D839" s="3" t="str">
        <f>INDEX('Customers (2)'!B:B,MATCH('Customers (2)'!A839,'Customers (2)'!A:A,0))</f>
        <v>Margarette Woolham</v>
      </c>
      <c r="E839" s="4" t="s">
        <v>197</v>
      </c>
      <c r="F839" s="3">
        <v>3</v>
      </c>
      <c r="G839" s="5">
        <f>INDEX([1]products!$A$1:$G$49,MATCH([1]orders!$D839,[1]products!$A$1:$A$49,0),MATCH([1]orders!K$1,[1]products!$A$1:$G$1,0))</f>
        <v>2.5</v>
      </c>
      <c r="H839" s="6">
        <f>INDEX([1]products!$A$1:$G$49,MATCH([1]orders!$D839,[1]products!$A$1:$A$49,0),MATCH([1]orders!L$1,[1]products!$A$1:$G$1,0))</f>
        <v>33.464999999999996</v>
      </c>
      <c r="I839" s="6">
        <f t="shared" si="13"/>
        <v>100.39499999999998</v>
      </c>
    </row>
    <row r="840" spans="1:9" x14ac:dyDescent="0.3">
      <c r="A840" s="1" t="s">
        <v>1622</v>
      </c>
      <c r="B840" s="2">
        <v>44755</v>
      </c>
      <c r="C840" s="3" t="s">
        <v>1623</v>
      </c>
      <c r="D840" s="3" t="str">
        <f>INDEX('Customers (2)'!B:B,MATCH('Customers (2)'!A840,'Customers (2)'!A:A,0))</f>
        <v>Romain Avrashin</v>
      </c>
      <c r="E840" s="4" t="s">
        <v>118</v>
      </c>
      <c r="F840" s="3">
        <v>5</v>
      </c>
      <c r="G840" s="5">
        <f>INDEX([1]products!$A$1:$G$49,MATCH([1]orders!$D840,[1]products!$A$1:$A$49,0),MATCH([1]orders!K$1,[1]products!$A$1:$G$1,0))</f>
        <v>2.5</v>
      </c>
      <c r="H840" s="6">
        <f>INDEX([1]products!$A$1:$G$49,MATCH([1]orders!$D840,[1]products!$A$1:$A$49,0),MATCH([1]orders!L$1,[1]products!$A$1:$G$1,0))</f>
        <v>22.884999999999998</v>
      </c>
      <c r="I840" s="6">
        <f t="shared" si="13"/>
        <v>114.42499999999998</v>
      </c>
    </row>
    <row r="841" spans="1:9" x14ac:dyDescent="0.3">
      <c r="A841" s="1" t="s">
        <v>1624</v>
      </c>
      <c r="B841" s="2">
        <v>44521</v>
      </c>
      <c r="C841" s="3" t="s">
        <v>1625</v>
      </c>
      <c r="D841" s="3" t="str">
        <f>INDEX('Customers (2)'!B:B,MATCH('Customers (2)'!A841,'Customers (2)'!A:A,0))</f>
        <v>Miran Doidge</v>
      </c>
      <c r="E841" s="4" t="s">
        <v>3</v>
      </c>
      <c r="F841" s="3">
        <v>5</v>
      </c>
      <c r="G841" s="5">
        <f>INDEX([1]products!$A$1:$G$49,MATCH([1]orders!$D841,[1]products!$A$1:$A$49,0),MATCH([1]orders!K$1,[1]products!$A$1:$G$1,0))</f>
        <v>0.5</v>
      </c>
      <c r="H841" s="6">
        <f>INDEX([1]products!$A$1:$G$49,MATCH([1]orders!$D841,[1]products!$A$1:$A$49,0),MATCH([1]orders!L$1,[1]products!$A$1:$G$1,0))</f>
        <v>8.25</v>
      </c>
      <c r="I841" s="6">
        <f t="shared" si="13"/>
        <v>41.25</v>
      </c>
    </row>
    <row r="842" spans="1:9" x14ac:dyDescent="0.3">
      <c r="A842" s="1" t="s">
        <v>1626</v>
      </c>
      <c r="B842" s="2">
        <v>44574</v>
      </c>
      <c r="C842" s="3" t="s">
        <v>1627</v>
      </c>
      <c r="D842" s="3" t="str">
        <f>INDEX('Customers (2)'!B:B,MATCH('Customers (2)'!A842,'Customers (2)'!A:A,0))</f>
        <v>Janeva Edinboro</v>
      </c>
      <c r="E842" s="4" t="s">
        <v>157</v>
      </c>
      <c r="F842" s="3">
        <v>4</v>
      </c>
      <c r="G842" s="5">
        <f>INDEX([1]products!$A$1:$G$49,MATCH([1]orders!$D842,[1]products!$A$1:$A$49,0),MATCH([1]orders!K$1,[1]products!$A$1:$G$1,0))</f>
        <v>0.5</v>
      </c>
      <c r="H842" s="6">
        <f>INDEX([1]products!$A$1:$G$49,MATCH([1]orders!$D842,[1]products!$A$1:$A$49,0),MATCH([1]orders!L$1,[1]products!$A$1:$G$1,0))</f>
        <v>7.169999999999999</v>
      </c>
      <c r="I842" s="6">
        <f t="shared" si="13"/>
        <v>28.679999999999996</v>
      </c>
    </row>
    <row r="843" spans="1:9" x14ac:dyDescent="0.3">
      <c r="A843" s="1" t="s">
        <v>1628</v>
      </c>
      <c r="B843" s="2">
        <v>44755</v>
      </c>
      <c r="C843" s="3" t="s">
        <v>1629</v>
      </c>
      <c r="D843" s="3" t="str">
        <f>INDEX('Customers (2)'!B:B,MATCH('Customers (2)'!A843,'Customers (2)'!A:A,0))</f>
        <v>Trumaine Tewelson</v>
      </c>
      <c r="E843" s="4" t="s">
        <v>77</v>
      </c>
      <c r="F843" s="3">
        <v>1</v>
      </c>
      <c r="G843" s="5">
        <f>INDEX([1]products!$A$1:$G$49,MATCH([1]orders!$D843,[1]products!$A$1:$A$49,0),MATCH([1]orders!K$1,[1]products!$A$1:$G$1,0))</f>
        <v>0.2</v>
      </c>
      <c r="H843" s="6">
        <f>INDEX([1]products!$A$1:$G$49,MATCH([1]orders!$D843,[1]products!$A$1:$A$49,0),MATCH([1]orders!L$1,[1]products!$A$1:$G$1,0))</f>
        <v>4.3650000000000002</v>
      </c>
      <c r="I843" s="6">
        <f t="shared" si="13"/>
        <v>4.3650000000000002</v>
      </c>
    </row>
    <row r="844" spans="1:9" x14ac:dyDescent="0.3">
      <c r="A844" s="1" t="s">
        <v>1630</v>
      </c>
      <c r="B844" s="2">
        <v>44502</v>
      </c>
      <c r="C844" s="3" t="s">
        <v>1600</v>
      </c>
      <c r="D844" s="3" t="str">
        <f>INDEX('Customers (2)'!B:B,MATCH('Customers (2)'!A844,'Customers (2)'!A:A,0))</f>
        <v>Niles Krimmer</v>
      </c>
      <c r="E844" s="4" t="s">
        <v>64</v>
      </c>
      <c r="F844" s="3">
        <v>2</v>
      </c>
      <c r="G844" s="5">
        <f>INDEX([1]products!$A$1:$G$49,MATCH([1]orders!$D844,[1]products!$A$1:$A$49,0),MATCH([1]orders!K$1,[1]products!$A$1:$G$1,0))</f>
        <v>0.2</v>
      </c>
      <c r="H844" s="6">
        <f>INDEX([1]products!$A$1:$G$49,MATCH([1]orders!$D844,[1]products!$A$1:$A$49,0),MATCH([1]orders!L$1,[1]products!$A$1:$G$1,0))</f>
        <v>4.125</v>
      </c>
      <c r="I844" s="6">
        <f t="shared" si="13"/>
        <v>8.25</v>
      </c>
    </row>
    <row r="845" spans="1:9" x14ac:dyDescent="0.3">
      <c r="A845" s="1" t="s">
        <v>1631</v>
      </c>
      <c r="B845" s="2">
        <v>44387</v>
      </c>
      <c r="C845" s="3" t="s">
        <v>1632</v>
      </c>
      <c r="D845" s="3" t="str">
        <f>INDEX('Customers (2)'!B:B,MATCH('Customers (2)'!A845,'Customers (2)'!A:A,0))</f>
        <v>De Drewitt</v>
      </c>
      <c r="E845" s="4" t="s">
        <v>64</v>
      </c>
      <c r="F845" s="3">
        <v>2</v>
      </c>
      <c r="G845" s="5">
        <f>INDEX([1]products!$A$1:$G$49,MATCH([1]orders!$D845,[1]products!$A$1:$A$49,0),MATCH([1]orders!K$1,[1]products!$A$1:$G$1,0))</f>
        <v>0.2</v>
      </c>
      <c r="H845" s="6">
        <f>INDEX([1]products!$A$1:$G$49,MATCH([1]orders!$D845,[1]products!$A$1:$A$49,0),MATCH([1]orders!L$1,[1]products!$A$1:$G$1,0))</f>
        <v>4.125</v>
      </c>
      <c r="I845" s="6">
        <f t="shared" si="13"/>
        <v>8.25</v>
      </c>
    </row>
    <row r="846" spans="1:9" x14ac:dyDescent="0.3">
      <c r="A846" s="1" t="s">
        <v>1633</v>
      </c>
      <c r="B846" s="2">
        <v>44476</v>
      </c>
      <c r="C846" s="3" t="s">
        <v>1634</v>
      </c>
      <c r="D846" s="3" t="str">
        <f>INDEX('Customers (2)'!B:B,MATCH('Customers (2)'!A846,'Customers (2)'!A:A,0))</f>
        <v>Adelheid Gladhill</v>
      </c>
      <c r="E846" s="4" t="s">
        <v>72</v>
      </c>
      <c r="F846" s="3">
        <v>6</v>
      </c>
      <c r="G846" s="5">
        <f>INDEX([1]products!$A$1:$G$49,MATCH([1]orders!$D846,[1]products!$A$1:$A$49,0),MATCH([1]orders!K$1,[1]products!$A$1:$G$1,0))</f>
        <v>0.5</v>
      </c>
      <c r="H846" s="6">
        <f>INDEX([1]products!$A$1:$G$49,MATCH([1]orders!$D846,[1]products!$A$1:$A$49,0),MATCH([1]orders!L$1,[1]products!$A$1:$G$1,0))</f>
        <v>5.97</v>
      </c>
      <c r="I846" s="6">
        <f t="shared" si="13"/>
        <v>35.82</v>
      </c>
    </row>
    <row r="847" spans="1:9" x14ac:dyDescent="0.3">
      <c r="A847" s="1" t="s">
        <v>1635</v>
      </c>
      <c r="B847" s="2">
        <v>43889</v>
      </c>
      <c r="C847" s="3" t="s">
        <v>1636</v>
      </c>
      <c r="D847" s="3" t="str">
        <f>INDEX('Customers (2)'!B:B,MATCH('Customers (2)'!A847,'Customers (2)'!A:A,0))</f>
        <v>Murielle Lorinez</v>
      </c>
      <c r="E847" s="4" t="s">
        <v>530</v>
      </c>
      <c r="F847" s="3">
        <v>6</v>
      </c>
      <c r="G847" s="5">
        <f>INDEX([1]products!$A$1:$G$49,MATCH([1]orders!$D847,[1]products!$A$1:$A$49,0),MATCH([1]orders!K$1,[1]products!$A$1:$G$1,0))</f>
        <v>2.5</v>
      </c>
      <c r="H847" s="6">
        <f>INDEX([1]products!$A$1:$G$49,MATCH([1]orders!$D847,[1]products!$A$1:$A$49,0),MATCH([1]orders!L$1,[1]products!$A$1:$G$1,0))</f>
        <v>27.945</v>
      </c>
      <c r="I847" s="6">
        <f t="shared" si="13"/>
        <v>167.67000000000002</v>
      </c>
    </row>
    <row r="848" spans="1:9" x14ac:dyDescent="0.3">
      <c r="A848" s="1" t="s">
        <v>1637</v>
      </c>
      <c r="B848" s="2">
        <v>44747</v>
      </c>
      <c r="C848" s="3" t="s">
        <v>1638</v>
      </c>
      <c r="D848" s="3" t="str">
        <f>INDEX('Customers (2)'!B:B,MATCH('Customers (2)'!A848,'Customers (2)'!A:A,0))</f>
        <v>Edin Mathe</v>
      </c>
      <c r="E848" s="4" t="s">
        <v>171</v>
      </c>
      <c r="F848" s="3">
        <v>2</v>
      </c>
      <c r="G848" s="5">
        <f>INDEX([1]products!$A$1:$G$49,MATCH([1]orders!$D848,[1]products!$A$1:$A$49,0),MATCH([1]orders!K$1,[1]products!$A$1:$G$1,0))</f>
        <v>2.5</v>
      </c>
      <c r="H848" s="6">
        <f>INDEX([1]products!$A$1:$G$49,MATCH([1]orders!$D848,[1]products!$A$1:$A$49,0),MATCH([1]orders!L$1,[1]products!$A$1:$G$1,0))</f>
        <v>25.874999999999996</v>
      </c>
      <c r="I848" s="6">
        <f t="shared" si="13"/>
        <v>51.749999999999993</v>
      </c>
    </row>
    <row r="849" spans="1:9" x14ac:dyDescent="0.3">
      <c r="A849" s="1" t="s">
        <v>1639</v>
      </c>
      <c r="B849" s="2">
        <v>44460</v>
      </c>
      <c r="C849" s="3" t="s">
        <v>1640</v>
      </c>
      <c r="D849" s="3" t="str">
        <f>INDEX('Customers (2)'!B:B,MATCH('Customers (2)'!A849,'Customers (2)'!A:A,0))</f>
        <v>Mordy Van Der Vlies</v>
      </c>
      <c r="E849" s="4" t="s">
        <v>54</v>
      </c>
      <c r="F849" s="3">
        <v>3</v>
      </c>
      <c r="G849" s="5">
        <f>INDEX([1]products!$A$1:$G$49,MATCH([1]orders!$D849,[1]products!$A$1:$A$49,0),MATCH([1]orders!K$1,[1]products!$A$1:$G$1,0))</f>
        <v>0.2</v>
      </c>
      <c r="H849" s="6">
        <f>INDEX([1]products!$A$1:$G$49,MATCH([1]orders!$D849,[1]products!$A$1:$A$49,0),MATCH([1]orders!L$1,[1]products!$A$1:$G$1,0))</f>
        <v>2.9849999999999999</v>
      </c>
      <c r="I849" s="6">
        <f t="shared" si="13"/>
        <v>8.9550000000000001</v>
      </c>
    </row>
    <row r="850" spans="1:9" x14ac:dyDescent="0.3">
      <c r="A850" s="1" t="s">
        <v>1641</v>
      </c>
      <c r="B850" s="2">
        <v>43468</v>
      </c>
      <c r="C850" s="3" t="s">
        <v>1642</v>
      </c>
      <c r="D850" s="3" t="str">
        <f>INDEX('Customers (2)'!B:B,MATCH('Customers (2)'!A850,'Customers (2)'!A:A,0))</f>
        <v>Spencer Wastell</v>
      </c>
      <c r="E850" s="4" t="s">
        <v>176</v>
      </c>
      <c r="F850" s="3">
        <v>6</v>
      </c>
      <c r="G850" s="5">
        <f>INDEX([1]products!$A$1:$G$49,MATCH([1]orders!$D850,[1]products!$A$1:$A$49,0),MATCH([1]orders!K$1,[1]products!$A$1:$G$1,0))</f>
        <v>0.5</v>
      </c>
      <c r="H850" s="6">
        <f>INDEX([1]products!$A$1:$G$49,MATCH([1]orders!$D850,[1]products!$A$1:$A$49,0),MATCH([1]orders!L$1,[1]products!$A$1:$G$1,0))</f>
        <v>8.91</v>
      </c>
      <c r="I850" s="6">
        <f t="shared" si="13"/>
        <v>53.46</v>
      </c>
    </row>
    <row r="851" spans="1:9" x14ac:dyDescent="0.3">
      <c r="A851" s="1" t="s">
        <v>1643</v>
      </c>
      <c r="B851" s="2">
        <v>44628</v>
      </c>
      <c r="C851" s="3" t="s">
        <v>1644</v>
      </c>
      <c r="D851" s="3" t="str">
        <f>INDEX('Customers (2)'!B:B,MATCH('Customers (2)'!A851,'Customers (2)'!A:A,0))</f>
        <v>Jemimah Ethelston</v>
      </c>
      <c r="E851" s="4" t="s">
        <v>115</v>
      </c>
      <c r="F851" s="3">
        <v>6</v>
      </c>
      <c r="G851" s="5">
        <f>INDEX([1]products!$A$1:$G$49,MATCH([1]orders!$D851,[1]products!$A$1:$A$49,0),MATCH([1]orders!K$1,[1]products!$A$1:$G$1,0))</f>
        <v>0.2</v>
      </c>
      <c r="H851" s="6">
        <f>INDEX([1]products!$A$1:$G$49,MATCH([1]orders!$D851,[1]products!$A$1:$A$49,0),MATCH([1]orders!L$1,[1]products!$A$1:$G$1,0))</f>
        <v>3.8849999999999998</v>
      </c>
      <c r="I851" s="6">
        <f t="shared" si="13"/>
        <v>23.31</v>
      </c>
    </row>
    <row r="852" spans="1:9" x14ac:dyDescent="0.3">
      <c r="A852" s="1" t="s">
        <v>1643</v>
      </c>
      <c r="B852" s="2">
        <v>44628</v>
      </c>
      <c r="C852" s="3" t="s">
        <v>1644</v>
      </c>
      <c r="D852" s="3" t="str">
        <f>INDEX('Customers (2)'!B:B,MATCH('Customers (2)'!A852,'Customers (2)'!A:A,0))</f>
        <v>Bobbe Jevon</v>
      </c>
      <c r="E852" s="4" t="s">
        <v>44</v>
      </c>
      <c r="F852" s="3">
        <v>2</v>
      </c>
      <c r="G852" s="5">
        <f>INDEX([1]products!$A$1:$G$49,MATCH([1]orders!$D852,[1]products!$A$1:$A$49,0),MATCH([1]orders!K$1,[1]products!$A$1:$G$1,0))</f>
        <v>0.2</v>
      </c>
      <c r="H852" s="6">
        <f>INDEX([1]products!$A$1:$G$49,MATCH([1]orders!$D852,[1]products!$A$1:$A$49,0),MATCH([1]orders!L$1,[1]products!$A$1:$G$1,0))</f>
        <v>3.375</v>
      </c>
      <c r="I852" s="6">
        <f t="shared" si="13"/>
        <v>6.75</v>
      </c>
    </row>
    <row r="853" spans="1:9" x14ac:dyDescent="0.3">
      <c r="A853" s="1" t="s">
        <v>1645</v>
      </c>
      <c r="B853" s="2">
        <v>43900</v>
      </c>
      <c r="C853" s="3" t="s">
        <v>1646</v>
      </c>
      <c r="D853" s="3" t="str">
        <f>INDEX('Customers (2)'!B:B,MATCH('Customers (2)'!A853,'Customers (2)'!A:A,0))</f>
        <v>Perice Eberz</v>
      </c>
      <c r="E853" s="4" t="s">
        <v>123</v>
      </c>
      <c r="F853" s="3">
        <v>1</v>
      </c>
      <c r="G853" s="5">
        <f>INDEX([1]products!$A$1:$G$49,MATCH([1]orders!$D853,[1]products!$A$1:$A$49,0),MATCH([1]orders!K$1,[1]products!$A$1:$G$1,0))</f>
        <v>0.5</v>
      </c>
      <c r="H853" s="6">
        <f>INDEX([1]products!$A$1:$G$49,MATCH([1]orders!$D853,[1]products!$A$1:$A$49,0),MATCH([1]orders!L$1,[1]products!$A$1:$G$1,0))</f>
        <v>7.77</v>
      </c>
      <c r="I853" s="6">
        <f t="shared" si="13"/>
        <v>7.77</v>
      </c>
    </row>
    <row r="854" spans="1:9" x14ac:dyDescent="0.3">
      <c r="A854" s="1" t="s">
        <v>1647</v>
      </c>
      <c r="B854" s="2">
        <v>44527</v>
      </c>
      <c r="C854" s="3" t="s">
        <v>1648</v>
      </c>
      <c r="D854" s="3" t="str">
        <f>INDEX('Customers (2)'!B:B,MATCH('Customers (2)'!A854,'Customers (2)'!A:A,0))</f>
        <v>Bear Gaish</v>
      </c>
      <c r="E854" s="4" t="s">
        <v>109</v>
      </c>
      <c r="F854" s="3">
        <v>4</v>
      </c>
      <c r="G854" s="5">
        <f>INDEX([1]products!$A$1:$G$49,MATCH([1]orders!$D854,[1]products!$A$1:$A$49,0),MATCH([1]orders!K$1,[1]products!$A$1:$G$1,0))</f>
        <v>2.5</v>
      </c>
      <c r="H854" s="6">
        <f>INDEX([1]products!$A$1:$G$49,MATCH([1]orders!$D854,[1]products!$A$1:$A$49,0),MATCH([1]orders!L$1,[1]products!$A$1:$G$1,0))</f>
        <v>29.784999999999997</v>
      </c>
      <c r="I854" s="6">
        <f t="shared" si="13"/>
        <v>119.13999999999999</v>
      </c>
    </row>
    <row r="855" spans="1:9" x14ac:dyDescent="0.3">
      <c r="A855" s="1" t="s">
        <v>1649</v>
      </c>
      <c r="B855" s="2">
        <v>44259</v>
      </c>
      <c r="C855" s="3" t="s">
        <v>1650</v>
      </c>
      <c r="D855" s="3" t="str">
        <f>INDEX('Customers (2)'!B:B,MATCH('Customers (2)'!A855,'Customers (2)'!A:A,0))</f>
        <v>Lynnea Danton</v>
      </c>
      <c r="E855" s="4" t="s">
        <v>27</v>
      </c>
      <c r="F855" s="3">
        <v>2</v>
      </c>
      <c r="G855" s="5">
        <f>INDEX([1]products!$A$1:$G$49,MATCH([1]orders!$D855,[1]products!$A$1:$A$49,0),MATCH([1]orders!K$1,[1]products!$A$1:$G$1,0))</f>
        <v>1</v>
      </c>
      <c r="H855" s="6">
        <f>INDEX([1]products!$A$1:$G$49,MATCH([1]orders!$D855,[1]products!$A$1:$A$49,0),MATCH([1]orders!L$1,[1]products!$A$1:$G$1,0))</f>
        <v>9.9499999999999993</v>
      </c>
      <c r="I855" s="6">
        <f t="shared" si="13"/>
        <v>19.899999999999999</v>
      </c>
    </row>
    <row r="856" spans="1:9" x14ac:dyDescent="0.3">
      <c r="A856" s="1" t="s">
        <v>1651</v>
      </c>
      <c r="B856" s="2">
        <v>44516</v>
      </c>
      <c r="C856" s="3" t="s">
        <v>1652</v>
      </c>
      <c r="D856" s="3" t="str">
        <f>INDEX('Customers (2)'!B:B,MATCH('Customers (2)'!A856,'Customers (2)'!A:A,0))</f>
        <v>Skipton Morrall</v>
      </c>
      <c r="E856" s="4" t="s">
        <v>157</v>
      </c>
      <c r="F856" s="3">
        <v>5</v>
      </c>
      <c r="G856" s="5">
        <f>INDEX([1]products!$A$1:$G$49,MATCH([1]orders!$D856,[1]products!$A$1:$A$49,0),MATCH([1]orders!K$1,[1]products!$A$1:$G$1,0))</f>
        <v>0.5</v>
      </c>
      <c r="H856" s="6">
        <f>INDEX([1]products!$A$1:$G$49,MATCH([1]orders!$D856,[1]products!$A$1:$A$49,0),MATCH([1]orders!L$1,[1]products!$A$1:$G$1,0))</f>
        <v>7.169999999999999</v>
      </c>
      <c r="I856" s="6">
        <f t="shared" si="13"/>
        <v>35.849999999999994</v>
      </c>
    </row>
    <row r="857" spans="1:9" x14ac:dyDescent="0.3">
      <c r="A857" s="1" t="s">
        <v>1653</v>
      </c>
      <c r="B857" s="2">
        <v>43632</v>
      </c>
      <c r="C857" s="3" t="s">
        <v>1654</v>
      </c>
      <c r="D857" s="3" t="str">
        <f>INDEX('Customers (2)'!B:B,MATCH('Customers (2)'!A857,'Customers (2)'!A:A,0))</f>
        <v>Devan Crownshaw</v>
      </c>
      <c r="E857" s="4" t="s">
        <v>109</v>
      </c>
      <c r="F857" s="3">
        <v>3</v>
      </c>
      <c r="G857" s="5">
        <f>INDEX([1]products!$A$1:$G$49,MATCH([1]orders!$D857,[1]products!$A$1:$A$49,0),MATCH([1]orders!K$1,[1]products!$A$1:$G$1,0))</f>
        <v>2.5</v>
      </c>
      <c r="H857" s="6">
        <f>INDEX([1]products!$A$1:$G$49,MATCH([1]orders!$D857,[1]products!$A$1:$A$49,0),MATCH([1]orders!L$1,[1]products!$A$1:$G$1,0))</f>
        <v>29.784999999999997</v>
      </c>
      <c r="I857" s="6">
        <f t="shared" si="13"/>
        <v>89.35499999999999</v>
      </c>
    </row>
    <row r="858" spans="1:9" x14ac:dyDescent="0.3">
      <c r="A858" s="1" t="s">
        <v>1655</v>
      </c>
      <c r="B858" s="2">
        <v>44031</v>
      </c>
      <c r="C858" s="3" t="s">
        <v>1600</v>
      </c>
      <c r="D858" s="3" t="str">
        <f>INDEX('Customers (2)'!B:B,MATCH('Customers (2)'!A858,'Customers (2)'!A:A,0))</f>
        <v>Kriste Wessel</v>
      </c>
      <c r="E858" s="4" t="s">
        <v>77</v>
      </c>
      <c r="F858" s="3">
        <v>2</v>
      </c>
      <c r="G858" s="5">
        <f>INDEX([1]products!$A$1:$G$49,MATCH([1]orders!$D858,[1]products!$A$1:$A$49,0),MATCH([1]orders!K$1,[1]products!$A$1:$G$1,0))</f>
        <v>0.2</v>
      </c>
      <c r="H858" s="6">
        <f>INDEX([1]products!$A$1:$G$49,MATCH([1]orders!$D858,[1]products!$A$1:$A$49,0),MATCH([1]orders!L$1,[1]products!$A$1:$G$1,0))</f>
        <v>4.3650000000000002</v>
      </c>
      <c r="I858" s="6">
        <f t="shared" si="13"/>
        <v>8.73</v>
      </c>
    </row>
    <row r="859" spans="1:9" x14ac:dyDescent="0.3">
      <c r="A859" s="1" t="s">
        <v>1656</v>
      </c>
      <c r="B859" s="2">
        <v>43889</v>
      </c>
      <c r="C859" s="3" t="s">
        <v>1657</v>
      </c>
      <c r="D859" s="3" t="str">
        <f>INDEX('Customers (2)'!B:B,MATCH('Customers (2)'!A859,'Customers (2)'!A:A,0))</f>
        <v>Joceline Reddoch</v>
      </c>
      <c r="E859" s="4" t="s">
        <v>10</v>
      </c>
      <c r="F859" s="3">
        <v>5</v>
      </c>
      <c r="G859" s="5">
        <f>INDEX([1]products!$A$1:$G$49,MATCH([1]orders!$D859,[1]products!$A$1:$A$49,0),MATCH([1]orders!K$1,[1]products!$A$1:$G$1,0))</f>
        <v>2.5</v>
      </c>
      <c r="H859" s="6">
        <f>INDEX([1]products!$A$1:$G$49,MATCH([1]orders!$D859,[1]products!$A$1:$A$49,0),MATCH([1]orders!L$1,[1]products!$A$1:$G$1,0))</f>
        <v>27.484999999999996</v>
      </c>
      <c r="I859" s="6">
        <f t="shared" si="13"/>
        <v>137.42499999999998</v>
      </c>
    </row>
    <row r="860" spans="1:9" x14ac:dyDescent="0.3">
      <c r="A860" s="1" t="s">
        <v>1658</v>
      </c>
      <c r="B860" s="2">
        <v>43638</v>
      </c>
      <c r="C860" s="3" t="s">
        <v>1659</v>
      </c>
      <c r="D860" s="3" t="str">
        <f>INDEX('Customers (2)'!B:B,MATCH('Customers (2)'!A860,'Customers (2)'!A:A,0))</f>
        <v>Shelley Titley</v>
      </c>
      <c r="E860" s="4" t="s">
        <v>78</v>
      </c>
      <c r="F860" s="3">
        <v>4</v>
      </c>
      <c r="G860" s="5">
        <f>INDEX([1]products!$A$1:$G$49,MATCH([1]orders!$D860,[1]products!$A$1:$A$49,0),MATCH([1]orders!K$1,[1]products!$A$1:$G$1,0))</f>
        <v>0.5</v>
      </c>
      <c r="H860" s="6">
        <f>INDEX([1]products!$A$1:$G$49,MATCH([1]orders!$D860,[1]products!$A$1:$A$49,0),MATCH([1]orders!L$1,[1]products!$A$1:$G$1,0))</f>
        <v>8.73</v>
      </c>
      <c r="I860" s="6">
        <f t="shared" si="13"/>
        <v>34.92</v>
      </c>
    </row>
    <row r="861" spans="1:9" x14ac:dyDescent="0.3">
      <c r="A861" s="1" t="s">
        <v>1660</v>
      </c>
      <c r="B861" s="2">
        <v>43716</v>
      </c>
      <c r="C861" s="3" t="s">
        <v>1661</v>
      </c>
      <c r="D861" s="3" t="str">
        <f>INDEX('Customers (2)'!B:B,MATCH('Customers (2)'!A861,'Customers (2)'!A:A,0))</f>
        <v>Redd Simao</v>
      </c>
      <c r="E861" s="4" t="s">
        <v>204</v>
      </c>
      <c r="F861" s="3">
        <v>6</v>
      </c>
      <c r="G861" s="5">
        <f>INDEX([1]products!$A$1:$G$49,MATCH([1]orders!$D861,[1]products!$A$1:$A$49,0),MATCH([1]orders!K$1,[1]products!$A$1:$G$1,0))</f>
        <v>2.5</v>
      </c>
      <c r="H861" s="6">
        <f>INDEX([1]products!$A$1:$G$49,MATCH([1]orders!$D861,[1]products!$A$1:$A$49,0),MATCH([1]orders!L$1,[1]products!$A$1:$G$1,0))</f>
        <v>29.784999999999997</v>
      </c>
      <c r="I861" s="6">
        <f t="shared" si="13"/>
        <v>178.70999999999998</v>
      </c>
    </row>
    <row r="862" spans="1:9" x14ac:dyDescent="0.3">
      <c r="A862" s="1" t="s">
        <v>1662</v>
      </c>
      <c r="B862" s="2">
        <v>44707</v>
      </c>
      <c r="C862" s="3" t="s">
        <v>1663</v>
      </c>
      <c r="D862" s="3" t="str">
        <f>INDEX('Customers (2)'!B:B,MATCH('Customers (2)'!A862,'Customers (2)'!A:A,0))</f>
        <v>Cece Inker</v>
      </c>
      <c r="E862" s="4" t="s">
        <v>171</v>
      </c>
      <c r="F862" s="3">
        <v>1</v>
      </c>
      <c r="G862" s="5">
        <f>INDEX([1]products!$A$1:$G$49,MATCH([1]orders!$D862,[1]products!$A$1:$A$49,0),MATCH([1]orders!K$1,[1]products!$A$1:$G$1,0))</f>
        <v>2.5</v>
      </c>
      <c r="H862" s="6">
        <f>INDEX([1]products!$A$1:$G$49,MATCH([1]orders!$D862,[1]products!$A$1:$A$49,0),MATCH([1]orders!L$1,[1]products!$A$1:$G$1,0))</f>
        <v>25.874999999999996</v>
      </c>
      <c r="I862" s="6">
        <f t="shared" si="13"/>
        <v>25.874999999999996</v>
      </c>
    </row>
    <row r="863" spans="1:9" x14ac:dyDescent="0.3">
      <c r="A863" s="1" t="s">
        <v>1664</v>
      </c>
      <c r="B863" s="2">
        <v>43802</v>
      </c>
      <c r="C863" s="3" t="s">
        <v>1665</v>
      </c>
      <c r="D863" s="3" t="str">
        <f>INDEX('Customers (2)'!B:B,MATCH('Customers (2)'!A863,'Customers (2)'!A:A,0))</f>
        <v>Noel Chisholm</v>
      </c>
      <c r="E863" s="4" t="s">
        <v>13</v>
      </c>
      <c r="F863" s="3">
        <v>6</v>
      </c>
      <c r="G863" s="5">
        <f>INDEX([1]products!$A$1:$G$49,MATCH([1]orders!$D863,[1]products!$A$1:$A$49,0),MATCH([1]orders!K$1,[1]products!$A$1:$G$1,0))</f>
        <v>1</v>
      </c>
      <c r="H863" s="6">
        <f>INDEX([1]products!$A$1:$G$49,MATCH([1]orders!$D863,[1]products!$A$1:$A$49,0),MATCH([1]orders!L$1,[1]products!$A$1:$G$1,0))</f>
        <v>12.95</v>
      </c>
      <c r="I863" s="6">
        <f t="shared" si="13"/>
        <v>77.699999999999989</v>
      </c>
    </row>
    <row r="864" spans="1:9" x14ac:dyDescent="0.3">
      <c r="A864" s="1" t="s">
        <v>1666</v>
      </c>
      <c r="B864" s="2">
        <v>43725</v>
      </c>
      <c r="C864" s="3" t="s">
        <v>1667</v>
      </c>
      <c r="D864" s="3" t="str">
        <f>INDEX('Customers (2)'!B:B,MATCH('Customers (2)'!A864,'Customers (2)'!A:A,0))</f>
        <v>Grazia Oats</v>
      </c>
      <c r="E864" s="4" t="s">
        <v>2</v>
      </c>
      <c r="F864" s="3">
        <v>1</v>
      </c>
      <c r="G864" s="5">
        <f>INDEX([1]products!$A$1:$G$49,MATCH([1]orders!$D864,[1]products!$A$1:$A$49,0),MATCH([1]orders!K$1,[1]products!$A$1:$G$1,0))</f>
        <v>1</v>
      </c>
      <c r="H864" s="6">
        <f>INDEX([1]products!$A$1:$G$49,MATCH([1]orders!$D864,[1]products!$A$1:$A$49,0),MATCH([1]orders!L$1,[1]products!$A$1:$G$1,0))</f>
        <v>9.9499999999999993</v>
      </c>
      <c r="I864" s="6">
        <f t="shared" si="13"/>
        <v>9.9499999999999993</v>
      </c>
    </row>
    <row r="865" spans="1:9" x14ac:dyDescent="0.3">
      <c r="A865" s="1" t="s">
        <v>1668</v>
      </c>
      <c r="B865" s="2">
        <v>44712</v>
      </c>
      <c r="C865" s="3" t="s">
        <v>1669</v>
      </c>
      <c r="D865" s="3" t="str">
        <f>INDEX('Customers (2)'!B:B,MATCH('Customers (2)'!A865,'Customers (2)'!A:A,0))</f>
        <v>Meade Birkin</v>
      </c>
      <c r="E865" s="4" t="s">
        <v>96</v>
      </c>
      <c r="F865" s="3">
        <v>2</v>
      </c>
      <c r="G865" s="5">
        <f>INDEX([1]products!$A$1:$G$49,MATCH([1]orders!$D865,[1]products!$A$1:$A$49,0),MATCH([1]orders!K$1,[1]products!$A$1:$G$1,0))</f>
        <v>1</v>
      </c>
      <c r="H865" s="6">
        <f>INDEX([1]products!$A$1:$G$49,MATCH([1]orders!$D865,[1]products!$A$1:$A$49,0),MATCH([1]orders!L$1,[1]products!$A$1:$G$1,0))</f>
        <v>14.55</v>
      </c>
      <c r="I865" s="6">
        <f t="shared" si="13"/>
        <v>29.1</v>
      </c>
    </row>
    <row r="866" spans="1:9" x14ac:dyDescent="0.3">
      <c r="A866" s="1" t="s">
        <v>1670</v>
      </c>
      <c r="B866" s="2">
        <v>43759</v>
      </c>
      <c r="C866" s="3" t="s">
        <v>1671</v>
      </c>
      <c r="D866" s="3" t="str">
        <f>INDEX('Customers (2)'!B:B,MATCH('Customers (2)'!A866,'Customers (2)'!A:A,0))</f>
        <v>Ronda Pyson</v>
      </c>
      <c r="E866" s="4" t="s">
        <v>182</v>
      </c>
      <c r="F866" s="3">
        <v>6</v>
      </c>
      <c r="G866" s="5">
        <f>INDEX([1]products!$A$1:$G$49,MATCH([1]orders!$D866,[1]products!$A$1:$A$49,0),MATCH([1]orders!K$1,[1]products!$A$1:$G$1,0))</f>
        <v>0.2</v>
      </c>
      <c r="H866" s="6">
        <f>INDEX([1]products!$A$1:$G$49,MATCH([1]orders!$D866,[1]products!$A$1:$A$49,0),MATCH([1]orders!L$1,[1]products!$A$1:$G$1,0))</f>
        <v>3.5849999999999995</v>
      </c>
      <c r="I866" s="6">
        <f t="shared" si="13"/>
        <v>21.509999999999998</v>
      </c>
    </row>
    <row r="867" spans="1:9" x14ac:dyDescent="0.3">
      <c r="A867" s="1" t="s">
        <v>1672</v>
      </c>
      <c r="B867" s="2">
        <v>44675</v>
      </c>
      <c r="C867" s="3" t="s">
        <v>1673</v>
      </c>
      <c r="D867" s="3" t="str">
        <f>INDEX('Customers (2)'!B:B,MATCH('Customers (2)'!A867,'Customers (2)'!A:A,0))</f>
        <v>Rachele Ebrall</v>
      </c>
      <c r="E867" s="4" t="s">
        <v>67</v>
      </c>
      <c r="F867" s="3">
        <v>1</v>
      </c>
      <c r="G867" s="5">
        <f>INDEX([1]products!$A$1:$G$49,MATCH([1]orders!$D867,[1]products!$A$1:$A$49,0),MATCH([1]orders!K$1,[1]products!$A$1:$G$1,0))</f>
        <v>0.5</v>
      </c>
      <c r="H867" s="6">
        <f>INDEX([1]products!$A$1:$G$49,MATCH([1]orders!$D867,[1]products!$A$1:$A$49,0),MATCH([1]orders!L$1,[1]products!$A$1:$G$1,0))</f>
        <v>6.75</v>
      </c>
      <c r="I867" s="6">
        <f t="shared" si="13"/>
        <v>6.75</v>
      </c>
    </row>
    <row r="868" spans="1:9" x14ac:dyDescent="0.3">
      <c r="A868" s="1" t="s">
        <v>1674</v>
      </c>
      <c r="B868" s="2">
        <v>44209</v>
      </c>
      <c r="C868" s="3" t="s">
        <v>1675</v>
      </c>
      <c r="D868" s="3" t="str">
        <f>INDEX('Customers (2)'!B:B,MATCH('Customers (2)'!A868,'Customers (2)'!A:A,0))</f>
        <v>Rafaela Treacher</v>
      </c>
      <c r="E868" s="4" t="s">
        <v>72</v>
      </c>
      <c r="F868" s="3">
        <v>3</v>
      </c>
      <c r="G868" s="5">
        <f>INDEX([1]products!$A$1:$G$49,MATCH([1]orders!$D868,[1]products!$A$1:$A$49,0),MATCH([1]orders!K$1,[1]products!$A$1:$G$1,0))</f>
        <v>0.5</v>
      </c>
      <c r="H868" s="6">
        <f>INDEX([1]products!$A$1:$G$49,MATCH([1]orders!$D868,[1]products!$A$1:$A$49,0),MATCH([1]orders!L$1,[1]products!$A$1:$G$1,0))</f>
        <v>5.97</v>
      </c>
      <c r="I868" s="6">
        <f t="shared" si="13"/>
        <v>17.91</v>
      </c>
    </row>
    <row r="869" spans="1:9" x14ac:dyDescent="0.3">
      <c r="A869" s="1" t="s">
        <v>1676</v>
      </c>
      <c r="B869" s="2">
        <v>44792</v>
      </c>
      <c r="C869" s="3" t="s">
        <v>1677</v>
      </c>
      <c r="D869" s="3" t="str">
        <f>INDEX('Customers (2)'!B:B,MATCH('Customers (2)'!A869,'Customers (2)'!A:A,0))</f>
        <v>Bee Fattorini</v>
      </c>
      <c r="E869" s="4" t="s">
        <v>204</v>
      </c>
      <c r="F869" s="3">
        <v>1</v>
      </c>
      <c r="G869" s="5">
        <f>INDEX([1]products!$A$1:$G$49,MATCH([1]orders!$D869,[1]products!$A$1:$A$49,0),MATCH([1]orders!K$1,[1]products!$A$1:$G$1,0))</f>
        <v>2.5</v>
      </c>
      <c r="H869" s="6">
        <f>INDEX([1]products!$A$1:$G$49,MATCH([1]orders!$D869,[1]products!$A$1:$A$49,0),MATCH([1]orders!L$1,[1]products!$A$1:$G$1,0))</f>
        <v>29.784999999999997</v>
      </c>
      <c r="I869" s="6">
        <f t="shared" si="13"/>
        <v>29.784999999999997</v>
      </c>
    </row>
    <row r="870" spans="1:9" x14ac:dyDescent="0.3">
      <c r="A870" s="1" t="s">
        <v>1678</v>
      </c>
      <c r="B870" s="2">
        <v>43526</v>
      </c>
      <c r="C870" s="3" t="s">
        <v>1679</v>
      </c>
      <c r="D870" s="3" t="str">
        <f>INDEX('Customers (2)'!B:B,MATCH('Customers (2)'!A870,'Customers (2)'!A:A,0))</f>
        <v>Margie Palleske</v>
      </c>
      <c r="E870" s="4" t="s">
        <v>3</v>
      </c>
      <c r="F870" s="3">
        <v>5</v>
      </c>
      <c r="G870" s="5">
        <f>INDEX([1]products!$A$1:$G$49,MATCH([1]orders!$D870,[1]products!$A$1:$A$49,0),MATCH([1]orders!K$1,[1]products!$A$1:$G$1,0))</f>
        <v>0.5</v>
      </c>
      <c r="H870" s="6">
        <f>INDEX([1]products!$A$1:$G$49,MATCH([1]orders!$D870,[1]products!$A$1:$A$49,0),MATCH([1]orders!L$1,[1]products!$A$1:$G$1,0))</f>
        <v>8.25</v>
      </c>
      <c r="I870" s="6">
        <f t="shared" si="13"/>
        <v>41.25</v>
      </c>
    </row>
    <row r="871" spans="1:9" x14ac:dyDescent="0.3">
      <c r="A871" s="1" t="s">
        <v>1680</v>
      </c>
      <c r="B871" s="2">
        <v>43851</v>
      </c>
      <c r="C871" s="3" t="s">
        <v>1681</v>
      </c>
      <c r="D871" s="3" t="str">
        <f>INDEX('Customers (2)'!B:B,MATCH('Customers (2)'!A871,'Customers (2)'!A:A,0))</f>
        <v>Alexina Randals</v>
      </c>
      <c r="E871" s="4" t="s">
        <v>22</v>
      </c>
      <c r="F871" s="3">
        <v>3</v>
      </c>
      <c r="G871" s="5">
        <f>INDEX([1]products!$A$1:$G$49,MATCH([1]orders!$D871,[1]products!$A$1:$A$49,0),MATCH([1]orders!K$1,[1]products!$A$1:$G$1,0))</f>
        <v>0.5</v>
      </c>
      <c r="H871" s="6">
        <f>INDEX([1]products!$A$1:$G$49,MATCH([1]orders!$D871,[1]products!$A$1:$A$49,0),MATCH([1]orders!L$1,[1]products!$A$1:$G$1,0))</f>
        <v>5.97</v>
      </c>
      <c r="I871" s="6">
        <f t="shared" si="13"/>
        <v>17.91</v>
      </c>
    </row>
    <row r="872" spans="1:9" x14ac:dyDescent="0.3">
      <c r="A872" s="1" t="s">
        <v>1682</v>
      </c>
      <c r="B872" s="2">
        <v>44460</v>
      </c>
      <c r="C872" s="3" t="s">
        <v>1683</v>
      </c>
      <c r="D872" s="3" t="str">
        <f>INDEX('Customers (2)'!B:B,MATCH('Customers (2)'!A872,'Customers (2)'!A:A,0))</f>
        <v>Filip Antcliffe</v>
      </c>
      <c r="E872" s="4" t="s">
        <v>16</v>
      </c>
      <c r="F872" s="3">
        <v>1</v>
      </c>
      <c r="G872" s="5">
        <f>INDEX([1]products!$A$1:$G$49,MATCH([1]orders!$D872,[1]products!$A$1:$A$49,0),MATCH([1]orders!K$1,[1]products!$A$1:$G$1,0))</f>
        <v>0.5</v>
      </c>
      <c r="H872" s="6">
        <f>INDEX([1]products!$A$1:$G$49,MATCH([1]orders!$D872,[1]products!$A$1:$A$49,0),MATCH([1]orders!L$1,[1]products!$A$1:$G$1,0))</f>
        <v>7.29</v>
      </c>
      <c r="I872" s="6">
        <f t="shared" si="13"/>
        <v>7.29</v>
      </c>
    </row>
    <row r="873" spans="1:9" x14ac:dyDescent="0.3">
      <c r="A873" s="1" t="s">
        <v>1684</v>
      </c>
      <c r="B873" s="2">
        <v>43707</v>
      </c>
      <c r="C873" s="3" t="s">
        <v>1685</v>
      </c>
      <c r="D873" s="3" t="str">
        <f>INDEX('Customers (2)'!B:B,MATCH('Customers (2)'!A873,'Customers (2)'!A:A,0))</f>
        <v>Peyter Matignon</v>
      </c>
      <c r="E873" s="4" t="s">
        <v>137</v>
      </c>
      <c r="F873" s="3">
        <v>2</v>
      </c>
      <c r="G873" s="5">
        <f>INDEX([1]products!$A$1:$G$49,MATCH([1]orders!$D873,[1]products!$A$1:$A$49,0),MATCH([1]orders!K$1,[1]products!$A$1:$G$1,0))</f>
        <v>1</v>
      </c>
      <c r="H873" s="6">
        <f>INDEX([1]products!$A$1:$G$49,MATCH([1]orders!$D873,[1]products!$A$1:$A$49,0),MATCH([1]orders!L$1,[1]products!$A$1:$G$1,0))</f>
        <v>14.85</v>
      </c>
      <c r="I873" s="6">
        <f t="shared" si="13"/>
        <v>29.7</v>
      </c>
    </row>
    <row r="874" spans="1:9" x14ac:dyDescent="0.3">
      <c r="A874" s="1" t="s">
        <v>1686</v>
      </c>
      <c r="B874" s="2">
        <v>43521</v>
      </c>
      <c r="C874" s="3" t="s">
        <v>1687</v>
      </c>
      <c r="D874" s="3" t="str">
        <f>INDEX('Customers (2)'!B:B,MATCH('Customers (2)'!A874,'Customers (2)'!A:A,0))</f>
        <v>Claudie Weond</v>
      </c>
      <c r="E874" s="4" t="s">
        <v>61</v>
      </c>
      <c r="F874" s="3">
        <v>2</v>
      </c>
      <c r="G874" s="5">
        <f>INDEX([1]products!$A$1:$G$49,MATCH([1]orders!$D874,[1]products!$A$1:$A$49,0),MATCH([1]orders!K$1,[1]products!$A$1:$G$1,0))</f>
        <v>1</v>
      </c>
      <c r="H874" s="6">
        <f>INDEX([1]products!$A$1:$G$49,MATCH([1]orders!$D874,[1]products!$A$1:$A$49,0),MATCH([1]orders!L$1,[1]products!$A$1:$G$1,0))</f>
        <v>11.25</v>
      </c>
      <c r="I874" s="6">
        <f t="shared" si="13"/>
        <v>22.5</v>
      </c>
    </row>
    <row r="875" spans="1:9" x14ac:dyDescent="0.3">
      <c r="A875" s="1" t="s">
        <v>1688</v>
      </c>
      <c r="B875" s="2">
        <v>43725</v>
      </c>
      <c r="C875" s="3" t="s">
        <v>1673</v>
      </c>
      <c r="D875" s="3" t="str">
        <f>INDEX('Customers (2)'!B:B,MATCH('Customers (2)'!A875,'Customers (2)'!A:A,0))</f>
        <v>Modesty MacConnechie</v>
      </c>
      <c r="E875" s="4" t="s">
        <v>162</v>
      </c>
      <c r="F875" s="3">
        <v>4</v>
      </c>
      <c r="G875" s="5">
        <f>INDEX([1]products!$A$1:$G$49,MATCH([1]orders!$D875,[1]products!$A$1:$A$49,0),MATCH([1]orders!K$1,[1]products!$A$1:$G$1,0))</f>
        <v>0.2</v>
      </c>
      <c r="H875" s="6">
        <f>INDEX([1]products!$A$1:$G$49,MATCH([1]orders!$D875,[1]products!$A$1:$A$49,0),MATCH([1]orders!L$1,[1]products!$A$1:$G$1,0))</f>
        <v>2.9849999999999999</v>
      </c>
      <c r="I875" s="6">
        <f t="shared" si="13"/>
        <v>11.94</v>
      </c>
    </row>
    <row r="876" spans="1:9" x14ac:dyDescent="0.3">
      <c r="A876" s="1" t="s">
        <v>1689</v>
      </c>
      <c r="B876" s="2">
        <v>43680</v>
      </c>
      <c r="C876" s="3" t="s">
        <v>1690</v>
      </c>
      <c r="D876" s="3" t="str">
        <f>INDEX('Customers (2)'!B:B,MATCH('Customers (2)'!A876,'Customers (2)'!A:A,0))</f>
        <v>Jaquenette Skentelbery</v>
      </c>
      <c r="E876" s="4" t="s">
        <v>6</v>
      </c>
      <c r="F876" s="3">
        <v>2</v>
      </c>
      <c r="G876" s="5">
        <f>INDEX([1]products!$A$1:$G$49,MATCH([1]orders!$D876,[1]products!$A$1:$A$49,0),MATCH([1]orders!K$1,[1]products!$A$1:$G$1,0))</f>
        <v>1</v>
      </c>
      <c r="H876" s="6">
        <f>INDEX([1]products!$A$1:$G$49,MATCH([1]orders!$D876,[1]products!$A$1:$A$49,0),MATCH([1]orders!L$1,[1]products!$A$1:$G$1,0))</f>
        <v>12.95</v>
      </c>
      <c r="I876" s="6">
        <f t="shared" si="13"/>
        <v>25.9</v>
      </c>
    </row>
    <row r="877" spans="1:9" x14ac:dyDescent="0.3">
      <c r="A877" s="1" t="s">
        <v>1691</v>
      </c>
      <c r="B877" s="2">
        <v>44253</v>
      </c>
      <c r="C877" s="3" t="s">
        <v>1692</v>
      </c>
      <c r="D877" s="3" t="str">
        <f>INDEX('Customers (2)'!B:B,MATCH('Customers (2)'!A877,'Customers (2)'!A:A,0))</f>
        <v>Orazio Comber</v>
      </c>
      <c r="E877" s="4" t="s">
        <v>78</v>
      </c>
      <c r="F877" s="3">
        <v>5</v>
      </c>
      <c r="G877" s="5">
        <f>INDEX([1]products!$A$1:$G$49,MATCH([1]orders!$D877,[1]products!$A$1:$A$49,0),MATCH([1]orders!K$1,[1]products!$A$1:$G$1,0))</f>
        <v>0.5</v>
      </c>
      <c r="H877" s="6">
        <f>INDEX([1]products!$A$1:$G$49,MATCH([1]orders!$D877,[1]products!$A$1:$A$49,0),MATCH([1]orders!L$1,[1]products!$A$1:$G$1,0))</f>
        <v>8.73</v>
      </c>
      <c r="I877" s="6">
        <f t="shared" si="13"/>
        <v>43.650000000000006</v>
      </c>
    </row>
    <row r="878" spans="1:9" x14ac:dyDescent="0.3">
      <c r="A878" s="1" t="s">
        <v>1691</v>
      </c>
      <c r="B878" s="2">
        <v>44253</v>
      </c>
      <c r="C878" s="3" t="s">
        <v>1692</v>
      </c>
      <c r="D878" s="3" t="str">
        <f>INDEX('Customers (2)'!B:B,MATCH('Customers (2)'!A878,'Customers (2)'!A:A,0))</f>
        <v>Domini Bram</v>
      </c>
      <c r="E878" s="4" t="s">
        <v>192</v>
      </c>
      <c r="F878" s="3">
        <v>6</v>
      </c>
      <c r="G878" s="5">
        <f>INDEX([1]products!$A$1:$G$49,MATCH([1]orders!$D878,[1]products!$A$1:$A$49,0),MATCH([1]orders!K$1,[1]products!$A$1:$G$1,0))</f>
        <v>0.5</v>
      </c>
      <c r="H878" s="6">
        <f>INDEX([1]products!$A$1:$G$49,MATCH([1]orders!$D878,[1]products!$A$1:$A$49,0),MATCH([1]orders!L$1,[1]products!$A$1:$G$1,0))</f>
        <v>7.77</v>
      </c>
      <c r="I878" s="6">
        <f t="shared" si="13"/>
        <v>46.62</v>
      </c>
    </row>
    <row r="879" spans="1:9" x14ac:dyDescent="0.3">
      <c r="A879" s="1" t="s">
        <v>1693</v>
      </c>
      <c r="B879" s="2">
        <v>44411</v>
      </c>
      <c r="C879" s="3" t="s">
        <v>1694</v>
      </c>
      <c r="D879" s="3" t="str">
        <f>INDEX('Customers (2)'!B:B,MATCH('Customers (2)'!A879,'Customers (2)'!A:A,0))</f>
        <v>Zachary Tramel</v>
      </c>
      <c r="E879" s="4" t="s">
        <v>83</v>
      </c>
      <c r="F879" s="3">
        <v>3</v>
      </c>
      <c r="G879" s="5">
        <f>INDEX([1]products!$A$1:$G$49,MATCH([1]orders!$D879,[1]products!$A$1:$A$49,0),MATCH([1]orders!K$1,[1]products!$A$1:$G$1,0))</f>
        <v>0.5</v>
      </c>
      <c r="H879" s="6">
        <f>INDEX([1]products!$A$1:$G$49,MATCH([1]orders!$D879,[1]products!$A$1:$A$49,0),MATCH([1]orders!L$1,[1]products!$A$1:$G$1,0))</f>
        <v>9.51</v>
      </c>
      <c r="I879" s="6">
        <f t="shared" si="13"/>
        <v>28.53</v>
      </c>
    </row>
    <row r="880" spans="1:9" x14ac:dyDescent="0.3">
      <c r="A880" s="1" t="s">
        <v>1695</v>
      </c>
      <c r="B880" s="2">
        <v>44323</v>
      </c>
      <c r="C880" s="3" t="s">
        <v>1696</v>
      </c>
      <c r="D880" s="3" t="str">
        <f>INDEX('Customers (2)'!B:B,MATCH('Customers (2)'!A880,'Customers (2)'!A:A,0))</f>
        <v>Izaak Primak</v>
      </c>
      <c r="E880" s="4" t="s">
        <v>10</v>
      </c>
      <c r="F880" s="3">
        <v>1</v>
      </c>
      <c r="G880" s="5">
        <f>INDEX([1]products!$A$1:$G$49,MATCH([1]orders!$D880,[1]products!$A$1:$A$49,0),MATCH([1]orders!K$1,[1]products!$A$1:$G$1,0))</f>
        <v>2.5</v>
      </c>
      <c r="H880" s="6">
        <f>INDEX([1]products!$A$1:$G$49,MATCH([1]orders!$D880,[1]products!$A$1:$A$49,0),MATCH([1]orders!L$1,[1]products!$A$1:$G$1,0))</f>
        <v>27.484999999999996</v>
      </c>
      <c r="I880" s="6">
        <f t="shared" si="13"/>
        <v>27.484999999999996</v>
      </c>
    </row>
    <row r="881" spans="1:9" x14ac:dyDescent="0.3">
      <c r="A881" s="1" t="s">
        <v>1697</v>
      </c>
      <c r="B881" s="2">
        <v>43630</v>
      </c>
      <c r="C881" s="3" t="s">
        <v>1698</v>
      </c>
      <c r="D881" s="3" t="str">
        <f>INDEX('Customers (2)'!B:B,MATCH('Customers (2)'!A881,'Customers (2)'!A:A,0))</f>
        <v>Brittani Thoresbie</v>
      </c>
      <c r="E881" s="4" t="s">
        <v>51</v>
      </c>
      <c r="F881" s="3">
        <v>3</v>
      </c>
      <c r="G881" s="5">
        <f>INDEX([1]products!$A$1:$G$49,MATCH([1]orders!$D881,[1]products!$A$1:$A$49,0),MATCH([1]orders!K$1,[1]products!$A$1:$G$1,0))</f>
        <v>0.2</v>
      </c>
      <c r="H881" s="6">
        <f>INDEX([1]products!$A$1:$G$49,MATCH([1]orders!$D881,[1]products!$A$1:$A$49,0),MATCH([1]orders!L$1,[1]products!$A$1:$G$1,0))</f>
        <v>3.645</v>
      </c>
      <c r="I881" s="6">
        <f t="shared" si="13"/>
        <v>10.935</v>
      </c>
    </row>
    <row r="882" spans="1:9" x14ac:dyDescent="0.3">
      <c r="A882" s="1" t="s">
        <v>1699</v>
      </c>
      <c r="B882" s="2">
        <v>43790</v>
      </c>
      <c r="C882" s="3" t="s">
        <v>1700</v>
      </c>
      <c r="D882" s="3" t="str">
        <f>INDEX('Customers (2)'!B:B,MATCH('Customers (2)'!A882,'Customers (2)'!A:A,0))</f>
        <v>Constanta Hatfull</v>
      </c>
      <c r="E882" s="4" t="s">
        <v>182</v>
      </c>
      <c r="F882" s="3">
        <v>2</v>
      </c>
      <c r="G882" s="5">
        <f>INDEX([1]products!$A$1:$G$49,MATCH([1]orders!$D882,[1]products!$A$1:$A$49,0),MATCH([1]orders!K$1,[1]products!$A$1:$G$1,0))</f>
        <v>0.2</v>
      </c>
      <c r="H882" s="6">
        <f>INDEX([1]products!$A$1:$G$49,MATCH([1]orders!$D882,[1]products!$A$1:$A$49,0),MATCH([1]orders!L$1,[1]products!$A$1:$G$1,0))</f>
        <v>3.5849999999999995</v>
      </c>
      <c r="I882" s="6">
        <f t="shared" si="13"/>
        <v>7.169999999999999</v>
      </c>
    </row>
    <row r="883" spans="1:9" x14ac:dyDescent="0.3">
      <c r="A883" s="1" t="s">
        <v>1701</v>
      </c>
      <c r="B883" s="2">
        <v>44286</v>
      </c>
      <c r="C883" s="3" t="s">
        <v>1702</v>
      </c>
      <c r="D883" s="3" t="str">
        <f>INDEX('Customers (2)'!B:B,MATCH('Customers (2)'!A883,'Customers (2)'!A:A,0))</f>
        <v>Bobbe Castagneto</v>
      </c>
      <c r="E883" s="4" t="s">
        <v>115</v>
      </c>
      <c r="F883" s="3">
        <v>6</v>
      </c>
      <c r="G883" s="5">
        <f>INDEX([1]products!$A$1:$G$49,MATCH([1]orders!$D883,[1]products!$A$1:$A$49,0),MATCH([1]orders!K$1,[1]products!$A$1:$G$1,0))</f>
        <v>0.2</v>
      </c>
      <c r="H883" s="6">
        <f>INDEX([1]products!$A$1:$G$49,MATCH([1]orders!$D883,[1]products!$A$1:$A$49,0),MATCH([1]orders!L$1,[1]products!$A$1:$G$1,0))</f>
        <v>3.8849999999999998</v>
      </c>
      <c r="I883" s="6">
        <f t="shared" si="13"/>
        <v>23.31</v>
      </c>
    </row>
    <row r="884" spans="1:9" x14ac:dyDescent="0.3">
      <c r="A884" s="1" t="s">
        <v>1703</v>
      </c>
      <c r="B884" s="2">
        <v>43647</v>
      </c>
      <c r="C884" s="3" t="s">
        <v>1704</v>
      </c>
      <c r="D884" s="3" t="str">
        <f>INDEX('Customers (2)'!B:B,MATCH('Customers (2)'!A884,'Customers (2)'!A:A,0))</f>
        <v>Chastity Swatman</v>
      </c>
      <c r="E884" s="4" t="s">
        <v>118</v>
      </c>
      <c r="F884" s="3">
        <v>5</v>
      </c>
      <c r="G884" s="5">
        <f>INDEX([1]products!$A$1:$G$49,MATCH([1]orders!$D884,[1]products!$A$1:$A$49,0),MATCH([1]orders!K$1,[1]products!$A$1:$G$1,0))</f>
        <v>2.5</v>
      </c>
      <c r="H884" s="6">
        <f>INDEX([1]products!$A$1:$G$49,MATCH([1]orders!$D884,[1]products!$A$1:$A$49,0),MATCH([1]orders!L$1,[1]products!$A$1:$G$1,0))</f>
        <v>22.884999999999998</v>
      </c>
      <c r="I884" s="6">
        <f t="shared" si="13"/>
        <v>114.42499999999998</v>
      </c>
    </row>
    <row r="885" spans="1:9" x14ac:dyDescent="0.3">
      <c r="A885" s="1" t="s">
        <v>1705</v>
      </c>
      <c r="B885" s="2">
        <v>43956</v>
      </c>
      <c r="C885" s="3" t="s">
        <v>1706</v>
      </c>
      <c r="D885" s="3" t="str">
        <f>INDEX('Customers (2)'!B:B,MATCH('Customers (2)'!A885,'Customers (2)'!A:A,0))</f>
        <v>Lindon Agnolo</v>
      </c>
      <c r="E885" s="4" t="s">
        <v>171</v>
      </c>
      <c r="F885" s="3">
        <v>3</v>
      </c>
      <c r="G885" s="5">
        <f>INDEX([1]products!$A$1:$G$49,MATCH([1]orders!$D885,[1]products!$A$1:$A$49,0),MATCH([1]orders!K$1,[1]products!$A$1:$G$1,0))</f>
        <v>2.5</v>
      </c>
      <c r="H885" s="6">
        <f>INDEX([1]products!$A$1:$G$49,MATCH([1]orders!$D885,[1]products!$A$1:$A$49,0),MATCH([1]orders!L$1,[1]products!$A$1:$G$1,0))</f>
        <v>25.874999999999996</v>
      </c>
      <c r="I885" s="6">
        <f t="shared" si="13"/>
        <v>77.624999999999986</v>
      </c>
    </row>
    <row r="886" spans="1:9" x14ac:dyDescent="0.3">
      <c r="A886" s="1" t="s">
        <v>1707</v>
      </c>
      <c r="B886" s="2">
        <v>43941</v>
      </c>
      <c r="C886" s="3" t="s">
        <v>1708</v>
      </c>
      <c r="D886" s="3" t="str">
        <f>INDEX('Customers (2)'!B:B,MATCH('Customers (2)'!A886,'Customers (2)'!A:A,0))</f>
        <v>Delainey Kiddy</v>
      </c>
      <c r="E886" s="4" t="s">
        <v>146</v>
      </c>
      <c r="F886" s="3">
        <v>1</v>
      </c>
      <c r="G886" s="5">
        <f>INDEX([1]products!$A$1:$G$49,MATCH([1]orders!$D886,[1]products!$A$1:$A$49,0),MATCH([1]orders!K$1,[1]products!$A$1:$G$1,0))</f>
        <v>0.5</v>
      </c>
      <c r="H886" s="6">
        <f>INDEX([1]products!$A$1:$G$49,MATCH([1]orders!$D886,[1]products!$A$1:$A$49,0),MATCH([1]orders!L$1,[1]products!$A$1:$G$1,0))</f>
        <v>5.3699999999999992</v>
      </c>
      <c r="I886" s="6">
        <f t="shared" si="13"/>
        <v>5.3699999999999992</v>
      </c>
    </row>
    <row r="887" spans="1:9" x14ac:dyDescent="0.3">
      <c r="A887" s="1" t="s">
        <v>1709</v>
      </c>
      <c r="B887" s="2">
        <v>43664</v>
      </c>
      <c r="C887" s="3" t="s">
        <v>1710</v>
      </c>
      <c r="D887" s="3" t="str">
        <f>INDEX('Customers (2)'!B:B,MATCH('Customers (2)'!A887,'Customers (2)'!A:A,0))</f>
        <v>Helli Petroulis</v>
      </c>
      <c r="E887" s="4" t="s">
        <v>35</v>
      </c>
      <c r="F887" s="3">
        <v>6</v>
      </c>
      <c r="G887" s="5">
        <f>INDEX([1]products!$A$1:$G$49,MATCH([1]orders!$D887,[1]products!$A$1:$A$49,0),MATCH([1]orders!K$1,[1]products!$A$1:$G$1,0))</f>
        <v>2.5</v>
      </c>
      <c r="H887" s="6">
        <f>INDEX([1]products!$A$1:$G$49,MATCH([1]orders!$D887,[1]products!$A$1:$A$49,0),MATCH([1]orders!L$1,[1]products!$A$1:$G$1,0))</f>
        <v>20.584999999999997</v>
      </c>
      <c r="I887" s="6">
        <f t="shared" si="13"/>
        <v>123.50999999999999</v>
      </c>
    </row>
    <row r="888" spans="1:9" x14ac:dyDescent="0.3">
      <c r="A888" s="1" t="s">
        <v>1711</v>
      </c>
      <c r="B888" s="2">
        <v>44518</v>
      </c>
      <c r="C888" s="3" t="s">
        <v>1712</v>
      </c>
      <c r="D888" s="3" t="str">
        <f>INDEX('Customers (2)'!B:B,MATCH('Customers (2)'!A888,'Customers (2)'!A:A,0))</f>
        <v>Marty Scholl</v>
      </c>
      <c r="E888" s="4" t="s">
        <v>78</v>
      </c>
      <c r="F888" s="3">
        <v>2</v>
      </c>
      <c r="G888" s="5">
        <f>INDEX([1]products!$A$1:$G$49,MATCH([1]orders!$D888,[1]products!$A$1:$A$49,0),MATCH([1]orders!K$1,[1]products!$A$1:$G$1,0))</f>
        <v>0.5</v>
      </c>
      <c r="H888" s="6">
        <f>INDEX([1]products!$A$1:$G$49,MATCH([1]orders!$D888,[1]products!$A$1:$A$49,0),MATCH([1]orders!L$1,[1]products!$A$1:$G$1,0))</f>
        <v>8.73</v>
      </c>
      <c r="I888" s="6">
        <f t="shared" si="13"/>
        <v>17.46</v>
      </c>
    </row>
    <row r="889" spans="1:9" x14ac:dyDescent="0.3">
      <c r="A889" s="1" t="s">
        <v>1713</v>
      </c>
      <c r="B889" s="2">
        <v>44002</v>
      </c>
      <c r="C889" s="3" t="s">
        <v>1714</v>
      </c>
      <c r="D889" s="3" t="str">
        <f>INDEX('Customers (2)'!B:B,MATCH('Customers (2)'!A889,'Customers (2)'!A:A,0))</f>
        <v>Kienan Ferson</v>
      </c>
      <c r="E889" s="4" t="s">
        <v>254</v>
      </c>
      <c r="F889" s="3">
        <v>3</v>
      </c>
      <c r="G889" s="5">
        <f>INDEX([1]products!$A$1:$G$49,MATCH([1]orders!$D889,[1]products!$A$1:$A$49,0),MATCH([1]orders!K$1,[1]products!$A$1:$G$1,0))</f>
        <v>0.2</v>
      </c>
      <c r="H889" s="6">
        <f>INDEX([1]products!$A$1:$G$49,MATCH([1]orders!$D889,[1]products!$A$1:$A$49,0),MATCH([1]orders!L$1,[1]products!$A$1:$G$1,0))</f>
        <v>4.4550000000000001</v>
      </c>
      <c r="I889" s="6">
        <f t="shared" si="13"/>
        <v>13.365</v>
      </c>
    </row>
    <row r="890" spans="1:9" x14ac:dyDescent="0.3">
      <c r="A890" s="1" t="s">
        <v>1715</v>
      </c>
      <c r="B890" s="2">
        <v>44292</v>
      </c>
      <c r="C890" s="3" t="s">
        <v>1716</v>
      </c>
      <c r="D890" s="3" t="str">
        <f>INDEX('Customers (2)'!B:B,MATCH('Customers (2)'!A890,'Customers (2)'!A:A,0))</f>
        <v>Blake Kelloway</v>
      </c>
      <c r="E890" s="4" t="s">
        <v>115</v>
      </c>
      <c r="F890" s="3">
        <v>2</v>
      </c>
      <c r="G890" s="5">
        <f>INDEX([1]products!$A$1:$G$49,MATCH([1]orders!$D890,[1]products!$A$1:$A$49,0),MATCH([1]orders!K$1,[1]products!$A$1:$G$1,0))</f>
        <v>0.2</v>
      </c>
      <c r="H890" s="6">
        <f>INDEX([1]products!$A$1:$G$49,MATCH([1]orders!$D890,[1]products!$A$1:$A$49,0),MATCH([1]orders!L$1,[1]products!$A$1:$G$1,0))</f>
        <v>3.8849999999999998</v>
      </c>
      <c r="I890" s="6">
        <f t="shared" si="13"/>
        <v>7.77</v>
      </c>
    </row>
    <row r="891" spans="1:9" x14ac:dyDescent="0.3">
      <c r="A891" s="1" t="s">
        <v>1717</v>
      </c>
      <c r="B891" s="2">
        <v>43633</v>
      </c>
      <c r="C891" s="3" t="s">
        <v>1718</v>
      </c>
      <c r="D891" s="3" t="str">
        <f>INDEX('Customers (2)'!B:B,MATCH('Customers (2)'!A891,'Customers (2)'!A:A,0))</f>
        <v>Scarlett Oliffe</v>
      </c>
      <c r="E891" s="4" t="s">
        <v>101</v>
      </c>
      <c r="F891" s="3">
        <v>1</v>
      </c>
      <c r="G891" s="5">
        <f>INDEX([1]products!$A$1:$G$49,MATCH([1]orders!$D891,[1]products!$A$1:$A$49,0),MATCH([1]orders!K$1,[1]products!$A$1:$G$1,0))</f>
        <v>0.2</v>
      </c>
      <c r="H891" s="6">
        <f>INDEX([1]products!$A$1:$G$49,MATCH([1]orders!$D891,[1]products!$A$1:$A$49,0),MATCH([1]orders!L$1,[1]products!$A$1:$G$1,0))</f>
        <v>2.6849999999999996</v>
      </c>
      <c r="I891" s="6">
        <f t="shared" si="13"/>
        <v>2.6849999999999996</v>
      </c>
    </row>
    <row r="892" spans="1:9" x14ac:dyDescent="0.3">
      <c r="A892" s="1" t="s">
        <v>1719</v>
      </c>
      <c r="B892" s="2">
        <v>44646</v>
      </c>
      <c r="C892" s="3" t="s">
        <v>1704</v>
      </c>
      <c r="D892" s="3" t="str">
        <f>INDEX('Customers (2)'!B:B,MATCH('Customers (2)'!A892,'Customers (2)'!A:A,0))</f>
        <v>Kippie Marrison</v>
      </c>
      <c r="E892" s="4" t="s">
        <v>35</v>
      </c>
      <c r="F892" s="3">
        <v>1</v>
      </c>
      <c r="G892" s="5">
        <f>INDEX([1]products!$A$1:$G$49,MATCH([1]orders!$D892,[1]products!$A$1:$A$49,0),MATCH([1]orders!K$1,[1]products!$A$1:$G$1,0))</f>
        <v>2.5</v>
      </c>
      <c r="H892" s="6">
        <f>INDEX([1]products!$A$1:$G$49,MATCH([1]orders!$D892,[1]products!$A$1:$A$49,0),MATCH([1]orders!L$1,[1]products!$A$1:$G$1,0))</f>
        <v>20.584999999999997</v>
      </c>
      <c r="I892" s="6">
        <f t="shared" si="13"/>
        <v>20.584999999999997</v>
      </c>
    </row>
    <row r="893" spans="1:9" x14ac:dyDescent="0.3">
      <c r="A893" s="1" t="s">
        <v>1720</v>
      </c>
      <c r="B893" s="2">
        <v>44469</v>
      </c>
      <c r="C893" s="3" t="s">
        <v>1721</v>
      </c>
      <c r="D893" s="3" t="str">
        <f>INDEX('Customers (2)'!B:B,MATCH('Customers (2)'!A893,'Customers (2)'!A:A,0))</f>
        <v>Celestia Dolohunty</v>
      </c>
      <c r="E893" s="4" t="s">
        <v>118</v>
      </c>
      <c r="F893" s="3">
        <v>5</v>
      </c>
      <c r="G893" s="5">
        <f>INDEX([1]products!$A$1:$G$49,MATCH([1]orders!$D893,[1]products!$A$1:$A$49,0),MATCH([1]orders!K$1,[1]products!$A$1:$G$1,0))</f>
        <v>2.5</v>
      </c>
      <c r="H893" s="6">
        <f>INDEX([1]products!$A$1:$G$49,MATCH([1]orders!$D893,[1]products!$A$1:$A$49,0),MATCH([1]orders!L$1,[1]products!$A$1:$G$1,0))</f>
        <v>22.884999999999998</v>
      </c>
      <c r="I893" s="6">
        <f t="shared" si="13"/>
        <v>114.42499999999998</v>
      </c>
    </row>
    <row r="894" spans="1:9" x14ac:dyDescent="0.3">
      <c r="A894" s="1" t="s">
        <v>1722</v>
      </c>
      <c r="B894" s="2">
        <v>43635</v>
      </c>
      <c r="C894" s="3" t="s">
        <v>1723</v>
      </c>
      <c r="D894" s="3" t="str">
        <f>INDEX('Customers (2)'!B:B,MATCH('Customers (2)'!A894,'Customers (2)'!A:A,0))</f>
        <v>Patsy Vasilenko</v>
      </c>
      <c r="E894" s="4" t="s">
        <v>64</v>
      </c>
      <c r="F894" s="3">
        <v>5</v>
      </c>
      <c r="G894" s="5">
        <f>INDEX([1]products!$A$1:$G$49,MATCH([1]orders!$D894,[1]products!$A$1:$A$49,0),MATCH([1]orders!K$1,[1]products!$A$1:$G$1,0))</f>
        <v>0.2</v>
      </c>
      <c r="H894" s="6">
        <f>INDEX([1]products!$A$1:$G$49,MATCH([1]orders!$D894,[1]products!$A$1:$A$49,0),MATCH([1]orders!L$1,[1]products!$A$1:$G$1,0))</f>
        <v>4.125</v>
      </c>
      <c r="I894" s="6">
        <f t="shared" si="13"/>
        <v>20.625</v>
      </c>
    </row>
    <row r="895" spans="1:9" x14ac:dyDescent="0.3">
      <c r="A895" s="1" t="s">
        <v>1724</v>
      </c>
      <c r="B895" s="2">
        <v>44651</v>
      </c>
      <c r="C895" s="3" t="s">
        <v>1725</v>
      </c>
      <c r="D895" s="3" t="str">
        <f>INDEX('Customers (2)'!B:B,MATCH('Customers (2)'!A895,'Customers (2)'!A:A,0))</f>
        <v>Raphaela Schankelborg</v>
      </c>
      <c r="E895" s="4" t="s">
        <v>83</v>
      </c>
      <c r="F895" s="3">
        <v>6</v>
      </c>
      <c r="G895" s="5">
        <f>INDEX([1]products!$A$1:$G$49,MATCH([1]orders!$D895,[1]products!$A$1:$A$49,0),MATCH([1]orders!K$1,[1]products!$A$1:$G$1,0))</f>
        <v>0.5</v>
      </c>
      <c r="H895" s="6">
        <f>INDEX([1]products!$A$1:$G$49,MATCH([1]orders!$D895,[1]products!$A$1:$A$49,0),MATCH([1]orders!L$1,[1]products!$A$1:$G$1,0))</f>
        <v>9.51</v>
      </c>
      <c r="I895" s="6">
        <f t="shared" si="13"/>
        <v>57.06</v>
      </c>
    </row>
    <row r="896" spans="1:9" x14ac:dyDescent="0.3">
      <c r="A896" s="1" t="s">
        <v>1726</v>
      </c>
      <c r="B896" s="2">
        <v>44016</v>
      </c>
      <c r="C896" s="3" t="s">
        <v>1727</v>
      </c>
      <c r="D896" s="3" t="str">
        <f>INDEX('Customers (2)'!B:B,MATCH('Customers (2)'!A896,'Customers (2)'!A:A,0))</f>
        <v>Sharity Wickens</v>
      </c>
      <c r="E896" s="4" t="s">
        <v>35</v>
      </c>
      <c r="F896" s="3">
        <v>4</v>
      </c>
      <c r="G896" s="5">
        <f>INDEX([1]products!$A$1:$G$49,MATCH([1]orders!$D896,[1]products!$A$1:$A$49,0),MATCH([1]orders!K$1,[1]products!$A$1:$G$1,0))</f>
        <v>2.5</v>
      </c>
      <c r="H896" s="6">
        <f>INDEX([1]products!$A$1:$G$49,MATCH([1]orders!$D896,[1]products!$A$1:$A$49,0),MATCH([1]orders!L$1,[1]products!$A$1:$G$1,0))</f>
        <v>20.584999999999997</v>
      </c>
      <c r="I896" s="6">
        <f t="shared" si="13"/>
        <v>82.339999999999989</v>
      </c>
    </row>
    <row r="897" spans="1:9" x14ac:dyDescent="0.3">
      <c r="A897" s="1" t="s">
        <v>1728</v>
      </c>
      <c r="B897" s="2">
        <v>44521</v>
      </c>
      <c r="C897" s="3" t="s">
        <v>1729</v>
      </c>
      <c r="D897" s="3" t="str">
        <f>INDEX('Customers (2)'!B:B,MATCH('Customers (2)'!A897,'Customers (2)'!A:A,0))</f>
        <v>Derick Snow</v>
      </c>
      <c r="E897" s="4" t="s">
        <v>112</v>
      </c>
      <c r="F897" s="3">
        <v>5</v>
      </c>
      <c r="G897" s="5">
        <f>INDEX([1]products!$A$1:$G$49,MATCH([1]orders!$D897,[1]products!$A$1:$A$49,0),MATCH([1]orders!K$1,[1]products!$A$1:$G$1,0))</f>
        <v>2.5</v>
      </c>
      <c r="H897" s="6">
        <f>INDEX([1]products!$A$1:$G$49,MATCH([1]orders!$D897,[1]products!$A$1:$A$49,0),MATCH([1]orders!L$1,[1]products!$A$1:$G$1,0))</f>
        <v>31.624999999999996</v>
      </c>
      <c r="I897" s="6">
        <f t="shared" si="13"/>
        <v>158.12499999999997</v>
      </c>
    </row>
    <row r="898" spans="1:9" x14ac:dyDescent="0.3">
      <c r="A898" s="1" t="s">
        <v>1730</v>
      </c>
      <c r="B898" s="2">
        <v>44347</v>
      </c>
      <c r="C898" s="3" t="s">
        <v>1731</v>
      </c>
      <c r="D898" s="3" t="str">
        <f>INDEX('Customers (2)'!B:B,MATCH('Customers (2)'!A898,'Customers (2)'!A:A,0))</f>
        <v>Baxy Cargen</v>
      </c>
      <c r="E898" s="4" t="s">
        <v>146</v>
      </c>
      <c r="F898" s="3">
        <v>6</v>
      </c>
      <c r="G898" s="5">
        <f>INDEX([1]products!$A$1:$G$49,MATCH([1]orders!$D898,[1]products!$A$1:$A$49,0),MATCH([1]orders!K$1,[1]products!$A$1:$G$1,0))</f>
        <v>0.5</v>
      </c>
      <c r="H898" s="6">
        <f>INDEX([1]products!$A$1:$G$49,MATCH([1]orders!$D898,[1]products!$A$1:$A$49,0),MATCH([1]orders!L$1,[1]products!$A$1:$G$1,0))</f>
        <v>5.3699999999999992</v>
      </c>
      <c r="I898" s="6">
        <f t="shared" ref="I898:I961" si="14">F898*H898</f>
        <v>32.22</v>
      </c>
    </row>
    <row r="899" spans="1:9" x14ac:dyDescent="0.3">
      <c r="A899" s="1" t="s">
        <v>1732</v>
      </c>
      <c r="B899" s="2">
        <v>43932</v>
      </c>
      <c r="C899" s="3" t="s">
        <v>1733</v>
      </c>
      <c r="D899" s="3" t="str">
        <f>INDEX('Customers (2)'!B:B,MATCH('Customers (2)'!A899,'Customers (2)'!A:A,0))</f>
        <v>Ryann Stickler</v>
      </c>
      <c r="E899" s="4" t="s">
        <v>245</v>
      </c>
      <c r="F899" s="3">
        <v>2</v>
      </c>
      <c r="G899" s="5">
        <f>INDEX([1]products!$A$1:$G$49,MATCH([1]orders!$D899,[1]products!$A$1:$A$49,0),MATCH([1]orders!K$1,[1]products!$A$1:$G$1,0))</f>
        <v>1</v>
      </c>
      <c r="H899" s="6">
        <f>INDEX([1]products!$A$1:$G$49,MATCH([1]orders!$D899,[1]products!$A$1:$A$49,0),MATCH([1]orders!L$1,[1]products!$A$1:$G$1,0))</f>
        <v>12.15</v>
      </c>
      <c r="I899" s="6">
        <f t="shared" si="14"/>
        <v>24.3</v>
      </c>
    </row>
    <row r="900" spans="1:9" x14ac:dyDescent="0.3">
      <c r="A900" s="1" t="s">
        <v>1734</v>
      </c>
      <c r="B900" s="2">
        <v>44089</v>
      </c>
      <c r="C900" s="3" t="s">
        <v>1735</v>
      </c>
      <c r="D900" s="3" t="str">
        <f>INDEX('Customers (2)'!B:B,MATCH('Customers (2)'!A900,'Customers (2)'!A:A,0))</f>
        <v>Daryn Cassius</v>
      </c>
      <c r="E900" s="4" t="s">
        <v>157</v>
      </c>
      <c r="F900" s="3">
        <v>5</v>
      </c>
      <c r="G900" s="5">
        <f>INDEX([1]products!$A$1:$G$49,MATCH([1]orders!$D900,[1]products!$A$1:$A$49,0),MATCH([1]orders!K$1,[1]products!$A$1:$G$1,0))</f>
        <v>0.5</v>
      </c>
      <c r="H900" s="6">
        <f>INDEX([1]products!$A$1:$G$49,MATCH([1]orders!$D900,[1]products!$A$1:$A$49,0),MATCH([1]orders!L$1,[1]products!$A$1:$G$1,0))</f>
        <v>7.169999999999999</v>
      </c>
      <c r="I900" s="6">
        <f t="shared" si="14"/>
        <v>35.849999999999994</v>
      </c>
    </row>
    <row r="901" spans="1:9" x14ac:dyDescent="0.3">
      <c r="A901" s="1" t="s">
        <v>1736</v>
      </c>
      <c r="B901" s="2">
        <v>44523</v>
      </c>
      <c r="C901" s="3" t="s">
        <v>1729</v>
      </c>
      <c r="D901" s="3" t="str">
        <f>INDEX('Customers (2)'!B:B,MATCH('Customers (2)'!A901,'Customers (2)'!A:A,0))</f>
        <v>Bud Danett</v>
      </c>
      <c r="E901" s="4" t="s">
        <v>96</v>
      </c>
      <c r="F901" s="3">
        <v>5</v>
      </c>
      <c r="G901" s="5">
        <f>INDEX([1]products!$A$1:$G$49,MATCH([1]orders!$D901,[1]products!$A$1:$A$49,0),MATCH([1]orders!K$1,[1]products!$A$1:$G$1,0))</f>
        <v>1</v>
      </c>
      <c r="H901" s="6">
        <f>INDEX([1]products!$A$1:$G$49,MATCH([1]orders!$D901,[1]products!$A$1:$A$49,0),MATCH([1]orders!L$1,[1]products!$A$1:$G$1,0))</f>
        <v>14.55</v>
      </c>
      <c r="I901" s="6">
        <f t="shared" si="14"/>
        <v>72.75</v>
      </c>
    </row>
    <row r="902" spans="1:9" x14ac:dyDescent="0.3">
      <c r="A902" s="1" t="s">
        <v>1737</v>
      </c>
      <c r="B902" s="2">
        <v>44584</v>
      </c>
      <c r="C902" s="3" t="s">
        <v>1738</v>
      </c>
      <c r="D902" s="3" t="str">
        <f>INDEX('Customers (2)'!B:B,MATCH('Customers (2)'!A902,'Customers (2)'!A:A,0))</f>
        <v>Skelly Dolohunty</v>
      </c>
      <c r="E902" s="4" t="s">
        <v>132</v>
      </c>
      <c r="F902" s="3">
        <v>3</v>
      </c>
      <c r="G902" s="5">
        <f>INDEX([1]products!$A$1:$G$49,MATCH([1]orders!$D902,[1]products!$A$1:$A$49,0),MATCH([1]orders!K$1,[1]products!$A$1:$G$1,0))</f>
        <v>1</v>
      </c>
      <c r="H902" s="6">
        <f>INDEX([1]products!$A$1:$G$49,MATCH([1]orders!$D902,[1]products!$A$1:$A$49,0),MATCH([1]orders!L$1,[1]products!$A$1:$G$1,0))</f>
        <v>15.85</v>
      </c>
      <c r="I902" s="6">
        <f t="shared" si="14"/>
        <v>47.55</v>
      </c>
    </row>
    <row r="903" spans="1:9" x14ac:dyDescent="0.3">
      <c r="A903" s="1" t="s">
        <v>1739</v>
      </c>
      <c r="B903" s="2">
        <v>44223</v>
      </c>
      <c r="C903" s="3" t="s">
        <v>1740</v>
      </c>
      <c r="D903" s="3" t="str">
        <f>INDEX('Customers (2)'!B:B,MATCH('Customers (2)'!A903,'Customers (2)'!A:A,0))</f>
        <v>Drake Jevon</v>
      </c>
      <c r="E903" s="4" t="s">
        <v>182</v>
      </c>
      <c r="F903" s="3">
        <v>1</v>
      </c>
      <c r="G903" s="5">
        <f>INDEX([1]products!$A$1:$G$49,MATCH([1]orders!$D903,[1]products!$A$1:$A$49,0),MATCH([1]orders!K$1,[1]products!$A$1:$G$1,0))</f>
        <v>0.2</v>
      </c>
      <c r="H903" s="6">
        <f>INDEX([1]products!$A$1:$G$49,MATCH([1]orders!$D903,[1]products!$A$1:$A$49,0),MATCH([1]orders!L$1,[1]products!$A$1:$G$1,0))</f>
        <v>3.5849999999999995</v>
      </c>
      <c r="I903" s="6">
        <f t="shared" si="14"/>
        <v>3.5849999999999995</v>
      </c>
    </row>
    <row r="904" spans="1:9" x14ac:dyDescent="0.3">
      <c r="A904" s="1" t="s">
        <v>1741</v>
      </c>
      <c r="B904" s="2">
        <v>43640</v>
      </c>
      <c r="C904" s="3" t="s">
        <v>1742</v>
      </c>
      <c r="D904" s="3" t="str">
        <f>INDEX('Customers (2)'!B:B,MATCH('Customers (2)'!A904,'Customers (2)'!A:A,0))</f>
        <v>Hall Ranner</v>
      </c>
      <c r="E904" s="4" t="s">
        <v>112</v>
      </c>
      <c r="F904" s="3">
        <v>5</v>
      </c>
      <c r="G904" s="5">
        <f>INDEX([1]products!$A$1:$G$49,MATCH([1]orders!$D904,[1]products!$A$1:$A$49,0),MATCH([1]orders!K$1,[1]products!$A$1:$G$1,0))</f>
        <v>2.5</v>
      </c>
      <c r="H904" s="6">
        <f>INDEX([1]products!$A$1:$G$49,MATCH([1]orders!$D904,[1]products!$A$1:$A$49,0),MATCH([1]orders!L$1,[1]products!$A$1:$G$1,0))</f>
        <v>31.624999999999996</v>
      </c>
      <c r="I904" s="6">
        <f t="shared" si="14"/>
        <v>158.12499999999997</v>
      </c>
    </row>
    <row r="905" spans="1:9" x14ac:dyDescent="0.3">
      <c r="A905" s="1" t="s">
        <v>1743</v>
      </c>
      <c r="B905" s="2">
        <v>43905</v>
      </c>
      <c r="C905" s="3" t="s">
        <v>1744</v>
      </c>
      <c r="D905" s="3" t="str">
        <f>INDEX('Customers (2)'!B:B,MATCH('Customers (2)'!A905,'Customers (2)'!A:A,0))</f>
        <v>Berkly Imrie</v>
      </c>
      <c r="E905" s="4" t="s">
        <v>78</v>
      </c>
      <c r="F905" s="3">
        <v>2</v>
      </c>
      <c r="G905" s="5">
        <f>INDEX([1]products!$A$1:$G$49,MATCH([1]orders!$D905,[1]products!$A$1:$A$49,0),MATCH([1]orders!K$1,[1]products!$A$1:$G$1,0))</f>
        <v>0.5</v>
      </c>
      <c r="H905" s="6">
        <f>INDEX([1]products!$A$1:$G$49,MATCH([1]orders!$D905,[1]products!$A$1:$A$49,0),MATCH([1]orders!L$1,[1]products!$A$1:$G$1,0))</f>
        <v>8.73</v>
      </c>
      <c r="I905" s="6">
        <f t="shared" si="14"/>
        <v>17.46</v>
      </c>
    </row>
    <row r="906" spans="1:9" x14ac:dyDescent="0.3">
      <c r="A906" s="1" t="s">
        <v>1745</v>
      </c>
      <c r="B906" s="2">
        <v>44463</v>
      </c>
      <c r="C906" s="3" t="s">
        <v>1746</v>
      </c>
      <c r="D906" s="3" t="str">
        <f>INDEX('Customers (2)'!B:B,MATCH('Customers (2)'!A906,'Customers (2)'!A:A,0))</f>
        <v>Dorey Sopper</v>
      </c>
      <c r="E906" s="4" t="s">
        <v>204</v>
      </c>
      <c r="F906" s="3">
        <v>5</v>
      </c>
      <c r="G906" s="5">
        <f>INDEX([1]products!$A$1:$G$49,MATCH([1]orders!$D906,[1]products!$A$1:$A$49,0),MATCH([1]orders!K$1,[1]products!$A$1:$G$1,0))</f>
        <v>2.5</v>
      </c>
      <c r="H906" s="6">
        <f>INDEX([1]products!$A$1:$G$49,MATCH([1]orders!$D906,[1]products!$A$1:$A$49,0),MATCH([1]orders!L$1,[1]products!$A$1:$G$1,0))</f>
        <v>29.784999999999997</v>
      </c>
      <c r="I906" s="6">
        <f t="shared" si="14"/>
        <v>148.92499999999998</v>
      </c>
    </row>
    <row r="907" spans="1:9" x14ac:dyDescent="0.3">
      <c r="A907" s="1" t="s">
        <v>1747</v>
      </c>
      <c r="B907" s="2">
        <v>43560</v>
      </c>
      <c r="C907" s="3" t="s">
        <v>1748</v>
      </c>
      <c r="D907" s="3" t="str">
        <f>INDEX('Customers (2)'!B:B,MATCH('Customers (2)'!A907,'Customers (2)'!A:A,0))</f>
        <v>Darcy Lochran</v>
      </c>
      <c r="E907" s="4" t="s">
        <v>67</v>
      </c>
      <c r="F907" s="3">
        <v>6</v>
      </c>
      <c r="G907" s="5">
        <f>INDEX([1]products!$A$1:$G$49,MATCH([1]orders!$D907,[1]products!$A$1:$A$49,0),MATCH([1]orders!K$1,[1]products!$A$1:$G$1,0))</f>
        <v>0.5</v>
      </c>
      <c r="H907" s="6">
        <f>INDEX([1]products!$A$1:$G$49,MATCH([1]orders!$D907,[1]products!$A$1:$A$49,0),MATCH([1]orders!L$1,[1]products!$A$1:$G$1,0))</f>
        <v>6.75</v>
      </c>
      <c r="I907" s="6">
        <f t="shared" si="14"/>
        <v>40.5</v>
      </c>
    </row>
    <row r="908" spans="1:9" x14ac:dyDescent="0.3">
      <c r="A908" s="1" t="s">
        <v>1749</v>
      </c>
      <c r="B908" s="2">
        <v>44588</v>
      </c>
      <c r="C908" s="3" t="s">
        <v>1750</v>
      </c>
      <c r="D908" s="3" t="str">
        <f>INDEX('Customers (2)'!B:B,MATCH('Customers (2)'!A908,'Customers (2)'!A:A,0))</f>
        <v>Lauritz Ledgley</v>
      </c>
      <c r="E908" s="4" t="s">
        <v>67</v>
      </c>
      <c r="F908" s="3">
        <v>4</v>
      </c>
      <c r="G908" s="5">
        <f>INDEX([1]products!$A$1:$G$49,MATCH([1]orders!$D908,[1]products!$A$1:$A$49,0),MATCH([1]orders!K$1,[1]products!$A$1:$G$1,0))</f>
        <v>0.5</v>
      </c>
      <c r="H908" s="6">
        <f>INDEX([1]products!$A$1:$G$49,MATCH([1]orders!$D908,[1]products!$A$1:$A$49,0),MATCH([1]orders!L$1,[1]products!$A$1:$G$1,0))</f>
        <v>6.75</v>
      </c>
      <c r="I908" s="6">
        <f t="shared" si="14"/>
        <v>27</v>
      </c>
    </row>
    <row r="909" spans="1:9" x14ac:dyDescent="0.3">
      <c r="A909" s="1" t="s">
        <v>1751</v>
      </c>
      <c r="B909" s="2">
        <v>44449</v>
      </c>
      <c r="C909" s="3" t="s">
        <v>1752</v>
      </c>
      <c r="D909" s="3" t="str">
        <f>INDEX('Customers (2)'!B:B,MATCH('Customers (2)'!A909,'Customers (2)'!A:A,0))</f>
        <v>Tawnya Menary</v>
      </c>
      <c r="E909" s="4" t="s">
        <v>13</v>
      </c>
      <c r="F909" s="3">
        <v>3</v>
      </c>
      <c r="G909" s="5">
        <f>INDEX([1]products!$A$1:$G$49,MATCH([1]orders!$D909,[1]products!$A$1:$A$49,0),MATCH([1]orders!K$1,[1]products!$A$1:$G$1,0))</f>
        <v>1</v>
      </c>
      <c r="H909" s="6">
        <f>INDEX([1]products!$A$1:$G$49,MATCH([1]orders!$D909,[1]products!$A$1:$A$49,0),MATCH([1]orders!L$1,[1]products!$A$1:$G$1,0))</f>
        <v>12.95</v>
      </c>
      <c r="I909" s="6">
        <f t="shared" si="14"/>
        <v>38.849999999999994</v>
      </c>
    </row>
    <row r="910" spans="1:9" x14ac:dyDescent="0.3">
      <c r="A910" s="1" t="s">
        <v>1753</v>
      </c>
      <c r="B910" s="2">
        <v>43836</v>
      </c>
      <c r="C910" s="3" t="s">
        <v>1754</v>
      </c>
      <c r="D910" s="3" t="str">
        <f>INDEX('Customers (2)'!B:B,MATCH('Customers (2)'!A910,'Customers (2)'!A:A,0))</f>
        <v>Gustaf Ciccotti</v>
      </c>
      <c r="E910" s="4" t="s">
        <v>189</v>
      </c>
      <c r="F910" s="3">
        <v>5</v>
      </c>
      <c r="G910" s="5">
        <f>INDEX([1]products!$A$1:$G$49,MATCH([1]orders!$D910,[1]products!$A$1:$A$49,0),MATCH([1]orders!K$1,[1]products!$A$1:$G$1,0))</f>
        <v>1</v>
      </c>
      <c r="H910" s="6">
        <f>INDEX([1]products!$A$1:$G$49,MATCH([1]orders!$D910,[1]products!$A$1:$A$49,0),MATCH([1]orders!L$1,[1]products!$A$1:$G$1,0))</f>
        <v>11.95</v>
      </c>
      <c r="I910" s="6">
        <f t="shared" si="14"/>
        <v>59.75</v>
      </c>
    </row>
    <row r="911" spans="1:9" x14ac:dyDescent="0.3">
      <c r="A911" s="1" t="s">
        <v>1755</v>
      </c>
      <c r="B911" s="2">
        <v>44635</v>
      </c>
      <c r="C911" s="3" t="s">
        <v>1756</v>
      </c>
      <c r="D911" s="3" t="str">
        <f>INDEX('Customers (2)'!B:B,MATCH('Customers (2)'!A911,'Customers (2)'!A:A,0))</f>
        <v>Bobbe Renner</v>
      </c>
      <c r="E911" s="4" t="s">
        <v>182</v>
      </c>
      <c r="F911" s="3">
        <v>3</v>
      </c>
      <c r="G911" s="5">
        <f>INDEX([1]products!$A$1:$G$49,MATCH([1]orders!$D911,[1]products!$A$1:$A$49,0),MATCH([1]orders!K$1,[1]products!$A$1:$G$1,0))</f>
        <v>0.2</v>
      </c>
      <c r="H911" s="6">
        <f>INDEX([1]products!$A$1:$G$49,MATCH([1]orders!$D911,[1]products!$A$1:$A$49,0),MATCH([1]orders!L$1,[1]products!$A$1:$G$1,0))</f>
        <v>3.5849999999999995</v>
      </c>
      <c r="I911" s="6">
        <f t="shared" si="14"/>
        <v>10.754999999999999</v>
      </c>
    </row>
    <row r="912" spans="1:9" x14ac:dyDescent="0.3">
      <c r="A912" s="1" t="s">
        <v>1757</v>
      </c>
      <c r="B912" s="2">
        <v>44447</v>
      </c>
      <c r="C912" s="3" t="s">
        <v>1758</v>
      </c>
      <c r="D912" s="3" t="str">
        <f>INDEX('Customers (2)'!B:B,MATCH('Customers (2)'!A912,'Customers (2)'!A:A,0))</f>
        <v>Wilton Jallin</v>
      </c>
      <c r="E912" s="4" t="s">
        <v>118</v>
      </c>
      <c r="F912" s="3">
        <v>4</v>
      </c>
      <c r="G912" s="5">
        <f>INDEX([1]products!$A$1:$G$49,MATCH([1]orders!$D912,[1]products!$A$1:$A$49,0),MATCH([1]orders!K$1,[1]products!$A$1:$G$1,0))</f>
        <v>2.5</v>
      </c>
      <c r="H912" s="6">
        <f>INDEX([1]products!$A$1:$G$49,MATCH([1]orders!$D912,[1]products!$A$1:$A$49,0),MATCH([1]orders!L$1,[1]products!$A$1:$G$1,0))</f>
        <v>22.884999999999998</v>
      </c>
      <c r="I912" s="6">
        <f t="shared" si="14"/>
        <v>91.539999999999992</v>
      </c>
    </row>
    <row r="913" spans="1:9" x14ac:dyDescent="0.3">
      <c r="A913" s="1" t="s">
        <v>1759</v>
      </c>
      <c r="B913" s="2">
        <v>44511</v>
      </c>
      <c r="C913" s="3" t="s">
        <v>1760</v>
      </c>
      <c r="D913" s="3" t="str">
        <f>INDEX('Customers (2)'!B:B,MATCH('Customers (2)'!A913,'Customers (2)'!A:A,0))</f>
        <v>Mindy Bogey</v>
      </c>
      <c r="E913" s="4" t="s">
        <v>61</v>
      </c>
      <c r="F913" s="3">
        <v>4</v>
      </c>
      <c r="G913" s="5">
        <f>INDEX([1]products!$A$1:$G$49,MATCH([1]orders!$D913,[1]products!$A$1:$A$49,0),MATCH([1]orders!K$1,[1]products!$A$1:$G$1,0))</f>
        <v>1</v>
      </c>
      <c r="H913" s="6">
        <f>INDEX([1]products!$A$1:$G$49,MATCH([1]orders!$D913,[1]products!$A$1:$A$49,0),MATCH([1]orders!L$1,[1]products!$A$1:$G$1,0))</f>
        <v>11.25</v>
      </c>
      <c r="I913" s="6">
        <f t="shared" si="14"/>
        <v>45</v>
      </c>
    </row>
    <row r="914" spans="1:9" x14ac:dyDescent="0.3">
      <c r="A914" s="1" t="s">
        <v>1761</v>
      </c>
      <c r="B914" s="2">
        <v>43726</v>
      </c>
      <c r="C914" s="3" t="s">
        <v>1762</v>
      </c>
      <c r="D914" s="3" t="str">
        <f>INDEX('Customers (2)'!B:B,MATCH('Customers (2)'!A914,'Customers (2)'!A:A,0))</f>
        <v>Paulie Fonzone</v>
      </c>
      <c r="E914" s="4" t="s">
        <v>41</v>
      </c>
      <c r="F914" s="3">
        <v>6</v>
      </c>
      <c r="G914" s="5">
        <f>INDEX([1]products!$A$1:$G$49,MATCH([1]orders!$D914,[1]products!$A$1:$A$49,0),MATCH([1]orders!K$1,[1]products!$A$1:$G$1,0))</f>
        <v>2.5</v>
      </c>
      <c r="H914" s="6">
        <f>INDEX([1]products!$A$1:$G$49,MATCH([1]orders!$D914,[1]products!$A$1:$A$49,0),MATCH([1]orders!L$1,[1]products!$A$1:$G$1,0))</f>
        <v>22.884999999999998</v>
      </c>
      <c r="I914" s="6">
        <f t="shared" si="14"/>
        <v>137.31</v>
      </c>
    </row>
    <row r="915" spans="1:9" x14ac:dyDescent="0.3">
      <c r="A915" s="1" t="s">
        <v>1763</v>
      </c>
      <c r="B915" s="2">
        <v>44406</v>
      </c>
      <c r="C915" s="3" t="s">
        <v>1764</v>
      </c>
      <c r="D915" s="3" t="str">
        <f>INDEX('Customers (2)'!B:B,MATCH('Customers (2)'!A915,'Customers (2)'!A:A,0))</f>
        <v>Merrile Cobbledick</v>
      </c>
      <c r="E915" s="4" t="s">
        <v>67</v>
      </c>
      <c r="F915" s="3">
        <v>1</v>
      </c>
      <c r="G915" s="5">
        <f>INDEX([1]products!$A$1:$G$49,MATCH([1]orders!$D915,[1]products!$A$1:$A$49,0),MATCH([1]orders!K$1,[1]products!$A$1:$G$1,0))</f>
        <v>0.5</v>
      </c>
      <c r="H915" s="6">
        <f>INDEX([1]products!$A$1:$G$49,MATCH([1]orders!$D915,[1]products!$A$1:$A$49,0),MATCH([1]orders!L$1,[1]products!$A$1:$G$1,0))</f>
        <v>6.75</v>
      </c>
      <c r="I915" s="6">
        <f t="shared" si="14"/>
        <v>6.75</v>
      </c>
    </row>
    <row r="916" spans="1:9" x14ac:dyDescent="0.3">
      <c r="A916" s="1" t="s">
        <v>1765</v>
      </c>
      <c r="B916" s="2">
        <v>44640</v>
      </c>
      <c r="C916" s="3" t="s">
        <v>1766</v>
      </c>
      <c r="D916" s="3" t="str">
        <f>INDEX('Customers (2)'!B:B,MATCH('Customers (2)'!A916,'Customers (2)'!A:A,0))</f>
        <v>Antonius Lewry</v>
      </c>
      <c r="E916" s="4" t="s">
        <v>61</v>
      </c>
      <c r="F916" s="3">
        <v>4</v>
      </c>
      <c r="G916" s="5">
        <f>INDEX([1]products!$A$1:$G$49,MATCH([1]orders!$D916,[1]products!$A$1:$A$49,0),MATCH([1]orders!K$1,[1]products!$A$1:$G$1,0))</f>
        <v>1</v>
      </c>
      <c r="H916" s="6">
        <f>INDEX([1]products!$A$1:$G$49,MATCH([1]orders!$D916,[1]products!$A$1:$A$49,0),MATCH([1]orders!L$1,[1]products!$A$1:$G$1,0))</f>
        <v>11.25</v>
      </c>
      <c r="I916" s="6">
        <f t="shared" si="14"/>
        <v>45</v>
      </c>
    </row>
    <row r="917" spans="1:9" x14ac:dyDescent="0.3">
      <c r="A917" s="1" t="s">
        <v>1767</v>
      </c>
      <c r="B917" s="2">
        <v>43955</v>
      </c>
      <c r="C917" s="3" t="s">
        <v>1768</v>
      </c>
      <c r="D917" s="3" t="str">
        <f>INDEX('Customers (2)'!B:B,MATCH('Customers (2)'!A917,'Customers (2)'!A:A,0))</f>
        <v>Isis Hessel</v>
      </c>
      <c r="E917" s="4" t="s">
        <v>530</v>
      </c>
      <c r="F917" s="3">
        <v>3</v>
      </c>
      <c r="G917" s="5">
        <f>INDEX([1]products!$A$1:$G$49,MATCH([1]orders!$D917,[1]products!$A$1:$A$49,0),MATCH([1]orders!K$1,[1]products!$A$1:$G$1,0))</f>
        <v>2.5</v>
      </c>
      <c r="H917" s="6">
        <f>INDEX([1]products!$A$1:$G$49,MATCH([1]orders!$D917,[1]products!$A$1:$A$49,0),MATCH([1]orders!L$1,[1]products!$A$1:$G$1,0))</f>
        <v>27.945</v>
      </c>
      <c r="I917" s="6">
        <f t="shared" si="14"/>
        <v>83.835000000000008</v>
      </c>
    </row>
    <row r="918" spans="1:9" x14ac:dyDescent="0.3">
      <c r="A918" s="1" t="s">
        <v>1769</v>
      </c>
      <c r="B918" s="2">
        <v>44291</v>
      </c>
      <c r="C918" s="3" t="s">
        <v>1770</v>
      </c>
      <c r="D918" s="3" t="str">
        <f>INDEX('Customers (2)'!B:B,MATCH('Customers (2)'!A918,'Customers (2)'!A:A,0))</f>
        <v>Harland Trematick</v>
      </c>
      <c r="E918" s="4" t="s">
        <v>51</v>
      </c>
      <c r="F918" s="3">
        <v>1</v>
      </c>
      <c r="G918" s="5">
        <f>INDEX([1]products!$A$1:$G$49,MATCH([1]orders!$D918,[1]products!$A$1:$A$49,0),MATCH([1]orders!K$1,[1]products!$A$1:$G$1,0))</f>
        <v>0.2</v>
      </c>
      <c r="H918" s="6">
        <f>INDEX([1]products!$A$1:$G$49,MATCH([1]orders!$D918,[1]products!$A$1:$A$49,0),MATCH([1]orders!L$1,[1]products!$A$1:$G$1,0))</f>
        <v>3.645</v>
      </c>
      <c r="I918" s="6">
        <f t="shared" si="14"/>
        <v>3.645</v>
      </c>
    </row>
    <row r="919" spans="1:9" x14ac:dyDescent="0.3">
      <c r="A919" s="1" t="s">
        <v>1771</v>
      </c>
      <c r="B919" s="2">
        <v>44573</v>
      </c>
      <c r="C919" s="3" t="s">
        <v>1772</v>
      </c>
      <c r="D919" s="3" t="str">
        <f>INDEX('Customers (2)'!B:B,MATCH('Customers (2)'!A919,'Customers (2)'!A:A,0))</f>
        <v>Chloris Sorrell</v>
      </c>
      <c r="E919" s="4" t="s">
        <v>67</v>
      </c>
      <c r="F919" s="3">
        <v>1</v>
      </c>
      <c r="G919" s="5">
        <f>INDEX([1]products!$A$1:$G$49,MATCH([1]orders!$D919,[1]products!$A$1:$A$49,0),MATCH([1]orders!K$1,[1]products!$A$1:$G$1,0))</f>
        <v>0.5</v>
      </c>
      <c r="H919" s="6">
        <f>INDEX([1]products!$A$1:$G$49,MATCH([1]orders!$D919,[1]products!$A$1:$A$49,0),MATCH([1]orders!L$1,[1]products!$A$1:$G$1,0))</f>
        <v>6.75</v>
      </c>
      <c r="I919" s="6">
        <f t="shared" si="14"/>
        <v>6.75</v>
      </c>
    </row>
    <row r="920" spans="1:9" x14ac:dyDescent="0.3">
      <c r="A920" s="1" t="s">
        <v>1771</v>
      </c>
      <c r="B920" s="2">
        <v>44573</v>
      </c>
      <c r="C920" s="3" t="s">
        <v>1772</v>
      </c>
      <c r="D920" s="3" t="str">
        <f>INDEX('Customers (2)'!B:B,MATCH('Customers (2)'!A920,'Customers (2)'!A:A,0))</f>
        <v>Odette Tocque</v>
      </c>
      <c r="E920" s="4" t="s">
        <v>16</v>
      </c>
      <c r="F920" s="3">
        <v>3</v>
      </c>
      <c r="G920" s="5">
        <f>INDEX([1]products!$A$1:$G$49,MATCH([1]orders!$D920,[1]products!$A$1:$A$49,0),MATCH([1]orders!K$1,[1]products!$A$1:$G$1,0))</f>
        <v>0.5</v>
      </c>
      <c r="H920" s="6">
        <f>INDEX([1]products!$A$1:$G$49,MATCH([1]orders!$D920,[1]products!$A$1:$A$49,0),MATCH([1]orders!L$1,[1]products!$A$1:$G$1,0))</f>
        <v>7.29</v>
      </c>
      <c r="I920" s="6">
        <f t="shared" si="14"/>
        <v>21.87</v>
      </c>
    </row>
    <row r="921" spans="1:9" x14ac:dyDescent="0.3">
      <c r="A921" s="1" t="s">
        <v>1773</v>
      </c>
      <c r="B921" s="2">
        <v>44181</v>
      </c>
      <c r="C921" s="3" t="s">
        <v>1774</v>
      </c>
      <c r="D921" s="3" t="str">
        <f>INDEX('Customers (2)'!B:B,MATCH('Customers (2)'!A921,'Customers (2)'!A:A,0))</f>
        <v>Quintina Heavyside</v>
      </c>
      <c r="E921" s="4" t="s">
        <v>101</v>
      </c>
      <c r="F921" s="3">
        <v>5</v>
      </c>
      <c r="G921" s="5">
        <f>INDEX([1]products!$A$1:$G$49,MATCH([1]orders!$D921,[1]products!$A$1:$A$49,0),MATCH([1]orders!K$1,[1]products!$A$1:$G$1,0))</f>
        <v>0.2</v>
      </c>
      <c r="H921" s="6">
        <f>INDEX([1]products!$A$1:$G$49,MATCH([1]orders!$D921,[1]products!$A$1:$A$49,0),MATCH([1]orders!L$1,[1]products!$A$1:$G$1,0))</f>
        <v>2.6849999999999996</v>
      </c>
      <c r="I921" s="6">
        <f t="shared" si="14"/>
        <v>13.424999999999997</v>
      </c>
    </row>
    <row r="922" spans="1:9" x14ac:dyDescent="0.3">
      <c r="A922" s="1" t="s">
        <v>1775</v>
      </c>
      <c r="B922" s="2">
        <v>44711</v>
      </c>
      <c r="C922" s="3" t="s">
        <v>1776</v>
      </c>
      <c r="D922" s="3" t="str">
        <f>INDEX('Customers (2)'!B:B,MATCH('Customers (2)'!A922,'Customers (2)'!A:A,0))</f>
        <v>Hadley Reuven</v>
      </c>
      <c r="E922" s="4" t="s">
        <v>35</v>
      </c>
      <c r="F922" s="3">
        <v>6</v>
      </c>
      <c r="G922" s="5">
        <f>INDEX([1]products!$A$1:$G$49,MATCH([1]orders!$D922,[1]products!$A$1:$A$49,0),MATCH([1]orders!K$1,[1]products!$A$1:$G$1,0))</f>
        <v>2.5</v>
      </c>
      <c r="H922" s="6">
        <f>INDEX([1]products!$A$1:$G$49,MATCH([1]orders!$D922,[1]products!$A$1:$A$49,0),MATCH([1]orders!L$1,[1]products!$A$1:$G$1,0))</f>
        <v>20.584999999999997</v>
      </c>
      <c r="I922" s="6">
        <f t="shared" si="14"/>
        <v>123.50999999999999</v>
      </c>
    </row>
    <row r="923" spans="1:9" x14ac:dyDescent="0.3">
      <c r="A923" s="1" t="s">
        <v>1777</v>
      </c>
      <c r="B923" s="2">
        <v>44509</v>
      </c>
      <c r="C923" s="3" t="s">
        <v>1778</v>
      </c>
      <c r="D923" s="3" t="str">
        <f>INDEX('Customers (2)'!B:B,MATCH('Customers (2)'!A923,'Customers (2)'!A:A,0))</f>
        <v>Mitch Attwool</v>
      </c>
      <c r="E923" s="4" t="s">
        <v>38</v>
      </c>
      <c r="F923" s="3">
        <v>2</v>
      </c>
      <c r="G923" s="5">
        <f>INDEX([1]products!$A$1:$G$49,MATCH([1]orders!$D923,[1]products!$A$1:$A$49,0),MATCH([1]orders!K$1,[1]products!$A$1:$G$1,0))</f>
        <v>0.2</v>
      </c>
      <c r="H923" s="6">
        <f>INDEX([1]products!$A$1:$G$49,MATCH([1]orders!$D923,[1]products!$A$1:$A$49,0),MATCH([1]orders!L$1,[1]products!$A$1:$G$1,0))</f>
        <v>3.8849999999999998</v>
      </c>
      <c r="I923" s="6">
        <f t="shared" si="14"/>
        <v>7.77</v>
      </c>
    </row>
    <row r="924" spans="1:9" x14ac:dyDescent="0.3">
      <c r="A924" s="1" t="s">
        <v>1779</v>
      </c>
      <c r="B924" s="2">
        <v>44659</v>
      </c>
      <c r="C924" s="3" t="s">
        <v>1780</v>
      </c>
      <c r="D924" s="3" t="str">
        <f>INDEX('Customers (2)'!B:B,MATCH('Customers (2)'!A924,'Customers (2)'!A:A,0))</f>
        <v>Charin Maplethorp</v>
      </c>
      <c r="E924" s="4" t="s">
        <v>61</v>
      </c>
      <c r="F924" s="3">
        <v>6</v>
      </c>
      <c r="G924" s="5">
        <f>INDEX([1]products!$A$1:$G$49,MATCH([1]orders!$D924,[1]products!$A$1:$A$49,0),MATCH([1]orders!K$1,[1]products!$A$1:$G$1,0))</f>
        <v>1</v>
      </c>
      <c r="H924" s="6">
        <f>INDEX([1]products!$A$1:$G$49,MATCH([1]orders!$D924,[1]products!$A$1:$A$49,0),MATCH([1]orders!L$1,[1]products!$A$1:$G$1,0))</f>
        <v>11.25</v>
      </c>
      <c r="I924" s="6">
        <f t="shared" si="14"/>
        <v>67.5</v>
      </c>
    </row>
    <row r="925" spans="1:9" x14ac:dyDescent="0.3">
      <c r="A925" s="1" t="s">
        <v>1781</v>
      </c>
      <c r="B925" s="2">
        <v>43746</v>
      </c>
      <c r="C925" s="3" t="s">
        <v>1782</v>
      </c>
      <c r="D925" s="3" t="str">
        <f>INDEX('Customers (2)'!B:B,MATCH('Customers (2)'!A925,'Customers (2)'!A:A,0))</f>
        <v>Goldie Wynes</v>
      </c>
      <c r="E925" s="4" t="s">
        <v>530</v>
      </c>
      <c r="F925" s="3">
        <v>1</v>
      </c>
      <c r="G925" s="5">
        <f>INDEX([1]products!$A$1:$G$49,MATCH([1]orders!$D925,[1]products!$A$1:$A$49,0),MATCH([1]orders!K$1,[1]products!$A$1:$G$1,0))</f>
        <v>2.5</v>
      </c>
      <c r="H925" s="6">
        <f>INDEX([1]products!$A$1:$G$49,MATCH([1]orders!$D925,[1]products!$A$1:$A$49,0),MATCH([1]orders!L$1,[1]products!$A$1:$G$1,0))</f>
        <v>27.945</v>
      </c>
      <c r="I925" s="6">
        <f t="shared" si="14"/>
        <v>27.945</v>
      </c>
    </row>
    <row r="926" spans="1:9" x14ac:dyDescent="0.3">
      <c r="A926" s="1" t="s">
        <v>1783</v>
      </c>
      <c r="B926" s="2">
        <v>44451</v>
      </c>
      <c r="C926" s="3" t="s">
        <v>1784</v>
      </c>
      <c r="D926" s="3" t="str">
        <f>INDEX('Customers (2)'!B:B,MATCH('Customers (2)'!A926,'Customers (2)'!A:A,0))</f>
        <v>Celie MacCourt</v>
      </c>
      <c r="E926" s="4" t="s">
        <v>204</v>
      </c>
      <c r="F926" s="3">
        <v>3</v>
      </c>
      <c r="G926" s="5">
        <f>INDEX([1]products!$A$1:$G$49,MATCH([1]orders!$D926,[1]products!$A$1:$A$49,0),MATCH([1]orders!K$1,[1]products!$A$1:$G$1,0))</f>
        <v>2.5</v>
      </c>
      <c r="H926" s="6">
        <f>INDEX([1]products!$A$1:$G$49,MATCH([1]orders!$D926,[1]products!$A$1:$A$49,0),MATCH([1]orders!L$1,[1]products!$A$1:$G$1,0))</f>
        <v>29.784999999999997</v>
      </c>
      <c r="I926" s="6">
        <f t="shared" si="14"/>
        <v>89.35499999999999</v>
      </c>
    </row>
    <row r="927" spans="1:9" x14ac:dyDescent="0.3">
      <c r="A927" s="1" t="s">
        <v>1785</v>
      </c>
      <c r="B927" s="2">
        <v>44770</v>
      </c>
      <c r="C927" s="3" t="s">
        <v>1729</v>
      </c>
      <c r="D927" s="3" t="str">
        <f>INDEX('Customers (2)'!B:B,MATCH('Customers (2)'!A927,'Customers (2)'!A:A,0))</f>
        <v>Rori Ollin</v>
      </c>
      <c r="E927" s="4" t="s">
        <v>67</v>
      </c>
      <c r="F927" s="3">
        <v>3</v>
      </c>
      <c r="G927" s="5">
        <f>INDEX([1]products!$A$1:$G$49,MATCH([1]orders!$D927,[1]products!$A$1:$A$49,0),MATCH([1]orders!K$1,[1]products!$A$1:$G$1,0))</f>
        <v>0.5</v>
      </c>
      <c r="H927" s="6">
        <f>INDEX([1]products!$A$1:$G$49,MATCH([1]orders!$D927,[1]products!$A$1:$A$49,0),MATCH([1]orders!L$1,[1]products!$A$1:$G$1,0))</f>
        <v>6.75</v>
      </c>
      <c r="I927" s="6">
        <f t="shared" si="14"/>
        <v>20.25</v>
      </c>
    </row>
    <row r="928" spans="1:9" x14ac:dyDescent="0.3">
      <c r="A928" s="1" t="s">
        <v>1786</v>
      </c>
      <c r="B928" s="2">
        <v>44012</v>
      </c>
      <c r="C928" s="3" t="s">
        <v>1787</v>
      </c>
      <c r="D928" s="3" t="str">
        <f>INDEX('Customers (2)'!B:B,MATCH('Customers (2)'!A928,'Customers (2)'!A:A,0))</f>
        <v>Evy Wilsone</v>
      </c>
      <c r="E928" s="4" t="s">
        <v>67</v>
      </c>
      <c r="F928" s="3">
        <v>5</v>
      </c>
      <c r="G928" s="5">
        <f>INDEX([1]products!$A$1:$G$49,MATCH([1]orders!$D928,[1]products!$A$1:$A$49,0),MATCH([1]orders!K$1,[1]products!$A$1:$G$1,0))</f>
        <v>0.5</v>
      </c>
      <c r="H928" s="6">
        <f>INDEX([1]products!$A$1:$G$49,MATCH([1]orders!$D928,[1]products!$A$1:$A$49,0),MATCH([1]orders!L$1,[1]products!$A$1:$G$1,0))</f>
        <v>6.75</v>
      </c>
      <c r="I928" s="6">
        <f t="shared" si="14"/>
        <v>33.75</v>
      </c>
    </row>
    <row r="929" spans="1:9" x14ac:dyDescent="0.3">
      <c r="A929" s="1" t="s">
        <v>1788</v>
      </c>
      <c r="B929" s="2">
        <v>43474</v>
      </c>
      <c r="C929" s="3" t="s">
        <v>1789</v>
      </c>
      <c r="D929" s="3" t="str">
        <f>INDEX('Customers (2)'!B:B,MATCH('Customers (2)'!A929,'Customers (2)'!A:A,0))</f>
        <v>Dolores Duffie</v>
      </c>
      <c r="E929" s="4" t="s">
        <v>530</v>
      </c>
      <c r="F929" s="3">
        <v>4</v>
      </c>
      <c r="G929" s="5">
        <f>INDEX([1]products!$A$1:$G$49,MATCH([1]orders!$D929,[1]products!$A$1:$A$49,0),MATCH([1]orders!K$1,[1]products!$A$1:$G$1,0))</f>
        <v>2.5</v>
      </c>
      <c r="H929" s="6">
        <f>INDEX([1]products!$A$1:$G$49,MATCH([1]orders!$D929,[1]products!$A$1:$A$49,0),MATCH([1]orders!L$1,[1]products!$A$1:$G$1,0))</f>
        <v>27.945</v>
      </c>
      <c r="I929" s="6">
        <f t="shared" si="14"/>
        <v>111.78</v>
      </c>
    </row>
    <row r="930" spans="1:9" x14ac:dyDescent="0.3">
      <c r="A930" s="1" t="s">
        <v>1790</v>
      </c>
      <c r="B930" s="2">
        <v>44754</v>
      </c>
      <c r="C930" s="3" t="s">
        <v>1791</v>
      </c>
      <c r="D930" s="3" t="str">
        <f>INDEX('Customers (2)'!B:B,MATCH('Customers (2)'!A930,'Customers (2)'!A:A,0))</f>
        <v>Mathilda Matiasek</v>
      </c>
      <c r="E930" s="4" t="s">
        <v>112</v>
      </c>
      <c r="F930" s="3">
        <v>2</v>
      </c>
      <c r="G930" s="5">
        <f>INDEX([1]products!$A$1:$G$49,MATCH([1]orders!$D930,[1]products!$A$1:$A$49,0),MATCH([1]orders!K$1,[1]products!$A$1:$G$1,0))</f>
        <v>2.5</v>
      </c>
      <c r="H930" s="6">
        <f>INDEX([1]products!$A$1:$G$49,MATCH([1]orders!$D930,[1]products!$A$1:$A$49,0),MATCH([1]orders!L$1,[1]products!$A$1:$G$1,0))</f>
        <v>31.624999999999996</v>
      </c>
      <c r="I930" s="6">
        <f t="shared" si="14"/>
        <v>63.249999999999993</v>
      </c>
    </row>
    <row r="931" spans="1:9" x14ac:dyDescent="0.3">
      <c r="A931" s="1" t="s">
        <v>1792</v>
      </c>
      <c r="B931" s="2">
        <v>44165</v>
      </c>
      <c r="C931" s="3" t="s">
        <v>1793</v>
      </c>
      <c r="D931" s="3" t="str">
        <f>INDEX('Customers (2)'!B:B,MATCH('Customers (2)'!A931,'Customers (2)'!A:A,0))</f>
        <v>Jarred Camillo</v>
      </c>
      <c r="E931" s="4" t="s">
        <v>254</v>
      </c>
      <c r="F931" s="3">
        <v>2</v>
      </c>
      <c r="G931" s="5">
        <f>INDEX([1]products!$A$1:$G$49,MATCH([1]orders!$D931,[1]products!$A$1:$A$49,0),MATCH([1]orders!K$1,[1]products!$A$1:$G$1,0))</f>
        <v>0.2</v>
      </c>
      <c r="H931" s="6">
        <f>INDEX([1]products!$A$1:$G$49,MATCH([1]orders!$D931,[1]products!$A$1:$A$49,0),MATCH([1]orders!L$1,[1]products!$A$1:$G$1,0))</f>
        <v>4.4550000000000001</v>
      </c>
      <c r="I931" s="6">
        <f t="shared" si="14"/>
        <v>8.91</v>
      </c>
    </row>
    <row r="932" spans="1:9" x14ac:dyDescent="0.3">
      <c r="A932" s="1" t="s">
        <v>1794</v>
      </c>
      <c r="B932" s="2">
        <v>43546</v>
      </c>
      <c r="C932" s="3" t="s">
        <v>1795</v>
      </c>
      <c r="D932" s="3" t="str">
        <f>INDEX('Customers (2)'!B:B,MATCH('Customers (2)'!A932,'Customers (2)'!A:A,0))</f>
        <v>Kameko Philbrick</v>
      </c>
      <c r="E932" s="4" t="s">
        <v>245</v>
      </c>
      <c r="F932" s="3">
        <v>1</v>
      </c>
      <c r="G932" s="5">
        <f>INDEX([1]products!$A$1:$G$49,MATCH([1]orders!$D932,[1]products!$A$1:$A$49,0),MATCH([1]orders!K$1,[1]products!$A$1:$G$1,0))</f>
        <v>1</v>
      </c>
      <c r="H932" s="6">
        <f>INDEX([1]products!$A$1:$G$49,MATCH([1]orders!$D932,[1]products!$A$1:$A$49,0),MATCH([1]orders!L$1,[1]products!$A$1:$G$1,0))</f>
        <v>12.15</v>
      </c>
      <c r="I932" s="6">
        <f t="shared" si="14"/>
        <v>12.15</v>
      </c>
    </row>
    <row r="933" spans="1:9" x14ac:dyDescent="0.3">
      <c r="A933" s="1" t="s">
        <v>1796</v>
      </c>
      <c r="B933" s="2">
        <v>44607</v>
      </c>
      <c r="C933" s="3" t="s">
        <v>1797</v>
      </c>
      <c r="D933" s="3" t="str">
        <f>INDEX('Customers (2)'!B:B,MATCH('Customers (2)'!A933,'Customers (2)'!A:A,0))</f>
        <v>Mallory Shrimpling</v>
      </c>
      <c r="E933" s="4" t="s">
        <v>72</v>
      </c>
      <c r="F933" s="3">
        <v>4</v>
      </c>
      <c r="G933" s="5">
        <f>INDEX([1]products!$A$1:$G$49,MATCH([1]orders!$D933,[1]products!$A$1:$A$49,0),MATCH([1]orders!K$1,[1]products!$A$1:$G$1,0))</f>
        <v>0.5</v>
      </c>
      <c r="H933" s="6">
        <f>INDEX([1]products!$A$1:$G$49,MATCH([1]orders!$D933,[1]products!$A$1:$A$49,0),MATCH([1]orders!L$1,[1]products!$A$1:$G$1,0))</f>
        <v>5.97</v>
      </c>
      <c r="I933" s="6">
        <f t="shared" si="14"/>
        <v>23.88</v>
      </c>
    </row>
    <row r="934" spans="1:9" x14ac:dyDescent="0.3">
      <c r="A934" s="1" t="s">
        <v>1798</v>
      </c>
      <c r="B934" s="2">
        <v>44117</v>
      </c>
      <c r="C934" s="3" t="s">
        <v>1799</v>
      </c>
      <c r="D934" s="3" t="str">
        <f>INDEX('Customers (2)'!B:B,MATCH('Customers (2)'!A934,'Customers (2)'!A:A,0))</f>
        <v>Barnett Sillis</v>
      </c>
      <c r="E934" s="4" t="s">
        <v>9</v>
      </c>
      <c r="F934" s="3">
        <v>4</v>
      </c>
      <c r="G934" s="5">
        <f>INDEX([1]products!$A$1:$G$49,MATCH([1]orders!$D934,[1]products!$A$1:$A$49,0),MATCH([1]orders!K$1,[1]products!$A$1:$G$1,0))</f>
        <v>1</v>
      </c>
      <c r="H934" s="6">
        <f>INDEX([1]products!$A$1:$G$49,MATCH([1]orders!$D934,[1]products!$A$1:$A$49,0),MATCH([1]orders!L$1,[1]products!$A$1:$G$1,0))</f>
        <v>13.75</v>
      </c>
      <c r="I934" s="6">
        <f t="shared" si="14"/>
        <v>55</v>
      </c>
    </row>
    <row r="935" spans="1:9" x14ac:dyDescent="0.3">
      <c r="A935" s="1" t="s">
        <v>1800</v>
      </c>
      <c r="B935" s="2">
        <v>44557</v>
      </c>
      <c r="C935" s="3" t="s">
        <v>1801</v>
      </c>
      <c r="D935" s="3" t="str">
        <f>INDEX('Customers (2)'!B:B,MATCH('Customers (2)'!A935,'Customers (2)'!A:A,0))</f>
        <v>Brenn Dundredge</v>
      </c>
      <c r="E935" s="4" t="s">
        <v>179</v>
      </c>
      <c r="F935" s="3">
        <v>3</v>
      </c>
      <c r="G935" s="5">
        <f>INDEX([1]products!$A$1:$G$49,MATCH([1]orders!$D935,[1]products!$A$1:$A$49,0),MATCH([1]orders!K$1,[1]products!$A$1:$G$1,0))</f>
        <v>1</v>
      </c>
      <c r="H935" s="6">
        <f>INDEX([1]products!$A$1:$G$49,MATCH([1]orders!$D935,[1]products!$A$1:$A$49,0),MATCH([1]orders!L$1,[1]products!$A$1:$G$1,0))</f>
        <v>8.9499999999999993</v>
      </c>
      <c r="I935" s="6">
        <f t="shared" si="14"/>
        <v>26.849999999999998</v>
      </c>
    </row>
    <row r="936" spans="1:9" x14ac:dyDescent="0.3">
      <c r="A936" s="1" t="s">
        <v>1802</v>
      </c>
      <c r="B936" s="2">
        <v>44409</v>
      </c>
      <c r="C936" s="3" t="s">
        <v>1803</v>
      </c>
      <c r="D936" s="3" t="str">
        <f>INDEX('Customers (2)'!B:B,MATCH('Customers (2)'!A936,'Customers (2)'!A:A,0))</f>
        <v>Read Cutts</v>
      </c>
      <c r="E936" s="4" t="s">
        <v>41</v>
      </c>
      <c r="F936" s="3">
        <v>5</v>
      </c>
      <c r="G936" s="5">
        <f>INDEX([1]products!$A$1:$G$49,MATCH([1]orders!$D936,[1]products!$A$1:$A$49,0),MATCH([1]orders!K$1,[1]products!$A$1:$G$1,0))</f>
        <v>2.5</v>
      </c>
      <c r="H936" s="6">
        <f>INDEX([1]products!$A$1:$G$49,MATCH([1]orders!$D936,[1]products!$A$1:$A$49,0),MATCH([1]orders!L$1,[1]products!$A$1:$G$1,0))</f>
        <v>22.884999999999998</v>
      </c>
      <c r="I936" s="6">
        <f t="shared" si="14"/>
        <v>114.42499999999998</v>
      </c>
    </row>
    <row r="937" spans="1:9" x14ac:dyDescent="0.3">
      <c r="A937" s="1" t="s">
        <v>1804</v>
      </c>
      <c r="B937" s="2">
        <v>44153</v>
      </c>
      <c r="C937" s="3" t="s">
        <v>1805</v>
      </c>
      <c r="D937" s="3" t="str">
        <f>INDEX('Customers (2)'!B:B,MATCH('Customers (2)'!A937,'Customers (2)'!A:A,0))</f>
        <v>Michale Delves</v>
      </c>
      <c r="E937" s="4" t="s">
        <v>171</v>
      </c>
      <c r="F937" s="3">
        <v>6</v>
      </c>
      <c r="G937" s="5">
        <f>INDEX([1]products!$A$1:$G$49,MATCH([1]orders!$D937,[1]products!$A$1:$A$49,0),MATCH([1]orders!K$1,[1]products!$A$1:$G$1,0))</f>
        <v>2.5</v>
      </c>
      <c r="H937" s="6">
        <f>INDEX([1]products!$A$1:$G$49,MATCH([1]orders!$D937,[1]products!$A$1:$A$49,0),MATCH([1]orders!L$1,[1]products!$A$1:$G$1,0))</f>
        <v>25.874999999999996</v>
      </c>
      <c r="I937" s="6">
        <f t="shared" si="14"/>
        <v>155.24999999999997</v>
      </c>
    </row>
    <row r="938" spans="1:9" x14ac:dyDescent="0.3">
      <c r="A938" s="1" t="s">
        <v>1806</v>
      </c>
      <c r="B938" s="2">
        <v>44493</v>
      </c>
      <c r="C938" s="3" t="s">
        <v>1807</v>
      </c>
      <c r="D938" s="3" t="str">
        <f>INDEX('Customers (2)'!B:B,MATCH('Customers (2)'!A938,'Customers (2)'!A:A,0))</f>
        <v>Devland Gritton</v>
      </c>
      <c r="E938" s="4" t="s">
        <v>123</v>
      </c>
      <c r="F938" s="3">
        <v>3</v>
      </c>
      <c r="G938" s="5">
        <f>INDEX([1]products!$A$1:$G$49,MATCH([1]orders!$D938,[1]products!$A$1:$A$49,0),MATCH([1]orders!K$1,[1]products!$A$1:$G$1,0))</f>
        <v>0.5</v>
      </c>
      <c r="H938" s="6">
        <f>INDEX([1]products!$A$1:$G$49,MATCH([1]orders!$D938,[1]products!$A$1:$A$49,0),MATCH([1]orders!L$1,[1]products!$A$1:$G$1,0))</f>
        <v>7.77</v>
      </c>
      <c r="I938" s="6">
        <f t="shared" si="14"/>
        <v>23.31</v>
      </c>
    </row>
    <row r="939" spans="1:9" x14ac:dyDescent="0.3">
      <c r="A939" s="1" t="s">
        <v>1806</v>
      </c>
      <c r="B939" s="2">
        <v>44493</v>
      </c>
      <c r="C939" s="3" t="s">
        <v>1807</v>
      </c>
      <c r="D939" s="3" t="str">
        <f>INDEX('Customers (2)'!B:B,MATCH('Customers (2)'!A939,'Customers (2)'!A:A,0))</f>
        <v>Caitlin Cattermull</v>
      </c>
      <c r="E939" s="4" t="s">
        <v>41</v>
      </c>
      <c r="F939" s="3">
        <v>4</v>
      </c>
      <c r="G939" s="5">
        <f>INDEX([1]products!$A$1:$G$49,MATCH([1]orders!$D939,[1]products!$A$1:$A$49,0),MATCH([1]orders!K$1,[1]products!$A$1:$G$1,0))</f>
        <v>2.5</v>
      </c>
      <c r="H939" s="6">
        <f>INDEX([1]products!$A$1:$G$49,MATCH([1]orders!$D939,[1]products!$A$1:$A$49,0),MATCH([1]orders!L$1,[1]products!$A$1:$G$1,0))</f>
        <v>22.884999999999998</v>
      </c>
      <c r="I939" s="6">
        <f t="shared" si="14"/>
        <v>91.539999999999992</v>
      </c>
    </row>
    <row r="940" spans="1:9" x14ac:dyDescent="0.3">
      <c r="A940" s="1" t="s">
        <v>1808</v>
      </c>
      <c r="B940" s="2">
        <v>43829</v>
      </c>
      <c r="C940" s="3" t="s">
        <v>1809</v>
      </c>
      <c r="D940" s="3" t="str">
        <f>INDEX('Customers (2)'!B:B,MATCH('Customers (2)'!A940,'Customers (2)'!A:A,0))</f>
        <v>Dell Gut</v>
      </c>
      <c r="E940" s="4" t="s">
        <v>137</v>
      </c>
      <c r="F940" s="3">
        <v>5</v>
      </c>
      <c r="G940" s="5">
        <f>INDEX([1]products!$A$1:$G$49,MATCH([1]orders!$D940,[1]products!$A$1:$A$49,0),MATCH([1]orders!K$1,[1]products!$A$1:$G$1,0))</f>
        <v>1</v>
      </c>
      <c r="H940" s="6">
        <f>INDEX([1]products!$A$1:$G$49,MATCH([1]orders!$D940,[1]products!$A$1:$A$49,0),MATCH([1]orders!L$1,[1]products!$A$1:$G$1,0))</f>
        <v>14.85</v>
      </c>
      <c r="I940" s="6">
        <f t="shared" si="14"/>
        <v>74.25</v>
      </c>
    </row>
    <row r="941" spans="1:9" x14ac:dyDescent="0.3">
      <c r="A941" s="1" t="s">
        <v>1810</v>
      </c>
      <c r="B941" s="2">
        <v>44229</v>
      </c>
      <c r="C941" s="3" t="s">
        <v>1811</v>
      </c>
      <c r="D941" s="3" t="str">
        <f>INDEX('Customers (2)'!B:B,MATCH('Customers (2)'!A941,'Customers (2)'!A:A,0))</f>
        <v>Willy Pummery</v>
      </c>
      <c r="E941" s="4" t="s">
        <v>19</v>
      </c>
      <c r="F941" s="3">
        <v>6</v>
      </c>
      <c r="G941" s="5">
        <f>INDEX([1]products!$A$1:$G$49,MATCH([1]orders!$D941,[1]products!$A$1:$A$49,0),MATCH([1]orders!K$1,[1]products!$A$1:$G$1,0))</f>
        <v>0.2</v>
      </c>
      <c r="H941" s="6">
        <f>INDEX([1]products!$A$1:$G$49,MATCH([1]orders!$D941,[1]products!$A$1:$A$49,0),MATCH([1]orders!L$1,[1]products!$A$1:$G$1,0))</f>
        <v>4.7549999999999999</v>
      </c>
      <c r="I941" s="6">
        <f t="shared" si="14"/>
        <v>28.53</v>
      </c>
    </row>
    <row r="942" spans="1:9" x14ac:dyDescent="0.3">
      <c r="A942" s="1" t="s">
        <v>1812</v>
      </c>
      <c r="B942" s="2">
        <v>44332</v>
      </c>
      <c r="C942" s="3" t="s">
        <v>1813</v>
      </c>
      <c r="D942" s="3" t="str">
        <f>INDEX('Customers (2)'!B:B,MATCH('Customers (2)'!A942,'Customers (2)'!A:A,0))</f>
        <v>Geoffrey Siuda</v>
      </c>
      <c r="E942" s="4" t="s">
        <v>157</v>
      </c>
      <c r="F942" s="3">
        <v>2</v>
      </c>
      <c r="G942" s="5">
        <f>INDEX([1]products!$A$1:$G$49,MATCH([1]orders!$D942,[1]products!$A$1:$A$49,0),MATCH([1]orders!K$1,[1]products!$A$1:$G$1,0))</f>
        <v>0.5</v>
      </c>
      <c r="H942" s="6">
        <f>INDEX([1]products!$A$1:$G$49,MATCH([1]orders!$D942,[1]products!$A$1:$A$49,0),MATCH([1]orders!L$1,[1]products!$A$1:$G$1,0))</f>
        <v>7.169999999999999</v>
      </c>
      <c r="I942" s="6">
        <f t="shared" si="14"/>
        <v>14.339999999999998</v>
      </c>
    </row>
    <row r="943" spans="1:9" x14ac:dyDescent="0.3">
      <c r="A943" s="1" t="s">
        <v>1814</v>
      </c>
      <c r="B943" s="2">
        <v>44674</v>
      </c>
      <c r="C943" s="3" t="s">
        <v>1815</v>
      </c>
      <c r="D943" s="3" t="str">
        <f>INDEX('Customers (2)'!B:B,MATCH('Customers (2)'!A943,'Customers (2)'!A:A,0))</f>
        <v>Henderson Crowne</v>
      </c>
      <c r="E943" s="4" t="s">
        <v>192</v>
      </c>
      <c r="F943" s="3">
        <v>2</v>
      </c>
      <c r="G943" s="5">
        <f>INDEX([1]products!$A$1:$G$49,MATCH([1]orders!$D943,[1]products!$A$1:$A$49,0),MATCH([1]orders!K$1,[1]products!$A$1:$G$1,0))</f>
        <v>0.5</v>
      </c>
      <c r="H943" s="6">
        <f>INDEX([1]products!$A$1:$G$49,MATCH([1]orders!$D943,[1]products!$A$1:$A$49,0),MATCH([1]orders!L$1,[1]products!$A$1:$G$1,0))</f>
        <v>7.77</v>
      </c>
      <c r="I943" s="6">
        <f t="shared" si="14"/>
        <v>15.54</v>
      </c>
    </row>
    <row r="944" spans="1:9" x14ac:dyDescent="0.3">
      <c r="A944" s="1" t="s">
        <v>1816</v>
      </c>
      <c r="B944" s="2">
        <v>44464</v>
      </c>
      <c r="C944" s="3" t="s">
        <v>1817</v>
      </c>
      <c r="D944" s="3" t="str">
        <f>INDEX('Customers (2)'!B:B,MATCH('Customers (2)'!A944,'Customers (2)'!A:A,0))</f>
        <v>Vernor Pawsey</v>
      </c>
      <c r="E944" s="4" t="s">
        <v>189</v>
      </c>
      <c r="F944" s="3">
        <v>3</v>
      </c>
      <c r="G944" s="5">
        <f>INDEX([1]products!$A$1:$G$49,MATCH([1]orders!$D944,[1]products!$A$1:$A$49,0),MATCH([1]orders!K$1,[1]products!$A$1:$G$1,0))</f>
        <v>1</v>
      </c>
      <c r="H944" s="6">
        <f>INDEX([1]products!$A$1:$G$49,MATCH([1]orders!$D944,[1]products!$A$1:$A$49,0),MATCH([1]orders!L$1,[1]products!$A$1:$G$1,0))</f>
        <v>11.95</v>
      </c>
      <c r="I944" s="6">
        <f t="shared" si="14"/>
        <v>35.849999999999994</v>
      </c>
    </row>
    <row r="945" spans="1:9" x14ac:dyDescent="0.3">
      <c r="A945" s="1" t="s">
        <v>1818</v>
      </c>
      <c r="B945" s="2">
        <v>44719</v>
      </c>
      <c r="C945" s="3" t="s">
        <v>1819</v>
      </c>
      <c r="D945" s="3" t="str">
        <f>INDEX('Customers (2)'!B:B,MATCH('Customers (2)'!A945,'Customers (2)'!A:A,0))</f>
        <v>Augustin Waterhouse</v>
      </c>
      <c r="E945" s="4" t="s">
        <v>192</v>
      </c>
      <c r="F945" s="3">
        <v>6</v>
      </c>
      <c r="G945" s="5">
        <f>INDEX([1]products!$A$1:$G$49,MATCH([1]orders!$D945,[1]products!$A$1:$A$49,0),MATCH([1]orders!K$1,[1]products!$A$1:$G$1,0))</f>
        <v>0.5</v>
      </c>
      <c r="H945" s="6">
        <f>INDEX([1]products!$A$1:$G$49,MATCH([1]orders!$D945,[1]products!$A$1:$A$49,0),MATCH([1]orders!L$1,[1]products!$A$1:$G$1,0))</f>
        <v>7.77</v>
      </c>
      <c r="I945" s="6">
        <f t="shared" si="14"/>
        <v>46.62</v>
      </c>
    </row>
    <row r="946" spans="1:9" x14ac:dyDescent="0.3">
      <c r="A946" s="1" t="s">
        <v>1820</v>
      </c>
      <c r="B946" s="2">
        <v>44054</v>
      </c>
      <c r="C946" s="3" t="s">
        <v>1821</v>
      </c>
      <c r="D946" s="3" t="str">
        <f>INDEX('Customers (2)'!B:B,MATCH('Customers (2)'!A946,'Customers (2)'!A:A,0))</f>
        <v>Fanchon Haughian</v>
      </c>
      <c r="E946" s="4" t="s">
        <v>157</v>
      </c>
      <c r="F946" s="3">
        <v>5</v>
      </c>
      <c r="G946" s="5">
        <f>INDEX([1]products!$A$1:$G$49,MATCH([1]orders!$D946,[1]products!$A$1:$A$49,0),MATCH([1]orders!K$1,[1]products!$A$1:$G$1,0))</f>
        <v>0.5</v>
      </c>
      <c r="H946" s="6">
        <f>INDEX([1]products!$A$1:$G$49,MATCH([1]orders!$D946,[1]products!$A$1:$A$49,0),MATCH([1]orders!L$1,[1]products!$A$1:$G$1,0))</f>
        <v>7.169999999999999</v>
      </c>
      <c r="I946" s="6">
        <f t="shared" si="14"/>
        <v>35.849999999999994</v>
      </c>
    </row>
    <row r="947" spans="1:9" x14ac:dyDescent="0.3">
      <c r="A947" s="1" t="s">
        <v>1822</v>
      </c>
      <c r="B947" s="2">
        <v>43524</v>
      </c>
      <c r="C947" s="3" t="s">
        <v>1823</v>
      </c>
      <c r="D947" s="3" t="str">
        <f>INDEX('Customers (2)'!B:B,MATCH('Customers (2)'!A947,'Customers (2)'!A:A,0))</f>
        <v>Jaimie Hatz</v>
      </c>
      <c r="E947" s="4" t="s">
        <v>109</v>
      </c>
      <c r="F947" s="3">
        <v>4</v>
      </c>
      <c r="G947" s="5">
        <f>INDEX([1]products!$A$1:$G$49,MATCH([1]orders!$D947,[1]products!$A$1:$A$49,0),MATCH([1]orders!K$1,[1]products!$A$1:$G$1,0))</f>
        <v>2.5</v>
      </c>
      <c r="H947" s="6">
        <f>INDEX([1]products!$A$1:$G$49,MATCH([1]orders!$D947,[1]products!$A$1:$A$49,0),MATCH([1]orders!L$1,[1]products!$A$1:$G$1,0))</f>
        <v>29.784999999999997</v>
      </c>
      <c r="I947" s="6">
        <f t="shared" si="14"/>
        <v>119.13999999999999</v>
      </c>
    </row>
    <row r="948" spans="1:9" x14ac:dyDescent="0.3">
      <c r="A948" s="1" t="s">
        <v>1824</v>
      </c>
      <c r="B948" s="2">
        <v>43719</v>
      </c>
      <c r="C948" s="3" t="s">
        <v>1825</v>
      </c>
      <c r="D948" s="3" t="str">
        <f>INDEX('Customers (2)'!B:B,MATCH('Customers (2)'!A948,'Customers (2)'!A:A,0))</f>
        <v>Edeline Edney</v>
      </c>
      <c r="E948" s="4" t="s">
        <v>123</v>
      </c>
      <c r="F948" s="3">
        <v>3</v>
      </c>
      <c r="G948" s="5">
        <f>INDEX([1]products!$A$1:$G$49,MATCH([1]orders!$D948,[1]products!$A$1:$A$49,0),MATCH([1]orders!K$1,[1]products!$A$1:$G$1,0))</f>
        <v>0.5</v>
      </c>
      <c r="H948" s="6">
        <f>INDEX([1]products!$A$1:$G$49,MATCH([1]orders!$D948,[1]products!$A$1:$A$49,0),MATCH([1]orders!L$1,[1]products!$A$1:$G$1,0))</f>
        <v>7.77</v>
      </c>
      <c r="I948" s="6">
        <f t="shared" si="14"/>
        <v>23.31</v>
      </c>
    </row>
    <row r="949" spans="1:9" x14ac:dyDescent="0.3">
      <c r="A949" s="1" t="s">
        <v>1826</v>
      </c>
      <c r="B949" s="2">
        <v>44294</v>
      </c>
      <c r="C949" s="3" t="s">
        <v>1827</v>
      </c>
      <c r="D949" s="3" t="str">
        <f>INDEX('Customers (2)'!B:B,MATCH('Customers (2)'!A949,'Customers (2)'!A:A,0))</f>
        <v>Rickie Faltin</v>
      </c>
      <c r="E949" s="4" t="s">
        <v>61</v>
      </c>
      <c r="F949" s="3">
        <v>1</v>
      </c>
      <c r="G949" s="5">
        <f>INDEX([1]products!$A$1:$G$49,MATCH([1]orders!$D949,[1]products!$A$1:$A$49,0),MATCH([1]orders!K$1,[1]products!$A$1:$G$1,0))</f>
        <v>1</v>
      </c>
      <c r="H949" s="6">
        <f>INDEX([1]products!$A$1:$G$49,MATCH([1]orders!$D949,[1]products!$A$1:$A$49,0),MATCH([1]orders!L$1,[1]products!$A$1:$G$1,0))</f>
        <v>11.25</v>
      </c>
      <c r="I949" s="6">
        <f t="shared" si="14"/>
        <v>11.25</v>
      </c>
    </row>
    <row r="950" spans="1:9" x14ac:dyDescent="0.3">
      <c r="A950" s="1" t="s">
        <v>1828</v>
      </c>
      <c r="B950" s="2">
        <v>44445</v>
      </c>
      <c r="C950" s="3" t="s">
        <v>1829</v>
      </c>
      <c r="D950" s="3" t="str">
        <f>INDEX('Customers (2)'!B:B,MATCH('Customers (2)'!A950,'Customers (2)'!A:A,0))</f>
        <v>Gnni Cheeke</v>
      </c>
      <c r="E950" s="4" t="s">
        <v>530</v>
      </c>
      <c r="F950" s="3">
        <v>3</v>
      </c>
      <c r="G950" s="5">
        <f>INDEX([1]products!$A$1:$G$49,MATCH([1]orders!$D950,[1]products!$A$1:$A$49,0),MATCH([1]orders!K$1,[1]products!$A$1:$G$1,0))</f>
        <v>2.5</v>
      </c>
      <c r="H950" s="6">
        <f>INDEX([1]products!$A$1:$G$49,MATCH([1]orders!$D950,[1]products!$A$1:$A$49,0),MATCH([1]orders!L$1,[1]products!$A$1:$G$1,0))</f>
        <v>27.945</v>
      </c>
      <c r="I950" s="6">
        <f t="shared" si="14"/>
        <v>83.835000000000008</v>
      </c>
    </row>
    <row r="951" spans="1:9" x14ac:dyDescent="0.3">
      <c r="A951" s="1" t="s">
        <v>1830</v>
      </c>
      <c r="B951" s="2">
        <v>44449</v>
      </c>
      <c r="C951" s="3" t="s">
        <v>1831</v>
      </c>
      <c r="D951" s="3" t="str">
        <f>INDEX('Customers (2)'!B:B,MATCH('Customers (2)'!A951,'Customers (2)'!A:A,0))</f>
        <v>Gwenni Ratt</v>
      </c>
      <c r="E951" s="4" t="s">
        <v>10</v>
      </c>
      <c r="F951" s="3">
        <v>4</v>
      </c>
      <c r="G951" s="5">
        <f>INDEX([1]products!$A$1:$G$49,MATCH([1]orders!$D951,[1]products!$A$1:$A$49,0),MATCH([1]orders!K$1,[1]products!$A$1:$G$1,0))</f>
        <v>2.5</v>
      </c>
      <c r="H951" s="6">
        <f>INDEX([1]products!$A$1:$G$49,MATCH([1]orders!$D951,[1]products!$A$1:$A$49,0),MATCH([1]orders!L$1,[1]products!$A$1:$G$1,0))</f>
        <v>27.484999999999996</v>
      </c>
      <c r="I951" s="6">
        <f t="shared" si="14"/>
        <v>109.93999999999998</v>
      </c>
    </row>
    <row r="952" spans="1:9" x14ac:dyDescent="0.3">
      <c r="A952" s="1" t="s">
        <v>1832</v>
      </c>
      <c r="B952" s="2">
        <v>44703</v>
      </c>
      <c r="C952" s="3" t="s">
        <v>1833</v>
      </c>
      <c r="D952" s="3" t="str">
        <f>INDEX('Customers (2)'!B:B,MATCH('Customers (2)'!A952,'Customers (2)'!A:A,0))</f>
        <v>Johnath Fairebrother</v>
      </c>
      <c r="E952" s="4" t="s">
        <v>182</v>
      </c>
      <c r="F952" s="3">
        <v>4</v>
      </c>
      <c r="G952" s="5">
        <f>INDEX([1]products!$A$1:$G$49,MATCH([1]orders!$D952,[1]products!$A$1:$A$49,0),MATCH([1]orders!K$1,[1]products!$A$1:$G$1,0))</f>
        <v>0.2</v>
      </c>
      <c r="H952" s="6">
        <f>INDEX([1]products!$A$1:$G$49,MATCH([1]orders!$D952,[1]products!$A$1:$A$49,0),MATCH([1]orders!L$1,[1]products!$A$1:$G$1,0))</f>
        <v>3.5849999999999995</v>
      </c>
      <c r="I952" s="6">
        <f t="shared" si="14"/>
        <v>14.339999999999998</v>
      </c>
    </row>
    <row r="953" spans="1:9" x14ac:dyDescent="0.3">
      <c r="A953" s="1" t="s">
        <v>1834</v>
      </c>
      <c r="B953" s="2">
        <v>44092</v>
      </c>
      <c r="C953" s="3" t="s">
        <v>1835</v>
      </c>
      <c r="D953" s="3" t="str">
        <f>INDEX('Customers (2)'!B:B,MATCH('Customers (2)'!A953,'Customers (2)'!A:A,0))</f>
        <v>Ingamar Eberlein</v>
      </c>
      <c r="E953" s="4" t="s">
        <v>182</v>
      </c>
      <c r="F953" s="3">
        <v>6</v>
      </c>
      <c r="G953" s="5">
        <f>INDEX([1]products!$A$1:$G$49,MATCH([1]orders!$D953,[1]products!$A$1:$A$49,0),MATCH([1]orders!K$1,[1]products!$A$1:$G$1,0))</f>
        <v>0.2</v>
      </c>
      <c r="H953" s="6">
        <f>INDEX([1]products!$A$1:$G$49,MATCH([1]orders!$D953,[1]products!$A$1:$A$49,0),MATCH([1]orders!L$1,[1]products!$A$1:$G$1,0))</f>
        <v>3.5849999999999995</v>
      </c>
      <c r="I953" s="6">
        <f t="shared" si="14"/>
        <v>21.509999999999998</v>
      </c>
    </row>
    <row r="954" spans="1:9" x14ac:dyDescent="0.3">
      <c r="A954" s="1" t="s">
        <v>1836</v>
      </c>
      <c r="B954" s="2">
        <v>44439</v>
      </c>
      <c r="C954" s="3" t="s">
        <v>1837</v>
      </c>
      <c r="D954" s="3" t="str">
        <f>INDEX('Customers (2)'!B:B,MATCH('Customers (2)'!A954,'Customers (2)'!A:A,0))</f>
        <v>Jilly Dreng</v>
      </c>
      <c r="E954" s="4" t="s">
        <v>61</v>
      </c>
      <c r="F954" s="3">
        <v>2</v>
      </c>
      <c r="G954" s="5">
        <f>INDEX([1]products!$A$1:$G$49,MATCH([1]orders!$D954,[1]products!$A$1:$A$49,0),MATCH([1]orders!K$1,[1]products!$A$1:$G$1,0))</f>
        <v>1</v>
      </c>
      <c r="H954" s="6">
        <f>INDEX([1]products!$A$1:$G$49,MATCH([1]orders!$D954,[1]products!$A$1:$A$49,0),MATCH([1]orders!L$1,[1]products!$A$1:$G$1,0))</f>
        <v>11.25</v>
      </c>
      <c r="I954" s="6">
        <f t="shared" si="14"/>
        <v>22.5</v>
      </c>
    </row>
    <row r="955" spans="1:9" x14ac:dyDescent="0.3">
      <c r="A955" s="1" t="s">
        <v>1838</v>
      </c>
      <c r="B955" s="2">
        <v>44582</v>
      </c>
      <c r="C955" s="3" t="s">
        <v>1801</v>
      </c>
      <c r="D955" s="3" t="str">
        <f>INDEX('Customers (2)'!B:B,MATCH('Customers (2)'!A955,'Customers (2)'!A:A,0))</f>
        <v>Jillane Jedrzej</v>
      </c>
      <c r="E955" s="4" t="s">
        <v>115</v>
      </c>
      <c r="F955" s="3">
        <v>1</v>
      </c>
      <c r="G955" s="5">
        <f>INDEX([1]products!$A$1:$G$49,MATCH([1]orders!$D955,[1]products!$A$1:$A$49,0),MATCH([1]orders!K$1,[1]products!$A$1:$G$1,0))</f>
        <v>0.2</v>
      </c>
      <c r="H955" s="6">
        <f>INDEX([1]products!$A$1:$G$49,MATCH([1]orders!$D955,[1]products!$A$1:$A$49,0),MATCH([1]orders!L$1,[1]products!$A$1:$G$1,0))</f>
        <v>3.8849999999999998</v>
      </c>
      <c r="I955" s="6">
        <f t="shared" si="14"/>
        <v>3.8849999999999998</v>
      </c>
    </row>
    <row r="956" spans="1:9" x14ac:dyDescent="0.3">
      <c r="A956" s="1" t="s">
        <v>1839</v>
      </c>
      <c r="B956" s="2">
        <v>44722</v>
      </c>
      <c r="C956" s="3" t="s">
        <v>1801</v>
      </c>
      <c r="D956" s="3" t="str">
        <f>INDEX('Customers (2)'!B:B,MATCH('Customers (2)'!A956,'Customers (2)'!A:A,0))</f>
        <v>Correy Lampel</v>
      </c>
      <c r="E956" s="4" t="s">
        <v>530</v>
      </c>
      <c r="F956" s="3">
        <v>1</v>
      </c>
      <c r="G956" s="5">
        <f>INDEX([1]products!$A$1:$G$49,MATCH([1]orders!$D956,[1]products!$A$1:$A$49,0),MATCH([1]orders!K$1,[1]products!$A$1:$G$1,0))</f>
        <v>2.5</v>
      </c>
      <c r="H956" s="6">
        <f>INDEX([1]products!$A$1:$G$49,MATCH([1]orders!$D956,[1]products!$A$1:$A$49,0),MATCH([1]orders!L$1,[1]products!$A$1:$G$1,0))</f>
        <v>27.945</v>
      </c>
      <c r="I956" s="6">
        <f t="shared" si="14"/>
        <v>27.945</v>
      </c>
    </row>
    <row r="957" spans="1:9" x14ac:dyDescent="0.3">
      <c r="A957" s="1" t="s">
        <v>1840</v>
      </c>
      <c r="B957" s="2">
        <v>43582</v>
      </c>
      <c r="C957" s="3" t="s">
        <v>1801</v>
      </c>
      <c r="D957" s="3" t="str">
        <f>INDEX('Customers (2)'!B:B,MATCH('Customers (2)'!A957,'Customers (2)'!A:A,0))</f>
        <v>Dulcie Mapowder</v>
      </c>
      <c r="E957" s="4" t="s">
        <v>30</v>
      </c>
      <c r="F957" s="3">
        <v>5</v>
      </c>
      <c r="G957" s="5">
        <f>INDEX([1]products!$A$1:$G$49,MATCH([1]orders!$D957,[1]products!$A$1:$A$49,0),MATCH([1]orders!K$1,[1]products!$A$1:$G$1,0))</f>
        <v>2.5</v>
      </c>
      <c r="H957" s="6">
        <f>INDEX([1]products!$A$1:$G$49,MATCH([1]orders!$D957,[1]products!$A$1:$A$49,0),MATCH([1]orders!L$1,[1]products!$A$1:$G$1,0))</f>
        <v>34.154999999999994</v>
      </c>
      <c r="I957" s="6">
        <f t="shared" si="14"/>
        <v>170.77499999999998</v>
      </c>
    </row>
    <row r="958" spans="1:9" x14ac:dyDescent="0.3">
      <c r="A958" s="1" t="s">
        <v>1840</v>
      </c>
      <c r="B958" s="2">
        <v>43582</v>
      </c>
      <c r="C958" s="3" t="s">
        <v>1801</v>
      </c>
      <c r="D958" s="3" t="str">
        <f>INDEX('Customers (2)'!B:B,MATCH('Customers (2)'!A958,'Customers (2)'!A:A,0))</f>
        <v>Eward Dearman</v>
      </c>
      <c r="E958" s="4" t="s">
        <v>10</v>
      </c>
      <c r="F958" s="3">
        <v>2</v>
      </c>
      <c r="G958" s="5">
        <f>INDEX([1]products!$A$1:$G$49,MATCH([1]orders!$D958,[1]products!$A$1:$A$49,0),MATCH([1]orders!K$1,[1]products!$A$1:$G$1,0))</f>
        <v>2.5</v>
      </c>
      <c r="H958" s="6">
        <f>INDEX([1]products!$A$1:$G$49,MATCH([1]orders!$D958,[1]products!$A$1:$A$49,0),MATCH([1]orders!L$1,[1]products!$A$1:$G$1,0))</f>
        <v>27.484999999999996</v>
      </c>
      <c r="I958" s="6">
        <f t="shared" si="14"/>
        <v>54.969999999999992</v>
      </c>
    </row>
    <row r="959" spans="1:9" x14ac:dyDescent="0.3">
      <c r="A959" s="1" t="s">
        <v>1840</v>
      </c>
      <c r="B959" s="2">
        <v>43582</v>
      </c>
      <c r="C959" s="3" t="s">
        <v>1801</v>
      </c>
      <c r="D959" s="3" t="str">
        <f>INDEX('Customers (2)'!B:B,MATCH('Customers (2)'!A959,'Customers (2)'!A:A,0))</f>
        <v>Dominique Lenard</v>
      </c>
      <c r="E959" s="4" t="s">
        <v>137</v>
      </c>
      <c r="F959" s="3">
        <v>1</v>
      </c>
      <c r="G959" s="5">
        <f>INDEX([1]products!$A$1:$G$49,MATCH([1]orders!$D959,[1]products!$A$1:$A$49,0),MATCH([1]orders!K$1,[1]products!$A$1:$G$1,0))</f>
        <v>1</v>
      </c>
      <c r="H959" s="6">
        <f>INDEX([1]products!$A$1:$G$49,MATCH([1]orders!$D959,[1]products!$A$1:$A$49,0),MATCH([1]orders!L$1,[1]products!$A$1:$G$1,0))</f>
        <v>14.85</v>
      </c>
      <c r="I959" s="6">
        <f t="shared" si="14"/>
        <v>14.85</v>
      </c>
    </row>
    <row r="960" spans="1:9" x14ac:dyDescent="0.3">
      <c r="A960" s="1" t="s">
        <v>1840</v>
      </c>
      <c r="B960" s="2">
        <v>43582</v>
      </c>
      <c r="C960" s="3" t="s">
        <v>1801</v>
      </c>
      <c r="D960" s="3" t="str">
        <f>INDEX('Customers (2)'!B:B,MATCH('Customers (2)'!A960,'Customers (2)'!A:A,0))</f>
        <v>Lloyd Toffano</v>
      </c>
      <c r="E960" s="4" t="s">
        <v>115</v>
      </c>
      <c r="F960" s="3">
        <v>2</v>
      </c>
      <c r="G960" s="5">
        <f>INDEX([1]products!$A$1:$G$49,MATCH([1]orders!$D960,[1]products!$A$1:$A$49,0),MATCH([1]orders!K$1,[1]products!$A$1:$G$1,0))</f>
        <v>0.2</v>
      </c>
      <c r="H960" s="6">
        <f>INDEX([1]products!$A$1:$G$49,MATCH([1]orders!$D960,[1]products!$A$1:$A$49,0),MATCH([1]orders!L$1,[1]products!$A$1:$G$1,0))</f>
        <v>3.8849999999999998</v>
      </c>
      <c r="I960" s="6">
        <f t="shared" si="14"/>
        <v>7.77</v>
      </c>
    </row>
    <row r="961" spans="1:9" x14ac:dyDescent="0.3">
      <c r="A961" s="1" t="s">
        <v>1841</v>
      </c>
      <c r="B961" s="2">
        <v>44598</v>
      </c>
      <c r="C961" s="3" t="s">
        <v>1842</v>
      </c>
      <c r="D961" s="3" t="str">
        <f>INDEX('Customers (2)'!B:B,MATCH('Customers (2)'!A961,'Customers (2)'!A:A,0))</f>
        <v>Rhodie Strathern</v>
      </c>
      <c r="E961" s="4" t="s">
        <v>19</v>
      </c>
      <c r="F961" s="3">
        <v>5</v>
      </c>
      <c r="G961" s="5">
        <f>INDEX([1]products!$A$1:$G$49,MATCH([1]orders!$D961,[1]products!$A$1:$A$49,0),MATCH([1]orders!K$1,[1]products!$A$1:$G$1,0))</f>
        <v>0.2</v>
      </c>
      <c r="H961" s="6">
        <f>INDEX([1]products!$A$1:$G$49,MATCH([1]orders!$D961,[1]products!$A$1:$A$49,0),MATCH([1]orders!L$1,[1]products!$A$1:$G$1,0))</f>
        <v>4.7549999999999999</v>
      </c>
      <c r="I961" s="6">
        <f t="shared" si="14"/>
        <v>23.774999999999999</v>
      </c>
    </row>
    <row r="962" spans="1:9" x14ac:dyDescent="0.3">
      <c r="A962" s="1" t="s">
        <v>1843</v>
      </c>
      <c r="B962" s="2">
        <v>44591</v>
      </c>
      <c r="C962" s="3" t="s">
        <v>1844</v>
      </c>
      <c r="D962" s="3" t="str">
        <f>INDEX('Customers (2)'!B:B,MATCH('Customers (2)'!A962,'Customers (2)'!A:A,0))</f>
        <v>Chad Miguel</v>
      </c>
      <c r="E962" s="4" t="s">
        <v>132</v>
      </c>
      <c r="F962" s="3">
        <v>5</v>
      </c>
      <c r="G962" s="5">
        <f>INDEX([1]products!$A$1:$G$49,MATCH([1]orders!$D962,[1]products!$A$1:$A$49,0),MATCH([1]orders!K$1,[1]products!$A$1:$G$1,0))</f>
        <v>1</v>
      </c>
      <c r="H962" s="6">
        <f>INDEX([1]products!$A$1:$G$49,MATCH([1]orders!$D962,[1]products!$A$1:$A$49,0),MATCH([1]orders!L$1,[1]products!$A$1:$G$1,0))</f>
        <v>15.85</v>
      </c>
      <c r="I962" s="6">
        <f t="shared" ref="I962:I1001" si="15">F962*H962</f>
        <v>79.25</v>
      </c>
    </row>
    <row r="963" spans="1:9" x14ac:dyDescent="0.3">
      <c r="A963" s="1" t="s">
        <v>1845</v>
      </c>
      <c r="B963" s="2">
        <v>44158</v>
      </c>
      <c r="C963" s="3" t="s">
        <v>1846</v>
      </c>
      <c r="D963" s="3" t="str">
        <f>INDEX('Customers (2)'!B:B,MATCH('Customers (2)'!A963,'Customers (2)'!A:A,0))</f>
        <v>Florinda Matusovsky</v>
      </c>
      <c r="E963" s="4" t="s">
        <v>118</v>
      </c>
      <c r="F963" s="3">
        <v>2</v>
      </c>
      <c r="G963" s="5">
        <f>INDEX([1]products!$A$1:$G$49,MATCH([1]orders!$D963,[1]products!$A$1:$A$49,0),MATCH([1]orders!K$1,[1]products!$A$1:$G$1,0))</f>
        <v>2.5</v>
      </c>
      <c r="H963" s="6">
        <f>INDEX([1]products!$A$1:$G$49,MATCH([1]orders!$D963,[1]products!$A$1:$A$49,0),MATCH([1]orders!L$1,[1]products!$A$1:$G$1,0))</f>
        <v>22.884999999999998</v>
      </c>
      <c r="I963" s="6">
        <f t="shared" si="15"/>
        <v>45.769999999999996</v>
      </c>
    </row>
    <row r="964" spans="1:9" x14ac:dyDescent="0.3">
      <c r="A964" s="1" t="s">
        <v>1847</v>
      </c>
      <c r="B964" s="2">
        <v>44664</v>
      </c>
      <c r="C964" s="3" t="s">
        <v>1848</v>
      </c>
      <c r="D964" s="3" t="str">
        <f>INDEX('Customers (2)'!B:B,MATCH('Customers (2)'!A964,'Customers (2)'!A:A,0))</f>
        <v>Morly Rocks</v>
      </c>
      <c r="E964" s="4" t="s">
        <v>179</v>
      </c>
      <c r="F964" s="3">
        <v>1</v>
      </c>
      <c r="G964" s="5">
        <f>INDEX([1]products!$A$1:$G$49,MATCH([1]orders!$D964,[1]products!$A$1:$A$49,0),MATCH([1]orders!K$1,[1]products!$A$1:$G$1,0))</f>
        <v>1</v>
      </c>
      <c r="H964" s="6">
        <f>INDEX([1]products!$A$1:$G$49,MATCH([1]orders!$D964,[1]products!$A$1:$A$49,0),MATCH([1]orders!L$1,[1]products!$A$1:$G$1,0))</f>
        <v>8.9499999999999993</v>
      </c>
      <c r="I964" s="6">
        <f t="shared" si="15"/>
        <v>8.9499999999999993</v>
      </c>
    </row>
    <row r="965" spans="1:9" x14ac:dyDescent="0.3">
      <c r="A965" s="1" t="s">
        <v>1849</v>
      </c>
      <c r="B965" s="2">
        <v>44203</v>
      </c>
      <c r="C965" s="3" t="s">
        <v>1850</v>
      </c>
      <c r="D965" s="3" t="str">
        <f>INDEX('Customers (2)'!B:B,MATCH('Customers (2)'!A965,'Customers (2)'!A:A,0))</f>
        <v>Yuri Burrells</v>
      </c>
      <c r="E965" s="4" t="s">
        <v>22</v>
      </c>
      <c r="F965" s="3">
        <v>4</v>
      </c>
      <c r="G965" s="5">
        <f>INDEX([1]products!$A$1:$G$49,MATCH([1]orders!$D965,[1]products!$A$1:$A$49,0),MATCH([1]orders!K$1,[1]products!$A$1:$G$1,0))</f>
        <v>0.5</v>
      </c>
      <c r="H965" s="6">
        <f>INDEX([1]products!$A$1:$G$49,MATCH([1]orders!$D965,[1]products!$A$1:$A$49,0),MATCH([1]orders!L$1,[1]products!$A$1:$G$1,0))</f>
        <v>5.97</v>
      </c>
      <c r="I965" s="6">
        <f t="shared" si="15"/>
        <v>23.88</v>
      </c>
    </row>
    <row r="966" spans="1:9" x14ac:dyDescent="0.3">
      <c r="A966" s="1" t="s">
        <v>1851</v>
      </c>
      <c r="B966" s="2">
        <v>43865</v>
      </c>
      <c r="C966" s="3" t="s">
        <v>1852</v>
      </c>
      <c r="D966" s="3" t="str">
        <f>INDEX('Customers (2)'!B:B,MATCH('Customers (2)'!A966,'Customers (2)'!A:A,0))</f>
        <v>Cleopatra Goodrum</v>
      </c>
      <c r="E966" s="4" t="s">
        <v>254</v>
      </c>
      <c r="F966" s="3">
        <v>5</v>
      </c>
      <c r="G966" s="5">
        <f>INDEX([1]products!$A$1:$G$49,MATCH([1]orders!$D966,[1]products!$A$1:$A$49,0),MATCH([1]orders!K$1,[1]products!$A$1:$G$1,0))</f>
        <v>0.2</v>
      </c>
      <c r="H966" s="6">
        <f>INDEX([1]products!$A$1:$G$49,MATCH([1]orders!$D966,[1]products!$A$1:$A$49,0),MATCH([1]orders!L$1,[1]products!$A$1:$G$1,0))</f>
        <v>4.4550000000000001</v>
      </c>
      <c r="I966" s="6">
        <f t="shared" si="15"/>
        <v>22.274999999999999</v>
      </c>
    </row>
    <row r="967" spans="1:9" x14ac:dyDescent="0.3">
      <c r="A967" s="1" t="s">
        <v>1853</v>
      </c>
      <c r="B967" s="2">
        <v>43724</v>
      </c>
      <c r="C967" s="3" t="s">
        <v>1854</v>
      </c>
      <c r="D967" s="3" t="str">
        <f>INDEX('Customers (2)'!B:B,MATCH('Customers (2)'!A967,'Customers (2)'!A:A,0))</f>
        <v>Joey Jefferys</v>
      </c>
      <c r="E967" s="4" t="s">
        <v>2</v>
      </c>
      <c r="F967" s="3">
        <v>3</v>
      </c>
      <c r="G967" s="5">
        <f>INDEX([1]products!$A$1:$G$49,MATCH([1]orders!$D967,[1]products!$A$1:$A$49,0),MATCH([1]orders!K$1,[1]products!$A$1:$G$1,0))</f>
        <v>1</v>
      </c>
      <c r="H967" s="6">
        <f>INDEX([1]products!$A$1:$G$49,MATCH([1]orders!$D967,[1]products!$A$1:$A$49,0),MATCH([1]orders!L$1,[1]products!$A$1:$G$1,0))</f>
        <v>9.9499999999999993</v>
      </c>
      <c r="I967" s="6">
        <f t="shared" si="15"/>
        <v>29.849999999999998</v>
      </c>
    </row>
    <row r="968" spans="1:9" x14ac:dyDescent="0.3">
      <c r="A968" s="1" t="s">
        <v>1855</v>
      </c>
      <c r="B968" s="2">
        <v>43491</v>
      </c>
      <c r="C968" s="3" t="s">
        <v>1856</v>
      </c>
      <c r="D968" s="3" t="str">
        <f>INDEX('Customers (2)'!B:B,MATCH('Customers (2)'!A968,'Customers (2)'!A:A,0))</f>
        <v>Bearnard Wardell</v>
      </c>
      <c r="E968" s="4" t="s">
        <v>176</v>
      </c>
      <c r="F968" s="3">
        <v>6</v>
      </c>
      <c r="G968" s="5">
        <f>INDEX([1]products!$A$1:$G$49,MATCH([1]orders!$D968,[1]products!$A$1:$A$49,0),MATCH([1]orders!K$1,[1]products!$A$1:$G$1,0))</f>
        <v>0.5</v>
      </c>
      <c r="H968" s="6">
        <f>INDEX([1]products!$A$1:$G$49,MATCH([1]orders!$D968,[1]products!$A$1:$A$49,0),MATCH([1]orders!L$1,[1]products!$A$1:$G$1,0))</f>
        <v>8.91</v>
      </c>
      <c r="I968" s="6">
        <f t="shared" si="15"/>
        <v>53.46</v>
      </c>
    </row>
    <row r="969" spans="1:9" x14ac:dyDescent="0.3">
      <c r="A969" s="1" t="s">
        <v>1857</v>
      </c>
      <c r="B969" s="2">
        <v>44246</v>
      </c>
      <c r="C969" s="3" t="s">
        <v>1858</v>
      </c>
      <c r="D969" s="3" t="str">
        <f>INDEX('Customers (2)'!B:B,MATCH('Customers (2)'!A969,'Customers (2)'!A:A,0))</f>
        <v>Zeke Walisiak</v>
      </c>
      <c r="E969" s="4" t="s">
        <v>101</v>
      </c>
      <c r="F969" s="3">
        <v>1</v>
      </c>
      <c r="G969" s="5">
        <f>INDEX([1]products!$A$1:$G$49,MATCH([1]orders!$D969,[1]products!$A$1:$A$49,0),MATCH([1]orders!K$1,[1]products!$A$1:$G$1,0))</f>
        <v>0.2</v>
      </c>
      <c r="H969" s="6">
        <f>INDEX([1]products!$A$1:$G$49,MATCH([1]orders!$D969,[1]products!$A$1:$A$49,0),MATCH([1]orders!L$1,[1]products!$A$1:$G$1,0))</f>
        <v>2.6849999999999996</v>
      </c>
      <c r="I969" s="6">
        <f t="shared" si="15"/>
        <v>2.6849999999999996</v>
      </c>
    </row>
    <row r="970" spans="1:9" x14ac:dyDescent="0.3">
      <c r="A970" s="1" t="s">
        <v>1859</v>
      </c>
      <c r="B970" s="2">
        <v>44642</v>
      </c>
      <c r="C970" s="3" t="s">
        <v>1860</v>
      </c>
      <c r="D970" s="3" t="str">
        <f>INDEX('Customers (2)'!B:B,MATCH('Customers (2)'!A970,'Customers (2)'!A:A,0))</f>
        <v>Wiley Leopold</v>
      </c>
      <c r="E970" s="4" t="s">
        <v>162</v>
      </c>
      <c r="F970" s="3">
        <v>2</v>
      </c>
      <c r="G970" s="5">
        <f>INDEX([1]products!$A$1:$G$49,MATCH([1]orders!$D970,[1]products!$A$1:$A$49,0),MATCH([1]orders!K$1,[1]products!$A$1:$G$1,0))</f>
        <v>0.2</v>
      </c>
      <c r="H970" s="6">
        <f>INDEX([1]products!$A$1:$G$49,MATCH([1]orders!$D970,[1]products!$A$1:$A$49,0),MATCH([1]orders!L$1,[1]products!$A$1:$G$1,0))</f>
        <v>2.9849999999999999</v>
      </c>
      <c r="I970" s="6">
        <f t="shared" si="15"/>
        <v>5.97</v>
      </c>
    </row>
    <row r="971" spans="1:9" x14ac:dyDescent="0.3">
      <c r="A971" s="1" t="s">
        <v>1861</v>
      </c>
      <c r="B971" s="2">
        <v>43649</v>
      </c>
      <c r="C971" s="3" t="s">
        <v>1862</v>
      </c>
      <c r="D971" s="3" t="str">
        <f>INDEX('Customers (2)'!B:B,MATCH('Customers (2)'!A971,'Customers (2)'!A:A,0))</f>
        <v>Chiarra Shalders</v>
      </c>
      <c r="E971" s="4" t="s">
        <v>13</v>
      </c>
      <c r="F971" s="3">
        <v>1</v>
      </c>
      <c r="G971" s="5">
        <f>INDEX([1]products!$A$1:$G$49,MATCH([1]orders!$D971,[1]products!$A$1:$A$49,0),MATCH([1]orders!K$1,[1]products!$A$1:$G$1,0))</f>
        <v>1</v>
      </c>
      <c r="H971" s="6">
        <f>INDEX([1]products!$A$1:$G$49,MATCH([1]orders!$D971,[1]products!$A$1:$A$49,0),MATCH([1]orders!L$1,[1]products!$A$1:$G$1,0))</f>
        <v>12.95</v>
      </c>
      <c r="I971" s="6">
        <f t="shared" si="15"/>
        <v>12.95</v>
      </c>
    </row>
    <row r="972" spans="1:9" x14ac:dyDescent="0.3">
      <c r="A972" s="1" t="s">
        <v>1863</v>
      </c>
      <c r="B972" s="2">
        <v>43729</v>
      </c>
      <c r="C972" s="3" t="s">
        <v>1864</v>
      </c>
      <c r="D972" s="3" t="str">
        <f>INDEX('Customers (2)'!B:B,MATCH('Customers (2)'!A972,'Customers (2)'!A:A,0))</f>
        <v>Sharl Southerill</v>
      </c>
      <c r="E972" s="4" t="s">
        <v>3</v>
      </c>
      <c r="F972" s="3">
        <v>1</v>
      </c>
      <c r="G972" s="5">
        <f>INDEX([1]products!$A$1:$G$49,MATCH([1]orders!$D972,[1]products!$A$1:$A$49,0),MATCH([1]orders!K$1,[1]products!$A$1:$G$1,0))</f>
        <v>0.5</v>
      </c>
      <c r="H972" s="6">
        <f>INDEX([1]products!$A$1:$G$49,MATCH([1]orders!$D972,[1]products!$A$1:$A$49,0),MATCH([1]orders!L$1,[1]products!$A$1:$G$1,0))</f>
        <v>8.25</v>
      </c>
      <c r="I972" s="6">
        <f t="shared" si="15"/>
        <v>8.25</v>
      </c>
    </row>
    <row r="973" spans="1:9" x14ac:dyDescent="0.3">
      <c r="A973" s="1" t="s">
        <v>1865</v>
      </c>
      <c r="B973" s="2">
        <v>43703</v>
      </c>
      <c r="C973" s="3" t="s">
        <v>1866</v>
      </c>
      <c r="D973" s="3" t="str">
        <f>INDEX('Customers (2)'!B:B,MATCH('Customers (2)'!A973,'Customers (2)'!A:A,0))</f>
        <v>Noni Furber</v>
      </c>
      <c r="E973" s="4" t="s">
        <v>204</v>
      </c>
      <c r="F973" s="3">
        <v>5</v>
      </c>
      <c r="G973" s="5">
        <f>INDEX([1]products!$A$1:$G$49,MATCH([1]orders!$D973,[1]products!$A$1:$A$49,0),MATCH([1]orders!K$1,[1]products!$A$1:$G$1,0))</f>
        <v>2.5</v>
      </c>
      <c r="H973" s="6">
        <f>INDEX([1]products!$A$1:$G$49,MATCH([1]orders!$D973,[1]products!$A$1:$A$49,0),MATCH([1]orders!L$1,[1]products!$A$1:$G$1,0))</f>
        <v>29.784999999999997</v>
      </c>
      <c r="I973" s="6">
        <f t="shared" si="15"/>
        <v>148.92499999999998</v>
      </c>
    </row>
    <row r="974" spans="1:9" x14ac:dyDescent="0.3">
      <c r="A974" s="1" t="s">
        <v>1867</v>
      </c>
      <c r="B974" s="2">
        <v>44411</v>
      </c>
      <c r="C974" s="3" t="s">
        <v>1868</v>
      </c>
      <c r="D974" s="3" t="str">
        <f>INDEX('Customers (2)'!B:B,MATCH('Customers (2)'!A974,'Customers (2)'!A:A,0))</f>
        <v>Dinah Crutcher</v>
      </c>
      <c r="E974" s="4" t="s">
        <v>204</v>
      </c>
      <c r="F974" s="3">
        <v>3</v>
      </c>
      <c r="G974" s="5">
        <f>INDEX([1]products!$A$1:$G$49,MATCH([1]orders!$D974,[1]products!$A$1:$A$49,0),MATCH([1]orders!K$1,[1]products!$A$1:$G$1,0))</f>
        <v>2.5</v>
      </c>
      <c r="H974" s="6">
        <f>INDEX([1]products!$A$1:$G$49,MATCH([1]orders!$D974,[1]products!$A$1:$A$49,0),MATCH([1]orders!L$1,[1]products!$A$1:$G$1,0))</f>
        <v>29.784999999999997</v>
      </c>
      <c r="I974" s="6">
        <f t="shared" si="15"/>
        <v>89.35499999999999</v>
      </c>
    </row>
    <row r="975" spans="1:9" x14ac:dyDescent="0.3">
      <c r="A975" s="1" t="s">
        <v>1869</v>
      </c>
      <c r="B975" s="2">
        <v>44493</v>
      </c>
      <c r="C975" s="3" t="s">
        <v>1870</v>
      </c>
      <c r="D975" s="3" t="str">
        <f>INDEX('Customers (2)'!B:B,MATCH('Customers (2)'!A975,'Customers (2)'!A:A,0))</f>
        <v>Charlean Keave</v>
      </c>
      <c r="E975" s="4" t="s">
        <v>96</v>
      </c>
      <c r="F975" s="3">
        <v>6</v>
      </c>
      <c r="G975" s="5">
        <f>INDEX([1]products!$A$1:$G$49,MATCH([1]orders!$D975,[1]products!$A$1:$A$49,0),MATCH([1]orders!K$1,[1]products!$A$1:$G$1,0))</f>
        <v>1</v>
      </c>
      <c r="H975" s="6">
        <f>INDEX([1]products!$A$1:$G$49,MATCH([1]orders!$D975,[1]products!$A$1:$A$49,0),MATCH([1]orders!L$1,[1]products!$A$1:$G$1,0))</f>
        <v>14.55</v>
      </c>
      <c r="I975" s="6">
        <f t="shared" si="15"/>
        <v>87.300000000000011</v>
      </c>
    </row>
    <row r="976" spans="1:9" x14ac:dyDescent="0.3">
      <c r="A976" s="1" t="s">
        <v>1871</v>
      </c>
      <c r="B976" s="2">
        <v>43556</v>
      </c>
      <c r="C976" s="3" t="s">
        <v>1872</v>
      </c>
      <c r="D976" s="3" t="str">
        <f>INDEX('Customers (2)'!B:B,MATCH('Customers (2)'!A976,'Customers (2)'!A:A,0))</f>
        <v>Sada Roseborough</v>
      </c>
      <c r="E976" s="4" t="s">
        <v>146</v>
      </c>
      <c r="F976" s="3">
        <v>1</v>
      </c>
      <c r="G976" s="5">
        <f>INDEX([1]products!$A$1:$G$49,MATCH([1]orders!$D976,[1]products!$A$1:$A$49,0),MATCH([1]orders!K$1,[1]products!$A$1:$G$1,0))</f>
        <v>0.5</v>
      </c>
      <c r="H976" s="6">
        <f>INDEX([1]products!$A$1:$G$49,MATCH([1]orders!$D976,[1]products!$A$1:$A$49,0),MATCH([1]orders!L$1,[1]products!$A$1:$G$1,0))</f>
        <v>5.3699999999999992</v>
      </c>
      <c r="I976" s="6">
        <f t="shared" si="15"/>
        <v>5.3699999999999992</v>
      </c>
    </row>
    <row r="977" spans="1:9" x14ac:dyDescent="0.3">
      <c r="A977" s="1" t="s">
        <v>1873</v>
      </c>
      <c r="B977" s="2">
        <v>44538</v>
      </c>
      <c r="C977" s="3" t="s">
        <v>1874</v>
      </c>
      <c r="D977" s="3" t="str">
        <f>INDEX('Customers (2)'!B:B,MATCH('Customers (2)'!A977,'Customers (2)'!A:A,0))</f>
        <v>Clayton Kingwell</v>
      </c>
      <c r="E977" s="4" t="s">
        <v>54</v>
      </c>
      <c r="F977" s="3">
        <v>3</v>
      </c>
      <c r="G977" s="5">
        <f>INDEX([1]products!$A$1:$G$49,MATCH([1]orders!$D977,[1]products!$A$1:$A$49,0),MATCH([1]orders!K$1,[1]products!$A$1:$G$1,0))</f>
        <v>0.2</v>
      </c>
      <c r="H977" s="6">
        <f>INDEX([1]products!$A$1:$G$49,MATCH([1]orders!$D977,[1]products!$A$1:$A$49,0),MATCH([1]orders!L$1,[1]products!$A$1:$G$1,0))</f>
        <v>2.9849999999999999</v>
      </c>
      <c r="I977" s="6">
        <f t="shared" si="15"/>
        <v>8.9550000000000001</v>
      </c>
    </row>
    <row r="978" spans="1:9" x14ac:dyDescent="0.3">
      <c r="A978" s="1" t="s">
        <v>1875</v>
      </c>
      <c r="B978" s="2">
        <v>43643</v>
      </c>
      <c r="C978" s="3" t="s">
        <v>1876</v>
      </c>
      <c r="D978" s="3" t="str">
        <f>INDEX('Customers (2)'!B:B,MATCH('Customers (2)'!A978,'Customers (2)'!A:A,0))</f>
        <v>Kacy Canto</v>
      </c>
      <c r="E978" s="4" t="s">
        <v>10</v>
      </c>
      <c r="F978" s="3">
        <v>5</v>
      </c>
      <c r="G978" s="5">
        <f>INDEX([1]products!$A$1:$G$49,MATCH([1]orders!$D978,[1]products!$A$1:$A$49,0),MATCH([1]orders!K$1,[1]products!$A$1:$G$1,0))</f>
        <v>2.5</v>
      </c>
      <c r="H978" s="6">
        <f>INDEX([1]products!$A$1:$G$49,MATCH([1]orders!$D978,[1]products!$A$1:$A$49,0),MATCH([1]orders!L$1,[1]products!$A$1:$G$1,0))</f>
        <v>27.484999999999996</v>
      </c>
      <c r="I978" s="6">
        <f t="shared" si="15"/>
        <v>137.42499999999998</v>
      </c>
    </row>
    <row r="979" spans="1:9" x14ac:dyDescent="0.3">
      <c r="A979" s="1" t="s">
        <v>1877</v>
      </c>
      <c r="B979" s="2">
        <v>44026</v>
      </c>
      <c r="C979" s="3" t="s">
        <v>1878</v>
      </c>
      <c r="D979" s="3" t="str">
        <f>INDEX('Customers (2)'!B:B,MATCH('Customers (2)'!A979,'Customers (2)'!A:A,0))</f>
        <v>Mab Blakemore</v>
      </c>
      <c r="E979" s="4" t="s">
        <v>189</v>
      </c>
      <c r="F979" s="3">
        <v>5</v>
      </c>
      <c r="G979" s="5">
        <f>INDEX([1]products!$A$1:$G$49,MATCH([1]orders!$D979,[1]products!$A$1:$A$49,0),MATCH([1]orders!K$1,[1]products!$A$1:$G$1,0))</f>
        <v>1</v>
      </c>
      <c r="H979" s="6">
        <f>INDEX([1]products!$A$1:$G$49,MATCH([1]orders!$D979,[1]products!$A$1:$A$49,0),MATCH([1]orders!L$1,[1]products!$A$1:$G$1,0))</f>
        <v>11.95</v>
      </c>
      <c r="I979" s="6">
        <f t="shared" si="15"/>
        <v>59.75</v>
      </c>
    </row>
    <row r="980" spans="1:9" x14ac:dyDescent="0.3">
      <c r="A980" s="1" t="s">
        <v>1879</v>
      </c>
      <c r="B980" s="2">
        <v>43913</v>
      </c>
      <c r="C980" s="3" t="s">
        <v>1870</v>
      </c>
      <c r="D980" s="3" t="str">
        <f>INDEX('Customers (2)'!B:B,MATCH('Customers (2)'!A980,'Customers (2)'!A:A,0))</f>
        <v>Dedie Gooderridge</v>
      </c>
      <c r="E980" s="4" t="s">
        <v>192</v>
      </c>
      <c r="F980" s="3">
        <v>3</v>
      </c>
      <c r="G980" s="5">
        <f>INDEX([1]products!$A$1:$G$49,MATCH([1]orders!$D980,[1]products!$A$1:$A$49,0),MATCH([1]orders!K$1,[1]products!$A$1:$G$1,0))</f>
        <v>0.5</v>
      </c>
      <c r="H980" s="6">
        <f>INDEX([1]products!$A$1:$G$49,MATCH([1]orders!$D980,[1]products!$A$1:$A$49,0),MATCH([1]orders!L$1,[1]products!$A$1:$G$1,0))</f>
        <v>7.77</v>
      </c>
      <c r="I980" s="6">
        <f t="shared" si="15"/>
        <v>23.31</v>
      </c>
    </row>
    <row r="981" spans="1:9" x14ac:dyDescent="0.3">
      <c r="A981" s="1" t="s">
        <v>1880</v>
      </c>
      <c r="B981" s="2">
        <v>43856</v>
      </c>
      <c r="C981" s="3" t="s">
        <v>1881</v>
      </c>
      <c r="D981" s="3" t="str">
        <f>INDEX('Customers (2)'!B:B,MATCH('Customers (2)'!A981,'Customers (2)'!A:A,0))</f>
        <v>Javier Causnett</v>
      </c>
      <c r="E981" s="4" t="s">
        <v>146</v>
      </c>
      <c r="F981" s="3">
        <v>2</v>
      </c>
      <c r="G981" s="5">
        <f>INDEX([1]products!$A$1:$G$49,MATCH([1]orders!$D981,[1]products!$A$1:$A$49,0),MATCH([1]orders!K$1,[1]products!$A$1:$G$1,0))</f>
        <v>0.5</v>
      </c>
      <c r="H981" s="6">
        <f>INDEX([1]products!$A$1:$G$49,MATCH([1]orders!$D981,[1]products!$A$1:$A$49,0),MATCH([1]orders!L$1,[1]products!$A$1:$G$1,0))</f>
        <v>5.3699999999999992</v>
      </c>
      <c r="I981" s="6">
        <f t="shared" si="15"/>
        <v>10.739999999999998</v>
      </c>
    </row>
    <row r="982" spans="1:9" x14ac:dyDescent="0.3">
      <c r="A982" s="1" t="s">
        <v>1882</v>
      </c>
      <c r="B982" s="2">
        <v>43982</v>
      </c>
      <c r="C982" s="3" t="s">
        <v>1883</v>
      </c>
      <c r="D982" s="3" t="str">
        <f>INDEX('Customers (2)'!B:B,MATCH('Customers (2)'!A982,'Customers (2)'!A:A,0))</f>
        <v>Demetris Micheli</v>
      </c>
      <c r="E982" s="4" t="s">
        <v>530</v>
      </c>
      <c r="F982" s="3">
        <v>6</v>
      </c>
      <c r="G982" s="5">
        <f>INDEX([1]products!$A$1:$G$49,MATCH([1]orders!$D982,[1]products!$A$1:$A$49,0),MATCH([1]orders!K$1,[1]products!$A$1:$G$1,0))</f>
        <v>2.5</v>
      </c>
      <c r="H982" s="6">
        <f>INDEX([1]products!$A$1:$G$49,MATCH([1]orders!$D982,[1]products!$A$1:$A$49,0),MATCH([1]orders!L$1,[1]products!$A$1:$G$1,0))</f>
        <v>27.945</v>
      </c>
      <c r="I982" s="6">
        <f t="shared" si="15"/>
        <v>167.67000000000002</v>
      </c>
    </row>
    <row r="983" spans="1:9" x14ac:dyDescent="0.3">
      <c r="A983" s="1" t="s">
        <v>1884</v>
      </c>
      <c r="B983" s="2">
        <v>44397</v>
      </c>
      <c r="C983" s="3" t="s">
        <v>1885</v>
      </c>
      <c r="D983" s="3" t="str">
        <f>INDEX('Customers (2)'!B:B,MATCH('Customers (2)'!A983,'Customers (2)'!A:A,0))</f>
        <v>Chloette Bernardot</v>
      </c>
      <c r="E983" s="4" t="s">
        <v>51</v>
      </c>
      <c r="F983" s="3">
        <v>6</v>
      </c>
      <c r="G983" s="5">
        <f>INDEX([1]products!$A$1:$G$49,MATCH([1]orders!$D983,[1]products!$A$1:$A$49,0),MATCH([1]orders!K$1,[1]products!$A$1:$G$1,0))</f>
        <v>0.2</v>
      </c>
      <c r="H983" s="6">
        <f>INDEX([1]products!$A$1:$G$49,MATCH([1]orders!$D983,[1]products!$A$1:$A$49,0),MATCH([1]orders!L$1,[1]products!$A$1:$G$1,0))</f>
        <v>3.645</v>
      </c>
      <c r="I983" s="6">
        <f t="shared" si="15"/>
        <v>21.87</v>
      </c>
    </row>
    <row r="984" spans="1:9" x14ac:dyDescent="0.3">
      <c r="A984" s="1" t="s">
        <v>1886</v>
      </c>
      <c r="B984" s="2">
        <v>44785</v>
      </c>
      <c r="C984" s="3" t="s">
        <v>1887</v>
      </c>
      <c r="D984" s="3" t="str">
        <f>INDEX('Customers (2)'!B:B,MATCH('Customers (2)'!A984,'Customers (2)'!A:A,0))</f>
        <v>Kim Kemery</v>
      </c>
      <c r="E984" s="4" t="s">
        <v>189</v>
      </c>
      <c r="F984" s="3">
        <v>2</v>
      </c>
      <c r="G984" s="5">
        <f>INDEX([1]products!$A$1:$G$49,MATCH([1]orders!$D984,[1]products!$A$1:$A$49,0),MATCH([1]orders!K$1,[1]products!$A$1:$G$1,0))</f>
        <v>1</v>
      </c>
      <c r="H984" s="6">
        <f>INDEX([1]products!$A$1:$G$49,MATCH([1]orders!$D984,[1]products!$A$1:$A$49,0),MATCH([1]orders!L$1,[1]products!$A$1:$G$1,0))</f>
        <v>11.95</v>
      </c>
      <c r="I984" s="6">
        <f t="shared" si="15"/>
        <v>23.9</v>
      </c>
    </row>
    <row r="985" spans="1:9" x14ac:dyDescent="0.3">
      <c r="A985" s="1" t="s">
        <v>1888</v>
      </c>
      <c r="B985" s="2">
        <v>43831</v>
      </c>
      <c r="C985" s="3" t="s">
        <v>1889</v>
      </c>
      <c r="D985" s="3" t="str">
        <f>INDEX('Customers (2)'!B:B,MATCH('Customers (2)'!A985,'Customers (2)'!A:A,0))</f>
        <v>Fanchette Parlot</v>
      </c>
      <c r="E985" s="4" t="s">
        <v>44</v>
      </c>
      <c r="F985" s="3">
        <v>2</v>
      </c>
      <c r="G985" s="5">
        <f>INDEX([1]products!$A$1:$G$49,MATCH([1]orders!$D985,[1]products!$A$1:$A$49,0),MATCH([1]orders!K$1,[1]products!$A$1:$G$1,0))</f>
        <v>0.2</v>
      </c>
      <c r="H985" s="6">
        <f>INDEX([1]products!$A$1:$G$49,MATCH([1]orders!$D985,[1]products!$A$1:$A$49,0),MATCH([1]orders!L$1,[1]products!$A$1:$G$1,0))</f>
        <v>3.375</v>
      </c>
      <c r="I985" s="4">
        <f t="shared" si="15"/>
        <v>6.75</v>
      </c>
    </row>
    <row r="986" spans="1:9" x14ac:dyDescent="0.3">
      <c r="A986" s="1" t="s">
        <v>1890</v>
      </c>
      <c r="B986" s="2">
        <v>44214</v>
      </c>
      <c r="C986" s="3" t="s">
        <v>1891</v>
      </c>
      <c r="D986" s="3" t="str">
        <f>INDEX('Customers (2)'!B:B,MATCH('Customers (2)'!A986,'Customers (2)'!A:A,0))</f>
        <v>Ramon Cheak</v>
      </c>
      <c r="E986" s="4" t="s">
        <v>112</v>
      </c>
      <c r="F986" s="3">
        <v>1</v>
      </c>
      <c r="G986" s="5">
        <f>INDEX([1]products!$A$1:$G$49,MATCH([1]orders!$D986,[1]products!$A$1:$A$49,0),MATCH([1]orders!K$1,[1]products!$A$1:$G$1,0))</f>
        <v>2.5</v>
      </c>
      <c r="H986" s="6">
        <f>INDEX([1]products!$A$1:$G$49,MATCH([1]orders!$D986,[1]products!$A$1:$A$49,0),MATCH([1]orders!L$1,[1]products!$A$1:$G$1,0))</f>
        <v>31.624999999999996</v>
      </c>
      <c r="I986" s="6">
        <f t="shared" si="15"/>
        <v>31.624999999999996</v>
      </c>
    </row>
    <row r="987" spans="1:9" x14ac:dyDescent="0.3">
      <c r="A987" s="1" t="s">
        <v>1892</v>
      </c>
      <c r="B987" s="2">
        <v>44561</v>
      </c>
      <c r="C987" s="3" t="s">
        <v>1893</v>
      </c>
      <c r="D987" s="3" t="str">
        <f>INDEX('Customers (2)'!B:B,MATCH('Customers (2)'!A987,'Customers (2)'!A:A,0))</f>
        <v>Koressa O'Geneay</v>
      </c>
      <c r="E987" s="4" t="s">
        <v>189</v>
      </c>
      <c r="F987" s="3">
        <v>4</v>
      </c>
      <c r="G987" s="5">
        <f>INDEX([1]products!$A$1:$G$49,MATCH([1]orders!$D987,[1]products!$A$1:$A$49,0),MATCH([1]orders!K$1,[1]products!$A$1:$G$1,0))</f>
        <v>1</v>
      </c>
      <c r="H987" s="6">
        <f>INDEX([1]products!$A$1:$G$49,MATCH([1]orders!$D987,[1]products!$A$1:$A$49,0),MATCH([1]orders!L$1,[1]products!$A$1:$G$1,0))</f>
        <v>11.95</v>
      </c>
      <c r="I987" s="6">
        <f t="shared" si="15"/>
        <v>47.8</v>
      </c>
    </row>
    <row r="988" spans="1:9" x14ac:dyDescent="0.3">
      <c r="A988" s="1" t="s">
        <v>1894</v>
      </c>
      <c r="B988" s="2">
        <v>43955</v>
      </c>
      <c r="C988" s="3" t="s">
        <v>1895</v>
      </c>
      <c r="D988" s="3" t="str">
        <f>INDEX('Customers (2)'!B:B,MATCH('Customers (2)'!A988,'Customers (2)'!A:A,0))</f>
        <v>Claudell Ayre</v>
      </c>
      <c r="E988" s="4" t="s">
        <v>197</v>
      </c>
      <c r="F988" s="3">
        <v>1</v>
      </c>
      <c r="G988" s="5">
        <f>INDEX([1]products!$A$1:$G$49,MATCH([1]orders!$D988,[1]products!$A$1:$A$49,0),MATCH([1]orders!K$1,[1]products!$A$1:$G$1,0))</f>
        <v>2.5</v>
      </c>
      <c r="H988" s="6">
        <f>INDEX([1]products!$A$1:$G$49,MATCH([1]orders!$D988,[1]products!$A$1:$A$49,0),MATCH([1]orders!L$1,[1]products!$A$1:$G$1,0))</f>
        <v>33.464999999999996</v>
      </c>
      <c r="I988" s="6">
        <f t="shared" si="15"/>
        <v>33.464999999999996</v>
      </c>
    </row>
    <row r="989" spans="1:9" x14ac:dyDescent="0.3">
      <c r="A989" s="1" t="s">
        <v>1896</v>
      </c>
      <c r="B989" s="2">
        <v>44247</v>
      </c>
      <c r="C989" s="3" t="s">
        <v>1897</v>
      </c>
      <c r="D989" s="3" t="str">
        <f>INDEX('Customers (2)'!B:B,MATCH('Customers (2)'!A989,'Customers (2)'!A:A,0))</f>
        <v>Lorianne Kyneton</v>
      </c>
      <c r="E989" s="4" t="s">
        <v>72</v>
      </c>
      <c r="F989" s="3">
        <v>5</v>
      </c>
      <c r="G989" s="5">
        <f>INDEX([1]products!$A$1:$G$49,MATCH([1]orders!$D989,[1]products!$A$1:$A$49,0),MATCH([1]orders!K$1,[1]products!$A$1:$G$1,0))</f>
        <v>0.5</v>
      </c>
      <c r="H989" s="6">
        <f>INDEX([1]products!$A$1:$G$49,MATCH([1]orders!$D989,[1]products!$A$1:$A$49,0),MATCH([1]orders!L$1,[1]products!$A$1:$G$1,0))</f>
        <v>5.97</v>
      </c>
      <c r="I989" s="6">
        <f t="shared" si="15"/>
        <v>29.849999999999998</v>
      </c>
    </row>
    <row r="990" spans="1:9" x14ac:dyDescent="0.3">
      <c r="A990" s="1" t="s">
        <v>1898</v>
      </c>
      <c r="B990" s="2">
        <v>43897</v>
      </c>
      <c r="C990" s="3" t="s">
        <v>1899</v>
      </c>
      <c r="D990" s="3" t="str">
        <f>INDEX('Customers (2)'!B:B,MATCH('Customers (2)'!A990,'Customers (2)'!A:A,0))</f>
        <v>Adele McFayden</v>
      </c>
      <c r="E990" s="4" t="s">
        <v>2</v>
      </c>
      <c r="F990" s="3">
        <v>3</v>
      </c>
      <c r="G990" s="5">
        <f>INDEX([1]products!$A$1:$G$49,MATCH([1]orders!$D990,[1]products!$A$1:$A$49,0),MATCH([1]orders!K$1,[1]products!$A$1:$G$1,0))</f>
        <v>1</v>
      </c>
      <c r="H990" s="6">
        <f>INDEX([1]products!$A$1:$G$49,MATCH([1]orders!$D990,[1]products!$A$1:$A$49,0),MATCH([1]orders!L$1,[1]products!$A$1:$G$1,0))</f>
        <v>9.9499999999999993</v>
      </c>
      <c r="I990" s="6">
        <f t="shared" si="15"/>
        <v>29.849999999999998</v>
      </c>
    </row>
    <row r="991" spans="1:9" x14ac:dyDescent="0.3">
      <c r="A991" s="1" t="s">
        <v>1900</v>
      </c>
      <c r="B991" s="2">
        <v>43560</v>
      </c>
      <c r="C991" s="3" t="s">
        <v>1901</v>
      </c>
      <c r="D991" s="3" t="str">
        <f>INDEX('Customers (2)'!B:B,MATCH('Customers (2)'!A991,'Customers (2)'!A:A,0))</f>
        <v>Herta Layne</v>
      </c>
      <c r="E991" s="4" t="s">
        <v>171</v>
      </c>
      <c r="F991" s="3">
        <v>6</v>
      </c>
      <c r="G991" s="5">
        <f>INDEX([1]products!$A$1:$G$49,MATCH([1]orders!$D991,[1]products!$A$1:$A$49,0),MATCH([1]orders!K$1,[1]products!$A$1:$G$1,0))</f>
        <v>2.5</v>
      </c>
      <c r="H991" s="6">
        <f>INDEX([1]products!$A$1:$G$49,MATCH([1]orders!$D991,[1]products!$A$1:$A$49,0),MATCH([1]orders!L$1,[1]products!$A$1:$G$1,0))</f>
        <v>25.874999999999996</v>
      </c>
      <c r="I991" s="6">
        <f t="shared" si="15"/>
        <v>155.24999999999997</v>
      </c>
    </row>
    <row r="992" spans="1:9" x14ac:dyDescent="0.3">
      <c r="A992" s="1" t="s">
        <v>1902</v>
      </c>
      <c r="B992" s="2">
        <v>44718</v>
      </c>
      <c r="C992" s="3" t="s">
        <v>1903</v>
      </c>
      <c r="D992" s="3" t="str">
        <f>INDEX('Customers (2)'!B:B,MATCH('Customers (2)'!A992,'Customers (2)'!A:A,0))</f>
        <v>Dierdre Scrigmour</v>
      </c>
      <c r="E992" s="4" t="s">
        <v>51</v>
      </c>
      <c r="F992" s="3">
        <v>5</v>
      </c>
      <c r="G992" s="5">
        <f>INDEX([1]products!$A$1:$G$49,MATCH([1]orders!$D992,[1]products!$A$1:$A$49,0),MATCH([1]orders!K$1,[1]products!$A$1:$G$1,0))</f>
        <v>0.2</v>
      </c>
      <c r="H992" s="6">
        <f>INDEX([1]products!$A$1:$G$49,MATCH([1]orders!$D992,[1]products!$A$1:$A$49,0),MATCH([1]orders!L$1,[1]products!$A$1:$G$1,0))</f>
        <v>3.645</v>
      </c>
      <c r="I992" s="6">
        <f t="shared" si="15"/>
        <v>18.225000000000001</v>
      </c>
    </row>
    <row r="993" spans="1:9" x14ac:dyDescent="0.3">
      <c r="A993" s="1" t="s">
        <v>1902</v>
      </c>
      <c r="B993" s="2">
        <v>44718</v>
      </c>
      <c r="C993" s="3" t="s">
        <v>1903</v>
      </c>
      <c r="D993" s="3" t="str">
        <f>INDEX('Customers (2)'!B:B,MATCH('Customers (2)'!A993,'Customers (2)'!A:A,0))</f>
        <v>Romy Whittlesea</v>
      </c>
      <c r="E993" s="4" t="s">
        <v>123</v>
      </c>
      <c r="F993" s="3">
        <v>2</v>
      </c>
      <c r="G993" s="5">
        <f>INDEX([1]products!$A$1:$G$49,MATCH([1]orders!$D993,[1]products!$A$1:$A$49,0),MATCH([1]orders!K$1,[1]products!$A$1:$G$1,0))</f>
        <v>0.5</v>
      </c>
      <c r="H993" s="6">
        <f>INDEX([1]products!$A$1:$G$49,MATCH([1]orders!$D993,[1]products!$A$1:$A$49,0),MATCH([1]orders!L$1,[1]products!$A$1:$G$1,0))</f>
        <v>7.77</v>
      </c>
      <c r="I993" s="6">
        <f t="shared" si="15"/>
        <v>15.54</v>
      </c>
    </row>
    <row r="994" spans="1:9" x14ac:dyDescent="0.3">
      <c r="A994" s="1" t="s">
        <v>1904</v>
      </c>
      <c r="B994" s="2">
        <v>44276</v>
      </c>
      <c r="C994" s="3" t="s">
        <v>1905</v>
      </c>
      <c r="D994" s="3" t="str">
        <f>INDEX('Customers (2)'!B:B,MATCH('Customers (2)'!A994,'Customers (2)'!A:A,0))</f>
        <v>Desdemona Eye</v>
      </c>
      <c r="E994" s="4" t="s">
        <v>104</v>
      </c>
      <c r="F994" s="3">
        <v>3</v>
      </c>
      <c r="G994" s="5">
        <f>INDEX([1]products!$A$1:$G$49,MATCH([1]orders!$D994,[1]products!$A$1:$A$49,0),MATCH([1]orders!K$1,[1]products!$A$1:$G$1,0))</f>
        <v>2.5</v>
      </c>
      <c r="H994" s="6">
        <f>INDEX([1]products!$A$1:$G$49,MATCH([1]orders!$D994,[1]products!$A$1:$A$49,0),MATCH([1]orders!L$1,[1]products!$A$1:$G$1,0))</f>
        <v>36.454999999999998</v>
      </c>
      <c r="I994" s="6">
        <f t="shared" si="15"/>
        <v>109.36499999999999</v>
      </c>
    </row>
    <row r="995" spans="1:9" x14ac:dyDescent="0.3">
      <c r="A995" s="1" t="s">
        <v>1906</v>
      </c>
      <c r="B995" s="2">
        <v>44549</v>
      </c>
      <c r="C995" s="3" t="s">
        <v>1907</v>
      </c>
      <c r="D995" s="3" t="str">
        <f>INDEX('Customers (2)'!B:B,MATCH('Customers (2)'!A995,'Customers (2)'!A:A,0))</f>
        <v>Margarette Sterland</v>
      </c>
      <c r="E995" s="4" t="s">
        <v>6</v>
      </c>
      <c r="F995" s="3">
        <v>6</v>
      </c>
      <c r="G995" s="5">
        <f>INDEX([1]products!$A$1:$G$49,MATCH([1]orders!$D995,[1]products!$A$1:$A$49,0),MATCH([1]orders!K$1,[1]products!$A$1:$G$1,0))</f>
        <v>1</v>
      </c>
      <c r="H995" s="6">
        <f>INDEX([1]products!$A$1:$G$49,MATCH([1]orders!$D995,[1]products!$A$1:$A$49,0),MATCH([1]orders!L$1,[1]products!$A$1:$G$1,0))</f>
        <v>12.95</v>
      </c>
      <c r="I995" s="6">
        <f t="shared" si="15"/>
        <v>77.699999999999989</v>
      </c>
    </row>
    <row r="996" spans="1:9" x14ac:dyDescent="0.3">
      <c r="A996" s="1" t="s">
        <v>1908</v>
      </c>
      <c r="B996" s="2">
        <v>44244</v>
      </c>
      <c r="C996" s="3" t="s">
        <v>1909</v>
      </c>
      <c r="D996" s="3" t="str">
        <f>INDEX('Customers (2)'!B:B,MATCH('Customers (2)'!A996,'Customers (2)'!A:A,0))</f>
        <v>Catharine Scoines</v>
      </c>
      <c r="E996" s="4" t="s">
        <v>54</v>
      </c>
      <c r="F996" s="3">
        <v>3</v>
      </c>
      <c r="G996" s="5">
        <f>INDEX([1]products!$A$1:$G$49,MATCH([1]orders!$D996,[1]products!$A$1:$A$49,0),MATCH([1]orders!K$1,[1]products!$A$1:$G$1,0))</f>
        <v>0.2</v>
      </c>
      <c r="H996" s="6">
        <f>INDEX([1]products!$A$1:$G$49,MATCH([1]orders!$D996,[1]products!$A$1:$A$49,0),MATCH([1]orders!L$1,[1]products!$A$1:$G$1,0))</f>
        <v>2.9849999999999999</v>
      </c>
      <c r="I996" s="6">
        <f t="shared" si="15"/>
        <v>8.9550000000000001</v>
      </c>
    </row>
    <row r="997" spans="1:9" x14ac:dyDescent="0.3">
      <c r="A997" s="1" t="s">
        <v>1910</v>
      </c>
      <c r="B997" s="2">
        <v>43836</v>
      </c>
      <c r="C997" s="3" t="s">
        <v>1911</v>
      </c>
      <c r="D997" s="3" t="str">
        <f>INDEX('Customers (2)'!B:B,MATCH('Customers (2)'!A997,'Customers (2)'!A:A,0))</f>
        <v>Jennica Tewelson</v>
      </c>
      <c r="E997" s="4" t="s">
        <v>10</v>
      </c>
      <c r="F997" s="3">
        <v>1</v>
      </c>
      <c r="G997" s="5">
        <f>INDEX([1]products!$A$1:$G$49,MATCH([1]orders!$D997,[1]products!$A$1:$A$49,0),MATCH([1]orders!K$1,[1]products!$A$1:$G$1,0))</f>
        <v>2.5</v>
      </c>
      <c r="H997" s="6">
        <f>INDEX([1]products!$A$1:$G$49,MATCH([1]orders!$D997,[1]products!$A$1:$A$49,0),MATCH([1]orders!L$1,[1]products!$A$1:$G$1,0))</f>
        <v>27.484999999999996</v>
      </c>
      <c r="I997" s="6">
        <f t="shared" si="15"/>
        <v>27.484999999999996</v>
      </c>
    </row>
    <row r="998" spans="1:9" x14ac:dyDescent="0.3">
      <c r="A998" s="1" t="s">
        <v>1912</v>
      </c>
      <c r="B998" s="2">
        <v>44685</v>
      </c>
      <c r="C998" s="3" t="s">
        <v>1903</v>
      </c>
      <c r="D998" s="3" t="str">
        <f>INDEX('Customers (2)'!B:B,MATCH('Customers (2)'!A998,'Customers (2)'!A:A,0))</f>
        <v>Marguerite Graves</v>
      </c>
      <c r="E998" s="4" t="s">
        <v>22</v>
      </c>
      <c r="F998" s="3">
        <v>5</v>
      </c>
      <c r="G998" s="5">
        <f>INDEX([1]products!$A$1:$G$49,MATCH([1]orders!$D998,[1]products!$A$1:$A$49,0),MATCH([1]orders!K$1,[1]products!$A$1:$G$1,0))</f>
        <v>0.5</v>
      </c>
      <c r="H998" s="6">
        <f>INDEX([1]products!$A$1:$G$49,MATCH([1]orders!$D998,[1]products!$A$1:$A$49,0),MATCH([1]orders!L$1,[1]products!$A$1:$G$1,0))</f>
        <v>5.97</v>
      </c>
      <c r="I998" s="6">
        <f t="shared" si="15"/>
        <v>29.849999999999998</v>
      </c>
    </row>
    <row r="999" spans="1:9" x14ac:dyDescent="0.3">
      <c r="A999" s="1" t="s">
        <v>1913</v>
      </c>
      <c r="B999" s="2">
        <v>43749</v>
      </c>
      <c r="C999" s="3" t="s">
        <v>1903</v>
      </c>
      <c r="D999" s="3" t="str">
        <f>INDEX('Customers (2)'!B:B,MATCH('Customers (2)'!A999,'Customers (2)'!A:A,0))</f>
        <v>Etan Featenby</v>
      </c>
      <c r="E999" s="4" t="s">
        <v>67</v>
      </c>
      <c r="F999" s="3">
        <v>4</v>
      </c>
      <c r="G999" s="5">
        <f>INDEX([1]products!$A$1:$G$49,MATCH([1]orders!$D999,[1]products!$A$1:$A$49,0),MATCH([1]orders!K$1,[1]products!$A$1:$G$1,0))</f>
        <v>0.5</v>
      </c>
      <c r="H999" s="6">
        <f>INDEX([1]products!$A$1:$G$49,MATCH([1]orders!$D999,[1]products!$A$1:$A$49,0),MATCH([1]orders!L$1,[1]products!$A$1:$G$1,0))</f>
        <v>6.75</v>
      </c>
      <c r="I999" s="6">
        <f t="shared" si="15"/>
        <v>27</v>
      </c>
    </row>
    <row r="1000" spans="1:9" x14ac:dyDescent="0.3">
      <c r="A1000" s="1" t="s">
        <v>1914</v>
      </c>
      <c r="B1000" s="2">
        <v>44411</v>
      </c>
      <c r="C1000" s="3" t="s">
        <v>1915</v>
      </c>
      <c r="D1000" s="3" t="str">
        <f>INDEX('Customers (2)'!B:B,MATCH('Customers (2)'!A1000,'Customers (2)'!A:A,0))</f>
        <v>Nicolina Jenny</v>
      </c>
      <c r="E1000" s="4" t="s">
        <v>27</v>
      </c>
      <c r="F1000" s="3">
        <v>1</v>
      </c>
      <c r="G1000" s="5">
        <f>INDEX([1]products!$A$1:$G$49,MATCH([1]orders!$D1000,[1]products!$A$1:$A$49,0),MATCH([1]orders!K$1,[1]products!$A$1:$G$1,0))</f>
        <v>1</v>
      </c>
      <c r="H1000" s="6">
        <f>INDEX([1]products!$A$1:$G$49,MATCH([1]orders!$D1000,[1]products!$A$1:$A$49,0),MATCH([1]orders!L$1,[1]products!$A$1:$G$1,0))</f>
        <v>9.9499999999999993</v>
      </c>
      <c r="I1000" s="6">
        <f t="shared" si="15"/>
        <v>9.9499999999999993</v>
      </c>
    </row>
    <row r="1001" spans="1:9" x14ac:dyDescent="0.3">
      <c r="A1001" s="7" t="s">
        <v>1916</v>
      </c>
      <c r="B1001" s="8">
        <v>44119</v>
      </c>
      <c r="C1001" s="9" t="s">
        <v>1917</v>
      </c>
      <c r="D1001" s="3" t="str">
        <f>INDEX('Customers (2)'!B:B,MATCH('Customers (2)'!A1001,'Customers (2)'!A:A,0))</f>
        <v>Vidovic Antonelli</v>
      </c>
      <c r="E1001" s="10" t="s">
        <v>64</v>
      </c>
      <c r="F1001" s="9">
        <v>3</v>
      </c>
      <c r="G1001" s="11">
        <f>INDEX([1]products!$A$1:$G$49,MATCH([1]orders!$D1001,[1]products!$A$1:$A$49,0),MATCH([1]orders!K$1,[1]products!$A$1:$G$1,0))</f>
        <v>0.2</v>
      </c>
      <c r="H1001" s="12">
        <f>INDEX([1]products!$A$1:$G$49,MATCH([1]orders!$D1001,[1]products!$A$1:$A$49,0),MATCH([1]orders!L$1,[1]products!$A$1:$G$1,0))</f>
        <v>4.125</v>
      </c>
      <c r="I1001" s="12">
        <f t="shared" si="15"/>
        <v>12.375</v>
      </c>
    </row>
    <row r="1002" spans="1:9" x14ac:dyDescent="0.3">
      <c r="D1002" s="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92AB2-EA7F-462D-B2EE-B9FDB175C562}">
  <dimension ref="A1:I1001"/>
  <sheetViews>
    <sheetView topLeftCell="A112" workbookViewId="0">
      <selection activeCell="O20" sqref="O20"/>
    </sheetView>
  </sheetViews>
  <sheetFormatPr defaultRowHeight="14.4" x14ac:dyDescent="0.3"/>
  <cols>
    <col min="1" max="1" width="15.88671875" bestFit="1" customWidth="1"/>
    <col min="8" max="8" width="8.44140625" bestFit="1" customWidth="1"/>
    <col min="9" max="9" width="11" bestFit="1" customWidth="1"/>
  </cols>
  <sheetData>
    <row r="1" spans="1:9" x14ac:dyDescent="0.3">
      <c r="A1" s="13" t="s">
        <v>1920</v>
      </c>
      <c r="B1" s="14" t="s">
        <v>1923</v>
      </c>
      <c r="C1" s="15" t="s">
        <v>1924</v>
      </c>
      <c r="D1" s="15" t="s">
        <v>1931</v>
      </c>
      <c r="E1" s="15" t="s">
        <v>1932</v>
      </c>
      <c r="F1" s="16" t="s">
        <v>1933</v>
      </c>
      <c r="G1" s="15" t="s">
        <v>1925</v>
      </c>
      <c r="H1" s="15" t="s">
        <v>1934</v>
      </c>
      <c r="I1" s="13" t="s">
        <v>1935</v>
      </c>
    </row>
    <row r="2" spans="1:9" x14ac:dyDescent="0.3">
      <c r="A2" s="17" t="s">
        <v>1</v>
      </c>
      <c r="B2" s="17" t="s">
        <v>1936</v>
      </c>
      <c r="C2" s="17" t="s">
        <v>1937</v>
      </c>
      <c r="D2" s="17" t="s">
        <v>1938</v>
      </c>
      <c r="E2" s="17" t="s">
        <v>1939</v>
      </c>
      <c r="F2" s="17" t="s">
        <v>1940</v>
      </c>
      <c r="G2" s="17" t="s">
        <v>1941</v>
      </c>
      <c r="H2" s="17">
        <v>7505</v>
      </c>
      <c r="I2" t="s">
        <v>1942</v>
      </c>
    </row>
    <row r="3" spans="1:9" x14ac:dyDescent="0.3">
      <c r="A3" s="17" t="s">
        <v>1943</v>
      </c>
      <c r="B3" s="17" t="s">
        <v>1944</v>
      </c>
      <c r="C3" s="17" t="s">
        <v>1945</v>
      </c>
      <c r="D3" s="17" t="s">
        <v>1946</v>
      </c>
      <c r="E3" s="17" t="s">
        <v>1947</v>
      </c>
      <c r="F3" s="17" t="s">
        <v>1948</v>
      </c>
      <c r="G3" s="17" t="s">
        <v>1949</v>
      </c>
      <c r="H3" s="17" t="s">
        <v>1950</v>
      </c>
      <c r="I3" t="s">
        <v>1951</v>
      </c>
    </row>
    <row r="4" spans="1:9" x14ac:dyDescent="0.3">
      <c r="A4" s="17" t="s">
        <v>5</v>
      </c>
      <c r="B4" s="17" t="s">
        <v>1952</v>
      </c>
      <c r="C4" s="17" t="s">
        <v>1953</v>
      </c>
      <c r="D4" s="17" t="s">
        <v>1954</v>
      </c>
      <c r="E4" s="17" t="s">
        <v>1955</v>
      </c>
      <c r="F4" s="17" t="s">
        <v>1956</v>
      </c>
      <c r="G4" s="17" t="s">
        <v>1941</v>
      </c>
      <c r="H4" s="17">
        <v>78205</v>
      </c>
      <c r="I4" t="s">
        <v>1942</v>
      </c>
    </row>
    <row r="5" spans="1:9" x14ac:dyDescent="0.3">
      <c r="A5" s="17" t="s">
        <v>1957</v>
      </c>
      <c r="B5" s="17" t="s">
        <v>1958</v>
      </c>
      <c r="C5" s="17" t="s">
        <v>1959</v>
      </c>
      <c r="D5" s="17" t="s">
        <v>1960</v>
      </c>
      <c r="E5" s="17" t="s">
        <v>1961</v>
      </c>
      <c r="F5" s="17" t="s">
        <v>1962</v>
      </c>
      <c r="G5" s="17" t="s">
        <v>1941</v>
      </c>
      <c r="H5" s="17">
        <v>62711</v>
      </c>
      <c r="I5" t="s">
        <v>1942</v>
      </c>
    </row>
    <row r="6" spans="1:9" x14ac:dyDescent="0.3">
      <c r="A6" s="17" t="s">
        <v>8</v>
      </c>
      <c r="B6" s="17" t="s">
        <v>1963</v>
      </c>
      <c r="C6" s="17"/>
      <c r="D6" s="17" t="s">
        <v>1964</v>
      </c>
      <c r="E6" s="17" t="s">
        <v>1965</v>
      </c>
      <c r="F6" s="17" t="s">
        <v>1966</v>
      </c>
      <c r="G6" s="17" t="s">
        <v>1949</v>
      </c>
      <c r="H6" s="17" t="s">
        <v>1967</v>
      </c>
      <c r="I6" t="s">
        <v>1951</v>
      </c>
    </row>
    <row r="7" spans="1:9" x14ac:dyDescent="0.3">
      <c r="A7" s="17" t="s">
        <v>12</v>
      </c>
      <c r="B7" s="17" t="s">
        <v>1968</v>
      </c>
      <c r="C7" s="17"/>
      <c r="D7" s="17" t="s">
        <v>1969</v>
      </c>
      <c r="E7" s="17" t="s">
        <v>1970</v>
      </c>
      <c r="F7" s="17" t="s">
        <v>1971</v>
      </c>
      <c r="G7" s="17" t="s">
        <v>1941</v>
      </c>
      <c r="H7" s="17">
        <v>18505</v>
      </c>
      <c r="I7" t="s">
        <v>1951</v>
      </c>
    </row>
    <row r="8" spans="1:9" x14ac:dyDescent="0.3">
      <c r="A8" s="17" t="s">
        <v>15</v>
      </c>
      <c r="B8" s="17" t="s">
        <v>1972</v>
      </c>
      <c r="C8" s="17" t="s">
        <v>1973</v>
      </c>
      <c r="D8" s="17" t="s">
        <v>1974</v>
      </c>
      <c r="E8" s="17" t="s">
        <v>1975</v>
      </c>
      <c r="F8" s="17" t="s">
        <v>1976</v>
      </c>
      <c r="G8" s="17" t="s">
        <v>1941</v>
      </c>
      <c r="H8" s="17">
        <v>45440</v>
      </c>
      <c r="I8" t="s">
        <v>1942</v>
      </c>
    </row>
    <row r="9" spans="1:9" x14ac:dyDescent="0.3">
      <c r="A9" s="17" t="s">
        <v>18</v>
      </c>
      <c r="B9" s="17" t="s">
        <v>1977</v>
      </c>
      <c r="C9" s="17"/>
      <c r="D9" s="17" t="s">
        <v>1978</v>
      </c>
      <c r="E9" s="17" t="s">
        <v>1979</v>
      </c>
      <c r="F9" s="17" t="s">
        <v>1980</v>
      </c>
      <c r="G9" s="17" t="s">
        <v>1949</v>
      </c>
      <c r="H9" s="17" t="s">
        <v>1981</v>
      </c>
      <c r="I9" t="s">
        <v>1942</v>
      </c>
    </row>
    <row r="10" spans="1:9" x14ac:dyDescent="0.3">
      <c r="A10" s="17" t="s">
        <v>21</v>
      </c>
      <c r="B10" s="17" t="s">
        <v>1982</v>
      </c>
      <c r="C10" s="17" t="s">
        <v>1983</v>
      </c>
      <c r="D10" s="17" t="s">
        <v>1984</v>
      </c>
      <c r="E10" s="17" t="s">
        <v>1985</v>
      </c>
      <c r="F10" s="17" t="s">
        <v>1986</v>
      </c>
      <c r="G10" s="17" t="s">
        <v>1941</v>
      </c>
      <c r="H10" s="17">
        <v>90045</v>
      </c>
      <c r="I10" t="s">
        <v>1951</v>
      </c>
    </row>
    <row r="11" spans="1:9" x14ac:dyDescent="0.3">
      <c r="A11" s="17" t="s">
        <v>24</v>
      </c>
      <c r="B11" s="17" t="s">
        <v>1987</v>
      </c>
      <c r="C11" s="17" t="s">
        <v>1988</v>
      </c>
      <c r="D11" s="17" t="s">
        <v>1989</v>
      </c>
      <c r="E11" s="17" t="s">
        <v>1990</v>
      </c>
      <c r="F11" s="17" t="s">
        <v>1986</v>
      </c>
      <c r="G11" s="17" t="s">
        <v>1941</v>
      </c>
      <c r="H11" s="17">
        <v>90065</v>
      </c>
      <c r="I11" t="s">
        <v>1951</v>
      </c>
    </row>
    <row r="12" spans="1:9" x14ac:dyDescent="0.3">
      <c r="A12" s="17" t="s">
        <v>26</v>
      </c>
      <c r="B12" s="17" t="s">
        <v>1991</v>
      </c>
      <c r="C12" s="17" t="s">
        <v>1992</v>
      </c>
      <c r="D12" s="17" t="s">
        <v>1993</v>
      </c>
      <c r="E12" s="17" t="s">
        <v>1994</v>
      </c>
      <c r="F12" s="17" t="s">
        <v>1995</v>
      </c>
      <c r="G12" s="17" t="s">
        <v>1941</v>
      </c>
      <c r="H12" s="17">
        <v>95160</v>
      </c>
      <c r="I12" t="s">
        <v>1951</v>
      </c>
    </row>
    <row r="13" spans="1:9" x14ac:dyDescent="0.3">
      <c r="A13" s="17" t="s">
        <v>29</v>
      </c>
      <c r="B13" s="17" t="s">
        <v>1996</v>
      </c>
      <c r="C13" s="17" t="s">
        <v>1997</v>
      </c>
      <c r="D13" s="17" t="s">
        <v>1998</v>
      </c>
      <c r="E13" s="17" t="s">
        <v>1999</v>
      </c>
      <c r="F13" s="17" t="s">
        <v>1995</v>
      </c>
      <c r="G13" s="17" t="s">
        <v>1941</v>
      </c>
      <c r="H13" s="17">
        <v>95194</v>
      </c>
      <c r="I13" t="s">
        <v>1942</v>
      </c>
    </row>
    <row r="14" spans="1:9" x14ac:dyDescent="0.3">
      <c r="A14" s="17" t="s">
        <v>32</v>
      </c>
      <c r="B14" s="17" t="s">
        <v>2000</v>
      </c>
      <c r="C14" s="17" t="s">
        <v>2001</v>
      </c>
      <c r="D14" s="17" t="s">
        <v>2002</v>
      </c>
      <c r="E14" s="17" t="s">
        <v>2003</v>
      </c>
      <c r="F14" s="17" t="s">
        <v>2004</v>
      </c>
      <c r="G14" s="17" t="s">
        <v>1941</v>
      </c>
      <c r="H14" s="17">
        <v>23285</v>
      </c>
      <c r="I14" t="s">
        <v>1951</v>
      </c>
    </row>
    <row r="15" spans="1:9" x14ac:dyDescent="0.3">
      <c r="A15" s="17" t="s">
        <v>34</v>
      </c>
      <c r="B15" s="17" t="s">
        <v>2005</v>
      </c>
      <c r="C15" s="17" t="s">
        <v>2006</v>
      </c>
      <c r="D15" s="17"/>
      <c r="E15" s="17" t="s">
        <v>2007</v>
      </c>
      <c r="F15" s="17" t="s">
        <v>2008</v>
      </c>
      <c r="G15" s="17" t="s">
        <v>1941</v>
      </c>
      <c r="H15" s="17">
        <v>41905</v>
      </c>
      <c r="I15" t="s">
        <v>1951</v>
      </c>
    </row>
    <row r="16" spans="1:9" x14ac:dyDescent="0.3">
      <c r="A16" s="17" t="s">
        <v>37</v>
      </c>
      <c r="B16" s="17" t="s">
        <v>2009</v>
      </c>
      <c r="C16" s="17" t="s">
        <v>2010</v>
      </c>
      <c r="D16" s="17" t="s">
        <v>2011</v>
      </c>
      <c r="E16" s="17" t="s">
        <v>2012</v>
      </c>
      <c r="F16" s="17" t="s">
        <v>2013</v>
      </c>
      <c r="G16" s="17" t="s">
        <v>1941</v>
      </c>
      <c r="H16" s="17">
        <v>63131</v>
      </c>
      <c r="I16" t="s">
        <v>1942</v>
      </c>
    </row>
    <row r="17" spans="1:9" x14ac:dyDescent="0.3">
      <c r="A17" s="17" t="s">
        <v>40</v>
      </c>
      <c r="B17" s="17" t="s">
        <v>2014</v>
      </c>
      <c r="C17" s="17" t="s">
        <v>2015</v>
      </c>
      <c r="D17" s="17"/>
      <c r="E17" s="17" t="s">
        <v>2016</v>
      </c>
      <c r="F17" s="17" t="s">
        <v>2017</v>
      </c>
      <c r="G17" s="17" t="s">
        <v>1941</v>
      </c>
      <c r="H17" s="17">
        <v>19172</v>
      </c>
      <c r="I17" t="s">
        <v>1951</v>
      </c>
    </row>
    <row r="18" spans="1:9" x14ac:dyDescent="0.3">
      <c r="A18" s="17" t="s">
        <v>43</v>
      </c>
      <c r="B18" s="17" t="s">
        <v>2018</v>
      </c>
      <c r="C18" s="17" t="s">
        <v>2019</v>
      </c>
      <c r="D18" s="17" t="s">
        <v>2020</v>
      </c>
      <c r="E18" s="17" t="s">
        <v>2021</v>
      </c>
      <c r="F18" s="17" t="s">
        <v>2022</v>
      </c>
      <c r="G18" s="17" t="s">
        <v>1941</v>
      </c>
      <c r="H18" s="17">
        <v>97271</v>
      </c>
      <c r="I18" t="s">
        <v>1951</v>
      </c>
    </row>
    <row r="19" spans="1:9" x14ac:dyDescent="0.3">
      <c r="A19" s="17" t="s">
        <v>46</v>
      </c>
      <c r="B19" s="17" t="s">
        <v>2023</v>
      </c>
      <c r="C19" s="17" t="s">
        <v>2024</v>
      </c>
      <c r="D19" s="17" t="s">
        <v>2025</v>
      </c>
      <c r="E19" s="17" t="s">
        <v>2026</v>
      </c>
      <c r="F19" s="17" t="s">
        <v>2027</v>
      </c>
      <c r="G19" s="17" t="s">
        <v>1941</v>
      </c>
      <c r="H19" s="17">
        <v>77240</v>
      </c>
      <c r="I19" t="s">
        <v>1951</v>
      </c>
    </row>
    <row r="20" spans="1:9" x14ac:dyDescent="0.3">
      <c r="A20" s="17" t="s">
        <v>48</v>
      </c>
      <c r="B20" s="17" t="s">
        <v>2028</v>
      </c>
      <c r="C20" s="17" t="s">
        <v>2029</v>
      </c>
      <c r="D20" s="17"/>
      <c r="E20" s="17" t="s">
        <v>2030</v>
      </c>
      <c r="F20" s="17" t="s">
        <v>2031</v>
      </c>
      <c r="G20" s="17" t="s">
        <v>1949</v>
      </c>
      <c r="H20" s="17" t="s">
        <v>2032</v>
      </c>
      <c r="I20" t="s">
        <v>1942</v>
      </c>
    </row>
    <row r="21" spans="1:9" x14ac:dyDescent="0.3">
      <c r="A21" s="17" t="s">
        <v>50</v>
      </c>
      <c r="B21" s="17" t="s">
        <v>2033</v>
      </c>
      <c r="C21" s="17" t="s">
        <v>2034</v>
      </c>
      <c r="D21" s="17" t="s">
        <v>2035</v>
      </c>
      <c r="E21" s="17" t="s">
        <v>2036</v>
      </c>
      <c r="F21" s="17" t="s">
        <v>2037</v>
      </c>
      <c r="G21" s="17" t="s">
        <v>1941</v>
      </c>
      <c r="H21" s="17">
        <v>10060</v>
      </c>
      <c r="I21" t="s">
        <v>1942</v>
      </c>
    </row>
    <row r="22" spans="1:9" x14ac:dyDescent="0.3">
      <c r="A22" s="17" t="s">
        <v>2038</v>
      </c>
      <c r="B22" s="17" t="s">
        <v>2039</v>
      </c>
      <c r="C22" s="17"/>
      <c r="D22" s="17" t="s">
        <v>2040</v>
      </c>
      <c r="E22" s="17" t="s">
        <v>2041</v>
      </c>
      <c r="F22" s="17" t="s">
        <v>2042</v>
      </c>
      <c r="G22" s="17" t="s">
        <v>1949</v>
      </c>
      <c r="H22" s="17" t="s">
        <v>2043</v>
      </c>
      <c r="I22" t="s">
        <v>1942</v>
      </c>
    </row>
    <row r="23" spans="1:9" x14ac:dyDescent="0.3">
      <c r="A23" s="17" t="s">
        <v>53</v>
      </c>
      <c r="B23" s="17" t="s">
        <v>2044</v>
      </c>
      <c r="C23" s="17" t="s">
        <v>2045</v>
      </c>
      <c r="D23" s="17" t="s">
        <v>2046</v>
      </c>
      <c r="E23" s="17" t="s">
        <v>2047</v>
      </c>
      <c r="F23" s="17" t="s">
        <v>2048</v>
      </c>
      <c r="G23" s="17" t="s">
        <v>1941</v>
      </c>
      <c r="H23" s="17">
        <v>49560</v>
      </c>
      <c r="I23" t="s">
        <v>1951</v>
      </c>
    </row>
    <row r="24" spans="1:9" x14ac:dyDescent="0.3">
      <c r="A24" s="17" t="s">
        <v>56</v>
      </c>
      <c r="B24" s="17" t="s">
        <v>2049</v>
      </c>
      <c r="C24" s="17" t="s">
        <v>2050</v>
      </c>
      <c r="D24" s="17" t="s">
        <v>2051</v>
      </c>
      <c r="E24" s="17" t="s">
        <v>2052</v>
      </c>
      <c r="F24" s="17" t="s">
        <v>2053</v>
      </c>
      <c r="G24" s="17" t="s">
        <v>1941</v>
      </c>
      <c r="H24" s="17">
        <v>33982</v>
      </c>
      <c r="I24" t="s">
        <v>1942</v>
      </c>
    </row>
    <row r="25" spans="1:9" x14ac:dyDescent="0.3">
      <c r="A25" s="17" t="s">
        <v>58</v>
      </c>
      <c r="B25" s="17" t="s">
        <v>2054</v>
      </c>
      <c r="C25" s="17" t="s">
        <v>2055</v>
      </c>
      <c r="D25" s="17" t="s">
        <v>2056</v>
      </c>
      <c r="E25" s="17" t="s">
        <v>2057</v>
      </c>
      <c r="F25" s="17" t="s">
        <v>2058</v>
      </c>
      <c r="G25" s="17" t="s">
        <v>1941</v>
      </c>
      <c r="H25" s="17">
        <v>98682</v>
      </c>
      <c r="I25" t="s">
        <v>1942</v>
      </c>
    </row>
    <row r="26" spans="1:9" x14ac:dyDescent="0.3">
      <c r="A26" s="17" t="s">
        <v>60</v>
      </c>
      <c r="B26" s="17" t="s">
        <v>2059</v>
      </c>
      <c r="C26" s="17" t="s">
        <v>2060</v>
      </c>
      <c r="D26" s="17" t="s">
        <v>2061</v>
      </c>
      <c r="E26" s="17" t="s">
        <v>2062</v>
      </c>
      <c r="F26" s="17" t="s">
        <v>2063</v>
      </c>
      <c r="G26" s="17" t="s">
        <v>1941</v>
      </c>
      <c r="H26" s="17">
        <v>80150</v>
      </c>
      <c r="I26" t="s">
        <v>1951</v>
      </c>
    </row>
    <row r="27" spans="1:9" x14ac:dyDescent="0.3">
      <c r="A27" s="17" t="s">
        <v>63</v>
      </c>
      <c r="B27" s="17" t="s">
        <v>2064</v>
      </c>
      <c r="C27" s="17"/>
      <c r="D27" s="17" t="s">
        <v>2065</v>
      </c>
      <c r="E27" s="17" t="s">
        <v>2066</v>
      </c>
      <c r="F27" s="17" t="s">
        <v>2053</v>
      </c>
      <c r="G27" s="17" t="s">
        <v>1941</v>
      </c>
      <c r="H27" s="17">
        <v>33982</v>
      </c>
      <c r="I27" t="s">
        <v>1942</v>
      </c>
    </row>
    <row r="28" spans="1:9" x14ac:dyDescent="0.3">
      <c r="A28" s="17" t="s">
        <v>66</v>
      </c>
      <c r="B28" s="17" t="s">
        <v>2067</v>
      </c>
      <c r="C28" s="17" t="s">
        <v>2068</v>
      </c>
      <c r="D28" s="17" t="s">
        <v>2069</v>
      </c>
      <c r="E28" s="17" t="s">
        <v>2070</v>
      </c>
      <c r="F28" s="17" t="s">
        <v>2071</v>
      </c>
      <c r="G28" s="17" t="s">
        <v>1941</v>
      </c>
      <c r="H28" s="17">
        <v>94975</v>
      </c>
      <c r="I28" t="s">
        <v>1942</v>
      </c>
    </row>
    <row r="29" spans="1:9" x14ac:dyDescent="0.3">
      <c r="A29" s="17" t="s">
        <v>69</v>
      </c>
      <c r="B29" s="17" t="s">
        <v>2072</v>
      </c>
      <c r="C29" s="17" t="s">
        <v>2073</v>
      </c>
      <c r="D29" s="17" t="s">
        <v>2074</v>
      </c>
      <c r="E29" s="17" t="s">
        <v>2075</v>
      </c>
      <c r="F29" s="17" t="s">
        <v>2076</v>
      </c>
      <c r="G29" s="17" t="s">
        <v>1949</v>
      </c>
      <c r="H29" s="17" t="s">
        <v>2077</v>
      </c>
      <c r="I29" t="s">
        <v>1951</v>
      </c>
    </row>
    <row r="30" spans="1:9" x14ac:dyDescent="0.3">
      <c r="A30" s="17" t="s">
        <v>71</v>
      </c>
      <c r="B30" s="17" t="s">
        <v>2078</v>
      </c>
      <c r="C30" s="17" t="s">
        <v>2079</v>
      </c>
      <c r="D30" s="17" t="s">
        <v>2080</v>
      </c>
      <c r="E30" s="17" t="s">
        <v>2081</v>
      </c>
      <c r="F30" s="17" t="s">
        <v>2082</v>
      </c>
      <c r="G30" s="17" t="s">
        <v>1949</v>
      </c>
      <c r="H30" s="17" t="s">
        <v>2083</v>
      </c>
      <c r="I30" t="s">
        <v>1951</v>
      </c>
    </row>
    <row r="31" spans="1:9" x14ac:dyDescent="0.3">
      <c r="A31" s="17" t="s">
        <v>74</v>
      </c>
      <c r="B31" s="17" t="s">
        <v>2084</v>
      </c>
      <c r="C31" s="17" t="s">
        <v>2085</v>
      </c>
      <c r="D31" s="17" t="s">
        <v>2086</v>
      </c>
      <c r="E31" s="17" t="s">
        <v>2087</v>
      </c>
      <c r="F31" s="17" t="s">
        <v>2088</v>
      </c>
      <c r="G31" s="17" t="s">
        <v>1949</v>
      </c>
      <c r="H31" s="17" t="s">
        <v>2089</v>
      </c>
      <c r="I31" t="s">
        <v>1942</v>
      </c>
    </row>
    <row r="32" spans="1:9" x14ac:dyDescent="0.3">
      <c r="A32" s="17" t="s">
        <v>76</v>
      </c>
      <c r="B32" s="17" t="s">
        <v>2090</v>
      </c>
      <c r="C32" s="17"/>
      <c r="D32" s="17" t="s">
        <v>2091</v>
      </c>
      <c r="E32" s="17" t="s">
        <v>2092</v>
      </c>
      <c r="F32" s="17" t="s">
        <v>2093</v>
      </c>
      <c r="G32" s="17" t="s">
        <v>1941</v>
      </c>
      <c r="H32" s="17">
        <v>80044</v>
      </c>
      <c r="I32" t="s">
        <v>1951</v>
      </c>
    </row>
    <row r="33" spans="1:9" x14ac:dyDescent="0.3">
      <c r="A33" s="17" t="s">
        <v>2094</v>
      </c>
      <c r="B33" s="17" t="s">
        <v>2095</v>
      </c>
      <c r="C33" s="17" t="s">
        <v>2096</v>
      </c>
      <c r="D33" s="17" t="s">
        <v>2097</v>
      </c>
      <c r="E33" s="17" t="s">
        <v>2098</v>
      </c>
      <c r="F33" s="17" t="s">
        <v>2099</v>
      </c>
      <c r="G33" s="17" t="s">
        <v>1941</v>
      </c>
      <c r="H33" s="17">
        <v>11407</v>
      </c>
      <c r="I33" t="s">
        <v>1951</v>
      </c>
    </row>
    <row r="34" spans="1:9" x14ac:dyDescent="0.3">
      <c r="A34" s="17" t="s">
        <v>2100</v>
      </c>
      <c r="B34" s="17" t="s">
        <v>2101</v>
      </c>
      <c r="C34" s="17" t="s">
        <v>2102</v>
      </c>
      <c r="D34" s="17" t="s">
        <v>2103</v>
      </c>
      <c r="E34" s="17" t="s">
        <v>2104</v>
      </c>
      <c r="F34" s="17" t="s">
        <v>2105</v>
      </c>
      <c r="G34" s="17" t="s">
        <v>1949</v>
      </c>
      <c r="H34" s="17" t="s">
        <v>2106</v>
      </c>
      <c r="I34" t="s">
        <v>1942</v>
      </c>
    </row>
    <row r="35" spans="1:9" x14ac:dyDescent="0.3">
      <c r="A35" s="17" t="s">
        <v>80</v>
      </c>
      <c r="B35" s="17" t="s">
        <v>2107</v>
      </c>
      <c r="C35" s="17" t="s">
        <v>2108</v>
      </c>
      <c r="D35" s="17"/>
      <c r="E35" s="17" t="s">
        <v>2109</v>
      </c>
      <c r="F35" s="17" t="s">
        <v>2110</v>
      </c>
      <c r="G35" s="17" t="s">
        <v>1941</v>
      </c>
      <c r="H35" s="17">
        <v>58207</v>
      </c>
      <c r="I35" t="s">
        <v>1951</v>
      </c>
    </row>
    <row r="36" spans="1:9" x14ac:dyDescent="0.3">
      <c r="A36" s="17" t="s">
        <v>82</v>
      </c>
      <c r="B36" s="17" t="s">
        <v>2111</v>
      </c>
      <c r="C36" s="17" t="s">
        <v>2112</v>
      </c>
      <c r="D36" s="17" t="s">
        <v>2113</v>
      </c>
      <c r="E36" s="17" t="s">
        <v>2114</v>
      </c>
      <c r="F36" s="17" t="s">
        <v>2115</v>
      </c>
      <c r="G36" s="17" t="s">
        <v>2116</v>
      </c>
      <c r="H36" s="17" t="s">
        <v>2117</v>
      </c>
      <c r="I36" t="s">
        <v>1942</v>
      </c>
    </row>
    <row r="37" spans="1:9" x14ac:dyDescent="0.3">
      <c r="A37" s="17" t="s">
        <v>85</v>
      </c>
      <c r="B37" s="17" t="s">
        <v>2118</v>
      </c>
      <c r="C37" s="17" t="s">
        <v>2119</v>
      </c>
      <c r="D37" s="17" t="s">
        <v>2120</v>
      </c>
      <c r="E37" s="17" t="s">
        <v>2121</v>
      </c>
      <c r="F37" s="17" t="s">
        <v>2122</v>
      </c>
      <c r="G37" s="17" t="s">
        <v>1941</v>
      </c>
      <c r="H37" s="17">
        <v>25362</v>
      </c>
      <c r="I37" t="s">
        <v>1951</v>
      </c>
    </row>
    <row r="38" spans="1:9" x14ac:dyDescent="0.3">
      <c r="A38" s="17" t="s">
        <v>87</v>
      </c>
      <c r="B38" s="17" t="s">
        <v>2123</v>
      </c>
      <c r="C38" s="17" t="s">
        <v>2124</v>
      </c>
      <c r="D38" s="17" t="s">
        <v>2125</v>
      </c>
      <c r="E38" s="17" t="s">
        <v>2126</v>
      </c>
      <c r="F38" s="17" t="s">
        <v>2127</v>
      </c>
      <c r="G38" s="17" t="s">
        <v>1941</v>
      </c>
      <c r="H38" s="17">
        <v>72204</v>
      </c>
      <c r="I38" t="s">
        <v>1951</v>
      </c>
    </row>
    <row r="39" spans="1:9" x14ac:dyDescent="0.3">
      <c r="A39" s="17" t="s">
        <v>89</v>
      </c>
      <c r="B39" s="17" t="s">
        <v>2128</v>
      </c>
      <c r="C39" s="17" t="s">
        <v>2129</v>
      </c>
      <c r="D39" s="17" t="s">
        <v>2130</v>
      </c>
      <c r="E39" s="17" t="s">
        <v>2131</v>
      </c>
      <c r="F39" s="17" t="s">
        <v>2132</v>
      </c>
      <c r="G39" s="17" t="s">
        <v>1941</v>
      </c>
      <c r="H39" s="17">
        <v>80291</v>
      </c>
      <c r="I39" t="s">
        <v>1951</v>
      </c>
    </row>
    <row r="40" spans="1:9" x14ac:dyDescent="0.3">
      <c r="A40" s="17" t="s">
        <v>91</v>
      </c>
      <c r="B40" s="17" t="s">
        <v>2133</v>
      </c>
      <c r="C40" s="17" t="s">
        <v>2134</v>
      </c>
      <c r="D40" s="17" t="s">
        <v>2135</v>
      </c>
      <c r="E40" s="17" t="s">
        <v>2136</v>
      </c>
      <c r="F40" s="17" t="s">
        <v>2137</v>
      </c>
      <c r="G40" s="17" t="s">
        <v>1941</v>
      </c>
      <c r="H40" s="17">
        <v>55458</v>
      </c>
      <c r="I40" t="s">
        <v>1951</v>
      </c>
    </row>
    <row r="41" spans="1:9" x14ac:dyDescent="0.3">
      <c r="A41" s="17" t="s">
        <v>93</v>
      </c>
      <c r="B41" s="17" t="s">
        <v>2138</v>
      </c>
      <c r="C41" s="17"/>
      <c r="D41" s="17"/>
      <c r="E41" s="17" t="s">
        <v>2139</v>
      </c>
      <c r="F41" s="17" t="s">
        <v>2140</v>
      </c>
      <c r="G41" s="17" t="s">
        <v>1941</v>
      </c>
      <c r="H41" s="17">
        <v>85715</v>
      </c>
      <c r="I41" t="s">
        <v>1942</v>
      </c>
    </row>
    <row r="42" spans="1:9" x14ac:dyDescent="0.3">
      <c r="A42" s="17" t="s">
        <v>95</v>
      </c>
      <c r="B42" s="17" t="s">
        <v>2141</v>
      </c>
      <c r="C42" s="17"/>
      <c r="D42" s="17" t="s">
        <v>2142</v>
      </c>
      <c r="E42" s="17" t="s">
        <v>2143</v>
      </c>
      <c r="F42" s="17" t="s">
        <v>2144</v>
      </c>
      <c r="G42" s="17" t="s">
        <v>1941</v>
      </c>
      <c r="H42" s="17">
        <v>70116</v>
      </c>
      <c r="I42" t="s">
        <v>1951</v>
      </c>
    </row>
    <row r="43" spans="1:9" x14ac:dyDescent="0.3">
      <c r="A43" s="17" t="s">
        <v>98</v>
      </c>
      <c r="B43" s="17" t="s">
        <v>2145</v>
      </c>
      <c r="C43" s="17" t="s">
        <v>2146</v>
      </c>
      <c r="D43" s="17" t="s">
        <v>2147</v>
      </c>
      <c r="E43" s="17" t="s">
        <v>2148</v>
      </c>
      <c r="F43" s="17" t="s">
        <v>2149</v>
      </c>
      <c r="G43" s="17" t="s">
        <v>1941</v>
      </c>
      <c r="H43" s="17">
        <v>6183</v>
      </c>
      <c r="I43" t="s">
        <v>1942</v>
      </c>
    </row>
    <row r="44" spans="1:9" x14ac:dyDescent="0.3">
      <c r="A44" s="17" t="s">
        <v>100</v>
      </c>
      <c r="B44" s="17" t="s">
        <v>2150</v>
      </c>
      <c r="C44" s="17" t="s">
        <v>2151</v>
      </c>
      <c r="D44" s="17" t="s">
        <v>2152</v>
      </c>
      <c r="E44" s="17" t="s">
        <v>2153</v>
      </c>
      <c r="F44" s="17" t="s">
        <v>2154</v>
      </c>
      <c r="G44" s="17" t="s">
        <v>1941</v>
      </c>
      <c r="H44" s="17">
        <v>84409</v>
      </c>
      <c r="I44" t="s">
        <v>1942</v>
      </c>
    </row>
    <row r="45" spans="1:9" x14ac:dyDescent="0.3">
      <c r="A45" s="17" t="s">
        <v>103</v>
      </c>
      <c r="B45" s="17" t="s">
        <v>2155</v>
      </c>
      <c r="C45" s="17"/>
      <c r="D45" s="17" t="s">
        <v>2156</v>
      </c>
      <c r="E45" s="17" t="s">
        <v>2157</v>
      </c>
      <c r="F45" s="17" t="s">
        <v>2158</v>
      </c>
      <c r="G45" s="17" t="s">
        <v>1941</v>
      </c>
      <c r="H45" s="17">
        <v>2216</v>
      </c>
      <c r="I45" t="s">
        <v>1951</v>
      </c>
    </row>
    <row r="46" spans="1:9" x14ac:dyDescent="0.3">
      <c r="A46" s="17" t="s">
        <v>106</v>
      </c>
      <c r="B46" s="17" t="s">
        <v>2159</v>
      </c>
      <c r="C46" s="17" t="s">
        <v>2160</v>
      </c>
      <c r="D46" s="17" t="s">
        <v>2161</v>
      </c>
      <c r="E46" s="17" t="s">
        <v>2162</v>
      </c>
      <c r="F46" s="17" t="s">
        <v>2163</v>
      </c>
      <c r="G46" s="17" t="s">
        <v>1941</v>
      </c>
      <c r="H46" s="17">
        <v>14604</v>
      </c>
      <c r="I46" t="s">
        <v>1942</v>
      </c>
    </row>
    <row r="47" spans="1:9" x14ac:dyDescent="0.3">
      <c r="A47" s="17" t="s">
        <v>108</v>
      </c>
      <c r="B47" s="17" t="s">
        <v>2164</v>
      </c>
      <c r="C47" s="17" t="s">
        <v>2165</v>
      </c>
      <c r="D47" s="17" t="s">
        <v>2166</v>
      </c>
      <c r="E47" s="17" t="s">
        <v>2167</v>
      </c>
      <c r="F47" s="17" t="s">
        <v>2168</v>
      </c>
      <c r="G47" s="17" t="s">
        <v>1941</v>
      </c>
      <c r="H47" s="17">
        <v>10469</v>
      </c>
      <c r="I47" t="s">
        <v>1951</v>
      </c>
    </row>
    <row r="48" spans="1:9" x14ac:dyDescent="0.3">
      <c r="A48" s="17" t="s">
        <v>111</v>
      </c>
      <c r="B48" s="17" t="s">
        <v>2169</v>
      </c>
      <c r="C48" s="17"/>
      <c r="D48" s="17" t="s">
        <v>2170</v>
      </c>
      <c r="E48" s="17" t="s">
        <v>2171</v>
      </c>
      <c r="F48" s="17" t="s">
        <v>2172</v>
      </c>
      <c r="G48" s="17" t="s">
        <v>1941</v>
      </c>
      <c r="H48" s="17">
        <v>35205</v>
      </c>
      <c r="I48" t="s">
        <v>1942</v>
      </c>
    </row>
    <row r="49" spans="1:9" x14ac:dyDescent="0.3">
      <c r="A49" s="17" t="s">
        <v>114</v>
      </c>
      <c r="B49" s="17" t="s">
        <v>2173</v>
      </c>
      <c r="C49" s="17" t="s">
        <v>2174</v>
      </c>
      <c r="D49" s="17" t="s">
        <v>2175</v>
      </c>
      <c r="E49" s="17" t="s">
        <v>2176</v>
      </c>
      <c r="F49" s="17" t="s">
        <v>2177</v>
      </c>
      <c r="G49" s="17" t="s">
        <v>1941</v>
      </c>
      <c r="H49" s="17">
        <v>92415</v>
      </c>
      <c r="I49" t="s">
        <v>1942</v>
      </c>
    </row>
    <row r="50" spans="1:9" x14ac:dyDescent="0.3">
      <c r="A50" s="17" t="s">
        <v>117</v>
      </c>
      <c r="B50" s="17" t="s">
        <v>2178</v>
      </c>
      <c r="C50" s="17" t="s">
        <v>2179</v>
      </c>
      <c r="D50" s="17"/>
      <c r="E50" s="17" t="s">
        <v>2180</v>
      </c>
      <c r="F50" s="17" t="s">
        <v>2181</v>
      </c>
      <c r="G50" s="17" t="s">
        <v>1941</v>
      </c>
      <c r="H50" s="17">
        <v>23514</v>
      </c>
      <c r="I50" t="s">
        <v>1951</v>
      </c>
    </row>
    <row r="51" spans="1:9" x14ac:dyDescent="0.3">
      <c r="A51" s="17" t="s">
        <v>120</v>
      </c>
      <c r="B51" s="17" t="s">
        <v>2182</v>
      </c>
      <c r="C51" s="17" t="s">
        <v>2183</v>
      </c>
      <c r="D51" s="17" t="s">
        <v>2184</v>
      </c>
      <c r="E51" s="17" t="s">
        <v>2185</v>
      </c>
      <c r="F51" s="17" t="s">
        <v>2186</v>
      </c>
      <c r="G51" s="17" t="s">
        <v>1941</v>
      </c>
      <c r="H51" s="17">
        <v>20409</v>
      </c>
      <c r="I51" t="s">
        <v>1951</v>
      </c>
    </row>
    <row r="52" spans="1:9" x14ac:dyDescent="0.3">
      <c r="A52" s="17" t="s">
        <v>122</v>
      </c>
      <c r="B52" s="17" t="s">
        <v>2187</v>
      </c>
      <c r="C52" s="17" t="s">
        <v>2188</v>
      </c>
      <c r="D52" s="17" t="s">
        <v>2189</v>
      </c>
      <c r="E52" s="17" t="s">
        <v>2190</v>
      </c>
      <c r="F52" s="17" t="s">
        <v>2191</v>
      </c>
      <c r="G52" s="17" t="s">
        <v>1941</v>
      </c>
      <c r="H52" s="17">
        <v>33355</v>
      </c>
      <c r="I52" t="s">
        <v>1951</v>
      </c>
    </row>
    <row r="53" spans="1:9" x14ac:dyDescent="0.3">
      <c r="A53" s="17" t="s">
        <v>125</v>
      </c>
      <c r="B53" s="17" t="s">
        <v>2192</v>
      </c>
      <c r="C53" s="17" t="s">
        <v>2193</v>
      </c>
      <c r="D53" s="17" t="s">
        <v>2194</v>
      </c>
      <c r="E53" s="17" t="s">
        <v>2195</v>
      </c>
      <c r="F53" s="17" t="s">
        <v>1948</v>
      </c>
      <c r="G53" s="17" t="s">
        <v>1949</v>
      </c>
      <c r="H53" s="17" t="s">
        <v>1950</v>
      </c>
      <c r="I53" t="s">
        <v>1942</v>
      </c>
    </row>
    <row r="54" spans="1:9" x14ac:dyDescent="0.3">
      <c r="A54" s="17" t="s">
        <v>127</v>
      </c>
      <c r="B54" s="17" t="s">
        <v>2196</v>
      </c>
      <c r="C54" s="17" t="s">
        <v>2197</v>
      </c>
      <c r="D54" s="17"/>
      <c r="E54" s="17" t="s">
        <v>2198</v>
      </c>
      <c r="F54" s="17" t="s">
        <v>2199</v>
      </c>
      <c r="G54" s="17" t="s">
        <v>2116</v>
      </c>
      <c r="H54" s="17" t="s">
        <v>2200</v>
      </c>
      <c r="I54" t="s">
        <v>1951</v>
      </c>
    </row>
    <row r="55" spans="1:9" x14ac:dyDescent="0.3">
      <c r="A55" s="17" t="s">
        <v>2201</v>
      </c>
      <c r="B55" s="17" t="s">
        <v>2202</v>
      </c>
      <c r="C55" s="17" t="s">
        <v>2203</v>
      </c>
      <c r="D55" s="17" t="s">
        <v>2204</v>
      </c>
      <c r="E55" s="17" t="s">
        <v>2205</v>
      </c>
      <c r="F55" s="17" t="s">
        <v>2206</v>
      </c>
      <c r="G55" s="17" t="s">
        <v>1941</v>
      </c>
      <c r="H55" s="17">
        <v>84605</v>
      </c>
      <c r="I55" t="s">
        <v>1951</v>
      </c>
    </row>
    <row r="56" spans="1:9" x14ac:dyDescent="0.3">
      <c r="A56" s="17" t="s">
        <v>129</v>
      </c>
      <c r="B56" s="17" t="s">
        <v>2207</v>
      </c>
      <c r="C56" s="17" t="s">
        <v>2208</v>
      </c>
      <c r="D56" s="17" t="s">
        <v>2209</v>
      </c>
      <c r="E56" s="17" t="s">
        <v>2210</v>
      </c>
      <c r="F56" s="17" t="s">
        <v>2211</v>
      </c>
      <c r="G56" s="17" t="s">
        <v>1941</v>
      </c>
      <c r="H56" s="17">
        <v>43666</v>
      </c>
      <c r="I56" t="s">
        <v>1951</v>
      </c>
    </row>
    <row r="57" spans="1:9" x14ac:dyDescent="0.3">
      <c r="A57" s="17" t="s">
        <v>131</v>
      </c>
      <c r="B57" s="17" t="s">
        <v>2212</v>
      </c>
      <c r="C57" s="17"/>
      <c r="D57" s="17" t="s">
        <v>2213</v>
      </c>
      <c r="E57" s="17" t="s">
        <v>2214</v>
      </c>
      <c r="F57" s="17" t="s">
        <v>2215</v>
      </c>
      <c r="G57" s="17" t="s">
        <v>1941</v>
      </c>
      <c r="H57" s="17">
        <v>8650</v>
      </c>
      <c r="I57" t="s">
        <v>1951</v>
      </c>
    </row>
    <row r="58" spans="1:9" x14ac:dyDescent="0.3">
      <c r="A58" s="17" t="s">
        <v>134</v>
      </c>
      <c r="B58" s="17" t="s">
        <v>2216</v>
      </c>
      <c r="C58" s="17" t="s">
        <v>2217</v>
      </c>
      <c r="D58" s="17" t="s">
        <v>2218</v>
      </c>
      <c r="E58" s="17" t="s">
        <v>2219</v>
      </c>
      <c r="F58" s="17" t="s">
        <v>2220</v>
      </c>
      <c r="G58" s="17" t="s">
        <v>1941</v>
      </c>
      <c r="H58" s="17">
        <v>33686</v>
      </c>
      <c r="I58" t="s">
        <v>1942</v>
      </c>
    </row>
    <row r="59" spans="1:9" x14ac:dyDescent="0.3">
      <c r="A59" s="17" t="s">
        <v>136</v>
      </c>
      <c r="B59" s="17" t="s">
        <v>2221</v>
      </c>
      <c r="C59" s="17" t="s">
        <v>2222</v>
      </c>
      <c r="D59" s="17" t="s">
        <v>2223</v>
      </c>
      <c r="E59" s="17" t="s">
        <v>2224</v>
      </c>
      <c r="F59" s="17" t="s">
        <v>2225</v>
      </c>
      <c r="G59" s="17" t="s">
        <v>1941</v>
      </c>
      <c r="H59" s="17">
        <v>32590</v>
      </c>
      <c r="I59" t="s">
        <v>1951</v>
      </c>
    </row>
    <row r="60" spans="1:9" x14ac:dyDescent="0.3">
      <c r="A60" s="17" t="s">
        <v>139</v>
      </c>
      <c r="B60" s="17" t="s">
        <v>2226</v>
      </c>
      <c r="C60" s="17"/>
      <c r="D60" s="17" t="s">
        <v>2227</v>
      </c>
      <c r="E60" s="17" t="s">
        <v>2228</v>
      </c>
      <c r="F60" s="17" t="s">
        <v>2229</v>
      </c>
      <c r="G60" s="17" t="s">
        <v>1941</v>
      </c>
      <c r="H60" s="17">
        <v>33543</v>
      </c>
      <c r="I60" t="s">
        <v>1942</v>
      </c>
    </row>
    <row r="61" spans="1:9" x14ac:dyDescent="0.3">
      <c r="A61" s="17" t="s">
        <v>141</v>
      </c>
      <c r="B61" s="17" t="s">
        <v>2230</v>
      </c>
      <c r="C61" s="17" t="s">
        <v>2231</v>
      </c>
      <c r="D61" s="17"/>
      <c r="E61" s="17" t="s">
        <v>2232</v>
      </c>
      <c r="F61" s="17" t="s">
        <v>2233</v>
      </c>
      <c r="G61" s="17" t="s">
        <v>1941</v>
      </c>
      <c r="H61" s="17">
        <v>55123</v>
      </c>
      <c r="I61" t="s">
        <v>1942</v>
      </c>
    </row>
    <row r="62" spans="1:9" x14ac:dyDescent="0.3">
      <c r="A62" s="17" t="s">
        <v>143</v>
      </c>
      <c r="B62" s="17" t="s">
        <v>2234</v>
      </c>
      <c r="C62" s="17" t="s">
        <v>2235</v>
      </c>
      <c r="D62" s="17" t="s">
        <v>2236</v>
      </c>
      <c r="E62" s="17" t="s">
        <v>2237</v>
      </c>
      <c r="F62" s="17" t="s">
        <v>2238</v>
      </c>
      <c r="G62" s="17" t="s">
        <v>1941</v>
      </c>
      <c r="H62" s="17">
        <v>46862</v>
      </c>
      <c r="I62" t="s">
        <v>1951</v>
      </c>
    </row>
    <row r="63" spans="1:9" x14ac:dyDescent="0.3">
      <c r="A63" s="17" t="s">
        <v>145</v>
      </c>
      <c r="B63" s="17" t="s">
        <v>2239</v>
      </c>
      <c r="C63" s="17"/>
      <c r="D63" s="17" t="s">
        <v>2240</v>
      </c>
      <c r="E63" s="17" t="s">
        <v>2241</v>
      </c>
      <c r="F63" s="17" t="s">
        <v>2242</v>
      </c>
      <c r="G63" s="17" t="s">
        <v>2116</v>
      </c>
      <c r="H63" s="17" t="s">
        <v>2243</v>
      </c>
      <c r="I63" t="s">
        <v>1942</v>
      </c>
    </row>
    <row r="64" spans="1:9" x14ac:dyDescent="0.3">
      <c r="A64" s="17" t="s">
        <v>148</v>
      </c>
      <c r="B64" s="17" t="s">
        <v>2244</v>
      </c>
      <c r="C64" s="17"/>
      <c r="D64" s="17" t="s">
        <v>2245</v>
      </c>
      <c r="E64" s="17" t="s">
        <v>2246</v>
      </c>
      <c r="F64" s="17" t="s">
        <v>2247</v>
      </c>
      <c r="G64" s="17" t="s">
        <v>1941</v>
      </c>
      <c r="H64" s="17">
        <v>34114</v>
      </c>
      <c r="I64" t="s">
        <v>1942</v>
      </c>
    </row>
    <row r="65" spans="1:9" x14ac:dyDescent="0.3">
      <c r="A65" s="17" t="s">
        <v>150</v>
      </c>
      <c r="B65" s="17" t="s">
        <v>2248</v>
      </c>
      <c r="C65" s="17" t="s">
        <v>2249</v>
      </c>
      <c r="D65" s="17" t="s">
        <v>2250</v>
      </c>
      <c r="E65" s="17" t="s">
        <v>2251</v>
      </c>
      <c r="F65" s="17" t="s">
        <v>2252</v>
      </c>
      <c r="G65" s="17" t="s">
        <v>1941</v>
      </c>
      <c r="H65" s="17">
        <v>60681</v>
      </c>
      <c r="I65" t="s">
        <v>1951</v>
      </c>
    </row>
    <row r="66" spans="1:9" x14ac:dyDescent="0.3">
      <c r="A66" s="17" t="s">
        <v>152</v>
      </c>
      <c r="B66" s="17" t="s">
        <v>2253</v>
      </c>
      <c r="C66" s="17"/>
      <c r="D66" s="17" t="s">
        <v>2254</v>
      </c>
      <c r="E66" s="17" t="s">
        <v>2255</v>
      </c>
      <c r="F66" s="17" t="s">
        <v>2256</v>
      </c>
      <c r="G66" s="17" t="s">
        <v>1941</v>
      </c>
      <c r="H66" s="17">
        <v>7104</v>
      </c>
      <c r="I66" t="s">
        <v>1942</v>
      </c>
    </row>
    <row r="67" spans="1:9" x14ac:dyDescent="0.3">
      <c r="A67" s="17" t="s">
        <v>154</v>
      </c>
      <c r="B67" s="17" t="s">
        <v>2257</v>
      </c>
      <c r="C67" s="17" t="s">
        <v>2258</v>
      </c>
      <c r="D67" s="17" t="s">
        <v>2259</v>
      </c>
      <c r="E67" s="17" t="s">
        <v>2260</v>
      </c>
      <c r="F67" s="17" t="s">
        <v>2261</v>
      </c>
      <c r="G67" s="17" t="s">
        <v>1941</v>
      </c>
      <c r="H67" s="17">
        <v>22184</v>
      </c>
      <c r="I67" t="s">
        <v>1942</v>
      </c>
    </row>
    <row r="68" spans="1:9" x14ac:dyDescent="0.3">
      <c r="A68" s="17" t="s">
        <v>156</v>
      </c>
      <c r="B68" s="17" t="s">
        <v>2262</v>
      </c>
      <c r="C68" s="17" t="s">
        <v>2263</v>
      </c>
      <c r="D68" s="17" t="s">
        <v>2264</v>
      </c>
      <c r="E68" s="17" t="s">
        <v>2265</v>
      </c>
      <c r="F68" s="17" t="s">
        <v>2266</v>
      </c>
      <c r="G68" s="17" t="s">
        <v>1941</v>
      </c>
      <c r="H68" s="17">
        <v>76178</v>
      </c>
      <c r="I68" t="s">
        <v>1942</v>
      </c>
    </row>
    <row r="69" spans="1:9" x14ac:dyDescent="0.3">
      <c r="A69" s="17" t="s">
        <v>159</v>
      </c>
      <c r="B69" s="17" t="s">
        <v>2267</v>
      </c>
      <c r="C69" s="17" t="s">
        <v>2268</v>
      </c>
      <c r="D69" s="17" t="s">
        <v>2269</v>
      </c>
      <c r="E69" s="17" t="s">
        <v>2270</v>
      </c>
      <c r="F69" s="17" t="s">
        <v>2271</v>
      </c>
      <c r="G69" s="17" t="s">
        <v>1941</v>
      </c>
      <c r="H69" s="17">
        <v>91505</v>
      </c>
      <c r="I69" t="s">
        <v>1951</v>
      </c>
    </row>
    <row r="70" spans="1:9" x14ac:dyDescent="0.3">
      <c r="A70" s="17" t="s">
        <v>161</v>
      </c>
      <c r="B70" s="17" t="s">
        <v>2272</v>
      </c>
      <c r="C70" s="17" t="s">
        <v>2273</v>
      </c>
      <c r="D70" s="17" t="s">
        <v>2274</v>
      </c>
      <c r="E70" s="17" t="s">
        <v>2275</v>
      </c>
      <c r="F70" s="17" t="s">
        <v>2276</v>
      </c>
      <c r="G70" s="17" t="s">
        <v>1941</v>
      </c>
      <c r="H70" s="17">
        <v>37665</v>
      </c>
      <c r="I70" t="s">
        <v>1951</v>
      </c>
    </row>
    <row r="71" spans="1:9" x14ac:dyDescent="0.3">
      <c r="A71" s="17" t="s">
        <v>164</v>
      </c>
      <c r="B71" s="17" t="s">
        <v>2277</v>
      </c>
      <c r="C71" s="17" t="s">
        <v>2278</v>
      </c>
      <c r="D71" s="17" t="s">
        <v>2279</v>
      </c>
      <c r="E71" s="17" t="s">
        <v>2280</v>
      </c>
      <c r="F71" s="17" t="s">
        <v>2281</v>
      </c>
      <c r="G71" s="17" t="s">
        <v>2116</v>
      </c>
      <c r="H71" s="17" t="s">
        <v>2282</v>
      </c>
      <c r="I71" t="s">
        <v>1942</v>
      </c>
    </row>
    <row r="72" spans="1:9" x14ac:dyDescent="0.3">
      <c r="A72" s="17" t="s">
        <v>166</v>
      </c>
      <c r="B72" s="17" t="s">
        <v>2283</v>
      </c>
      <c r="C72" s="17" t="s">
        <v>2284</v>
      </c>
      <c r="D72" s="17" t="s">
        <v>2285</v>
      </c>
      <c r="E72" s="17" t="s">
        <v>2286</v>
      </c>
      <c r="F72" s="17" t="s">
        <v>2287</v>
      </c>
      <c r="G72" s="17" t="s">
        <v>1941</v>
      </c>
      <c r="H72" s="17">
        <v>43231</v>
      </c>
      <c r="I72" t="s">
        <v>1951</v>
      </c>
    </row>
    <row r="73" spans="1:9" x14ac:dyDescent="0.3">
      <c r="A73" s="17" t="s">
        <v>168</v>
      </c>
      <c r="B73" s="17" t="s">
        <v>2288</v>
      </c>
      <c r="C73" s="17" t="s">
        <v>2289</v>
      </c>
      <c r="D73" s="17" t="s">
        <v>2290</v>
      </c>
      <c r="E73" s="17" t="s">
        <v>2291</v>
      </c>
      <c r="F73" s="17" t="s">
        <v>2292</v>
      </c>
      <c r="G73" s="17" t="s">
        <v>1949</v>
      </c>
      <c r="H73" s="17" t="s">
        <v>2293</v>
      </c>
      <c r="I73" t="s">
        <v>1951</v>
      </c>
    </row>
    <row r="74" spans="1:9" x14ac:dyDescent="0.3">
      <c r="A74" s="17" t="s">
        <v>170</v>
      </c>
      <c r="B74" s="17" t="s">
        <v>2294</v>
      </c>
      <c r="C74" s="17"/>
      <c r="D74" s="17" t="s">
        <v>2295</v>
      </c>
      <c r="E74" s="17" t="s">
        <v>2296</v>
      </c>
      <c r="F74" s="17" t="s">
        <v>2144</v>
      </c>
      <c r="G74" s="17" t="s">
        <v>1941</v>
      </c>
      <c r="H74" s="17">
        <v>70183</v>
      </c>
      <c r="I74" t="s">
        <v>1951</v>
      </c>
    </row>
    <row r="75" spans="1:9" x14ac:dyDescent="0.3">
      <c r="A75" s="17" t="s">
        <v>173</v>
      </c>
      <c r="B75" s="17" t="s">
        <v>2297</v>
      </c>
      <c r="C75" s="17"/>
      <c r="D75" s="17" t="s">
        <v>2298</v>
      </c>
      <c r="E75" s="17" t="s">
        <v>2299</v>
      </c>
      <c r="F75" s="17" t="s">
        <v>2300</v>
      </c>
      <c r="G75" s="17" t="s">
        <v>1941</v>
      </c>
      <c r="H75" s="17">
        <v>28230</v>
      </c>
      <c r="I75" t="s">
        <v>1942</v>
      </c>
    </row>
    <row r="76" spans="1:9" x14ac:dyDescent="0.3">
      <c r="A76" s="17" t="s">
        <v>175</v>
      </c>
      <c r="B76" s="17" t="s">
        <v>2301</v>
      </c>
      <c r="C76" s="17" t="s">
        <v>2302</v>
      </c>
      <c r="D76" s="17" t="s">
        <v>2303</v>
      </c>
      <c r="E76" s="17" t="s">
        <v>2304</v>
      </c>
      <c r="F76" s="17" t="s">
        <v>1962</v>
      </c>
      <c r="G76" s="17" t="s">
        <v>1941</v>
      </c>
      <c r="H76" s="17">
        <v>1114</v>
      </c>
      <c r="I76" t="s">
        <v>1942</v>
      </c>
    </row>
    <row r="77" spans="1:9" x14ac:dyDescent="0.3">
      <c r="A77" s="17" t="s">
        <v>178</v>
      </c>
      <c r="B77" s="17" t="s">
        <v>2305</v>
      </c>
      <c r="C77" s="17" t="s">
        <v>2306</v>
      </c>
      <c r="D77" s="17" t="s">
        <v>2307</v>
      </c>
      <c r="E77" s="17" t="s">
        <v>2308</v>
      </c>
      <c r="F77" s="17" t="s">
        <v>2309</v>
      </c>
      <c r="G77" s="17" t="s">
        <v>1949</v>
      </c>
      <c r="H77" s="17" t="s">
        <v>2310</v>
      </c>
      <c r="I77" t="s">
        <v>1942</v>
      </c>
    </row>
    <row r="78" spans="1:9" x14ac:dyDescent="0.3">
      <c r="A78" s="17" t="s">
        <v>181</v>
      </c>
      <c r="B78" s="17" t="s">
        <v>2311</v>
      </c>
      <c r="C78" s="17"/>
      <c r="D78" s="17" t="s">
        <v>2312</v>
      </c>
      <c r="E78" s="17" t="s">
        <v>2313</v>
      </c>
      <c r="F78" s="17" t="s">
        <v>2314</v>
      </c>
      <c r="G78" s="17" t="s">
        <v>1949</v>
      </c>
      <c r="H78" s="17" t="s">
        <v>2315</v>
      </c>
      <c r="I78" t="s">
        <v>1942</v>
      </c>
    </row>
    <row r="79" spans="1:9" x14ac:dyDescent="0.3">
      <c r="A79" s="17" t="s">
        <v>184</v>
      </c>
      <c r="B79" s="17" t="s">
        <v>2316</v>
      </c>
      <c r="C79" s="17" t="s">
        <v>2317</v>
      </c>
      <c r="D79" s="17" t="s">
        <v>2318</v>
      </c>
      <c r="E79" s="17" t="s">
        <v>2319</v>
      </c>
      <c r="F79" s="17" t="s">
        <v>2320</v>
      </c>
      <c r="G79" s="17" t="s">
        <v>1941</v>
      </c>
      <c r="H79" s="17">
        <v>79705</v>
      </c>
      <c r="I79" t="s">
        <v>1951</v>
      </c>
    </row>
    <row r="80" spans="1:9" x14ac:dyDescent="0.3">
      <c r="A80" s="17" t="s">
        <v>186</v>
      </c>
      <c r="B80" s="17" t="s">
        <v>2321</v>
      </c>
      <c r="C80" s="17" t="s">
        <v>2322</v>
      </c>
      <c r="D80" s="17" t="s">
        <v>2323</v>
      </c>
      <c r="E80" s="17" t="s">
        <v>2324</v>
      </c>
      <c r="F80" s="17" t="s">
        <v>2325</v>
      </c>
      <c r="G80" s="17" t="s">
        <v>1941</v>
      </c>
      <c r="H80" s="17">
        <v>75323</v>
      </c>
      <c r="I80" t="s">
        <v>1942</v>
      </c>
    </row>
    <row r="81" spans="1:9" x14ac:dyDescent="0.3">
      <c r="A81" s="17" t="s">
        <v>188</v>
      </c>
      <c r="B81" s="17" t="s">
        <v>2326</v>
      </c>
      <c r="C81" s="17" t="s">
        <v>2327</v>
      </c>
      <c r="D81" s="17" t="s">
        <v>2328</v>
      </c>
      <c r="E81" s="17" t="s">
        <v>2329</v>
      </c>
      <c r="F81" s="17" t="s">
        <v>2330</v>
      </c>
      <c r="G81" s="17" t="s">
        <v>1941</v>
      </c>
      <c r="H81" s="17">
        <v>20189</v>
      </c>
      <c r="I81" t="s">
        <v>1951</v>
      </c>
    </row>
    <row r="82" spans="1:9" x14ac:dyDescent="0.3">
      <c r="A82" s="17" t="s">
        <v>191</v>
      </c>
      <c r="B82" s="17" t="s">
        <v>2331</v>
      </c>
      <c r="C82" s="17" t="s">
        <v>2332</v>
      </c>
      <c r="D82" s="17" t="s">
        <v>2333</v>
      </c>
      <c r="E82" s="17" t="s">
        <v>2334</v>
      </c>
      <c r="F82" s="17" t="s">
        <v>2335</v>
      </c>
      <c r="G82" s="17" t="s">
        <v>1941</v>
      </c>
      <c r="H82" s="17">
        <v>94627</v>
      </c>
      <c r="I82" t="s">
        <v>1942</v>
      </c>
    </row>
    <row r="83" spans="1:9" x14ac:dyDescent="0.3">
      <c r="A83" s="17" t="s">
        <v>194</v>
      </c>
      <c r="B83" s="17" t="s">
        <v>2336</v>
      </c>
      <c r="C83" s="17" t="s">
        <v>2337</v>
      </c>
      <c r="D83" s="17" t="s">
        <v>2338</v>
      </c>
      <c r="E83" s="17" t="s">
        <v>2339</v>
      </c>
      <c r="F83" s="17" t="s">
        <v>2340</v>
      </c>
      <c r="G83" s="17" t="s">
        <v>1941</v>
      </c>
      <c r="H83" s="17">
        <v>80930</v>
      </c>
      <c r="I83" t="s">
        <v>1942</v>
      </c>
    </row>
    <row r="84" spans="1:9" x14ac:dyDescent="0.3">
      <c r="A84" s="17" t="s">
        <v>196</v>
      </c>
      <c r="B84" s="17" t="s">
        <v>2341</v>
      </c>
      <c r="C84" s="17" t="s">
        <v>2342</v>
      </c>
      <c r="D84" s="17" t="s">
        <v>2343</v>
      </c>
      <c r="E84" s="17" t="s">
        <v>2344</v>
      </c>
      <c r="F84" s="17" t="s">
        <v>2345</v>
      </c>
      <c r="G84" s="17" t="s">
        <v>1949</v>
      </c>
      <c r="H84" s="17" t="s">
        <v>2346</v>
      </c>
      <c r="I84" t="s">
        <v>1942</v>
      </c>
    </row>
    <row r="85" spans="1:9" x14ac:dyDescent="0.3">
      <c r="A85" s="17" t="s">
        <v>199</v>
      </c>
      <c r="B85" s="17" t="s">
        <v>2347</v>
      </c>
      <c r="C85" s="17"/>
      <c r="D85" s="17" t="s">
        <v>2348</v>
      </c>
      <c r="E85" s="17" t="s">
        <v>2349</v>
      </c>
      <c r="F85" s="17" t="s">
        <v>2350</v>
      </c>
      <c r="G85" s="17" t="s">
        <v>1941</v>
      </c>
      <c r="H85" s="17">
        <v>14205</v>
      </c>
      <c r="I85" t="s">
        <v>1942</v>
      </c>
    </row>
    <row r="86" spans="1:9" x14ac:dyDescent="0.3">
      <c r="A86" s="17" t="s">
        <v>201</v>
      </c>
      <c r="B86" s="17" t="s">
        <v>2351</v>
      </c>
      <c r="C86" s="17" t="s">
        <v>2352</v>
      </c>
      <c r="D86" s="17" t="s">
        <v>2353</v>
      </c>
      <c r="E86" s="17" t="s">
        <v>2354</v>
      </c>
      <c r="F86" s="17" t="s">
        <v>2355</v>
      </c>
      <c r="G86" s="17" t="s">
        <v>1941</v>
      </c>
      <c r="H86" s="17">
        <v>93715</v>
      </c>
      <c r="I86" t="s">
        <v>1951</v>
      </c>
    </row>
    <row r="87" spans="1:9" x14ac:dyDescent="0.3">
      <c r="A87" s="17" t="s">
        <v>203</v>
      </c>
      <c r="B87" s="17" t="s">
        <v>2356</v>
      </c>
      <c r="C87" s="17" t="s">
        <v>2357</v>
      </c>
      <c r="D87" s="17"/>
      <c r="E87" s="17" t="s">
        <v>2358</v>
      </c>
      <c r="F87" s="17" t="s">
        <v>2266</v>
      </c>
      <c r="G87" s="17" t="s">
        <v>1941</v>
      </c>
      <c r="H87" s="17">
        <v>76121</v>
      </c>
      <c r="I87" t="s">
        <v>1951</v>
      </c>
    </row>
    <row r="88" spans="1:9" x14ac:dyDescent="0.3">
      <c r="A88" s="17" t="s">
        <v>300</v>
      </c>
      <c r="B88" s="17" t="s">
        <v>2359</v>
      </c>
      <c r="C88" s="17" t="s">
        <v>2360</v>
      </c>
      <c r="D88" s="17"/>
      <c r="E88" s="17" t="s">
        <v>2361</v>
      </c>
      <c r="F88" s="17" t="s">
        <v>2362</v>
      </c>
      <c r="G88" s="17" t="s">
        <v>1941</v>
      </c>
      <c r="H88" s="17">
        <v>73179</v>
      </c>
      <c r="I88" t="s">
        <v>1942</v>
      </c>
    </row>
    <row r="89" spans="1:9" x14ac:dyDescent="0.3">
      <c r="A89" s="17" t="s">
        <v>206</v>
      </c>
      <c r="B89" s="17" t="s">
        <v>2363</v>
      </c>
      <c r="C89" s="17" t="s">
        <v>2364</v>
      </c>
      <c r="D89" s="17"/>
      <c r="E89" s="17" t="s">
        <v>2365</v>
      </c>
      <c r="F89" s="17" t="s">
        <v>2366</v>
      </c>
      <c r="G89" s="17" t="s">
        <v>1941</v>
      </c>
      <c r="H89" s="17">
        <v>77705</v>
      </c>
      <c r="I89" t="s">
        <v>1951</v>
      </c>
    </row>
    <row r="90" spans="1:9" x14ac:dyDescent="0.3">
      <c r="A90" s="17" t="s">
        <v>208</v>
      </c>
      <c r="B90" s="17" t="s">
        <v>2367</v>
      </c>
      <c r="C90" s="17" t="s">
        <v>2368</v>
      </c>
      <c r="D90" s="17"/>
      <c r="E90" s="17" t="s">
        <v>2369</v>
      </c>
      <c r="F90" s="17" t="s">
        <v>2370</v>
      </c>
      <c r="G90" s="17" t="s">
        <v>1941</v>
      </c>
      <c r="H90" s="17">
        <v>89519</v>
      </c>
      <c r="I90" t="s">
        <v>1951</v>
      </c>
    </row>
    <row r="91" spans="1:9" x14ac:dyDescent="0.3">
      <c r="A91" s="17" t="s">
        <v>210</v>
      </c>
      <c r="B91" s="17" t="s">
        <v>2371</v>
      </c>
      <c r="C91" s="17" t="s">
        <v>2372</v>
      </c>
      <c r="D91" s="17" t="s">
        <v>2373</v>
      </c>
      <c r="E91" s="17" t="s">
        <v>2374</v>
      </c>
      <c r="F91" s="17" t="s">
        <v>2375</v>
      </c>
      <c r="G91" s="17" t="s">
        <v>1941</v>
      </c>
      <c r="H91" s="17">
        <v>64136</v>
      </c>
      <c r="I91" t="s">
        <v>1951</v>
      </c>
    </row>
    <row r="92" spans="1:9" x14ac:dyDescent="0.3">
      <c r="A92" s="17" t="s">
        <v>212</v>
      </c>
      <c r="B92" s="17" t="s">
        <v>2376</v>
      </c>
      <c r="C92" s="17"/>
      <c r="D92" s="17" t="s">
        <v>2377</v>
      </c>
      <c r="E92" s="17" t="s">
        <v>2378</v>
      </c>
      <c r="F92" s="17" t="s">
        <v>1948</v>
      </c>
      <c r="G92" s="17" t="s">
        <v>1949</v>
      </c>
      <c r="H92" s="17" t="s">
        <v>1950</v>
      </c>
      <c r="I92" t="s">
        <v>1942</v>
      </c>
    </row>
    <row r="93" spans="1:9" x14ac:dyDescent="0.3">
      <c r="A93" s="17" t="s">
        <v>214</v>
      </c>
      <c r="B93" s="17" t="s">
        <v>2379</v>
      </c>
      <c r="C93" s="17" t="s">
        <v>2380</v>
      </c>
      <c r="D93" s="17" t="s">
        <v>2381</v>
      </c>
      <c r="E93" s="17" t="s">
        <v>2382</v>
      </c>
      <c r="F93" s="17" t="s">
        <v>2383</v>
      </c>
      <c r="G93" s="17" t="s">
        <v>1941</v>
      </c>
      <c r="H93" s="17">
        <v>92878</v>
      </c>
      <c r="I93" t="s">
        <v>1951</v>
      </c>
    </row>
    <row r="94" spans="1:9" x14ac:dyDescent="0.3">
      <c r="A94" s="17" t="s">
        <v>216</v>
      </c>
      <c r="B94" s="17" t="s">
        <v>2384</v>
      </c>
      <c r="C94" s="17"/>
      <c r="D94" s="17" t="s">
        <v>2385</v>
      </c>
      <c r="E94" s="17" t="s">
        <v>2386</v>
      </c>
      <c r="F94" s="17" t="s">
        <v>2387</v>
      </c>
      <c r="G94" s="17" t="s">
        <v>1941</v>
      </c>
      <c r="H94" s="17">
        <v>78759</v>
      </c>
      <c r="I94" t="s">
        <v>1942</v>
      </c>
    </row>
    <row r="95" spans="1:9" x14ac:dyDescent="0.3">
      <c r="A95" s="17" t="s">
        <v>218</v>
      </c>
      <c r="B95" s="17" t="s">
        <v>2388</v>
      </c>
      <c r="C95" s="17" t="s">
        <v>2389</v>
      </c>
      <c r="D95" s="17" t="s">
        <v>2390</v>
      </c>
      <c r="E95" s="17" t="s">
        <v>2391</v>
      </c>
      <c r="F95" s="17" t="s">
        <v>2392</v>
      </c>
      <c r="G95" s="17" t="s">
        <v>2116</v>
      </c>
      <c r="H95" s="17" t="s">
        <v>2393</v>
      </c>
      <c r="I95" t="s">
        <v>1942</v>
      </c>
    </row>
    <row r="96" spans="1:9" x14ac:dyDescent="0.3">
      <c r="A96" s="17" t="s">
        <v>220</v>
      </c>
      <c r="B96" s="17" t="s">
        <v>2394</v>
      </c>
      <c r="C96" s="17"/>
      <c r="D96" s="17"/>
      <c r="E96" s="17" t="s">
        <v>2395</v>
      </c>
      <c r="F96" s="17" t="s">
        <v>2396</v>
      </c>
      <c r="G96" s="17" t="s">
        <v>1949</v>
      </c>
      <c r="H96" s="17" t="s">
        <v>2397</v>
      </c>
      <c r="I96" t="s">
        <v>1942</v>
      </c>
    </row>
    <row r="97" spans="1:9" x14ac:dyDescent="0.3">
      <c r="A97" s="17" t="s">
        <v>222</v>
      </c>
      <c r="B97" s="17" t="s">
        <v>2398</v>
      </c>
      <c r="C97" s="17" t="s">
        <v>2399</v>
      </c>
      <c r="D97" s="17"/>
      <c r="E97" s="17" t="s">
        <v>2400</v>
      </c>
      <c r="F97" s="17" t="s">
        <v>2355</v>
      </c>
      <c r="G97" s="17" t="s">
        <v>1941</v>
      </c>
      <c r="H97" s="17">
        <v>93762</v>
      </c>
      <c r="I97" t="s">
        <v>1951</v>
      </c>
    </row>
    <row r="98" spans="1:9" x14ac:dyDescent="0.3">
      <c r="A98" s="17" t="s">
        <v>224</v>
      </c>
      <c r="B98" s="17" t="s">
        <v>2401</v>
      </c>
      <c r="C98" s="17" t="s">
        <v>2402</v>
      </c>
      <c r="D98" s="17"/>
      <c r="E98" s="17" t="s">
        <v>2403</v>
      </c>
      <c r="F98" s="17" t="s">
        <v>2013</v>
      </c>
      <c r="G98" s="17" t="s">
        <v>1941</v>
      </c>
      <c r="H98" s="17">
        <v>63150</v>
      </c>
      <c r="I98" t="s">
        <v>1951</v>
      </c>
    </row>
    <row r="99" spans="1:9" x14ac:dyDescent="0.3">
      <c r="A99" s="17" t="s">
        <v>226</v>
      </c>
      <c r="B99" s="17" t="s">
        <v>2404</v>
      </c>
      <c r="C99" s="17" t="s">
        <v>2405</v>
      </c>
      <c r="D99" s="17" t="s">
        <v>2406</v>
      </c>
      <c r="E99" s="17" t="s">
        <v>2407</v>
      </c>
      <c r="F99" s="17" t="s">
        <v>2355</v>
      </c>
      <c r="G99" s="17" t="s">
        <v>1941</v>
      </c>
      <c r="H99" s="17">
        <v>93726</v>
      </c>
      <c r="I99" t="s">
        <v>1951</v>
      </c>
    </row>
    <row r="100" spans="1:9" x14ac:dyDescent="0.3">
      <c r="A100" s="17" t="s">
        <v>228</v>
      </c>
      <c r="B100" s="17" t="s">
        <v>2408</v>
      </c>
      <c r="C100" s="17"/>
      <c r="D100" s="17" t="s">
        <v>2409</v>
      </c>
      <c r="E100" s="17" t="s">
        <v>2410</v>
      </c>
      <c r="F100" s="17" t="s">
        <v>2411</v>
      </c>
      <c r="G100" s="17" t="s">
        <v>1949</v>
      </c>
      <c r="H100" s="17" t="s">
        <v>2412</v>
      </c>
      <c r="I100" t="s">
        <v>1951</v>
      </c>
    </row>
    <row r="101" spans="1:9" x14ac:dyDescent="0.3">
      <c r="A101" s="17" t="s">
        <v>230</v>
      </c>
      <c r="B101" s="17" t="s">
        <v>2413</v>
      </c>
      <c r="C101" s="17"/>
      <c r="D101" s="17" t="s">
        <v>2414</v>
      </c>
      <c r="E101" s="17" t="s">
        <v>2415</v>
      </c>
      <c r="F101" s="17" t="s">
        <v>2287</v>
      </c>
      <c r="G101" s="17" t="s">
        <v>1941</v>
      </c>
      <c r="H101" s="17">
        <v>43210</v>
      </c>
      <c r="I101" t="s">
        <v>1942</v>
      </c>
    </row>
    <row r="102" spans="1:9" x14ac:dyDescent="0.3">
      <c r="A102" s="17" t="s">
        <v>232</v>
      </c>
      <c r="B102" s="17" t="s">
        <v>2416</v>
      </c>
      <c r="C102" s="17"/>
      <c r="D102" s="17" t="s">
        <v>2417</v>
      </c>
      <c r="E102" s="17" t="s">
        <v>2418</v>
      </c>
      <c r="F102" s="17" t="s">
        <v>2419</v>
      </c>
      <c r="G102" s="17" t="s">
        <v>1941</v>
      </c>
      <c r="H102" s="17">
        <v>95205</v>
      </c>
      <c r="I102" t="s">
        <v>1942</v>
      </c>
    </row>
    <row r="103" spans="1:9" x14ac:dyDescent="0.3">
      <c r="A103" s="17" t="s">
        <v>234</v>
      </c>
      <c r="B103" s="17" t="s">
        <v>2420</v>
      </c>
      <c r="C103" s="17" t="s">
        <v>2421</v>
      </c>
      <c r="D103" s="17" t="s">
        <v>2422</v>
      </c>
      <c r="E103" s="17" t="s">
        <v>2423</v>
      </c>
      <c r="F103" s="17" t="s">
        <v>2424</v>
      </c>
      <c r="G103" s="17" t="s">
        <v>1949</v>
      </c>
      <c r="H103" s="17" t="s">
        <v>2425</v>
      </c>
      <c r="I103" t="s">
        <v>1942</v>
      </c>
    </row>
    <row r="104" spans="1:9" x14ac:dyDescent="0.3">
      <c r="A104" s="17" t="s">
        <v>236</v>
      </c>
      <c r="B104" s="17" t="s">
        <v>2426</v>
      </c>
      <c r="C104" s="17" t="s">
        <v>2427</v>
      </c>
      <c r="D104" s="17" t="s">
        <v>2428</v>
      </c>
      <c r="E104" s="17" t="s">
        <v>2429</v>
      </c>
      <c r="F104" s="17" t="s">
        <v>2430</v>
      </c>
      <c r="G104" s="17" t="s">
        <v>1949</v>
      </c>
      <c r="H104" s="17" t="s">
        <v>2412</v>
      </c>
      <c r="I104" t="s">
        <v>1942</v>
      </c>
    </row>
    <row r="105" spans="1:9" x14ac:dyDescent="0.3">
      <c r="A105" s="17" t="s">
        <v>238</v>
      </c>
      <c r="B105" s="17" t="s">
        <v>2431</v>
      </c>
      <c r="C105" s="17" t="s">
        <v>2432</v>
      </c>
      <c r="D105" s="17" t="s">
        <v>2433</v>
      </c>
      <c r="E105" s="17" t="s">
        <v>2434</v>
      </c>
      <c r="F105" s="17" t="s">
        <v>2163</v>
      </c>
      <c r="G105" s="17" t="s">
        <v>1941</v>
      </c>
      <c r="H105" s="17">
        <v>14652</v>
      </c>
      <c r="I105" t="s">
        <v>1951</v>
      </c>
    </row>
    <row r="106" spans="1:9" x14ac:dyDescent="0.3">
      <c r="A106" s="17" t="s">
        <v>240</v>
      </c>
      <c r="B106" s="17" t="s">
        <v>2435</v>
      </c>
      <c r="C106" s="17" t="s">
        <v>2436</v>
      </c>
      <c r="D106" s="17" t="s">
        <v>2437</v>
      </c>
      <c r="E106" s="17" t="s">
        <v>2438</v>
      </c>
      <c r="F106" s="17" t="s">
        <v>2439</v>
      </c>
      <c r="G106" s="17" t="s">
        <v>1941</v>
      </c>
      <c r="H106" s="17">
        <v>35487</v>
      </c>
      <c r="I106" t="s">
        <v>1951</v>
      </c>
    </row>
    <row r="107" spans="1:9" x14ac:dyDescent="0.3">
      <c r="A107" s="17" t="s">
        <v>242</v>
      </c>
      <c r="B107" s="17" t="s">
        <v>2440</v>
      </c>
      <c r="C107" s="17" t="s">
        <v>2441</v>
      </c>
      <c r="D107" s="17" t="s">
        <v>2442</v>
      </c>
      <c r="E107" s="17" t="s">
        <v>2443</v>
      </c>
      <c r="F107" s="17" t="s">
        <v>2027</v>
      </c>
      <c r="G107" s="17" t="s">
        <v>1941</v>
      </c>
      <c r="H107" s="17">
        <v>77260</v>
      </c>
      <c r="I107" t="s">
        <v>1942</v>
      </c>
    </row>
    <row r="108" spans="1:9" x14ac:dyDescent="0.3">
      <c r="A108" s="17" t="s">
        <v>244</v>
      </c>
      <c r="B108" s="17" t="s">
        <v>2444</v>
      </c>
      <c r="C108" s="17" t="s">
        <v>2445</v>
      </c>
      <c r="D108" s="17" t="s">
        <v>2446</v>
      </c>
      <c r="E108" s="17" t="s">
        <v>2447</v>
      </c>
      <c r="F108" s="17" t="s">
        <v>2448</v>
      </c>
      <c r="G108" s="17" t="s">
        <v>1941</v>
      </c>
      <c r="H108" s="17">
        <v>88514</v>
      </c>
      <c r="I108" t="s">
        <v>1951</v>
      </c>
    </row>
    <row r="109" spans="1:9" x14ac:dyDescent="0.3">
      <c r="A109" s="17" t="s">
        <v>247</v>
      </c>
      <c r="B109" s="17" t="s">
        <v>2449</v>
      </c>
      <c r="C109" s="17" t="s">
        <v>2450</v>
      </c>
      <c r="D109" s="17" t="s">
        <v>2451</v>
      </c>
      <c r="E109" s="17" t="s">
        <v>2452</v>
      </c>
      <c r="F109" s="17" t="s">
        <v>2340</v>
      </c>
      <c r="G109" s="17" t="s">
        <v>1941</v>
      </c>
      <c r="H109" s="17">
        <v>80935</v>
      </c>
      <c r="I109" t="s">
        <v>1942</v>
      </c>
    </row>
    <row r="110" spans="1:9" x14ac:dyDescent="0.3">
      <c r="A110" s="17" t="s">
        <v>249</v>
      </c>
      <c r="B110" s="17" t="s">
        <v>2453</v>
      </c>
      <c r="C110" s="17"/>
      <c r="D110" s="17" t="s">
        <v>2454</v>
      </c>
      <c r="E110" s="17" t="s">
        <v>2455</v>
      </c>
      <c r="F110" s="17" t="s">
        <v>2238</v>
      </c>
      <c r="G110" s="17" t="s">
        <v>1941</v>
      </c>
      <c r="H110" s="17">
        <v>46862</v>
      </c>
      <c r="I110" t="s">
        <v>1951</v>
      </c>
    </row>
    <row r="111" spans="1:9" x14ac:dyDescent="0.3">
      <c r="A111" s="17" t="s">
        <v>251</v>
      </c>
      <c r="B111" s="17" t="s">
        <v>2456</v>
      </c>
      <c r="C111" s="17" t="s">
        <v>2457</v>
      </c>
      <c r="D111" s="17" t="s">
        <v>2458</v>
      </c>
      <c r="E111" s="17" t="s">
        <v>2459</v>
      </c>
      <c r="F111" s="17" t="s">
        <v>2460</v>
      </c>
      <c r="G111" s="17" t="s">
        <v>1941</v>
      </c>
      <c r="H111" s="17">
        <v>11054</v>
      </c>
      <c r="I111" t="s">
        <v>1942</v>
      </c>
    </row>
    <row r="112" spans="1:9" x14ac:dyDescent="0.3">
      <c r="A112" s="17" t="s">
        <v>253</v>
      </c>
      <c r="B112" s="17" t="s">
        <v>2461</v>
      </c>
      <c r="C112" s="17" t="s">
        <v>2462</v>
      </c>
      <c r="D112" s="17" t="s">
        <v>2463</v>
      </c>
      <c r="E112" s="17" t="s">
        <v>2464</v>
      </c>
      <c r="F112" s="17" t="s">
        <v>1962</v>
      </c>
      <c r="G112" s="17" t="s">
        <v>1941</v>
      </c>
      <c r="H112" s="17">
        <v>1105</v>
      </c>
      <c r="I112" t="s">
        <v>1942</v>
      </c>
    </row>
    <row r="113" spans="1:9" x14ac:dyDescent="0.3">
      <c r="A113" s="17" t="s">
        <v>256</v>
      </c>
      <c r="B113" s="17" t="s">
        <v>2465</v>
      </c>
      <c r="C113" s="17" t="s">
        <v>2466</v>
      </c>
      <c r="D113" s="17"/>
      <c r="E113" s="17" t="s">
        <v>2467</v>
      </c>
      <c r="F113" s="17" t="s">
        <v>2225</v>
      </c>
      <c r="G113" s="17" t="s">
        <v>1941</v>
      </c>
      <c r="H113" s="17">
        <v>32575</v>
      </c>
      <c r="I113" t="s">
        <v>1951</v>
      </c>
    </row>
    <row r="114" spans="1:9" x14ac:dyDescent="0.3">
      <c r="A114" s="17" t="s">
        <v>258</v>
      </c>
      <c r="B114" s="17" t="s">
        <v>2468</v>
      </c>
      <c r="C114" s="17" t="s">
        <v>2469</v>
      </c>
      <c r="D114" s="17" t="s">
        <v>2470</v>
      </c>
      <c r="E114" s="17" t="s">
        <v>2471</v>
      </c>
      <c r="F114" s="17" t="s">
        <v>2004</v>
      </c>
      <c r="G114" s="17" t="s">
        <v>1941</v>
      </c>
      <c r="H114" s="17">
        <v>23242</v>
      </c>
      <c r="I114" t="s">
        <v>1951</v>
      </c>
    </row>
    <row r="115" spans="1:9" x14ac:dyDescent="0.3">
      <c r="A115" s="17" t="s">
        <v>260</v>
      </c>
      <c r="B115" s="17" t="s">
        <v>2472</v>
      </c>
      <c r="C115" s="17" t="s">
        <v>2473</v>
      </c>
      <c r="D115" s="17" t="s">
        <v>2474</v>
      </c>
      <c r="E115" s="17" t="s">
        <v>2475</v>
      </c>
      <c r="F115" s="17" t="s">
        <v>2476</v>
      </c>
      <c r="G115" s="17" t="s">
        <v>1949</v>
      </c>
      <c r="H115" s="17" t="s">
        <v>2477</v>
      </c>
      <c r="I115" t="s">
        <v>1951</v>
      </c>
    </row>
    <row r="116" spans="1:9" x14ac:dyDescent="0.3">
      <c r="A116" s="17" t="s">
        <v>262</v>
      </c>
      <c r="B116" s="17" t="s">
        <v>2478</v>
      </c>
      <c r="C116" s="17"/>
      <c r="D116" s="17" t="s">
        <v>2479</v>
      </c>
      <c r="E116" s="17" t="s">
        <v>2480</v>
      </c>
      <c r="F116" s="17" t="s">
        <v>2481</v>
      </c>
      <c r="G116" s="17" t="s">
        <v>1941</v>
      </c>
      <c r="H116" s="17">
        <v>25705</v>
      </c>
      <c r="I116" t="s">
        <v>1951</v>
      </c>
    </row>
    <row r="117" spans="1:9" x14ac:dyDescent="0.3">
      <c r="A117" s="17" t="s">
        <v>264</v>
      </c>
      <c r="B117" s="17" t="s">
        <v>2482</v>
      </c>
      <c r="C117" s="17" t="s">
        <v>2483</v>
      </c>
      <c r="D117" s="17" t="s">
        <v>2484</v>
      </c>
      <c r="E117" s="17" t="s">
        <v>2485</v>
      </c>
      <c r="F117" s="17" t="s">
        <v>2172</v>
      </c>
      <c r="G117" s="17" t="s">
        <v>2116</v>
      </c>
      <c r="H117" s="17" t="s">
        <v>2486</v>
      </c>
      <c r="I117" t="s">
        <v>1951</v>
      </c>
    </row>
    <row r="118" spans="1:9" x14ac:dyDescent="0.3">
      <c r="A118" s="17" t="s">
        <v>266</v>
      </c>
      <c r="B118" s="17" t="s">
        <v>2487</v>
      </c>
      <c r="C118" s="17" t="s">
        <v>2488</v>
      </c>
      <c r="D118" s="17" t="s">
        <v>2489</v>
      </c>
      <c r="E118" s="17" t="s">
        <v>2490</v>
      </c>
      <c r="F118" s="17" t="s">
        <v>2491</v>
      </c>
      <c r="G118" s="17" t="s">
        <v>1949</v>
      </c>
      <c r="H118" s="17" t="s">
        <v>2492</v>
      </c>
      <c r="I118" t="s">
        <v>1942</v>
      </c>
    </row>
    <row r="119" spans="1:9" x14ac:dyDescent="0.3">
      <c r="A119" s="17" t="s">
        <v>268</v>
      </c>
      <c r="B119" s="17" t="s">
        <v>2493</v>
      </c>
      <c r="C119" s="17" t="s">
        <v>2494</v>
      </c>
      <c r="D119" s="17" t="s">
        <v>2495</v>
      </c>
      <c r="E119" s="17" t="s">
        <v>2496</v>
      </c>
      <c r="F119" s="17" t="s">
        <v>1976</v>
      </c>
      <c r="G119" s="17" t="s">
        <v>1941</v>
      </c>
      <c r="H119" s="17">
        <v>45432</v>
      </c>
      <c r="I119" t="s">
        <v>1951</v>
      </c>
    </row>
    <row r="120" spans="1:9" x14ac:dyDescent="0.3">
      <c r="A120" s="17" t="s">
        <v>270</v>
      </c>
      <c r="B120" s="17" t="s">
        <v>2497</v>
      </c>
      <c r="C120" s="17" t="s">
        <v>2498</v>
      </c>
      <c r="D120" s="17" t="s">
        <v>2499</v>
      </c>
      <c r="E120" s="17" t="s">
        <v>2500</v>
      </c>
      <c r="F120" s="17" t="s">
        <v>2501</v>
      </c>
      <c r="G120" s="17" t="s">
        <v>1941</v>
      </c>
      <c r="H120" s="17">
        <v>99507</v>
      </c>
      <c r="I120" t="s">
        <v>1942</v>
      </c>
    </row>
    <row r="121" spans="1:9" x14ac:dyDescent="0.3">
      <c r="A121" s="17" t="s">
        <v>272</v>
      </c>
      <c r="B121" s="17" t="s">
        <v>2502</v>
      </c>
      <c r="C121" s="17" t="s">
        <v>2503</v>
      </c>
      <c r="D121" s="17" t="s">
        <v>2504</v>
      </c>
      <c r="E121" s="17" t="s">
        <v>2505</v>
      </c>
      <c r="F121" s="17" t="s">
        <v>2506</v>
      </c>
      <c r="G121" s="17" t="s">
        <v>1941</v>
      </c>
      <c r="H121" s="17">
        <v>37215</v>
      </c>
      <c r="I121" t="s">
        <v>1951</v>
      </c>
    </row>
    <row r="122" spans="1:9" x14ac:dyDescent="0.3">
      <c r="A122" s="17" t="s">
        <v>2507</v>
      </c>
      <c r="B122" s="17" t="s">
        <v>2508</v>
      </c>
      <c r="C122" s="17" t="s">
        <v>2509</v>
      </c>
      <c r="D122" s="17" t="s">
        <v>2510</v>
      </c>
      <c r="E122" s="17" t="s">
        <v>2511</v>
      </c>
      <c r="F122" s="17" t="s">
        <v>1986</v>
      </c>
      <c r="G122" s="17" t="s">
        <v>1941</v>
      </c>
      <c r="H122" s="17">
        <v>90040</v>
      </c>
      <c r="I122" t="s">
        <v>1942</v>
      </c>
    </row>
    <row r="123" spans="1:9" x14ac:dyDescent="0.3">
      <c r="A123" s="17" t="s">
        <v>2512</v>
      </c>
      <c r="B123" s="17" t="s">
        <v>2513</v>
      </c>
      <c r="C123" s="17" t="s">
        <v>2514</v>
      </c>
      <c r="D123" s="17" t="s">
        <v>2515</v>
      </c>
      <c r="E123" s="17" t="s">
        <v>2516</v>
      </c>
      <c r="F123" s="17" t="s">
        <v>2300</v>
      </c>
      <c r="G123" s="17" t="s">
        <v>1941</v>
      </c>
      <c r="H123" s="17">
        <v>28289</v>
      </c>
      <c r="I123" t="s">
        <v>1951</v>
      </c>
    </row>
    <row r="124" spans="1:9" x14ac:dyDescent="0.3">
      <c r="A124" s="17" t="s">
        <v>274</v>
      </c>
      <c r="B124" s="17" t="s">
        <v>2517</v>
      </c>
      <c r="C124" s="17" t="s">
        <v>2518</v>
      </c>
      <c r="D124" s="17" t="s">
        <v>2519</v>
      </c>
      <c r="E124" s="17" t="s">
        <v>2520</v>
      </c>
      <c r="F124" s="17" t="s">
        <v>2132</v>
      </c>
      <c r="G124" s="17" t="s">
        <v>1941</v>
      </c>
      <c r="H124" s="17">
        <v>80217</v>
      </c>
      <c r="I124" t="s">
        <v>1942</v>
      </c>
    </row>
    <row r="125" spans="1:9" x14ac:dyDescent="0.3">
      <c r="A125" s="17" t="s">
        <v>276</v>
      </c>
      <c r="B125" s="17" t="s">
        <v>2521</v>
      </c>
      <c r="C125" s="17" t="s">
        <v>2522</v>
      </c>
      <c r="D125" s="17" t="s">
        <v>2523</v>
      </c>
      <c r="E125" s="17" t="s">
        <v>2524</v>
      </c>
      <c r="F125" s="17" t="s">
        <v>2525</v>
      </c>
      <c r="G125" s="17" t="s">
        <v>1941</v>
      </c>
      <c r="H125" s="17">
        <v>6912</v>
      </c>
      <c r="I125" t="s">
        <v>1951</v>
      </c>
    </row>
    <row r="126" spans="1:9" x14ac:dyDescent="0.3">
      <c r="A126" s="17" t="s">
        <v>278</v>
      </c>
      <c r="B126" s="17" t="s">
        <v>2526</v>
      </c>
      <c r="C126" s="17" t="s">
        <v>2527</v>
      </c>
      <c r="D126" s="17" t="s">
        <v>2528</v>
      </c>
      <c r="E126" s="17" t="s">
        <v>2529</v>
      </c>
      <c r="F126" s="17" t="s">
        <v>2530</v>
      </c>
      <c r="G126" s="17" t="s">
        <v>1941</v>
      </c>
      <c r="H126" s="17">
        <v>23605</v>
      </c>
      <c r="I126" t="s">
        <v>1942</v>
      </c>
    </row>
    <row r="127" spans="1:9" x14ac:dyDescent="0.3">
      <c r="A127" s="17" t="s">
        <v>280</v>
      </c>
      <c r="B127" s="17" t="s">
        <v>2531</v>
      </c>
      <c r="C127" s="17" t="s">
        <v>2532</v>
      </c>
      <c r="D127" s="17" t="s">
        <v>2533</v>
      </c>
      <c r="E127" s="17" t="s">
        <v>2534</v>
      </c>
      <c r="F127" s="17" t="s">
        <v>2535</v>
      </c>
      <c r="G127" s="17" t="s">
        <v>1949</v>
      </c>
      <c r="H127" s="17" t="s">
        <v>2536</v>
      </c>
      <c r="I127" t="s">
        <v>1942</v>
      </c>
    </row>
    <row r="128" spans="1:9" x14ac:dyDescent="0.3">
      <c r="A128" s="17" t="s">
        <v>282</v>
      </c>
      <c r="B128" s="17" t="s">
        <v>2537</v>
      </c>
      <c r="C128" s="17" t="s">
        <v>2538</v>
      </c>
      <c r="D128" s="17" t="s">
        <v>2539</v>
      </c>
      <c r="E128" s="17" t="s">
        <v>2540</v>
      </c>
      <c r="F128" s="17" t="s">
        <v>2501</v>
      </c>
      <c r="G128" s="17" t="s">
        <v>1941</v>
      </c>
      <c r="H128" s="17">
        <v>99599</v>
      </c>
      <c r="I128" t="s">
        <v>1951</v>
      </c>
    </row>
    <row r="129" spans="1:9" x14ac:dyDescent="0.3">
      <c r="A129" s="17" t="s">
        <v>284</v>
      </c>
      <c r="B129" s="17" t="s">
        <v>2541</v>
      </c>
      <c r="C129" s="17" t="s">
        <v>2542</v>
      </c>
      <c r="D129" s="17" t="s">
        <v>2543</v>
      </c>
      <c r="E129" s="17" t="s">
        <v>2544</v>
      </c>
      <c r="F129" s="17" t="s">
        <v>2366</v>
      </c>
      <c r="G129" s="17" t="s">
        <v>1949</v>
      </c>
      <c r="H129" s="17" t="s">
        <v>2545</v>
      </c>
      <c r="I129" t="s">
        <v>1951</v>
      </c>
    </row>
    <row r="130" spans="1:9" x14ac:dyDescent="0.3">
      <c r="A130" s="17" t="s">
        <v>286</v>
      </c>
      <c r="B130" s="17" t="s">
        <v>2546</v>
      </c>
      <c r="C130" s="17" t="s">
        <v>2547</v>
      </c>
      <c r="D130" s="17" t="s">
        <v>2548</v>
      </c>
      <c r="E130" s="17" t="s">
        <v>2549</v>
      </c>
      <c r="F130" s="17" t="s">
        <v>2550</v>
      </c>
      <c r="G130" s="17" t="s">
        <v>1941</v>
      </c>
      <c r="H130" s="17">
        <v>58122</v>
      </c>
      <c r="I130" t="s">
        <v>1951</v>
      </c>
    </row>
    <row r="131" spans="1:9" x14ac:dyDescent="0.3">
      <c r="A131" s="17" t="s">
        <v>288</v>
      </c>
      <c r="B131" s="17" t="s">
        <v>2551</v>
      </c>
      <c r="C131" s="17" t="s">
        <v>2552</v>
      </c>
      <c r="D131" s="17" t="s">
        <v>2553</v>
      </c>
      <c r="E131" s="17" t="s">
        <v>2554</v>
      </c>
      <c r="F131" s="17" t="s">
        <v>2555</v>
      </c>
      <c r="G131" s="17" t="s">
        <v>1941</v>
      </c>
      <c r="H131" s="17">
        <v>47737</v>
      </c>
      <c r="I131" t="s">
        <v>1942</v>
      </c>
    </row>
    <row r="132" spans="1:9" x14ac:dyDescent="0.3">
      <c r="A132" s="17" t="s">
        <v>290</v>
      </c>
      <c r="B132" s="17" t="s">
        <v>2556</v>
      </c>
      <c r="C132" s="17"/>
      <c r="D132" s="17" t="s">
        <v>2557</v>
      </c>
      <c r="E132" s="17" t="s">
        <v>2558</v>
      </c>
      <c r="F132" s="17" t="s">
        <v>2476</v>
      </c>
      <c r="G132" s="17" t="s">
        <v>1949</v>
      </c>
      <c r="H132" s="17" t="s">
        <v>2477</v>
      </c>
      <c r="I132" t="s">
        <v>1942</v>
      </c>
    </row>
    <row r="133" spans="1:9" x14ac:dyDescent="0.3">
      <c r="A133" s="17" t="s">
        <v>292</v>
      </c>
      <c r="B133" s="17" t="s">
        <v>2559</v>
      </c>
      <c r="C133" s="17" t="s">
        <v>2560</v>
      </c>
      <c r="D133" s="17" t="s">
        <v>2561</v>
      </c>
      <c r="E133" s="17" t="s">
        <v>2562</v>
      </c>
      <c r="F133" s="17" t="s">
        <v>2300</v>
      </c>
      <c r="G133" s="17" t="s">
        <v>1941</v>
      </c>
      <c r="H133" s="17">
        <v>28210</v>
      </c>
      <c r="I133" t="s">
        <v>1942</v>
      </c>
    </row>
    <row r="134" spans="1:9" x14ac:dyDescent="0.3">
      <c r="A134" s="17" t="s">
        <v>294</v>
      </c>
      <c r="B134" s="17" t="s">
        <v>2563</v>
      </c>
      <c r="C134" s="17" t="s">
        <v>2564</v>
      </c>
      <c r="D134" s="17" t="s">
        <v>2565</v>
      </c>
      <c r="E134" s="17" t="s">
        <v>2566</v>
      </c>
      <c r="F134" s="17" t="s">
        <v>2567</v>
      </c>
      <c r="G134" s="17" t="s">
        <v>1941</v>
      </c>
      <c r="H134" s="17">
        <v>35815</v>
      </c>
      <c r="I134" t="s">
        <v>1942</v>
      </c>
    </row>
    <row r="135" spans="1:9" x14ac:dyDescent="0.3">
      <c r="A135" s="17" t="s">
        <v>296</v>
      </c>
      <c r="B135" s="17" t="s">
        <v>2568</v>
      </c>
      <c r="C135" s="17" t="s">
        <v>2569</v>
      </c>
      <c r="D135" s="17" t="s">
        <v>2570</v>
      </c>
      <c r="E135" s="17" t="s">
        <v>2571</v>
      </c>
      <c r="F135" s="17" t="s">
        <v>2572</v>
      </c>
      <c r="G135" s="17" t="s">
        <v>1941</v>
      </c>
      <c r="H135" s="17">
        <v>92725</v>
      </c>
      <c r="I135" t="s">
        <v>1951</v>
      </c>
    </row>
    <row r="136" spans="1:9" x14ac:dyDescent="0.3">
      <c r="A136" s="17" t="s">
        <v>298</v>
      </c>
      <c r="B136" s="17" t="s">
        <v>2573</v>
      </c>
      <c r="C136" s="17"/>
      <c r="D136" s="17"/>
      <c r="E136" s="17" t="s">
        <v>2574</v>
      </c>
      <c r="F136" s="17" t="s">
        <v>2186</v>
      </c>
      <c r="G136" s="17" t="s">
        <v>1941</v>
      </c>
      <c r="H136" s="17">
        <v>20520</v>
      </c>
      <c r="I136" t="s">
        <v>1942</v>
      </c>
    </row>
    <row r="137" spans="1:9" x14ac:dyDescent="0.3">
      <c r="A137" s="17" t="s">
        <v>2575</v>
      </c>
      <c r="B137" s="17" t="s">
        <v>2576</v>
      </c>
      <c r="C137" s="17" t="s">
        <v>2577</v>
      </c>
      <c r="D137" s="17" t="s">
        <v>2578</v>
      </c>
      <c r="E137" s="17" t="s">
        <v>2579</v>
      </c>
      <c r="F137" s="17" t="s">
        <v>2580</v>
      </c>
      <c r="G137" s="17" t="s">
        <v>1949</v>
      </c>
      <c r="H137" s="17" t="s">
        <v>2581</v>
      </c>
      <c r="I137" t="s">
        <v>1951</v>
      </c>
    </row>
    <row r="138" spans="1:9" x14ac:dyDescent="0.3">
      <c r="A138" s="17" t="s">
        <v>302</v>
      </c>
      <c r="B138" s="17" t="s">
        <v>2582</v>
      </c>
      <c r="C138" s="17" t="s">
        <v>2583</v>
      </c>
      <c r="D138" s="17" t="s">
        <v>2584</v>
      </c>
      <c r="E138" s="17" t="s">
        <v>2585</v>
      </c>
      <c r="F138" s="17" t="s">
        <v>2013</v>
      </c>
      <c r="G138" s="17" t="s">
        <v>1941</v>
      </c>
      <c r="H138" s="17">
        <v>63131</v>
      </c>
      <c r="I138" t="s">
        <v>1951</v>
      </c>
    </row>
    <row r="139" spans="1:9" x14ac:dyDescent="0.3">
      <c r="A139" s="17" t="s">
        <v>304</v>
      </c>
      <c r="B139" s="17" t="s">
        <v>2586</v>
      </c>
      <c r="C139" s="17"/>
      <c r="D139" s="17" t="s">
        <v>2587</v>
      </c>
      <c r="E139" s="17" t="s">
        <v>2588</v>
      </c>
      <c r="F139" s="17" t="s">
        <v>2105</v>
      </c>
      <c r="G139" s="17" t="s">
        <v>1949</v>
      </c>
      <c r="H139" s="17" t="s">
        <v>2106</v>
      </c>
      <c r="I139" t="s">
        <v>1951</v>
      </c>
    </row>
    <row r="140" spans="1:9" x14ac:dyDescent="0.3">
      <c r="A140" s="17" t="s">
        <v>306</v>
      </c>
      <c r="B140" s="17" t="s">
        <v>2589</v>
      </c>
      <c r="C140" s="17"/>
      <c r="D140" s="17" t="s">
        <v>2590</v>
      </c>
      <c r="E140" s="17" t="s">
        <v>2591</v>
      </c>
      <c r="F140" s="17" t="s">
        <v>2592</v>
      </c>
      <c r="G140" s="17" t="s">
        <v>1941</v>
      </c>
      <c r="H140" s="17">
        <v>96805</v>
      </c>
      <c r="I140" t="s">
        <v>1951</v>
      </c>
    </row>
    <row r="141" spans="1:9" x14ac:dyDescent="0.3">
      <c r="A141" s="17" t="s">
        <v>308</v>
      </c>
      <c r="B141" s="17" t="s">
        <v>2593</v>
      </c>
      <c r="C141" s="17"/>
      <c r="D141" s="17" t="s">
        <v>2594</v>
      </c>
      <c r="E141" s="17" t="s">
        <v>2595</v>
      </c>
      <c r="F141" s="17" t="s">
        <v>2383</v>
      </c>
      <c r="G141" s="17" t="s">
        <v>1941</v>
      </c>
      <c r="H141" s="17">
        <v>92878</v>
      </c>
      <c r="I141" t="s">
        <v>1942</v>
      </c>
    </row>
    <row r="142" spans="1:9" x14ac:dyDescent="0.3">
      <c r="A142" s="17" t="s">
        <v>310</v>
      </c>
      <c r="B142" s="17" t="s">
        <v>2596</v>
      </c>
      <c r="C142" s="17" t="s">
        <v>2597</v>
      </c>
      <c r="D142" s="17" t="s">
        <v>2598</v>
      </c>
      <c r="E142" s="17" t="s">
        <v>2599</v>
      </c>
      <c r="F142" s="17" t="s">
        <v>2600</v>
      </c>
      <c r="G142" s="17" t="s">
        <v>1949</v>
      </c>
      <c r="H142" s="17" t="s">
        <v>2545</v>
      </c>
      <c r="I142" t="s">
        <v>1942</v>
      </c>
    </row>
    <row r="143" spans="1:9" x14ac:dyDescent="0.3">
      <c r="A143" s="17" t="s">
        <v>312</v>
      </c>
      <c r="B143" s="17" t="s">
        <v>2601</v>
      </c>
      <c r="C143" s="17" t="s">
        <v>2602</v>
      </c>
      <c r="D143" s="17" t="s">
        <v>2603</v>
      </c>
      <c r="E143" s="17" t="s">
        <v>2604</v>
      </c>
      <c r="F143" s="17" t="s">
        <v>2186</v>
      </c>
      <c r="G143" s="17" t="s">
        <v>1941</v>
      </c>
      <c r="H143" s="17">
        <v>20520</v>
      </c>
      <c r="I143" t="s">
        <v>1942</v>
      </c>
    </row>
    <row r="144" spans="1:9" x14ac:dyDescent="0.3">
      <c r="A144" s="17" t="s">
        <v>314</v>
      </c>
      <c r="B144" s="17" t="s">
        <v>2605</v>
      </c>
      <c r="C144" s="17"/>
      <c r="D144" s="17"/>
      <c r="E144" s="17" t="s">
        <v>2606</v>
      </c>
      <c r="F144" s="17" t="s">
        <v>2607</v>
      </c>
      <c r="G144" s="17" t="s">
        <v>1949</v>
      </c>
      <c r="H144" s="17" t="s">
        <v>2310</v>
      </c>
      <c r="I144" t="s">
        <v>1942</v>
      </c>
    </row>
    <row r="145" spans="1:9" x14ac:dyDescent="0.3">
      <c r="A145" s="17" t="s">
        <v>316</v>
      </c>
      <c r="B145" s="17" t="s">
        <v>2608</v>
      </c>
      <c r="C145" s="17" t="s">
        <v>2609</v>
      </c>
      <c r="D145" s="17" t="s">
        <v>2610</v>
      </c>
      <c r="E145" s="17" t="s">
        <v>2611</v>
      </c>
      <c r="F145" s="17" t="s">
        <v>2027</v>
      </c>
      <c r="G145" s="17" t="s">
        <v>1941</v>
      </c>
      <c r="H145" s="17">
        <v>77281</v>
      </c>
      <c r="I145" t="s">
        <v>1951</v>
      </c>
    </row>
    <row r="146" spans="1:9" x14ac:dyDescent="0.3">
      <c r="A146" s="17" t="s">
        <v>318</v>
      </c>
      <c r="B146" s="17" t="s">
        <v>2612</v>
      </c>
      <c r="C146" s="17" t="s">
        <v>2613</v>
      </c>
      <c r="D146" s="17" t="s">
        <v>2614</v>
      </c>
      <c r="E146" s="17" t="s">
        <v>2615</v>
      </c>
      <c r="F146" s="17" t="s">
        <v>2616</v>
      </c>
      <c r="G146" s="17" t="s">
        <v>1941</v>
      </c>
      <c r="H146" s="17">
        <v>92668</v>
      </c>
      <c r="I146" t="s">
        <v>1942</v>
      </c>
    </row>
    <row r="147" spans="1:9" x14ac:dyDescent="0.3">
      <c r="A147" s="17" t="s">
        <v>320</v>
      </c>
      <c r="B147" s="17" t="s">
        <v>2617</v>
      </c>
      <c r="C147" s="17" t="s">
        <v>2618</v>
      </c>
      <c r="D147" s="17" t="s">
        <v>2619</v>
      </c>
      <c r="E147" s="17" t="s">
        <v>2620</v>
      </c>
      <c r="F147" s="17" t="s">
        <v>2448</v>
      </c>
      <c r="G147" s="17" t="s">
        <v>1941</v>
      </c>
      <c r="H147" s="17">
        <v>88553</v>
      </c>
      <c r="I147" t="s">
        <v>1951</v>
      </c>
    </row>
    <row r="148" spans="1:9" x14ac:dyDescent="0.3">
      <c r="A148" s="17" t="s">
        <v>322</v>
      </c>
      <c r="B148" s="17" t="s">
        <v>2621</v>
      </c>
      <c r="C148" s="17" t="s">
        <v>2622</v>
      </c>
      <c r="D148" s="17" t="s">
        <v>2623</v>
      </c>
      <c r="E148" s="17" t="s">
        <v>2624</v>
      </c>
      <c r="F148" s="17" t="s">
        <v>2625</v>
      </c>
      <c r="G148" s="17" t="s">
        <v>1941</v>
      </c>
      <c r="H148" s="17">
        <v>89714</v>
      </c>
      <c r="I148" t="s">
        <v>1951</v>
      </c>
    </row>
    <row r="149" spans="1:9" x14ac:dyDescent="0.3">
      <c r="A149" s="17" t="s">
        <v>2626</v>
      </c>
      <c r="B149" s="17" t="s">
        <v>2627</v>
      </c>
      <c r="C149" s="17" t="s">
        <v>2628</v>
      </c>
      <c r="D149" s="17" t="s">
        <v>2629</v>
      </c>
      <c r="E149" s="17" t="s">
        <v>2630</v>
      </c>
      <c r="F149" s="17" t="s">
        <v>2266</v>
      </c>
      <c r="G149" s="17" t="s">
        <v>1941</v>
      </c>
      <c r="H149" s="17">
        <v>76105</v>
      </c>
      <c r="I149" t="s">
        <v>1942</v>
      </c>
    </row>
    <row r="150" spans="1:9" x14ac:dyDescent="0.3">
      <c r="A150" s="17" t="s">
        <v>324</v>
      </c>
      <c r="B150" s="17" t="s">
        <v>2631</v>
      </c>
      <c r="C150" s="17" t="s">
        <v>2632</v>
      </c>
      <c r="D150" s="17" t="s">
        <v>2633</v>
      </c>
      <c r="E150" s="17" t="s">
        <v>2634</v>
      </c>
      <c r="F150" s="17" t="s">
        <v>2206</v>
      </c>
      <c r="G150" s="17" t="s">
        <v>1941</v>
      </c>
      <c r="H150" s="17">
        <v>84605</v>
      </c>
      <c r="I150" t="s">
        <v>1942</v>
      </c>
    </row>
    <row r="151" spans="1:9" x14ac:dyDescent="0.3">
      <c r="A151" s="17" t="s">
        <v>326</v>
      </c>
      <c r="B151" s="17" t="s">
        <v>2635</v>
      </c>
      <c r="C151" s="17"/>
      <c r="D151" s="17" t="s">
        <v>2636</v>
      </c>
      <c r="E151" s="17" t="s">
        <v>2637</v>
      </c>
      <c r="F151" s="17" t="s">
        <v>2638</v>
      </c>
      <c r="G151" s="17" t="s">
        <v>1941</v>
      </c>
      <c r="H151" s="17">
        <v>33487</v>
      </c>
      <c r="I151" t="s">
        <v>1942</v>
      </c>
    </row>
    <row r="152" spans="1:9" x14ac:dyDescent="0.3">
      <c r="A152" s="17" t="s">
        <v>328</v>
      </c>
      <c r="B152" s="17" t="s">
        <v>2639</v>
      </c>
      <c r="C152" s="17" t="s">
        <v>2640</v>
      </c>
      <c r="D152" s="17" t="s">
        <v>2641</v>
      </c>
      <c r="E152" s="17" t="s">
        <v>2642</v>
      </c>
      <c r="F152" s="17" t="s">
        <v>2643</v>
      </c>
      <c r="G152" s="17" t="s">
        <v>1941</v>
      </c>
      <c r="H152" s="17">
        <v>24040</v>
      </c>
      <c r="I152" t="s">
        <v>1942</v>
      </c>
    </row>
    <row r="153" spans="1:9" x14ac:dyDescent="0.3">
      <c r="A153" s="17" t="s">
        <v>330</v>
      </c>
      <c r="B153" s="17" t="s">
        <v>2644</v>
      </c>
      <c r="C153" s="17"/>
      <c r="D153" s="17" t="s">
        <v>2645</v>
      </c>
      <c r="E153" s="17" t="s">
        <v>2646</v>
      </c>
      <c r="F153" s="17" t="s">
        <v>2647</v>
      </c>
      <c r="G153" s="17" t="s">
        <v>1941</v>
      </c>
      <c r="H153" s="17">
        <v>50369</v>
      </c>
      <c r="I153" t="s">
        <v>1942</v>
      </c>
    </row>
    <row r="154" spans="1:9" x14ac:dyDescent="0.3">
      <c r="A154" s="17" t="s">
        <v>332</v>
      </c>
      <c r="B154" s="17" t="s">
        <v>2648</v>
      </c>
      <c r="C154" s="17" t="s">
        <v>2649</v>
      </c>
      <c r="D154" s="17" t="s">
        <v>2650</v>
      </c>
      <c r="E154" s="17" t="s">
        <v>2651</v>
      </c>
      <c r="F154" s="17" t="s">
        <v>2592</v>
      </c>
      <c r="G154" s="17" t="s">
        <v>1941</v>
      </c>
      <c r="H154" s="17">
        <v>96805</v>
      </c>
      <c r="I154" t="s">
        <v>1942</v>
      </c>
    </row>
    <row r="155" spans="1:9" x14ac:dyDescent="0.3">
      <c r="A155" s="17" t="s">
        <v>334</v>
      </c>
      <c r="B155" s="17" t="s">
        <v>2652</v>
      </c>
      <c r="C155" s="17"/>
      <c r="D155" s="17" t="s">
        <v>2653</v>
      </c>
      <c r="E155" s="17" t="s">
        <v>2654</v>
      </c>
      <c r="F155" s="17" t="s">
        <v>2191</v>
      </c>
      <c r="G155" s="17" t="s">
        <v>1941</v>
      </c>
      <c r="H155" s="17">
        <v>33345</v>
      </c>
      <c r="I155" t="s">
        <v>1951</v>
      </c>
    </row>
    <row r="156" spans="1:9" x14ac:dyDescent="0.3">
      <c r="A156" s="17" t="s">
        <v>336</v>
      </c>
      <c r="B156" s="17" t="s">
        <v>2655</v>
      </c>
      <c r="C156" s="17" t="s">
        <v>2656</v>
      </c>
      <c r="D156" s="17" t="s">
        <v>2657</v>
      </c>
      <c r="E156" s="17" t="s">
        <v>2658</v>
      </c>
      <c r="F156" s="17" t="s">
        <v>2017</v>
      </c>
      <c r="G156" s="17" t="s">
        <v>1941</v>
      </c>
      <c r="H156" s="17">
        <v>19172</v>
      </c>
      <c r="I156" t="s">
        <v>1951</v>
      </c>
    </row>
    <row r="157" spans="1:9" x14ac:dyDescent="0.3">
      <c r="A157" s="17" t="s">
        <v>338</v>
      </c>
      <c r="B157" s="17" t="s">
        <v>2659</v>
      </c>
      <c r="C157" s="17" t="s">
        <v>2660</v>
      </c>
      <c r="D157" s="17" t="s">
        <v>2661</v>
      </c>
      <c r="E157" s="17" t="s">
        <v>2662</v>
      </c>
      <c r="F157" s="17" t="s">
        <v>2663</v>
      </c>
      <c r="G157" s="17" t="s">
        <v>1941</v>
      </c>
      <c r="H157" s="17">
        <v>6854</v>
      </c>
      <c r="I157" t="s">
        <v>1942</v>
      </c>
    </row>
    <row r="158" spans="1:9" x14ac:dyDescent="0.3">
      <c r="A158" s="17" t="s">
        <v>340</v>
      </c>
      <c r="B158" s="17" t="s">
        <v>2664</v>
      </c>
      <c r="C158" s="17" t="s">
        <v>2665</v>
      </c>
      <c r="D158" s="17" t="s">
        <v>2666</v>
      </c>
      <c r="E158" s="17" t="s">
        <v>2667</v>
      </c>
      <c r="F158" s="17" t="s">
        <v>2668</v>
      </c>
      <c r="G158" s="17" t="s">
        <v>1941</v>
      </c>
      <c r="H158" s="17">
        <v>76011</v>
      </c>
      <c r="I158" t="s">
        <v>1942</v>
      </c>
    </row>
    <row r="159" spans="1:9" x14ac:dyDescent="0.3">
      <c r="A159" s="17" t="s">
        <v>342</v>
      </c>
      <c r="B159" s="17" t="s">
        <v>2669</v>
      </c>
      <c r="C159" s="17" t="s">
        <v>2670</v>
      </c>
      <c r="D159" s="17" t="s">
        <v>2671</v>
      </c>
      <c r="E159" s="17" t="s">
        <v>2672</v>
      </c>
      <c r="F159" s="17" t="s">
        <v>2673</v>
      </c>
      <c r="G159" s="17" t="s">
        <v>1949</v>
      </c>
      <c r="H159" s="17" t="s">
        <v>2674</v>
      </c>
      <c r="I159" t="s">
        <v>1951</v>
      </c>
    </row>
    <row r="160" spans="1:9" x14ac:dyDescent="0.3">
      <c r="A160" s="17" t="s">
        <v>344</v>
      </c>
      <c r="B160" s="17" t="s">
        <v>2675</v>
      </c>
      <c r="C160" s="17"/>
      <c r="D160" s="17" t="s">
        <v>2676</v>
      </c>
      <c r="E160" s="17" t="s">
        <v>2677</v>
      </c>
      <c r="F160" s="17" t="s">
        <v>2678</v>
      </c>
      <c r="G160" s="17" t="s">
        <v>1941</v>
      </c>
      <c r="H160" s="17">
        <v>37416</v>
      </c>
      <c r="I160" t="s">
        <v>1942</v>
      </c>
    </row>
    <row r="161" spans="1:9" x14ac:dyDescent="0.3">
      <c r="A161" s="17" t="s">
        <v>346</v>
      </c>
      <c r="B161" s="17" t="s">
        <v>2679</v>
      </c>
      <c r="C161" s="17"/>
      <c r="D161" s="17" t="s">
        <v>2680</v>
      </c>
      <c r="E161" s="17" t="s">
        <v>2681</v>
      </c>
      <c r="F161" s="17" t="s">
        <v>2022</v>
      </c>
      <c r="G161" s="17" t="s">
        <v>1941</v>
      </c>
      <c r="H161" s="17">
        <v>97296</v>
      </c>
      <c r="I161" t="s">
        <v>1951</v>
      </c>
    </row>
    <row r="162" spans="1:9" x14ac:dyDescent="0.3">
      <c r="A162" s="17" t="s">
        <v>348</v>
      </c>
      <c r="B162" s="17" t="s">
        <v>2682</v>
      </c>
      <c r="C162" s="17" t="s">
        <v>2683</v>
      </c>
      <c r="D162" s="17" t="s">
        <v>2684</v>
      </c>
      <c r="E162" s="17" t="s">
        <v>2685</v>
      </c>
      <c r="F162" s="17" t="s">
        <v>2362</v>
      </c>
      <c r="G162" s="17" t="s">
        <v>1941</v>
      </c>
      <c r="H162" s="17">
        <v>73135</v>
      </c>
      <c r="I162" t="s">
        <v>1951</v>
      </c>
    </row>
    <row r="163" spans="1:9" x14ac:dyDescent="0.3">
      <c r="A163" s="17" t="s">
        <v>350</v>
      </c>
      <c r="B163" s="17" t="s">
        <v>2686</v>
      </c>
      <c r="C163" s="17" t="s">
        <v>2687</v>
      </c>
      <c r="D163" s="17" t="s">
        <v>2688</v>
      </c>
      <c r="E163" s="17" t="s">
        <v>2689</v>
      </c>
      <c r="F163" s="17" t="s">
        <v>2186</v>
      </c>
      <c r="G163" s="17" t="s">
        <v>1941</v>
      </c>
      <c r="H163" s="17">
        <v>20520</v>
      </c>
      <c r="I163" t="s">
        <v>1951</v>
      </c>
    </row>
    <row r="164" spans="1:9" x14ac:dyDescent="0.3">
      <c r="A164" s="17" t="s">
        <v>352</v>
      </c>
      <c r="B164" s="17" t="s">
        <v>2690</v>
      </c>
      <c r="C164" s="17" t="s">
        <v>2691</v>
      </c>
      <c r="D164" s="17" t="s">
        <v>2692</v>
      </c>
      <c r="E164" s="17" t="s">
        <v>2693</v>
      </c>
      <c r="F164" s="17" t="s">
        <v>2694</v>
      </c>
      <c r="G164" s="17" t="s">
        <v>1941</v>
      </c>
      <c r="H164" s="17">
        <v>27415</v>
      </c>
      <c r="I164" t="s">
        <v>1942</v>
      </c>
    </row>
    <row r="165" spans="1:9" x14ac:dyDescent="0.3">
      <c r="A165" s="17" t="s">
        <v>354</v>
      </c>
      <c r="B165" s="17" t="s">
        <v>2695</v>
      </c>
      <c r="C165" s="17" t="s">
        <v>2696</v>
      </c>
      <c r="D165" s="17" t="s">
        <v>2697</v>
      </c>
      <c r="E165" s="17" t="s">
        <v>2698</v>
      </c>
      <c r="F165" s="17" t="s">
        <v>2699</v>
      </c>
      <c r="G165" s="17" t="s">
        <v>1941</v>
      </c>
      <c r="H165" s="17">
        <v>22313</v>
      </c>
      <c r="I165" t="s">
        <v>1951</v>
      </c>
    </row>
    <row r="166" spans="1:9" x14ac:dyDescent="0.3">
      <c r="A166" s="17" t="s">
        <v>356</v>
      </c>
      <c r="B166" s="17" t="s">
        <v>2700</v>
      </c>
      <c r="C166" s="17" t="s">
        <v>2701</v>
      </c>
      <c r="D166" s="17" t="s">
        <v>2702</v>
      </c>
      <c r="E166" s="17" t="s">
        <v>2703</v>
      </c>
      <c r="F166" s="17" t="s">
        <v>2704</v>
      </c>
      <c r="G166" s="17" t="s">
        <v>1949</v>
      </c>
      <c r="H166" s="17" t="s">
        <v>2705</v>
      </c>
      <c r="I166" t="s">
        <v>1951</v>
      </c>
    </row>
    <row r="167" spans="1:9" x14ac:dyDescent="0.3">
      <c r="A167" s="17" t="s">
        <v>358</v>
      </c>
      <c r="B167" s="17" t="s">
        <v>2706</v>
      </c>
      <c r="C167" s="17"/>
      <c r="D167" s="17" t="s">
        <v>2707</v>
      </c>
      <c r="E167" s="17" t="s">
        <v>2708</v>
      </c>
      <c r="F167" s="17" t="s">
        <v>2709</v>
      </c>
      <c r="G167" s="17" t="s">
        <v>1941</v>
      </c>
      <c r="H167" s="17">
        <v>53405</v>
      </c>
      <c r="I167" t="s">
        <v>1942</v>
      </c>
    </row>
    <row r="168" spans="1:9" x14ac:dyDescent="0.3">
      <c r="A168" s="17" t="s">
        <v>360</v>
      </c>
      <c r="B168" s="17" t="s">
        <v>2710</v>
      </c>
      <c r="C168" s="17"/>
      <c r="D168" s="17" t="s">
        <v>2711</v>
      </c>
      <c r="E168" s="17" t="s">
        <v>2712</v>
      </c>
      <c r="F168" s="17" t="s">
        <v>2713</v>
      </c>
      <c r="G168" s="17" t="s">
        <v>1941</v>
      </c>
      <c r="H168" s="17">
        <v>34629</v>
      </c>
      <c r="I168" t="s">
        <v>1942</v>
      </c>
    </row>
    <row r="169" spans="1:9" x14ac:dyDescent="0.3">
      <c r="A169" s="17" t="s">
        <v>362</v>
      </c>
      <c r="B169" s="17" t="s">
        <v>2714</v>
      </c>
      <c r="C169" s="17" t="s">
        <v>2715</v>
      </c>
      <c r="D169" s="17" t="s">
        <v>2716</v>
      </c>
      <c r="E169" s="17" t="s">
        <v>2717</v>
      </c>
      <c r="F169" s="17" t="s">
        <v>2709</v>
      </c>
      <c r="G169" s="17" t="s">
        <v>1941</v>
      </c>
      <c r="H169" s="17">
        <v>53405</v>
      </c>
      <c r="I169" t="s">
        <v>1942</v>
      </c>
    </row>
    <row r="170" spans="1:9" x14ac:dyDescent="0.3">
      <c r="A170" s="17" t="s">
        <v>364</v>
      </c>
      <c r="B170" s="17" t="s">
        <v>2718</v>
      </c>
      <c r="C170" s="17"/>
      <c r="D170" s="17" t="s">
        <v>2719</v>
      </c>
      <c r="E170" s="17" t="s">
        <v>2720</v>
      </c>
      <c r="F170" s="17" t="s">
        <v>2704</v>
      </c>
      <c r="G170" s="17" t="s">
        <v>1949</v>
      </c>
      <c r="H170" s="17" t="s">
        <v>2705</v>
      </c>
      <c r="I170" t="s">
        <v>1951</v>
      </c>
    </row>
    <row r="171" spans="1:9" x14ac:dyDescent="0.3">
      <c r="A171" s="17" t="s">
        <v>366</v>
      </c>
      <c r="B171" s="17" t="s">
        <v>2721</v>
      </c>
      <c r="C171" s="17" t="s">
        <v>2722</v>
      </c>
      <c r="D171" s="17" t="s">
        <v>2723</v>
      </c>
      <c r="E171" s="17" t="s">
        <v>2724</v>
      </c>
      <c r="F171" s="17" t="s">
        <v>2725</v>
      </c>
      <c r="G171" s="17" t="s">
        <v>1949</v>
      </c>
      <c r="H171" s="17" t="s">
        <v>2726</v>
      </c>
      <c r="I171" t="s">
        <v>1951</v>
      </c>
    </row>
    <row r="172" spans="1:9" x14ac:dyDescent="0.3">
      <c r="A172" s="17" t="s">
        <v>368</v>
      </c>
      <c r="B172" s="17" t="s">
        <v>2727</v>
      </c>
      <c r="C172" s="17" t="s">
        <v>2728</v>
      </c>
      <c r="D172" s="17"/>
      <c r="E172" s="17" t="s">
        <v>2729</v>
      </c>
      <c r="F172" s="17" t="s">
        <v>2730</v>
      </c>
      <c r="G172" s="17" t="s">
        <v>2116</v>
      </c>
      <c r="H172" s="17" t="s">
        <v>2731</v>
      </c>
      <c r="I172" t="s">
        <v>1951</v>
      </c>
    </row>
    <row r="173" spans="1:9" x14ac:dyDescent="0.3">
      <c r="A173" s="17" t="s">
        <v>370</v>
      </c>
      <c r="B173" s="17" t="s">
        <v>2732</v>
      </c>
      <c r="C173" s="17" t="s">
        <v>2733</v>
      </c>
      <c r="D173" s="17" t="s">
        <v>2734</v>
      </c>
      <c r="E173" s="17" t="s">
        <v>2735</v>
      </c>
      <c r="F173" s="17" t="s">
        <v>2220</v>
      </c>
      <c r="G173" s="17" t="s">
        <v>1941</v>
      </c>
      <c r="H173" s="17">
        <v>33686</v>
      </c>
      <c r="I173" t="s">
        <v>1942</v>
      </c>
    </row>
    <row r="174" spans="1:9" x14ac:dyDescent="0.3">
      <c r="A174" s="17" t="s">
        <v>372</v>
      </c>
      <c r="B174" s="17" t="s">
        <v>2736</v>
      </c>
      <c r="C174" s="17" t="s">
        <v>2737</v>
      </c>
      <c r="D174" s="17"/>
      <c r="E174" s="17" t="s">
        <v>2738</v>
      </c>
      <c r="F174" s="17" t="s">
        <v>2739</v>
      </c>
      <c r="G174" s="17" t="s">
        <v>1949</v>
      </c>
      <c r="H174" s="17" t="s">
        <v>2412</v>
      </c>
      <c r="I174" t="s">
        <v>1951</v>
      </c>
    </row>
    <row r="175" spans="1:9" x14ac:dyDescent="0.3">
      <c r="A175" s="17" t="s">
        <v>374</v>
      </c>
      <c r="B175" s="17" t="s">
        <v>2740</v>
      </c>
      <c r="C175" s="17" t="s">
        <v>2741</v>
      </c>
      <c r="D175" s="17" t="s">
        <v>2742</v>
      </c>
      <c r="E175" s="17" t="s">
        <v>2743</v>
      </c>
      <c r="F175" s="17" t="s">
        <v>2744</v>
      </c>
      <c r="G175" s="17" t="s">
        <v>1941</v>
      </c>
      <c r="H175" s="17">
        <v>36195</v>
      </c>
      <c r="I175" t="s">
        <v>1951</v>
      </c>
    </row>
    <row r="176" spans="1:9" x14ac:dyDescent="0.3">
      <c r="A176" s="17" t="s">
        <v>376</v>
      </c>
      <c r="B176" s="17" t="s">
        <v>2745</v>
      </c>
      <c r="C176" s="17"/>
      <c r="D176" s="17" t="s">
        <v>2746</v>
      </c>
      <c r="E176" s="17" t="s">
        <v>2747</v>
      </c>
      <c r="F176" s="17" t="s">
        <v>2748</v>
      </c>
      <c r="G176" s="17" t="s">
        <v>1941</v>
      </c>
      <c r="H176" s="17">
        <v>89436</v>
      </c>
      <c r="I176" t="s">
        <v>1942</v>
      </c>
    </row>
    <row r="177" spans="1:9" x14ac:dyDescent="0.3">
      <c r="A177" s="17" t="s">
        <v>378</v>
      </c>
      <c r="B177" s="17" t="s">
        <v>2749</v>
      </c>
      <c r="C177" s="17" t="s">
        <v>2750</v>
      </c>
      <c r="D177" s="17" t="s">
        <v>2751</v>
      </c>
      <c r="E177" s="17" t="s">
        <v>2752</v>
      </c>
      <c r="F177" s="17" t="s">
        <v>2753</v>
      </c>
      <c r="G177" s="17" t="s">
        <v>1941</v>
      </c>
      <c r="H177" s="17">
        <v>31205</v>
      </c>
      <c r="I177" t="s">
        <v>1942</v>
      </c>
    </row>
    <row r="178" spans="1:9" x14ac:dyDescent="0.3">
      <c r="A178" s="17" t="s">
        <v>380</v>
      </c>
      <c r="B178" s="17" t="s">
        <v>2754</v>
      </c>
      <c r="C178" s="17" t="s">
        <v>2755</v>
      </c>
      <c r="D178" s="17" t="s">
        <v>2756</v>
      </c>
      <c r="E178" s="17" t="s">
        <v>2757</v>
      </c>
      <c r="F178" s="17" t="s">
        <v>2758</v>
      </c>
      <c r="G178" s="17" t="s">
        <v>1941</v>
      </c>
      <c r="H178" s="17">
        <v>90605</v>
      </c>
      <c r="I178" t="s">
        <v>1942</v>
      </c>
    </row>
    <row r="179" spans="1:9" x14ac:dyDescent="0.3">
      <c r="A179" s="17" t="s">
        <v>382</v>
      </c>
      <c r="B179" s="17" t="s">
        <v>2759</v>
      </c>
      <c r="C179" s="17" t="s">
        <v>2760</v>
      </c>
      <c r="D179" s="17"/>
      <c r="E179" s="17" t="s">
        <v>2761</v>
      </c>
      <c r="F179" s="17" t="s">
        <v>2762</v>
      </c>
      <c r="G179" s="17" t="s">
        <v>1941</v>
      </c>
      <c r="H179" s="17">
        <v>37605</v>
      </c>
      <c r="I179" t="s">
        <v>1942</v>
      </c>
    </row>
    <row r="180" spans="1:9" x14ac:dyDescent="0.3">
      <c r="A180" s="17" t="s">
        <v>384</v>
      </c>
      <c r="B180" s="17" t="s">
        <v>2763</v>
      </c>
      <c r="C180" s="17" t="s">
        <v>2764</v>
      </c>
      <c r="D180" s="17" t="s">
        <v>2765</v>
      </c>
      <c r="E180" s="17" t="s">
        <v>2766</v>
      </c>
      <c r="F180" s="17" t="s">
        <v>2163</v>
      </c>
      <c r="G180" s="17" t="s">
        <v>1941</v>
      </c>
      <c r="H180" s="17">
        <v>14614</v>
      </c>
      <c r="I180" t="s">
        <v>1951</v>
      </c>
    </row>
    <row r="181" spans="1:9" x14ac:dyDescent="0.3">
      <c r="A181" s="17" t="s">
        <v>386</v>
      </c>
      <c r="B181" s="17" t="s">
        <v>2767</v>
      </c>
      <c r="C181" s="17"/>
      <c r="D181" s="17" t="s">
        <v>2768</v>
      </c>
      <c r="E181" s="17" t="s">
        <v>2769</v>
      </c>
      <c r="F181" s="17" t="s">
        <v>2770</v>
      </c>
      <c r="G181" s="17" t="s">
        <v>1949</v>
      </c>
      <c r="H181" s="17" t="s">
        <v>2771</v>
      </c>
      <c r="I181" t="s">
        <v>1951</v>
      </c>
    </row>
    <row r="182" spans="1:9" x14ac:dyDescent="0.3">
      <c r="A182" s="17" t="s">
        <v>388</v>
      </c>
      <c r="B182" s="17" t="s">
        <v>2772</v>
      </c>
      <c r="C182" s="17" t="s">
        <v>2773</v>
      </c>
      <c r="D182" s="17" t="s">
        <v>2774</v>
      </c>
      <c r="E182" s="17" t="s">
        <v>2775</v>
      </c>
      <c r="F182" s="17" t="s">
        <v>2776</v>
      </c>
      <c r="G182" s="17" t="s">
        <v>1941</v>
      </c>
      <c r="H182" s="17">
        <v>11254</v>
      </c>
      <c r="I182" t="s">
        <v>1951</v>
      </c>
    </row>
    <row r="183" spans="1:9" x14ac:dyDescent="0.3">
      <c r="A183" s="17" t="s">
        <v>2777</v>
      </c>
      <c r="B183" s="17" t="s">
        <v>2778</v>
      </c>
      <c r="C183" s="17" t="s">
        <v>2779</v>
      </c>
      <c r="D183" s="17" t="s">
        <v>2780</v>
      </c>
      <c r="E183" s="17" t="s">
        <v>2781</v>
      </c>
      <c r="F183" s="17" t="s">
        <v>1962</v>
      </c>
      <c r="G183" s="17" t="s">
        <v>1941</v>
      </c>
      <c r="H183" s="17">
        <v>1114</v>
      </c>
      <c r="I183" t="s">
        <v>1951</v>
      </c>
    </row>
    <row r="184" spans="1:9" x14ac:dyDescent="0.3">
      <c r="A184" s="17" t="s">
        <v>390</v>
      </c>
      <c r="B184" s="17" t="s">
        <v>2782</v>
      </c>
      <c r="C184" s="17" t="s">
        <v>2783</v>
      </c>
      <c r="D184" s="17" t="s">
        <v>2784</v>
      </c>
      <c r="E184" s="17" t="s">
        <v>2785</v>
      </c>
      <c r="F184" s="17" t="s">
        <v>2786</v>
      </c>
      <c r="G184" s="17" t="s">
        <v>1941</v>
      </c>
      <c r="H184" s="17">
        <v>22908</v>
      </c>
      <c r="I184" t="s">
        <v>1951</v>
      </c>
    </row>
    <row r="185" spans="1:9" x14ac:dyDescent="0.3">
      <c r="A185" s="17" t="s">
        <v>392</v>
      </c>
      <c r="B185" s="17" t="s">
        <v>2787</v>
      </c>
      <c r="C185" s="17" t="s">
        <v>2788</v>
      </c>
      <c r="D185" s="17" t="s">
        <v>2789</v>
      </c>
      <c r="E185" s="17" t="s">
        <v>2790</v>
      </c>
      <c r="F185" s="17" t="s">
        <v>2791</v>
      </c>
      <c r="G185" s="17" t="s">
        <v>1941</v>
      </c>
      <c r="H185" s="17">
        <v>75044</v>
      </c>
      <c r="I185" t="s">
        <v>1951</v>
      </c>
    </row>
    <row r="186" spans="1:9" x14ac:dyDescent="0.3">
      <c r="A186" s="17" t="s">
        <v>394</v>
      </c>
      <c r="B186" s="17" t="s">
        <v>2792</v>
      </c>
      <c r="C186" s="17" t="s">
        <v>2793</v>
      </c>
      <c r="D186" s="17" t="s">
        <v>2794</v>
      </c>
      <c r="E186" s="17" t="s">
        <v>2795</v>
      </c>
      <c r="F186" s="17" t="s">
        <v>2137</v>
      </c>
      <c r="G186" s="17" t="s">
        <v>1941</v>
      </c>
      <c r="H186" s="17">
        <v>55448</v>
      </c>
      <c r="I186" t="s">
        <v>1951</v>
      </c>
    </row>
    <row r="187" spans="1:9" x14ac:dyDescent="0.3">
      <c r="A187" s="17" t="s">
        <v>396</v>
      </c>
      <c r="B187" s="17" t="s">
        <v>2796</v>
      </c>
      <c r="C187" s="17" t="s">
        <v>2797</v>
      </c>
      <c r="D187" s="17" t="s">
        <v>2798</v>
      </c>
      <c r="E187" s="17" t="s">
        <v>2799</v>
      </c>
      <c r="F187" s="17" t="s">
        <v>2800</v>
      </c>
      <c r="G187" s="17" t="s">
        <v>1941</v>
      </c>
      <c r="H187" s="17">
        <v>48919</v>
      </c>
      <c r="I187" t="s">
        <v>1942</v>
      </c>
    </row>
    <row r="188" spans="1:9" x14ac:dyDescent="0.3">
      <c r="A188" s="17" t="s">
        <v>398</v>
      </c>
      <c r="B188" s="17" t="s">
        <v>2801</v>
      </c>
      <c r="C188" s="17" t="s">
        <v>2802</v>
      </c>
      <c r="D188" s="17" t="s">
        <v>2803</v>
      </c>
      <c r="E188" s="17" t="s">
        <v>2804</v>
      </c>
      <c r="F188" s="17" t="s">
        <v>2110</v>
      </c>
      <c r="G188" s="17" t="s">
        <v>1941</v>
      </c>
      <c r="H188" s="17">
        <v>58207</v>
      </c>
      <c r="I188" t="s">
        <v>1951</v>
      </c>
    </row>
    <row r="189" spans="1:9" x14ac:dyDescent="0.3">
      <c r="A189" s="17" t="s">
        <v>400</v>
      </c>
      <c r="B189" s="17" t="s">
        <v>2805</v>
      </c>
      <c r="C189" s="17" t="s">
        <v>2806</v>
      </c>
      <c r="D189" s="17"/>
      <c r="E189" s="17" t="s">
        <v>2807</v>
      </c>
      <c r="F189" s="17" t="s">
        <v>2501</v>
      </c>
      <c r="G189" s="17" t="s">
        <v>1941</v>
      </c>
      <c r="H189" s="17">
        <v>99522</v>
      </c>
      <c r="I189" t="s">
        <v>1942</v>
      </c>
    </row>
    <row r="190" spans="1:9" x14ac:dyDescent="0.3">
      <c r="A190" s="17" t="s">
        <v>402</v>
      </c>
      <c r="B190" s="17" t="s">
        <v>2808</v>
      </c>
      <c r="C190" s="17" t="s">
        <v>2809</v>
      </c>
      <c r="D190" s="17" t="s">
        <v>2810</v>
      </c>
      <c r="E190" s="17" t="s">
        <v>2811</v>
      </c>
      <c r="F190" s="17" t="s">
        <v>2362</v>
      </c>
      <c r="G190" s="17" t="s">
        <v>1941</v>
      </c>
      <c r="H190" s="17">
        <v>73129</v>
      </c>
      <c r="I190" t="s">
        <v>1942</v>
      </c>
    </row>
    <row r="191" spans="1:9" x14ac:dyDescent="0.3">
      <c r="A191" s="17" t="s">
        <v>404</v>
      </c>
      <c r="B191" s="17" t="s">
        <v>2812</v>
      </c>
      <c r="C191" s="17" t="s">
        <v>2813</v>
      </c>
      <c r="D191" s="17" t="s">
        <v>2814</v>
      </c>
      <c r="E191" s="17" t="s">
        <v>2815</v>
      </c>
      <c r="F191" s="17" t="s">
        <v>2816</v>
      </c>
      <c r="G191" s="17" t="s">
        <v>1941</v>
      </c>
      <c r="H191" s="17">
        <v>74103</v>
      </c>
      <c r="I191" t="s">
        <v>1942</v>
      </c>
    </row>
    <row r="192" spans="1:9" x14ac:dyDescent="0.3">
      <c r="A192" s="17" t="s">
        <v>406</v>
      </c>
      <c r="B192" s="17" t="s">
        <v>2817</v>
      </c>
      <c r="C192" s="17" t="s">
        <v>2818</v>
      </c>
      <c r="D192" s="17" t="s">
        <v>2819</v>
      </c>
      <c r="E192" s="17" t="s">
        <v>2820</v>
      </c>
      <c r="F192" s="17" t="s">
        <v>2821</v>
      </c>
      <c r="G192" s="17" t="s">
        <v>1941</v>
      </c>
      <c r="H192" s="17">
        <v>48211</v>
      </c>
      <c r="I192" t="s">
        <v>1942</v>
      </c>
    </row>
    <row r="193" spans="1:9" x14ac:dyDescent="0.3">
      <c r="A193" s="17" t="s">
        <v>408</v>
      </c>
      <c r="B193" s="17" t="s">
        <v>2822</v>
      </c>
      <c r="C193" s="17" t="s">
        <v>2823</v>
      </c>
      <c r="D193" s="17" t="s">
        <v>2824</v>
      </c>
      <c r="E193" s="17" t="s">
        <v>2825</v>
      </c>
      <c r="F193" s="17" t="s">
        <v>2186</v>
      </c>
      <c r="G193" s="17" t="s">
        <v>1941</v>
      </c>
      <c r="H193" s="17">
        <v>20436</v>
      </c>
      <c r="I193" t="s">
        <v>1942</v>
      </c>
    </row>
    <row r="194" spans="1:9" x14ac:dyDescent="0.3">
      <c r="A194" s="17" t="s">
        <v>410</v>
      </c>
      <c r="B194" s="17" t="s">
        <v>2826</v>
      </c>
      <c r="C194" s="17" t="s">
        <v>2827</v>
      </c>
      <c r="D194" s="17" t="s">
        <v>2828</v>
      </c>
      <c r="E194" s="17" t="s">
        <v>2829</v>
      </c>
      <c r="F194" s="17" t="s">
        <v>2830</v>
      </c>
      <c r="G194" s="17" t="s">
        <v>1949</v>
      </c>
      <c r="H194" s="17" t="s">
        <v>2831</v>
      </c>
      <c r="I194" t="s">
        <v>1942</v>
      </c>
    </row>
    <row r="195" spans="1:9" x14ac:dyDescent="0.3">
      <c r="A195" s="17" t="s">
        <v>412</v>
      </c>
      <c r="B195" s="17" t="s">
        <v>2832</v>
      </c>
      <c r="C195" s="17"/>
      <c r="D195" s="17" t="s">
        <v>2833</v>
      </c>
      <c r="E195" s="17" t="s">
        <v>2834</v>
      </c>
      <c r="F195" s="17" t="s">
        <v>2835</v>
      </c>
      <c r="G195" s="17" t="s">
        <v>1941</v>
      </c>
      <c r="H195" s="17">
        <v>85215</v>
      </c>
      <c r="I195" t="s">
        <v>1951</v>
      </c>
    </row>
    <row r="196" spans="1:9" x14ac:dyDescent="0.3">
      <c r="A196" s="17" t="s">
        <v>414</v>
      </c>
      <c r="B196" s="17" t="s">
        <v>2836</v>
      </c>
      <c r="C196" s="17" t="s">
        <v>2837</v>
      </c>
      <c r="D196" s="17" t="s">
        <v>2838</v>
      </c>
      <c r="E196" s="17" t="s">
        <v>2839</v>
      </c>
      <c r="F196" s="17" t="s">
        <v>2840</v>
      </c>
      <c r="G196" s="17" t="s">
        <v>1941</v>
      </c>
      <c r="H196" s="17">
        <v>44485</v>
      </c>
      <c r="I196" t="s">
        <v>1951</v>
      </c>
    </row>
    <row r="197" spans="1:9" x14ac:dyDescent="0.3">
      <c r="A197" s="17" t="s">
        <v>416</v>
      </c>
      <c r="B197" s="17" t="s">
        <v>2841</v>
      </c>
      <c r="C197" s="17" t="s">
        <v>2842</v>
      </c>
      <c r="D197" s="17" t="s">
        <v>2843</v>
      </c>
      <c r="E197" s="17" t="s">
        <v>2844</v>
      </c>
      <c r="F197" s="17" t="s">
        <v>2845</v>
      </c>
      <c r="G197" s="17" t="s">
        <v>1941</v>
      </c>
      <c r="H197" s="17">
        <v>38150</v>
      </c>
      <c r="I197" t="s">
        <v>1951</v>
      </c>
    </row>
    <row r="198" spans="1:9" x14ac:dyDescent="0.3">
      <c r="A198" s="17" t="s">
        <v>418</v>
      </c>
      <c r="B198" s="17" t="s">
        <v>2846</v>
      </c>
      <c r="C198" s="17" t="s">
        <v>2847</v>
      </c>
      <c r="D198" s="17"/>
      <c r="E198" s="17" t="s">
        <v>2848</v>
      </c>
      <c r="F198" s="17" t="s">
        <v>2186</v>
      </c>
      <c r="G198" s="17" t="s">
        <v>1941</v>
      </c>
      <c r="H198" s="17">
        <v>20535</v>
      </c>
      <c r="I198" t="s">
        <v>1951</v>
      </c>
    </row>
    <row r="199" spans="1:9" x14ac:dyDescent="0.3">
      <c r="A199" s="17" t="s">
        <v>2849</v>
      </c>
      <c r="B199" s="17" t="s">
        <v>2850</v>
      </c>
      <c r="C199" s="17" t="s">
        <v>2851</v>
      </c>
      <c r="D199" s="17" t="s">
        <v>2852</v>
      </c>
      <c r="E199" s="17" t="s">
        <v>2853</v>
      </c>
      <c r="F199" s="17" t="s">
        <v>2854</v>
      </c>
      <c r="G199" s="17" t="s">
        <v>1949</v>
      </c>
      <c r="H199" s="17" t="s">
        <v>2855</v>
      </c>
      <c r="I199" t="s">
        <v>1942</v>
      </c>
    </row>
    <row r="200" spans="1:9" x14ac:dyDescent="0.3">
      <c r="A200" s="17" t="s">
        <v>2856</v>
      </c>
      <c r="B200" s="17" t="s">
        <v>2857</v>
      </c>
      <c r="C200" s="17" t="s">
        <v>2858</v>
      </c>
      <c r="D200" s="17" t="s">
        <v>2859</v>
      </c>
      <c r="E200" s="17" t="s">
        <v>2860</v>
      </c>
      <c r="F200" s="17" t="s">
        <v>2861</v>
      </c>
      <c r="G200" s="17" t="s">
        <v>1941</v>
      </c>
      <c r="H200" s="17">
        <v>33064</v>
      </c>
      <c r="I200" t="s">
        <v>1951</v>
      </c>
    </row>
    <row r="201" spans="1:9" x14ac:dyDescent="0.3">
      <c r="A201" s="17" t="s">
        <v>2862</v>
      </c>
      <c r="B201" s="17" t="s">
        <v>2863</v>
      </c>
      <c r="C201" s="17" t="s">
        <v>2864</v>
      </c>
      <c r="D201" s="17" t="s">
        <v>2865</v>
      </c>
      <c r="E201" s="17" t="s">
        <v>2866</v>
      </c>
      <c r="F201" s="17" t="s">
        <v>2252</v>
      </c>
      <c r="G201" s="17" t="s">
        <v>1941</v>
      </c>
      <c r="H201" s="17">
        <v>60604</v>
      </c>
      <c r="I201" t="s">
        <v>1951</v>
      </c>
    </row>
    <row r="202" spans="1:9" x14ac:dyDescent="0.3">
      <c r="A202" s="17" t="s">
        <v>2867</v>
      </c>
      <c r="B202" s="17" t="s">
        <v>2868</v>
      </c>
      <c r="C202" s="17" t="s">
        <v>2869</v>
      </c>
      <c r="D202" s="17" t="s">
        <v>2870</v>
      </c>
      <c r="E202" s="17" t="s">
        <v>2871</v>
      </c>
      <c r="F202" s="17" t="s">
        <v>2872</v>
      </c>
      <c r="G202" s="17" t="s">
        <v>2116</v>
      </c>
      <c r="H202" s="17" t="s">
        <v>2873</v>
      </c>
      <c r="I202" t="s">
        <v>1951</v>
      </c>
    </row>
    <row r="203" spans="1:9" x14ac:dyDescent="0.3">
      <c r="A203" s="17" t="s">
        <v>420</v>
      </c>
      <c r="B203" s="17" t="s">
        <v>2874</v>
      </c>
      <c r="C203" s="17"/>
      <c r="D203" s="17" t="s">
        <v>2875</v>
      </c>
      <c r="E203" s="17" t="s">
        <v>2876</v>
      </c>
      <c r="F203" s="17" t="s">
        <v>2154</v>
      </c>
      <c r="G203" s="17" t="s">
        <v>1941</v>
      </c>
      <c r="H203" s="17">
        <v>84409</v>
      </c>
      <c r="I203" t="s">
        <v>1951</v>
      </c>
    </row>
    <row r="204" spans="1:9" x14ac:dyDescent="0.3">
      <c r="A204" s="17" t="s">
        <v>422</v>
      </c>
      <c r="B204" s="17" t="s">
        <v>2877</v>
      </c>
      <c r="C204" s="17" t="s">
        <v>2878</v>
      </c>
      <c r="D204" s="17" t="s">
        <v>2879</v>
      </c>
      <c r="E204" s="17" t="s">
        <v>2880</v>
      </c>
      <c r="F204" s="17" t="s">
        <v>2881</v>
      </c>
      <c r="G204" s="17" t="s">
        <v>1941</v>
      </c>
      <c r="H204" s="17">
        <v>12205</v>
      </c>
      <c r="I204" t="s">
        <v>1942</v>
      </c>
    </row>
    <row r="205" spans="1:9" x14ac:dyDescent="0.3">
      <c r="A205" s="17" t="s">
        <v>424</v>
      </c>
      <c r="B205" s="17" t="s">
        <v>2882</v>
      </c>
      <c r="C205" s="17" t="s">
        <v>2883</v>
      </c>
      <c r="D205" s="17" t="s">
        <v>2884</v>
      </c>
      <c r="E205" s="17" t="s">
        <v>2885</v>
      </c>
      <c r="F205" s="17" t="s">
        <v>2886</v>
      </c>
      <c r="G205" s="17" t="s">
        <v>1941</v>
      </c>
      <c r="H205" s="17">
        <v>29305</v>
      </c>
      <c r="I205" t="s">
        <v>1951</v>
      </c>
    </row>
    <row r="206" spans="1:9" x14ac:dyDescent="0.3">
      <c r="A206" s="17" t="s">
        <v>426</v>
      </c>
      <c r="B206" s="17" t="s">
        <v>2887</v>
      </c>
      <c r="C206" s="17"/>
      <c r="D206" s="17" t="s">
        <v>2888</v>
      </c>
      <c r="E206" s="17" t="s">
        <v>2889</v>
      </c>
      <c r="F206" s="17" t="s">
        <v>2890</v>
      </c>
      <c r="G206" s="17" t="s">
        <v>1941</v>
      </c>
      <c r="H206" s="17">
        <v>10310</v>
      </c>
      <c r="I206" t="s">
        <v>1951</v>
      </c>
    </row>
    <row r="207" spans="1:9" x14ac:dyDescent="0.3">
      <c r="A207" s="17" t="s">
        <v>428</v>
      </c>
      <c r="B207" s="17" t="s">
        <v>2891</v>
      </c>
      <c r="C207" s="17"/>
      <c r="D207" s="17" t="s">
        <v>2892</v>
      </c>
      <c r="E207" s="17" t="s">
        <v>2893</v>
      </c>
      <c r="F207" s="17" t="s">
        <v>2186</v>
      </c>
      <c r="G207" s="17" t="s">
        <v>1941</v>
      </c>
      <c r="H207" s="17">
        <v>20337</v>
      </c>
      <c r="I207" t="s">
        <v>1942</v>
      </c>
    </row>
    <row r="208" spans="1:9" x14ac:dyDescent="0.3">
      <c r="A208" s="17" t="s">
        <v>430</v>
      </c>
      <c r="B208" s="17" t="s">
        <v>2894</v>
      </c>
      <c r="C208" s="17" t="s">
        <v>2895</v>
      </c>
      <c r="D208" s="17"/>
      <c r="E208" s="17" t="s">
        <v>2896</v>
      </c>
      <c r="F208" s="17" t="s">
        <v>2300</v>
      </c>
      <c r="G208" s="17" t="s">
        <v>1941</v>
      </c>
      <c r="H208" s="17">
        <v>28225</v>
      </c>
      <c r="I208" t="s">
        <v>1951</v>
      </c>
    </row>
    <row r="209" spans="1:9" x14ac:dyDescent="0.3">
      <c r="A209" s="17" t="s">
        <v>432</v>
      </c>
      <c r="B209" s="17" t="s">
        <v>2897</v>
      </c>
      <c r="C209" s="17" t="s">
        <v>2898</v>
      </c>
      <c r="D209" s="17" t="s">
        <v>2899</v>
      </c>
      <c r="E209" s="17" t="s">
        <v>2900</v>
      </c>
      <c r="F209" s="17" t="s">
        <v>2901</v>
      </c>
      <c r="G209" s="17" t="s">
        <v>1941</v>
      </c>
      <c r="H209" s="17">
        <v>79491</v>
      </c>
      <c r="I209" t="s">
        <v>1942</v>
      </c>
    </row>
    <row r="210" spans="1:9" x14ac:dyDescent="0.3">
      <c r="A210" s="17" t="s">
        <v>434</v>
      </c>
      <c r="B210" s="17" t="s">
        <v>2902</v>
      </c>
      <c r="C210" s="17" t="s">
        <v>2903</v>
      </c>
      <c r="D210" s="17" t="s">
        <v>2904</v>
      </c>
      <c r="E210" s="17" t="s">
        <v>2905</v>
      </c>
      <c r="F210" s="17" t="s">
        <v>2906</v>
      </c>
      <c r="G210" s="17" t="s">
        <v>1949</v>
      </c>
      <c r="H210" s="17" t="s">
        <v>2907</v>
      </c>
      <c r="I210" t="s">
        <v>1942</v>
      </c>
    </row>
    <row r="211" spans="1:9" x14ac:dyDescent="0.3">
      <c r="A211" s="17" t="s">
        <v>436</v>
      </c>
      <c r="B211" s="17" t="s">
        <v>2908</v>
      </c>
      <c r="C211" s="17" t="s">
        <v>2909</v>
      </c>
      <c r="D211" s="17" t="s">
        <v>2910</v>
      </c>
      <c r="E211" s="17" t="s">
        <v>2911</v>
      </c>
      <c r="F211" s="17" t="s">
        <v>2912</v>
      </c>
      <c r="G211" s="17" t="s">
        <v>2116</v>
      </c>
      <c r="H211" s="17" t="s">
        <v>2913</v>
      </c>
      <c r="I211" t="s">
        <v>1951</v>
      </c>
    </row>
    <row r="212" spans="1:9" x14ac:dyDescent="0.3">
      <c r="A212" s="17" t="s">
        <v>438</v>
      </c>
      <c r="B212" s="17" t="s">
        <v>2914</v>
      </c>
      <c r="C212" s="17" t="s">
        <v>2915</v>
      </c>
      <c r="D212" s="17" t="s">
        <v>2916</v>
      </c>
      <c r="E212" s="17" t="s">
        <v>2917</v>
      </c>
      <c r="F212" s="17" t="s">
        <v>2786</v>
      </c>
      <c r="G212" s="17" t="s">
        <v>1941</v>
      </c>
      <c r="H212" s="17">
        <v>22908</v>
      </c>
      <c r="I212" t="s">
        <v>1942</v>
      </c>
    </row>
    <row r="213" spans="1:9" x14ac:dyDescent="0.3">
      <c r="A213" s="17" t="s">
        <v>440</v>
      </c>
      <c r="B213" s="17" t="s">
        <v>2918</v>
      </c>
      <c r="C213" s="17" t="s">
        <v>2919</v>
      </c>
      <c r="D213" s="17"/>
      <c r="E213" s="17" t="s">
        <v>2920</v>
      </c>
      <c r="F213" s="17" t="s">
        <v>2037</v>
      </c>
      <c r="G213" s="17" t="s">
        <v>1941</v>
      </c>
      <c r="H213" s="17">
        <v>10105</v>
      </c>
      <c r="I213" t="s">
        <v>1951</v>
      </c>
    </row>
    <row r="214" spans="1:9" x14ac:dyDescent="0.3">
      <c r="A214" s="17" t="s">
        <v>442</v>
      </c>
      <c r="B214" s="17" t="s">
        <v>2921</v>
      </c>
      <c r="C214" s="17" t="s">
        <v>2922</v>
      </c>
      <c r="D214" s="17" t="s">
        <v>2923</v>
      </c>
      <c r="E214" s="17" t="s">
        <v>2924</v>
      </c>
      <c r="F214" s="17" t="s">
        <v>2643</v>
      </c>
      <c r="G214" s="17" t="s">
        <v>1941</v>
      </c>
      <c r="H214" s="17">
        <v>24009</v>
      </c>
      <c r="I214" t="s">
        <v>1942</v>
      </c>
    </row>
    <row r="215" spans="1:9" x14ac:dyDescent="0.3">
      <c r="A215" s="17" t="s">
        <v>444</v>
      </c>
      <c r="B215" s="17" t="s">
        <v>2925</v>
      </c>
      <c r="C215" s="17" t="s">
        <v>2926</v>
      </c>
      <c r="D215" s="17" t="s">
        <v>2927</v>
      </c>
      <c r="E215" s="17" t="s">
        <v>2928</v>
      </c>
      <c r="F215" s="17" t="s">
        <v>2037</v>
      </c>
      <c r="G215" s="17" t="s">
        <v>1941</v>
      </c>
      <c r="H215" s="17">
        <v>10009</v>
      </c>
      <c r="I215" t="s">
        <v>1951</v>
      </c>
    </row>
    <row r="216" spans="1:9" x14ac:dyDescent="0.3">
      <c r="A216" s="17" t="s">
        <v>446</v>
      </c>
      <c r="B216" s="17" t="s">
        <v>2929</v>
      </c>
      <c r="C216" s="17" t="s">
        <v>2930</v>
      </c>
      <c r="D216" s="17" t="s">
        <v>2931</v>
      </c>
      <c r="E216" s="17" t="s">
        <v>2932</v>
      </c>
      <c r="F216" s="17" t="s">
        <v>2933</v>
      </c>
      <c r="G216" s="17" t="s">
        <v>1949</v>
      </c>
      <c r="H216" s="17" t="s">
        <v>2083</v>
      </c>
      <c r="I216" t="s">
        <v>1951</v>
      </c>
    </row>
    <row r="217" spans="1:9" x14ac:dyDescent="0.3">
      <c r="A217" s="17" t="s">
        <v>448</v>
      </c>
      <c r="B217" s="17" t="s">
        <v>2934</v>
      </c>
      <c r="C217" s="17" t="s">
        <v>2935</v>
      </c>
      <c r="D217" s="17" t="s">
        <v>2936</v>
      </c>
      <c r="E217" s="17" t="s">
        <v>2937</v>
      </c>
      <c r="F217" s="17" t="s">
        <v>2938</v>
      </c>
      <c r="G217" s="17" t="s">
        <v>1941</v>
      </c>
      <c r="H217" s="17">
        <v>84120</v>
      </c>
      <c r="I217" t="s">
        <v>1951</v>
      </c>
    </row>
    <row r="218" spans="1:9" x14ac:dyDescent="0.3">
      <c r="A218" s="17" t="s">
        <v>450</v>
      </c>
      <c r="B218" s="17" t="s">
        <v>2939</v>
      </c>
      <c r="C218" s="17" t="s">
        <v>2940</v>
      </c>
      <c r="D218" s="17" t="s">
        <v>2941</v>
      </c>
      <c r="E218" s="17" t="s">
        <v>2942</v>
      </c>
      <c r="F218" s="17" t="s">
        <v>2211</v>
      </c>
      <c r="G218" s="17" t="s">
        <v>1941</v>
      </c>
      <c r="H218" s="17">
        <v>43635</v>
      </c>
      <c r="I218" t="s">
        <v>1942</v>
      </c>
    </row>
    <row r="219" spans="1:9" x14ac:dyDescent="0.3">
      <c r="A219" s="17" t="s">
        <v>452</v>
      </c>
      <c r="B219" s="17" t="s">
        <v>2943</v>
      </c>
      <c r="C219" s="17" t="s">
        <v>2944</v>
      </c>
      <c r="D219" s="17" t="s">
        <v>2945</v>
      </c>
      <c r="E219" s="17" t="s">
        <v>2946</v>
      </c>
      <c r="F219" s="17" t="s">
        <v>2947</v>
      </c>
      <c r="G219" s="17" t="s">
        <v>1941</v>
      </c>
      <c r="H219" s="17">
        <v>91131</v>
      </c>
      <c r="I219" t="s">
        <v>1951</v>
      </c>
    </row>
    <row r="220" spans="1:9" x14ac:dyDescent="0.3">
      <c r="A220" s="17" t="s">
        <v>454</v>
      </c>
      <c r="B220" s="17" t="s">
        <v>2948</v>
      </c>
      <c r="C220" s="17" t="s">
        <v>2949</v>
      </c>
      <c r="D220" s="17" t="s">
        <v>2950</v>
      </c>
      <c r="E220" s="17" t="s">
        <v>2951</v>
      </c>
      <c r="F220" s="17" t="s">
        <v>2952</v>
      </c>
      <c r="G220" s="17" t="s">
        <v>1949</v>
      </c>
      <c r="H220" s="17" t="s">
        <v>2293</v>
      </c>
      <c r="I220" t="s">
        <v>1942</v>
      </c>
    </row>
    <row r="221" spans="1:9" x14ac:dyDescent="0.3">
      <c r="A221" s="17" t="s">
        <v>456</v>
      </c>
      <c r="B221" s="17" t="s">
        <v>2953</v>
      </c>
      <c r="C221" s="17" t="s">
        <v>2954</v>
      </c>
      <c r="D221" s="17" t="s">
        <v>2955</v>
      </c>
      <c r="E221" s="17" t="s">
        <v>2956</v>
      </c>
      <c r="F221" s="17" t="s">
        <v>2957</v>
      </c>
      <c r="G221" s="17" t="s">
        <v>1941</v>
      </c>
      <c r="H221" s="17">
        <v>64082</v>
      </c>
      <c r="I221" t="s">
        <v>1951</v>
      </c>
    </row>
    <row r="222" spans="1:9" x14ac:dyDescent="0.3">
      <c r="A222" s="17" t="s">
        <v>2958</v>
      </c>
      <c r="B222" s="17" t="s">
        <v>2959</v>
      </c>
      <c r="C222" s="17" t="s">
        <v>2960</v>
      </c>
      <c r="D222" s="17" t="s">
        <v>2961</v>
      </c>
      <c r="E222" s="17" t="s">
        <v>2962</v>
      </c>
      <c r="F222" s="17" t="s">
        <v>2266</v>
      </c>
      <c r="G222" s="17" t="s">
        <v>1941</v>
      </c>
      <c r="H222" s="17">
        <v>76121</v>
      </c>
      <c r="I222" t="s">
        <v>1951</v>
      </c>
    </row>
    <row r="223" spans="1:9" x14ac:dyDescent="0.3">
      <c r="A223" s="17" t="s">
        <v>458</v>
      </c>
      <c r="B223" s="17" t="s">
        <v>2963</v>
      </c>
      <c r="C223" s="17" t="s">
        <v>2964</v>
      </c>
      <c r="D223" s="17" t="s">
        <v>2965</v>
      </c>
      <c r="E223" s="17" t="s">
        <v>2966</v>
      </c>
      <c r="F223" s="17" t="s">
        <v>2967</v>
      </c>
      <c r="G223" s="17" t="s">
        <v>1941</v>
      </c>
      <c r="H223" s="17">
        <v>92619</v>
      </c>
      <c r="I223" t="s">
        <v>1942</v>
      </c>
    </row>
    <row r="224" spans="1:9" x14ac:dyDescent="0.3">
      <c r="A224" s="17" t="s">
        <v>460</v>
      </c>
      <c r="B224" s="17" t="s">
        <v>2968</v>
      </c>
      <c r="C224" s="17" t="s">
        <v>2969</v>
      </c>
      <c r="D224" s="17" t="s">
        <v>2970</v>
      </c>
      <c r="E224" s="17" t="s">
        <v>2971</v>
      </c>
      <c r="F224" s="17" t="s">
        <v>2972</v>
      </c>
      <c r="G224" s="17" t="s">
        <v>1941</v>
      </c>
      <c r="H224" s="17">
        <v>11854</v>
      </c>
      <c r="I224" t="s">
        <v>1951</v>
      </c>
    </row>
    <row r="225" spans="1:9" x14ac:dyDescent="0.3">
      <c r="A225" s="17" t="s">
        <v>462</v>
      </c>
      <c r="B225" s="17" t="s">
        <v>2973</v>
      </c>
      <c r="C225" s="17"/>
      <c r="D225" s="17" t="s">
        <v>2974</v>
      </c>
      <c r="E225" s="17" t="s">
        <v>2975</v>
      </c>
      <c r="F225" s="17" t="s">
        <v>2186</v>
      </c>
      <c r="G225" s="17" t="s">
        <v>1941</v>
      </c>
      <c r="H225" s="17">
        <v>20546</v>
      </c>
      <c r="I225" t="s">
        <v>1942</v>
      </c>
    </row>
    <row r="226" spans="1:9" x14ac:dyDescent="0.3">
      <c r="A226" s="17" t="s">
        <v>464</v>
      </c>
      <c r="B226" s="17" t="s">
        <v>2976</v>
      </c>
      <c r="C226" s="17" t="s">
        <v>2977</v>
      </c>
      <c r="D226" s="17" t="s">
        <v>2978</v>
      </c>
      <c r="E226" s="17" t="s">
        <v>2979</v>
      </c>
      <c r="F226" s="17" t="s">
        <v>2037</v>
      </c>
      <c r="G226" s="17" t="s">
        <v>1941</v>
      </c>
      <c r="H226" s="17">
        <v>10060</v>
      </c>
      <c r="I226" t="s">
        <v>1942</v>
      </c>
    </row>
    <row r="227" spans="1:9" x14ac:dyDescent="0.3">
      <c r="A227" s="17" t="s">
        <v>466</v>
      </c>
      <c r="B227" s="17" t="s">
        <v>2980</v>
      </c>
      <c r="C227" s="17" t="s">
        <v>2981</v>
      </c>
      <c r="D227" s="17" t="s">
        <v>2982</v>
      </c>
      <c r="E227" s="17" t="s">
        <v>2983</v>
      </c>
      <c r="F227" s="17" t="s">
        <v>2292</v>
      </c>
      <c r="G227" s="17" t="s">
        <v>1949</v>
      </c>
      <c r="H227" s="17" t="s">
        <v>2293</v>
      </c>
      <c r="I227" t="s">
        <v>1951</v>
      </c>
    </row>
    <row r="228" spans="1:9" x14ac:dyDescent="0.3">
      <c r="A228" s="17" t="s">
        <v>468</v>
      </c>
      <c r="B228" s="17" t="s">
        <v>2984</v>
      </c>
      <c r="C228" s="17" t="s">
        <v>2985</v>
      </c>
      <c r="D228" s="17" t="s">
        <v>2986</v>
      </c>
      <c r="E228" s="17" t="s">
        <v>2987</v>
      </c>
      <c r="F228" s="17" t="s">
        <v>2988</v>
      </c>
      <c r="G228" s="17" t="s">
        <v>1941</v>
      </c>
      <c r="H228" s="17">
        <v>66276</v>
      </c>
      <c r="I228" t="s">
        <v>1951</v>
      </c>
    </row>
    <row r="229" spans="1:9" x14ac:dyDescent="0.3">
      <c r="A229" s="17" t="s">
        <v>470</v>
      </c>
      <c r="B229" s="17" t="s">
        <v>2989</v>
      </c>
      <c r="C229" s="17" t="s">
        <v>2990</v>
      </c>
      <c r="D229" s="17" t="s">
        <v>2991</v>
      </c>
      <c r="E229" s="17" t="s">
        <v>2992</v>
      </c>
      <c r="F229" s="17" t="s">
        <v>2993</v>
      </c>
      <c r="G229" s="17" t="s">
        <v>2116</v>
      </c>
      <c r="H229" s="17" t="s">
        <v>2994</v>
      </c>
      <c r="I229" t="s">
        <v>1942</v>
      </c>
    </row>
    <row r="230" spans="1:9" x14ac:dyDescent="0.3">
      <c r="A230" s="17" t="s">
        <v>472</v>
      </c>
      <c r="B230" s="17" t="s">
        <v>2995</v>
      </c>
      <c r="C230" s="17" t="s">
        <v>2996</v>
      </c>
      <c r="D230" s="17" t="s">
        <v>2997</v>
      </c>
      <c r="E230" s="17" t="s">
        <v>2998</v>
      </c>
      <c r="F230" s="17" t="s">
        <v>2999</v>
      </c>
      <c r="G230" s="17" t="s">
        <v>1941</v>
      </c>
      <c r="H230" s="17">
        <v>94291</v>
      </c>
      <c r="I230" t="s">
        <v>1951</v>
      </c>
    </row>
    <row r="231" spans="1:9" x14ac:dyDescent="0.3">
      <c r="A231" s="17" t="s">
        <v>474</v>
      </c>
      <c r="B231" s="17" t="s">
        <v>3000</v>
      </c>
      <c r="C231" s="17" t="s">
        <v>3001</v>
      </c>
      <c r="D231" s="17" t="s">
        <v>3002</v>
      </c>
      <c r="E231" s="17" t="s">
        <v>3003</v>
      </c>
      <c r="F231" s="17" t="s">
        <v>3004</v>
      </c>
      <c r="G231" s="17" t="s">
        <v>1941</v>
      </c>
      <c r="H231" s="17">
        <v>18706</v>
      </c>
      <c r="I231" t="s">
        <v>1951</v>
      </c>
    </row>
    <row r="232" spans="1:9" x14ac:dyDescent="0.3">
      <c r="A232" s="17" t="s">
        <v>476</v>
      </c>
      <c r="B232" s="17" t="s">
        <v>3005</v>
      </c>
      <c r="C232" s="17" t="s">
        <v>3006</v>
      </c>
      <c r="D232" s="17" t="s">
        <v>3007</v>
      </c>
      <c r="E232" s="17" t="s">
        <v>3008</v>
      </c>
      <c r="F232" s="17" t="s">
        <v>2694</v>
      </c>
      <c r="G232" s="17" t="s">
        <v>1941</v>
      </c>
      <c r="H232" s="17">
        <v>27499</v>
      </c>
      <c r="I232" t="s">
        <v>1951</v>
      </c>
    </row>
    <row r="233" spans="1:9" x14ac:dyDescent="0.3">
      <c r="A233" s="17" t="s">
        <v>478</v>
      </c>
      <c r="B233" s="17" t="s">
        <v>3009</v>
      </c>
      <c r="C233" s="17"/>
      <c r="D233" s="17" t="s">
        <v>3010</v>
      </c>
      <c r="E233" s="17" t="s">
        <v>3011</v>
      </c>
      <c r="F233" s="17" t="s">
        <v>2256</v>
      </c>
      <c r="G233" s="17" t="s">
        <v>1941</v>
      </c>
      <c r="H233" s="17">
        <v>19725</v>
      </c>
      <c r="I233" t="s">
        <v>1942</v>
      </c>
    </row>
    <row r="234" spans="1:9" x14ac:dyDescent="0.3">
      <c r="A234" s="17" t="s">
        <v>480</v>
      </c>
      <c r="B234" s="17" t="s">
        <v>3012</v>
      </c>
      <c r="C234" s="17" t="s">
        <v>3013</v>
      </c>
      <c r="D234" s="17" t="s">
        <v>3014</v>
      </c>
      <c r="E234" s="17" t="s">
        <v>3015</v>
      </c>
      <c r="F234" s="17" t="s">
        <v>2199</v>
      </c>
      <c r="G234" s="17" t="s">
        <v>2116</v>
      </c>
      <c r="H234" s="17" t="s">
        <v>2200</v>
      </c>
      <c r="I234" t="s">
        <v>1951</v>
      </c>
    </row>
    <row r="235" spans="1:9" x14ac:dyDescent="0.3">
      <c r="A235" s="17" t="s">
        <v>482</v>
      </c>
      <c r="B235" s="17" t="s">
        <v>3016</v>
      </c>
      <c r="C235" s="17" t="s">
        <v>3017</v>
      </c>
      <c r="D235" s="17" t="s">
        <v>3018</v>
      </c>
      <c r="E235" s="17" t="s">
        <v>3019</v>
      </c>
      <c r="F235" s="17" t="s">
        <v>2592</v>
      </c>
      <c r="G235" s="17" t="s">
        <v>1941</v>
      </c>
      <c r="H235" s="17">
        <v>96825</v>
      </c>
      <c r="I235" t="s">
        <v>1951</v>
      </c>
    </row>
    <row r="236" spans="1:9" x14ac:dyDescent="0.3">
      <c r="A236" s="17" t="s">
        <v>484</v>
      </c>
      <c r="B236" s="17" t="s">
        <v>3020</v>
      </c>
      <c r="C236" s="17" t="s">
        <v>3021</v>
      </c>
      <c r="D236" s="17" t="s">
        <v>3022</v>
      </c>
      <c r="E236" s="17" t="s">
        <v>3023</v>
      </c>
      <c r="F236" s="17" t="s">
        <v>2037</v>
      </c>
      <c r="G236" s="17" t="s">
        <v>1941</v>
      </c>
      <c r="H236" s="17">
        <v>10150</v>
      </c>
      <c r="I236" t="s">
        <v>1951</v>
      </c>
    </row>
    <row r="237" spans="1:9" x14ac:dyDescent="0.3">
      <c r="A237" s="17" t="s">
        <v>486</v>
      </c>
      <c r="B237" s="17" t="s">
        <v>3024</v>
      </c>
      <c r="C237" s="17"/>
      <c r="D237" s="17"/>
      <c r="E237" s="17" t="s">
        <v>3025</v>
      </c>
      <c r="F237" s="17" t="s">
        <v>3026</v>
      </c>
      <c r="G237" s="17" t="s">
        <v>1949</v>
      </c>
      <c r="H237" s="17" t="s">
        <v>3027</v>
      </c>
      <c r="I237" t="s">
        <v>1951</v>
      </c>
    </row>
    <row r="238" spans="1:9" x14ac:dyDescent="0.3">
      <c r="A238" s="17" t="s">
        <v>488</v>
      </c>
      <c r="B238" s="17" t="s">
        <v>3028</v>
      </c>
      <c r="C238" s="17" t="s">
        <v>3029</v>
      </c>
      <c r="D238" s="17" t="s">
        <v>3030</v>
      </c>
      <c r="E238" s="17" t="s">
        <v>3031</v>
      </c>
      <c r="F238" s="17" t="s">
        <v>3032</v>
      </c>
      <c r="G238" s="17" t="s">
        <v>1949</v>
      </c>
      <c r="H238" s="17" t="s">
        <v>3033</v>
      </c>
      <c r="I238" t="s">
        <v>1951</v>
      </c>
    </row>
    <row r="239" spans="1:9" x14ac:dyDescent="0.3">
      <c r="A239" s="17" t="s">
        <v>490</v>
      </c>
      <c r="B239" s="17" t="s">
        <v>3034</v>
      </c>
      <c r="C239" s="17"/>
      <c r="D239" s="17" t="s">
        <v>3035</v>
      </c>
      <c r="E239" s="17" t="s">
        <v>3036</v>
      </c>
      <c r="F239" s="17" t="s">
        <v>3037</v>
      </c>
      <c r="G239" s="17" t="s">
        <v>1941</v>
      </c>
      <c r="H239" s="17">
        <v>45218</v>
      </c>
      <c r="I239" t="s">
        <v>1942</v>
      </c>
    </row>
    <row r="240" spans="1:9" x14ac:dyDescent="0.3">
      <c r="A240" s="17" t="s">
        <v>492</v>
      </c>
      <c r="B240" s="17" t="s">
        <v>3038</v>
      </c>
      <c r="C240" s="17" t="s">
        <v>3039</v>
      </c>
      <c r="D240" s="17" t="s">
        <v>3040</v>
      </c>
      <c r="E240" s="17" t="s">
        <v>3041</v>
      </c>
      <c r="F240" s="17" t="s">
        <v>2320</v>
      </c>
      <c r="G240" s="17" t="s">
        <v>1941</v>
      </c>
      <c r="H240" s="17">
        <v>48670</v>
      </c>
      <c r="I240" t="s">
        <v>1942</v>
      </c>
    </row>
    <row r="241" spans="1:9" x14ac:dyDescent="0.3">
      <c r="A241" s="17" t="s">
        <v>494</v>
      </c>
      <c r="B241" s="17" t="s">
        <v>3042</v>
      </c>
      <c r="C241" s="17" t="s">
        <v>3043</v>
      </c>
      <c r="D241" s="17" t="s">
        <v>3044</v>
      </c>
      <c r="E241" s="17" t="s">
        <v>3045</v>
      </c>
      <c r="F241" s="17" t="s">
        <v>3046</v>
      </c>
      <c r="G241" s="17" t="s">
        <v>1941</v>
      </c>
      <c r="H241" s="17">
        <v>82007</v>
      </c>
      <c r="I241" t="s">
        <v>1951</v>
      </c>
    </row>
    <row r="242" spans="1:9" x14ac:dyDescent="0.3">
      <c r="A242" s="17" t="s">
        <v>496</v>
      </c>
      <c r="B242" s="17" t="s">
        <v>3047</v>
      </c>
      <c r="C242" s="17"/>
      <c r="D242" s="17"/>
      <c r="E242" s="17" t="s">
        <v>3048</v>
      </c>
      <c r="F242" s="17" t="s">
        <v>3049</v>
      </c>
      <c r="G242" s="17" t="s">
        <v>1941</v>
      </c>
      <c r="H242" s="17">
        <v>31119</v>
      </c>
      <c r="I242" t="s">
        <v>1942</v>
      </c>
    </row>
    <row r="243" spans="1:9" x14ac:dyDescent="0.3">
      <c r="A243" s="17" t="s">
        <v>498</v>
      </c>
      <c r="B243" s="17" t="s">
        <v>3050</v>
      </c>
      <c r="C243" s="17"/>
      <c r="D243" s="17" t="s">
        <v>3051</v>
      </c>
      <c r="E243" s="17" t="s">
        <v>3052</v>
      </c>
      <c r="F243" s="17" t="s">
        <v>3053</v>
      </c>
      <c r="G243" s="17" t="s">
        <v>1941</v>
      </c>
      <c r="H243" s="17">
        <v>30096</v>
      </c>
      <c r="I243" t="s">
        <v>1951</v>
      </c>
    </row>
    <row r="244" spans="1:9" x14ac:dyDescent="0.3">
      <c r="A244" s="17" t="s">
        <v>500</v>
      </c>
      <c r="B244" s="17" t="s">
        <v>3054</v>
      </c>
      <c r="C244" s="17" t="s">
        <v>3055</v>
      </c>
      <c r="D244" s="17" t="s">
        <v>3056</v>
      </c>
      <c r="E244" s="17" t="s">
        <v>3057</v>
      </c>
      <c r="F244" s="17" t="s">
        <v>2999</v>
      </c>
      <c r="G244" s="17" t="s">
        <v>1941</v>
      </c>
      <c r="H244" s="17">
        <v>94250</v>
      </c>
      <c r="I244" t="s">
        <v>1942</v>
      </c>
    </row>
    <row r="245" spans="1:9" x14ac:dyDescent="0.3">
      <c r="A245" s="17" t="s">
        <v>502</v>
      </c>
      <c r="B245" s="17" t="s">
        <v>3058</v>
      </c>
      <c r="C245" s="17" t="s">
        <v>3059</v>
      </c>
      <c r="D245" s="17" t="s">
        <v>3060</v>
      </c>
      <c r="E245" s="17" t="s">
        <v>3061</v>
      </c>
      <c r="F245" s="17" t="s">
        <v>2220</v>
      </c>
      <c r="G245" s="17" t="s">
        <v>1941</v>
      </c>
      <c r="H245" s="17">
        <v>33661</v>
      </c>
      <c r="I245" t="s">
        <v>1942</v>
      </c>
    </row>
    <row r="246" spans="1:9" x14ac:dyDescent="0.3">
      <c r="A246" s="17" t="s">
        <v>504</v>
      </c>
      <c r="B246" s="17" t="s">
        <v>3062</v>
      </c>
      <c r="C246" s="17" t="s">
        <v>3063</v>
      </c>
      <c r="D246" s="17" t="s">
        <v>3064</v>
      </c>
      <c r="E246" s="17" t="s">
        <v>3065</v>
      </c>
      <c r="F246" s="17" t="s">
        <v>2592</v>
      </c>
      <c r="G246" s="17" t="s">
        <v>1941</v>
      </c>
      <c r="H246" s="17">
        <v>96805</v>
      </c>
      <c r="I246" t="s">
        <v>1951</v>
      </c>
    </row>
    <row r="247" spans="1:9" x14ac:dyDescent="0.3">
      <c r="A247" s="17" t="s">
        <v>506</v>
      </c>
      <c r="B247" s="17" t="s">
        <v>3066</v>
      </c>
      <c r="C247" s="17" t="s">
        <v>3067</v>
      </c>
      <c r="D247" s="17" t="s">
        <v>3068</v>
      </c>
      <c r="E247" s="17" t="s">
        <v>3069</v>
      </c>
      <c r="F247" s="17" t="s">
        <v>3070</v>
      </c>
      <c r="G247" s="17" t="s">
        <v>1941</v>
      </c>
      <c r="H247" s="17">
        <v>70820</v>
      </c>
      <c r="I247" t="s">
        <v>1942</v>
      </c>
    </row>
    <row r="248" spans="1:9" x14ac:dyDescent="0.3">
      <c r="A248" s="17" t="s">
        <v>508</v>
      </c>
      <c r="B248" s="17" t="s">
        <v>3071</v>
      </c>
      <c r="C248" s="17" t="s">
        <v>3072</v>
      </c>
      <c r="D248" s="17" t="s">
        <v>3073</v>
      </c>
      <c r="E248" s="17" t="s">
        <v>3074</v>
      </c>
      <c r="F248" s="17" t="s">
        <v>3075</v>
      </c>
      <c r="G248" s="17" t="s">
        <v>2116</v>
      </c>
      <c r="H248" s="17" t="s">
        <v>3076</v>
      </c>
      <c r="I248" t="s">
        <v>1951</v>
      </c>
    </row>
    <row r="249" spans="1:9" x14ac:dyDescent="0.3">
      <c r="A249" s="17" t="s">
        <v>510</v>
      </c>
      <c r="B249" s="17" t="s">
        <v>3077</v>
      </c>
      <c r="C249" s="17"/>
      <c r="D249" s="17" t="s">
        <v>3078</v>
      </c>
      <c r="E249" s="17" t="s">
        <v>3079</v>
      </c>
      <c r="F249" s="17" t="s">
        <v>3080</v>
      </c>
      <c r="G249" s="17" t="s">
        <v>1949</v>
      </c>
      <c r="H249" s="17" t="s">
        <v>3081</v>
      </c>
      <c r="I249" t="s">
        <v>1942</v>
      </c>
    </row>
    <row r="250" spans="1:9" x14ac:dyDescent="0.3">
      <c r="A250" s="17" t="s">
        <v>512</v>
      </c>
      <c r="B250" s="17" t="s">
        <v>3082</v>
      </c>
      <c r="C250" s="17" t="s">
        <v>3083</v>
      </c>
      <c r="D250" s="17" t="s">
        <v>3084</v>
      </c>
      <c r="E250" s="17" t="s">
        <v>3085</v>
      </c>
      <c r="F250" s="17" t="s">
        <v>2137</v>
      </c>
      <c r="G250" s="17" t="s">
        <v>1941</v>
      </c>
      <c r="H250" s="17">
        <v>55458</v>
      </c>
      <c r="I250" t="s">
        <v>1942</v>
      </c>
    </row>
    <row r="251" spans="1:9" x14ac:dyDescent="0.3">
      <c r="A251" s="17" t="s">
        <v>3086</v>
      </c>
      <c r="B251" s="17" t="s">
        <v>3087</v>
      </c>
      <c r="C251" s="17"/>
      <c r="D251" s="17" t="s">
        <v>3088</v>
      </c>
      <c r="E251" s="17" t="s">
        <v>3089</v>
      </c>
      <c r="F251" s="17" t="s">
        <v>3090</v>
      </c>
      <c r="G251" s="17" t="s">
        <v>1941</v>
      </c>
      <c r="H251" s="17">
        <v>94159</v>
      </c>
      <c r="I251" t="s">
        <v>1951</v>
      </c>
    </row>
    <row r="252" spans="1:9" x14ac:dyDescent="0.3">
      <c r="A252" s="17" t="s">
        <v>516</v>
      </c>
      <c r="B252" s="17" t="s">
        <v>3091</v>
      </c>
      <c r="C252" s="17" t="s">
        <v>3092</v>
      </c>
      <c r="D252" s="17" t="s">
        <v>3093</v>
      </c>
      <c r="E252" s="17" t="s">
        <v>3094</v>
      </c>
      <c r="F252" s="17" t="s">
        <v>2300</v>
      </c>
      <c r="G252" s="17" t="s">
        <v>1941</v>
      </c>
      <c r="H252" s="17">
        <v>28225</v>
      </c>
      <c r="I252" t="s">
        <v>1942</v>
      </c>
    </row>
    <row r="253" spans="1:9" x14ac:dyDescent="0.3">
      <c r="A253" s="17" t="s">
        <v>518</v>
      </c>
      <c r="B253" s="17" t="s">
        <v>3095</v>
      </c>
      <c r="C253" s="17" t="s">
        <v>3096</v>
      </c>
      <c r="D253" s="17" t="s">
        <v>3097</v>
      </c>
      <c r="E253" s="17" t="s">
        <v>3098</v>
      </c>
      <c r="F253" s="17" t="s">
        <v>3099</v>
      </c>
      <c r="G253" s="17" t="s">
        <v>1941</v>
      </c>
      <c r="H253" s="17">
        <v>85099</v>
      </c>
      <c r="I253" t="s">
        <v>1942</v>
      </c>
    </row>
    <row r="254" spans="1:9" x14ac:dyDescent="0.3">
      <c r="A254" s="17" t="s">
        <v>520</v>
      </c>
      <c r="B254" s="17" t="s">
        <v>3100</v>
      </c>
      <c r="C254" s="17"/>
      <c r="D254" s="17" t="s">
        <v>3101</v>
      </c>
      <c r="E254" s="17" t="s">
        <v>3102</v>
      </c>
      <c r="F254" s="17" t="s">
        <v>2099</v>
      </c>
      <c r="G254" s="17" t="s">
        <v>1941</v>
      </c>
      <c r="H254" s="17">
        <v>11407</v>
      </c>
      <c r="I254" t="s">
        <v>1951</v>
      </c>
    </row>
    <row r="255" spans="1:9" x14ac:dyDescent="0.3">
      <c r="A255" s="17" t="s">
        <v>522</v>
      </c>
      <c r="B255" s="17" t="s">
        <v>3103</v>
      </c>
      <c r="C255" s="17" t="s">
        <v>3104</v>
      </c>
      <c r="D255" s="17" t="s">
        <v>3105</v>
      </c>
      <c r="E255" s="17" t="s">
        <v>3106</v>
      </c>
      <c r="F255" s="17" t="s">
        <v>3107</v>
      </c>
      <c r="G255" s="17" t="s">
        <v>1941</v>
      </c>
      <c r="H255" s="17">
        <v>61825</v>
      </c>
      <c r="I255" t="s">
        <v>1951</v>
      </c>
    </row>
    <row r="256" spans="1:9" x14ac:dyDescent="0.3">
      <c r="A256" s="17" t="s">
        <v>524</v>
      </c>
      <c r="B256" s="17" t="s">
        <v>3108</v>
      </c>
      <c r="C256" s="17" t="s">
        <v>3109</v>
      </c>
      <c r="D256" s="17"/>
      <c r="E256" s="17" t="s">
        <v>3110</v>
      </c>
      <c r="F256" s="17" t="s">
        <v>3111</v>
      </c>
      <c r="G256" s="17" t="s">
        <v>2116</v>
      </c>
      <c r="H256" s="17" t="s">
        <v>3112</v>
      </c>
      <c r="I256" t="s">
        <v>1951</v>
      </c>
    </row>
    <row r="257" spans="1:9" x14ac:dyDescent="0.3">
      <c r="A257" s="17" t="s">
        <v>526</v>
      </c>
      <c r="B257" s="17" t="s">
        <v>3113</v>
      </c>
      <c r="C257" s="17" t="s">
        <v>3114</v>
      </c>
      <c r="D257" s="17" t="s">
        <v>3115</v>
      </c>
      <c r="E257" s="17" t="s">
        <v>3116</v>
      </c>
      <c r="F257" s="17" t="s">
        <v>2140</v>
      </c>
      <c r="G257" s="17" t="s">
        <v>1941</v>
      </c>
      <c r="H257" s="17">
        <v>85715</v>
      </c>
      <c r="I257" t="s">
        <v>1951</v>
      </c>
    </row>
    <row r="258" spans="1:9" x14ac:dyDescent="0.3">
      <c r="A258" s="17" t="s">
        <v>514</v>
      </c>
      <c r="B258" s="17" t="s">
        <v>3117</v>
      </c>
      <c r="C258" s="17" t="s">
        <v>3118</v>
      </c>
      <c r="D258" s="17" t="s">
        <v>3119</v>
      </c>
      <c r="E258" s="17" t="s">
        <v>3120</v>
      </c>
      <c r="F258" s="17" t="s">
        <v>3121</v>
      </c>
      <c r="G258" s="17" t="s">
        <v>1941</v>
      </c>
      <c r="H258" s="17">
        <v>53205</v>
      </c>
      <c r="I258" t="s">
        <v>1942</v>
      </c>
    </row>
    <row r="259" spans="1:9" x14ac:dyDescent="0.3">
      <c r="A259" s="17" t="s">
        <v>529</v>
      </c>
      <c r="B259" s="17" t="s">
        <v>3122</v>
      </c>
      <c r="C259" s="17" t="s">
        <v>3123</v>
      </c>
      <c r="D259" s="17" t="s">
        <v>3124</v>
      </c>
      <c r="E259" s="17" t="s">
        <v>3125</v>
      </c>
      <c r="F259" s="17" t="s">
        <v>2861</v>
      </c>
      <c r="G259" s="17" t="s">
        <v>1941</v>
      </c>
      <c r="H259" s="17">
        <v>33064</v>
      </c>
      <c r="I259" t="s">
        <v>1942</v>
      </c>
    </row>
    <row r="260" spans="1:9" x14ac:dyDescent="0.3">
      <c r="A260" s="17" t="s">
        <v>532</v>
      </c>
      <c r="B260" s="17" t="s">
        <v>3126</v>
      </c>
      <c r="C260" s="17" t="s">
        <v>3127</v>
      </c>
      <c r="D260" s="17" t="s">
        <v>3128</v>
      </c>
      <c r="E260" s="17" t="s">
        <v>3129</v>
      </c>
      <c r="F260" s="17" t="s">
        <v>2758</v>
      </c>
      <c r="G260" s="17" t="s">
        <v>1941</v>
      </c>
      <c r="H260" s="17">
        <v>90610</v>
      </c>
      <c r="I260" t="s">
        <v>1951</v>
      </c>
    </row>
    <row r="261" spans="1:9" x14ac:dyDescent="0.3">
      <c r="A261" s="17" t="s">
        <v>534</v>
      </c>
      <c r="B261" s="17" t="s">
        <v>3130</v>
      </c>
      <c r="C261" s="17" t="s">
        <v>3131</v>
      </c>
      <c r="D261" s="17" t="s">
        <v>3132</v>
      </c>
      <c r="E261" s="17" t="s">
        <v>3133</v>
      </c>
      <c r="F261" s="17" t="s">
        <v>3134</v>
      </c>
      <c r="G261" s="17" t="s">
        <v>2116</v>
      </c>
      <c r="H261" s="17" t="s">
        <v>3135</v>
      </c>
      <c r="I261" t="s">
        <v>1951</v>
      </c>
    </row>
    <row r="262" spans="1:9" x14ac:dyDescent="0.3">
      <c r="A262" s="17" t="s">
        <v>536</v>
      </c>
      <c r="B262" s="17" t="s">
        <v>3136</v>
      </c>
      <c r="C262" s="17" t="s">
        <v>3137</v>
      </c>
      <c r="D262" s="17"/>
      <c r="E262" s="17" t="s">
        <v>3138</v>
      </c>
      <c r="F262" s="17" t="s">
        <v>2013</v>
      </c>
      <c r="G262" s="17" t="s">
        <v>1941</v>
      </c>
      <c r="H262" s="17">
        <v>63180</v>
      </c>
      <c r="I262" t="s">
        <v>1942</v>
      </c>
    </row>
    <row r="263" spans="1:9" x14ac:dyDescent="0.3">
      <c r="A263" s="17" t="s">
        <v>538</v>
      </c>
      <c r="B263" s="17" t="s">
        <v>3139</v>
      </c>
      <c r="C263" s="17" t="s">
        <v>3140</v>
      </c>
      <c r="D263" s="17" t="s">
        <v>3141</v>
      </c>
      <c r="E263" s="17" t="s">
        <v>3142</v>
      </c>
      <c r="F263" s="17" t="s">
        <v>3143</v>
      </c>
      <c r="G263" s="17" t="s">
        <v>1941</v>
      </c>
      <c r="H263" s="17">
        <v>16522</v>
      </c>
      <c r="I263" t="s">
        <v>1942</v>
      </c>
    </row>
    <row r="264" spans="1:9" x14ac:dyDescent="0.3">
      <c r="A264" s="17" t="s">
        <v>540</v>
      </c>
      <c r="B264" s="17" t="s">
        <v>3144</v>
      </c>
      <c r="C264" s="17" t="s">
        <v>3145</v>
      </c>
      <c r="D264" s="17" t="s">
        <v>3146</v>
      </c>
      <c r="E264" s="17" t="s">
        <v>3147</v>
      </c>
      <c r="F264" s="17" t="s">
        <v>3148</v>
      </c>
      <c r="G264" s="17" t="s">
        <v>1941</v>
      </c>
      <c r="H264" s="17">
        <v>98464</v>
      </c>
      <c r="I264" t="s">
        <v>1951</v>
      </c>
    </row>
    <row r="265" spans="1:9" x14ac:dyDescent="0.3">
      <c r="A265" s="17" t="s">
        <v>542</v>
      </c>
      <c r="B265" s="17" t="s">
        <v>3149</v>
      </c>
      <c r="C265" s="17"/>
      <c r="D265" s="17" t="s">
        <v>3150</v>
      </c>
      <c r="E265" s="17" t="s">
        <v>3151</v>
      </c>
      <c r="F265" s="17" t="s">
        <v>2004</v>
      </c>
      <c r="G265" s="17" t="s">
        <v>1941</v>
      </c>
      <c r="H265" s="17">
        <v>23277</v>
      </c>
      <c r="I265" t="s">
        <v>1951</v>
      </c>
    </row>
    <row r="266" spans="1:9" x14ac:dyDescent="0.3">
      <c r="A266" s="17" t="s">
        <v>544</v>
      </c>
      <c r="B266" s="17" t="s">
        <v>3152</v>
      </c>
      <c r="C266" s="17"/>
      <c r="D266" s="17" t="s">
        <v>3153</v>
      </c>
      <c r="E266" s="17" t="s">
        <v>3154</v>
      </c>
      <c r="F266" s="17" t="s">
        <v>3155</v>
      </c>
      <c r="G266" s="17" t="s">
        <v>1949</v>
      </c>
      <c r="H266" s="17" t="s">
        <v>2545</v>
      </c>
      <c r="I266" t="s">
        <v>1942</v>
      </c>
    </row>
    <row r="267" spans="1:9" x14ac:dyDescent="0.3">
      <c r="A267" s="17" t="s">
        <v>546</v>
      </c>
      <c r="B267" s="17" t="s">
        <v>3156</v>
      </c>
      <c r="C267" s="17" t="s">
        <v>3157</v>
      </c>
      <c r="D267" s="17" t="s">
        <v>3158</v>
      </c>
      <c r="E267" s="17" t="s">
        <v>3159</v>
      </c>
      <c r="F267" s="17" t="s">
        <v>2127</v>
      </c>
      <c r="G267" s="17" t="s">
        <v>1941</v>
      </c>
      <c r="H267" s="17">
        <v>72204</v>
      </c>
      <c r="I267" t="s">
        <v>1942</v>
      </c>
    </row>
    <row r="268" spans="1:9" x14ac:dyDescent="0.3">
      <c r="A268" s="17" t="s">
        <v>548</v>
      </c>
      <c r="B268" s="17" t="s">
        <v>3160</v>
      </c>
      <c r="C268" s="17" t="s">
        <v>3161</v>
      </c>
      <c r="D268" s="17" t="s">
        <v>3162</v>
      </c>
      <c r="E268" s="17" t="s">
        <v>3163</v>
      </c>
      <c r="F268" s="17" t="s">
        <v>3164</v>
      </c>
      <c r="G268" s="17" t="s">
        <v>2116</v>
      </c>
      <c r="H268" s="17" t="s">
        <v>3165</v>
      </c>
      <c r="I268" t="s">
        <v>1951</v>
      </c>
    </row>
    <row r="269" spans="1:9" x14ac:dyDescent="0.3">
      <c r="A269" s="17" t="s">
        <v>550</v>
      </c>
      <c r="B269" s="17" t="s">
        <v>3166</v>
      </c>
      <c r="C269" s="17" t="s">
        <v>3167</v>
      </c>
      <c r="D269" s="17" t="s">
        <v>3168</v>
      </c>
      <c r="E269" s="17" t="s">
        <v>3169</v>
      </c>
      <c r="F269" s="17" t="s">
        <v>2748</v>
      </c>
      <c r="G269" s="17" t="s">
        <v>1941</v>
      </c>
      <c r="H269" s="17">
        <v>89436</v>
      </c>
      <c r="I269" t="s">
        <v>1942</v>
      </c>
    </row>
    <row r="270" spans="1:9" x14ac:dyDescent="0.3">
      <c r="A270" s="17" t="s">
        <v>3170</v>
      </c>
      <c r="B270" s="17" t="s">
        <v>3171</v>
      </c>
      <c r="C270" s="17"/>
      <c r="D270" s="17" t="s">
        <v>3172</v>
      </c>
      <c r="E270" s="17" t="s">
        <v>3173</v>
      </c>
      <c r="F270" s="17" t="s">
        <v>3174</v>
      </c>
      <c r="G270" s="17" t="s">
        <v>1941</v>
      </c>
      <c r="H270" s="17">
        <v>77806</v>
      </c>
      <c r="I270" t="s">
        <v>1942</v>
      </c>
    </row>
    <row r="271" spans="1:9" x14ac:dyDescent="0.3">
      <c r="A271" s="17" t="s">
        <v>553</v>
      </c>
      <c r="B271" s="17" t="s">
        <v>3175</v>
      </c>
      <c r="C271" s="17" t="s">
        <v>3176</v>
      </c>
      <c r="D271" s="17" t="s">
        <v>3177</v>
      </c>
      <c r="E271" s="17" t="s">
        <v>3178</v>
      </c>
      <c r="F271" s="17" t="s">
        <v>3179</v>
      </c>
      <c r="G271" s="17" t="s">
        <v>1941</v>
      </c>
      <c r="H271" s="17">
        <v>76210</v>
      </c>
      <c r="I271" t="s">
        <v>1951</v>
      </c>
    </row>
    <row r="272" spans="1:9" x14ac:dyDescent="0.3">
      <c r="A272" s="17" t="s">
        <v>555</v>
      </c>
      <c r="B272" s="17" t="s">
        <v>3180</v>
      </c>
      <c r="C272" s="17"/>
      <c r="D272" s="17"/>
      <c r="E272" s="17" t="s">
        <v>3181</v>
      </c>
      <c r="F272" s="17" t="s">
        <v>3182</v>
      </c>
      <c r="G272" s="17" t="s">
        <v>1949</v>
      </c>
      <c r="H272" s="17" t="s">
        <v>3183</v>
      </c>
      <c r="I272" t="s">
        <v>1942</v>
      </c>
    </row>
    <row r="273" spans="1:9" x14ac:dyDescent="0.3">
      <c r="A273" s="17" t="s">
        <v>557</v>
      </c>
      <c r="B273" s="17" t="s">
        <v>3184</v>
      </c>
      <c r="C273" s="17" t="s">
        <v>3185</v>
      </c>
      <c r="D273" s="17" t="s">
        <v>3186</v>
      </c>
      <c r="E273" s="17" t="s">
        <v>3187</v>
      </c>
      <c r="F273" s="17" t="s">
        <v>3188</v>
      </c>
      <c r="G273" s="17" t="s">
        <v>1941</v>
      </c>
      <c r="H273" s="17">
        <v>27635</v>
      </c>
      <c r="I273" t="s">
        <v>1942</v>
      </c>
    </row>
    <row r="274" spans="1:9" x14ac:dyDescent="0.3">
      <c r="A274" s="17" t="s">
        <v>559</v>
      </c>
      <c r="B274" s="17" t="s">
        <v>3189</v>
      </c>
      <c r="C274" s="17" t="s">
        <v>3190</v>
      </c>
      <c r="D274" s="17" t="s">
        <v>3191</v>
      </c>
      <c r="E274" s="17" t="s">
        <v>3192</v>
      </c>
      <c r="F274" s="17" t="s">
        <v>3193</v>
      </c>
      <c r="G274" s="17" t="s">
        <v>1949</v>
      </c>
      <c r="H274" s="17" t="s">
        <v>3194</v>
      </c>
      <c r="I274" t="s">
        <v>1942</v>
      </c>
    </row>
    <row r="275" spans="1:9" x14ac:dyDescent="0.3">
      <c r="A275" s="17" t="s">
        <v>561</v>
      </c>
      <c r="B275" s="17" t="s">
        <v>3195</v>
      </c>
      <c r="C275" s="17" t="s">
        <v>3196</v>
      </c>
      <c r="D275" s="17" t="s">
        <v>3197</v>
      </c>
      <c r="E275" s="17" t="s">
        <v>3198</v>
      </c>
      <c r="F275" s="17" t="s">
        <v>2037</v>
      </c>
      <c r="G275" s="17" t="s">
        <v>1941</v>
      </c>
      <c r="H275" s="17">
        <v>10105</v>
      </c>
      <c r="I275" t="s">
        <v>1951</v>
      </c>
    </row>
    <row r="276" spans="1:9" x14ac:dyDescent="0.3">
      <c r="A276" s="17" t="s">
        <v>563</v>
      </c>
      <c r="B276" s="17" t="s">
        <v>3199</v>
      </c>
      <c r="C276" s="17" t="s">
        <v>3200</v>
      </c>
      <c r="D276" s="17" t="s">
        <v>3201</v>
      </c>
      <c r="E276" s="17" t="s">
        <v>3202</v>
      </c>
      <c r="F276" s="17" t="s">
        <v>2525</v>
      </c>
      <c r="G276" s="17" t="s">
        <v>1941</v>
      </c>
      <c r="H276" s="17">
        <v>6905</v>
      </c>
      <c r="I276" t="s">
        <v>1951</v>
      </c>
    </row>
    <row r="277" spans="1:9" x14ac:dyDescent="0.3">
      <c r="A277" s="17" t="s">
        <v>565</v>
      </c>
      <c r="B277" s="17" t="s">
        <v>3203</v>
      </c>
      <c r="C277" s="17" t="s">
        <v>3204</v>
      </c>
      <c r="D277" s="17" t="s">
        <v>3205</v>
      </c>
      <c r="E277" s="17" t="s">
        <v>3206</v>
      </c>
      <c r="F277" s="17" t="s">
        <v>2211</v>
      </c>
      <c r="G277" s="17" t="s">
        <v>1941</v>
      </c>
      <c r="H277" s="17">
        <v>43666</v>
      </c>
      <c r="I277" t="s">
        <v>1951</v>
      </c>
    </row>
    <row r="278" spans="1:9" x14ac:dyDescent="0.3">
      <c r="A278" s="17" t="s">
        <v>567</v>
      </c>
      <c r="B278" s="17" t="s">
        <v>3207</v>
      </c>
      <c r="C278" s="17" t="s">
        <v>3208</v>
      </c>
      <c r="D278" s="17" t="s">
        <v>3209</v>
      </c>
      <c r="E278" s="17" t="s">
        <v>3210</v>
      </c>
      <c r="F278" s="17" t="s">
        <v>3211</v>
      </c>
      <c r="G278" s="17" t="s">
        <v>1949</v>
      </c>
      <c r="H278" s="17" t="s">
        <v>3212</v>
      </c>
      <c r="I278" t="s">
        <v>1942</v>
      </c>
    </row>
    <row r="279" spans="1:9" x14ac:dyDescent="0.3">
      <c r="A279" s="17" t="s">
        <v>569</v>
      </c>
      <c r="B279" s="17" t="s">
        <v>3213</v>
      </c>
      <c r="C279" s="17" t="s">
        <v>3214</v>
      </c>
      <c r="D279" s="17" t="s">
        <v>3215</v>
      </c>
      <c r="E279" s="17" t="s">
        <v>3216</v>
      </c>
      <c r="F279" s="17" t="s">
        <v>3217</v>
      </c>
      <c r="G279" s="17" t="s">
        <v>1941</v>
      </c>
      <c r="H279" s="17">
        <v>65211</v>
      </c>
      <c r="I279" t="s">
        <v>1951</v>
      </c>
    </row>
    <row r="280" spans="1:9" x14ac:dyDescent="0.3">
      <c r="A280" s="17" t="s">
        <v>571</v>
      </c>
      <c r="B280" s="17" t="s">
        <v>3218</v>
      </c>
      <c r="C280" s="17" t="s">
        <v>3219</v>
      </c>
      <c r="D280" s="17" t="s">
        <v>3220</v>
      </c>
      <c r="E280" s="17" t="s">
        <v>3221</v>
      </c>
      <c r="F280" s="17" t="s">
        <v>2238</v>
      </c>
      <c r="G280" s="17" t="s">
        <v>1941</v>
      </c>
      <c r="H280" s="17">
        <v>46852</v>
      </c>
      <c r="I280" t="s">
        <v>1942</v>
      </c>
    </row>
    <row r="281" spans="1:9" x14ac:dyDescent="0.3">
      <c r="A281" s="17" t="s">
        <v>573</v>
      </c>
      <c r="B281" s="17" t="s">
        <v>3222</v>
      </c>
      <c r="C281" s="17" t="s">
        <v>3223</v>
      </c>
      <c r="D281" s="17" t="s">
        <v>3224</v>
      </c>
      <c r="E281" s="17" t="s">
        <v>3225</v>
      </c>
      <c r="F281" s="17" t="s">
        <v>2013</v>
      </c>
      <c r="G281" s="17" t="s">
        <v>1941</v>
      </c>
      <c r="H281" s="17">
        <v>63143</v>
      </c>
      <c r="I281" t="s">
        <v>1942</v>
      </c>
    </row>
    <row r="282" spans="1:9" x14ac:dyDescent="0.3">
      <c r="A282" s="17" t="s">
        <v>575</v>
      </c>
      <c r="B282" s="17" t="s">
        <v>3226</v>
      </c>
      <c r="C282" s="17"/>
      <c r="D282" s="17" t="s">
        <v>3227</v>
      </c>
      <c r="E282" s="17" t="s">
        <v>3228</v>
      </c>
      <c r="F282" s="17" t="s">
        <v>2022</v>
      </c>
      <c r="G282" s="17" t="s">
        <v>1941</v>
      </c>
      <c r="H282" s="17">
        <v>97211</v>
      </c>
      <c r="I282" t="s">
        <v>1942</v>
      </c>
    </row>
    <row r="283" spans="1:9" x14ac:dyDescent="0.3">
      <c r="A283" s="17" t="s">
        <v>577</v>
      </c>
      <c r="B283" s="17" t="s">
        <v>3229</v>
      </c>
      <c r="C283" s="17" t="s">
        <v>3230</v>
      </c>
      <c r="D283" s="17" t="s">
        <v>3231</v>
      </c>
      <c r="E283" s="17" t="s">
        <v>3232</v>
      </c>
      <c r="F283" s="17" t="s">
        <v>3233</v>
      </c>
      <c r="G283" s="17" t="s">
        <v>1941</v>
      </c>
      <c r="H283" s="17">
        <v>80305</v>
      </c>
      <c r="I283" t="s">
        <v>1942</v>
      </c>
    </row>
    <row r="284" spans="1:9" x14ac:dyDescent="0.3">
      <c r="A284" s="17" t="s">
        <v>579</v>
      </c>
      <c r="B284" s="17" t="s">
        <v>3234</v>
      </c>
      <c r="C284" s="17" t="s">
        <v>3235</v>
      </c>
      <c r="D284" s="17" t="s">
        <v>3236</v>
      </c>
      <c r="E284" s="17" t="s">
        <v>3237</v>
      </c>
      <c r="F284" s="17" t="s">
        <v>3238</v>
      </c>
      <c r="G284" s="17" t="s">
        <v>2116</v>
      </c>
      <c r="H284" s="17" t="s">
        <v>3239</v>
      </c>
      <c r="I284" t="s">
        <v>1951</v>
      </c>
    </row>
    <row r="285" spans="1:9" x14ac:dyDescent="0.3">
      <c r="A285" s="17" t="s">
        <v>581</v>
      </c>
      <c r="B285" s="17" t="s">
        <v>3240</v>
      </c>
      <c r="C285" s="17" t="s">
        <v>3241</v>
      </c>
      <c r="D285" s="17" t="s">
        <v>3242</v>
      </c>
      <c r="E285" s="17" t="s">
        <v>3243</v>
      </c>
      <c r="F285" s="17" t="s">
        <v>3134</v>
      </c>
      <c r="G285" s="17" t="s">
        <v>2116</v>
      </c>
      <c r="H285" s="17" t="s">
        <v>3135</v>
      </c>
      <c r="I285" t="s">
        <v>1942</v>
      </c>
    </row>
    <row r="286" spans="1:9" x14ac:dyDescent="0.3">
      <c r="A286" s="17" t="s">
        <v>583</v>
      </c>
      <c r="B286" s="17" t="s">
        <v>3244</v>
      </c>
      <c r="C286" s="17"/>
      <c r="D286" s="17" t="s">
        <v>3245</v>
      </c>
      <c r="E286" s="17" t="s">
        <v>3246</v>
      </c>
      <c r="F286" s="17" t="s">
        <v>3247</v>
      </c>
      <c r="G286" s="17" t="s">
        <v>1941</v>
      </c>
      <c r="H286" s="17">
        <v>40298</v>
      </c>
      <c r="I286" t="s">
        <v>1951</v>
      </c>
    </row>
    <row r="287" spans="1:9" x14ac:dyDescent="0.3">
      <c r="A287" s="17" t="s">
        <v>585</v>
      </c>
      <c r="B287" s="17" t="s">
        <v>3248</v>
      </c>
      <c r="C287" s="17"/>
      <c r="D287" s="17" t="s">
        <v>3249</v>
      </c>
      <c r="E287" s="17" t="s">
        <v>3250</v>
      </c>
      <c r="F287" s="17" t="s">
        <v>2350</v>
      </c>
      <c r="G287" s="17" t="s">
        <v>1941</v>
      </c>
      <c r="H287" s="17">
        <v>14276</v>
      </c>
      <c r="I287" t="s">
        <v>1951</v>
      </c>
    </row>
    <row r="288" spans="1:9" x14ac:dyDescent="0.3">
      <c r="A288" s="17" t="s">
        <v>587</v>
      </c>
      <c r="B288" s="17" t="s">
        <v>3251</v>
      </c>
      <c r="C288" s="17" t="s">
        <v>3252</v>
      </c>
      <c r="D288" s="17"/>
      <c r="E288" s="17" t="s">
        <v>3253</v>
      </c>
      <c r="F288" s="17" t="s">
        <v>3254</v>
      </c>
      <c r="G288" s="17" t="s">
        <v>1941</v>
      </c>
      <c r="H288" s="17">
        <v>44710</v>
      </c>
      <c r="I288" t="s">
        <v>1942</v>
      </c>
    </row>
    <row r="289" spans="1:9" x14ac:dyDescent="0.3">
      <c r="A289" s="17" t="s">
        <v>589</v>
      </c>
      <c r="B289" s="17" t="s">
        <v>3255</v>
      </c>
      <c r="C289" s="17" t="s">
        <v>3256</v>
      </c>
      <c r="D289" s="17" t="s">
        <v>3257</v>
      </c>
      <c r="E289" s="17" t="s">
        <v>3258</v>
      </c>
      <c r="F289" s="17" t="s">
        <v>2158</v>
      </c>
      <c r="G289" s="17" t="s">
        <v>1941</v>
      </c>
      <c r="H289" s="17">
        <v>2114</v>
      </c>
      <c r="I289" t="s">
        <v>1951</v>
      </c>
    </row>
    <row r="290" spans="1:9" x14ac:dyDescent="0.3">
      <c r="A290" s="17" t="s">
        <v>591</v>
      </c>
      <c r="B290" s="17" t="s">
        <v>3259</v>
      </c>
      <c r="C290" s="17"/>
      <c r="D290" s="17" t="s">
        <v>3260</v>
      </c>
      <c r="E290" s="17" t="s">
        <v>3261</v>
      </c>
      <c r="F290" s="17" t="s">
        <v>3262</v>
      </c>
      <c r="G290" s="17" t="s">
        <v>1949</v>
      </c>
      <c r="H290" s="17" t="s">
        <v>3263</v>
      </c>
      <c r="I290" t="s">
        <v>1942</v>
      </c>
    </row>
    <row r="291" spans="1:9" x14ac:dyDescent="0.3">
      <c r="A291" s="17" t="s">
        <v>593</v>
      </c>
      <c r="B291" s="17" t="s">
        <v>3264</v>
      </c>
      <c r="C291" s="17"/>
      <c r="D291" s="17"/>
      <c r="E291" s="17" t="s">
        <v>3265</v>
      </c>
      <c r="F291" s="17" t="s">
        <v>3266</v>
      </c>
      <c r="G291" s="17" t="s">
        <v>1941</v>
      </c>
      <c r="H291" s="17">
        <v>24515</v>
      </c>
      <c r="I291" t="s">
        <v>1942</v>
      </c>
    </row>
    <row r="292" spans="1:9" x14ac:dyDescent="0.3">
      <c r="A292" s="17" t="s">
        <v>595</v>
      </c>
      <c r="B292" s="17" t="s">
        <v>3267</v>
      </c>
      <c r="C292" s="17" t="s">
        <v>3268</v>
      </c>
      <c r="D292" s="17" t="s">
        <v>3269</v>
      </c>
      <c r="E292" s="17" t="s">
        <v>3270</v>
      </c>
      <c r="F292" s="17" t="s">
        <v>1986</v>
      </c>
      <c r="G292" s="17" t="s">
        <v>1941</v>
      </c>
      <c r="H292" s="17">
        <v>90071</v>
      </c>
      <c r="I292" t="s">
        <v>1951</v>
      </c>
    </row>
    <row r="293" spans="1:9" x14ac:dyDescent="0.3">
      <c r="A293" s="17" t="s">
        <v>597</v>
      </c>
      <c r="B293" s="17" t="s">
        <v>3271</v>
      </c>
      <c r="C293" s="17"/>
      <c r="D293" s="17"/>
      <c r="E293" s="17" t="s">
        <v>3272</v>
      </c>
      <c r="F293" s="17" t="s">
        <v>2535</v>
      </c>
      <c r="G293" s="17" t="s">
        <v>1949</v>
      </c>
      <c r="H293" s="17" t="s">
        <v>2536</v>
      </c>
      <c r="I293" t="s">
        <v>1951</v>
      </c>
    </row>
    <row r="294" spans="1:9" x14ac:dyDescent="0.3">
      <c r="A294" s="17" t="s">
        <v>599</v>
      </c>
      <c r="B294" s="17" t="s">
        <v>3273</v>
      </c>
      <c r="C294" s="17" t="s">
        <v>3274</v>
      </c>
      <c r="D294" s="17"/>
      <c r="E294" s="17" t="s">
        <v>3275</v>
      </c>
      <c r="F294" s="17" t="s">
        <v>2172</v>
      </c>
      <c r="G294" s="17" t="s">
        <v>1941</v>
      </c>
      <c r="H294" s="17">
        <v>35236</v>
      </c>
      <c r="I294" t="s">
        <v>1951</v>
      </c>
    </row>
    <row r="295" spans="1:9" x14ac:dyDescent="0.3">
      <c r="A295" s="17" t="s">
        <v>601</v>
      </c>
      <c r="B295" s="17" t="s">
        <v>3276</v>
      </c>
      <c r="C295" s="17" t="s">
        <v>3277</v>
      </c>
      <c r="D295" s="17" t="s">
        <v>3278</v>
      </c>
      <c r="E295" s="17" t="s">
        <v>3279</v>
      </c>
      <c r="F295" s="17" t="s">
        <v>2699</v>
      </c>
      <c r="G295" s="17" t="s">
        <v>1941</v>
      </c>
      <c r="H295" s="17">
        <v>22309</v>
      </c>
      <c r="I295" t="s">
        <v>1951</v>
      </c>
    </row>
    <row r="296" spans="1:9" x14ac:dyDescent="0.3">
      <c r="A296" s="17" t="s">
        <v>603</v>
      </c>
      <c r="B296" s="17" t="s">
        <v>3280</v>
      </c>
      <c r="C296" s="17"/>
      <c r="D296" s="17" t="s">
        <v>3281</v>
      </c>
      <c r="E296" s="17" t="s">
        <v>3282</v>
      </c>
      <c r="F296" s="17" t="s">
        <v>3283</v>
      </c>
      <c r="G296" s="17" t="s">
        <v>1941</v>
      </c>
      <c r="H296" s="17">
        <v>6816</v>
      </c>
      <c r="I296" t="s">
        <v>1951</v>
      </c>
    </row>
    <row r="297" spans="1:9" x14ac:dyDescent="0.3">
      <c r="A297" s="17" t="s">
        <v>605</v>
      </c>
      <c r="B297" s="17" t="s">
        <v>3284</v>
      </c>
      <c r="C297" s="17"/>
      <c r="D297" s="17"/>
      <c r="E297" s="17" t="s">
        <v>3285</v>
      </c>
      <c r="F297" s="17" t="s">
        <v>2881</v>
      </c>
      <c r="G297" s="17" t="s">
        <v>1941</v>
      </c>
      <c r="H297" s="17">
        <v>12205</v>
      </c>
      <c r="I297" t="s">
        <v>1951</v>
      </c>
    </row>
    <row r="298" spans="1:9" x14ac:dyDescent="0.3">
      <c r="A298" s="17" t="s">
        <v>607</v>
      </c>
      <c r="B298" s="17" t="s">
        <v>3286</v>
      </c>
      <c r="C298" s="17" t="s">
        <v>3287</v>
      </c>
      <c r="D298" s="17" t="s">
        <v>3288</v>
      </c>
      <c r="E298" s="17" t="s">
        <v>3289</v>
      </c>
      <c r="F298" s="17" t="s">
        <v>2247</v>
      </c>
      <c r="G298" s="17" t="s">
        <v>1941</v>
      </c>
      <c r="H298" s="17">
        <v>34108</v>
      </c>
      <c r="I298" t="s">
        <v>1942</v>
      </c>
    </row>
    <row r="299" spans="1:9" x14ac:dyDescent="0.3">
      <c r="A299" s="17" t="s">
        <v>609</v>
      </c>
      <c r="B299" s="17" t="s">
        <v>3290</v>
      </c>
      <c r="C299" s="17" t="s">
        <v>3291</v>
      </c>
      <c r="D299" s="17" t="s">
        <v>3292</v>
      </c>
      <c r="E299" s="17" t="s">
        <v>3293</v>
      </c>
      <c r="F299" s="17" t="s">
        <v>3294</v>
      </c>
      <c r="G299" s="17" t="s">
        <v>1941</v>
      </c>
      <c r="H299" s="17">
        <v>33141</v>
      </c>
      <c r="I299" t="s">
        <v>1942</v>
      </c>
    </row>
    <row r="300" spans="1:9" x14ac:dyDescent="0.3">
      <c r="A300" s="17" t="s">
        <v>611</v>
      </c>
      <c r="B300" s="17" t="s">
        <v>3295</v>
      </c>
      <c r="C300" s="17" t="s">
        <v>3296</v>
      </c>
      <c r="D300" s="17" t="s">
        <v>3297</v>
      </c>
      <c r="E300" s="17" t="s">
        <v>3298</v>
      </c>
      <c r="F300" s="17" t="s">
        <v>3049</v>
      </c>
      <c r="G300" s="17" t="s">
        <v>1941</v>
      </c>
      <c r="H300" s="17">
        <v>30358</v>
      </c>
      <c r="I300" t="s">
        <v>1942</v>
      </c>
    </row>
    <row r="301" spans="1:9" x14ac:dyDescent="0.3">
      <c r="A301" s="17" t="s">
        <v>613</v>
      </c>
      <c r="B301" s="17" t="s">
        <v>3299</v>
      </c>
      <c r="C301" s="17" t="s">
        <v>3300</v>
      </c>
      <c r="D301" s="17" t="s">
        <v>3301</v>
      </c>
      <c r="E301" s="17" t="s">
        <v>3302</v>
      </c>
      <c r="F301" s="17" t="s">
        <v>3303</v>
      </c>
      <c r="G301" s="17" t="s">
        <v>1941</v>
      </c>
      <c r="H301" s="17">
        <v>78405</v>
      </c>
      <c r="I301" t="s">
        <v>1942</v>
      </c>
    </row>
    <row r="302" spans="1:9" x14ac:dyDescent="0.3">
      <c r="A302" s="17" t="s">
        <v>615</v>
      </c>
      <c r="B302" s="17" t="s">
        <v>3304</v>
      </c>
      <c r="C302" s="17" t="s">
        <v>3305</v>
      </c>
      <c r="D302" s="17" t="s">
        <v>3306</v>
      </c>
      <c r="E302" s="17" t="s">
        <v>3307</v>
      </c>
      <c r="F302" s="17" t="s">
        <v>2592</v>
      </c>
      <c r="G302" s="17" t="s">
        <v>1941</v>
      </c>
      <c r="H302" s="17">
        <v>96835</v>
      </c>
      <c r="I302" t="s">
        <v>1942</v>
      </c>
    </row>
    <row r="303" spans="1:9" x14ac:dyDescent="0.3">
      <c r="A303" s="17" t="s">
        <v>617</v>
      </c>
      <c r="B303" s="17" t="s">
        <v>3308</v>
      </c>
      <c r="C303" s="17" t="s">
        <v>3309</v>
      </c>
      <c r="D303" s="17" t="s">
        <v>3310</v>
      </c>
      <c r="E303" s="17" t="s">
        <v>3311</v>
      </c>
      <c r="F303" s="17" t="s">
        <v>2387</v>
      </c>
      <c r="G303" s="17" t="s">
        <v>1941</v>
      </c>
      <c r="H303" s="17">
        <v>78737</v>
      </c>
      <c r="I303" t="s">
        <v>1942</v>
      </c>
    </row>
    <row r="304" spans="1:9" x14ac:dyDescent="0.3">
      <c r="A304" s="17" t="s">
        <v>619</v>
      </c>
      <c r="B304" s="17" t="s">
        <v>3312</v>
      </c>
      <c r="C304" s="17" t="s">
        <v>3313</v>
      </c>
      <c r="D304" s="17" t="s">
        <v>3314</v>
      </c>
      <c r="E304" s="17" t="s">
        <v>3315</v>
      </c>
      <c r="F304" s="17" t="s">
        <v>3316</v>
      </c>
      <c r="G304" s="17" t="s">
        <v>1941</v>
      </c>
      <c r="H304" s="17">
        <v>21290</v>
      </c>
      <c r="I304" t="s">
        <v>1951</v>
      </c>
    </row>
    <row r="305" spans="1:9" x14ac:dyDescent="0.3">
      <c r="A305" s="17" t="s">
        <v>621</v>
      </c>
      <c r="B305" s="17" t="s">
        <v>3317</v>
      </c>
      <c r="C305" s="17" t="s">
        <v>3318</v>
      </c>
      <c r="D305" s="17"/>
      <c r="E305" s="17" t="s">
        <v>3319</v>
      </c>
      <c r="F305" s="17" t="s">
        <v>3320</v>
      </c>
      <c r="G305" s="17" t="s">
        <v>1941</v>
      </c>
      <c r="H305" s="17">
        <v>40596</v>
      </c>
      <c r="I305" t="s">
        <v>1942</v>
      </c>
    </row>
    <row r="306" spans="1:9" x14ac:dyDescent="0.3">
      <c r="A306" s="17" t="s">
        <v>3321</v>
      </c>
      <c r="B306" s="17" t="s">
        <v>3322</v>
      </c>
      <c r="C306" s="17" t="s">
        <v>3323</v>
      </c>
      <c r="D306" s="17"/>
      <c r="E306" s="17" t="s">
        <v>3324</v>
      </c>
      <c r="F306" s="17" t="s">
        <v>3325</v>
      </c>
      <c r="G306" s="17" t="s">
        <v>1941</v>
      </c>
      <c r="H306" s="17">
        <v>60435</v>
      </c>
      <c r="I306" t="s">
        <v>1942</v>
      </c>
    </row>
    <row r="307" spans="1:9" x14ac:dyDescent="0.3">
      <c r="A307" s="17" t="s">
        <v>625</v>
      </c>
      <c r="B307" s="17" t="s">
        <v>3326</v>
      </c>
      <c r="C307" s="17" t="s">
        <v>3327</v>
      </c>
      <c r="D307" s="17" t="s">
        <v>3328</v>
      </c>
      <c r="E307" s="17" t="s">
        <v>3329</v>
      </c>
      <c r="F307" s="17" t="s">
        <v>3330</v>
      </c>
      <c r="G307" s="17" t="s">
        <v>2116</v>
      </c>
      <c r="H307" s="17" t="s">
        <v>3331</v>
      </c>
      <c r="I307" t="s">
        <v>1951</v>
      </c>
    </row>
    <row r="308" spans="1:9" x14ac:dyDescent="0.3">
      <c r="A308" s="17" t="s">
        <v>627</v>
      </c>
      <c r="B308" s="17" t="s">
        <v>3332</v>
      </c>
      <c r="C308" s="17" t="s">
        <v>3333</v>
      </c>
      <c r="D308" s="17" t="s">
        <v>3334</v>
      </c>
      <c r="E308" s="17" t="s">
        <v>3335</v>
      </c>
      <c r="F308" s="17" t="s">
        <v>3336</v>
      </c>
      <c r="G308" s="17" t="s">
        <v>1941</v>
      </c>
      <c r="H308" s="17">
        <v>68505</v>
      </c>
      <c r="I308" t="s">
        <v>1951</v>
      </c>
    </row>
    <row r="309" spans="1:9" x14ac:dyDescent="0.3">
      <c r="A309" s="17" t="s">
        <v>629</v>
      </c>
      <c r="B309" s="17" t="s">
        <v>3337</v>
      </c>
      <c r="C309" s="17" t="s">
        <v>3338</v>
      </c>
      <c r="D309" s="17" t="s">
        <v>3339</v>
      </c>
      <c r="E309" s="17" t="s">
        <v>3340</v>
      </c>
      <c r="F309" s="17" t="s">
        <v>3037</v>
      </c>
      <c r="G309" s="17" t="s">
        <v>1941</v>
      </c>
      <c r="H309" s="17">
        <v>45254</v>
      </c>
      <c r="I309" t="s">
        <v>1942</v>
      </c>
    </row>
    <row r="310" spans="1:9" x14ac:dyDescent="0.3">
      <c r="A310" s="17" t="s">
        <v>631</v>
      </c>
      <c r="B310" s="17" t="s">
        <v>3341</v>
      </c>
      <c r="C310" s="17" t="s">
        <v>3342</v>
      </c>
      <c r="D310" s="17"/>
      <c r="E310" s="17" t="s">
        <v>3343</v>
      </c>
      <c r="F310" s="17" t="s">
        <v>3134</v>
      </c>
      <c r="G310" s="17" t="s">
        <v>2116</v>
      </c>
      <c r="H310" s="17" t="s">
        <v>3135</v>
      </c>
      <c r="I310" t="s">
        <v>1951</v>
      </c>
    </row>
    <row r="311" spans="1:9" x14ac:dyDescent="0.3">
      <c r="A311" s="17" t="s">
        <v>633</v>
      </c>
      <c r="B311" s="17" t="s">
        <v>3344</v>
      </c>
      <c r="C311" s="17" t="s">
        <v>3345</v>
      </c>
      <c r="D311" s="17" t="s">
        <v>3346</v>
      </c>
      <c r="E311" s="17" t="s">
        <v>3347</v>
      </c>
      <c r="F311" s="17" t="s">
        <v>3348</v>
      </c>
      <c r="G311" s="17" t="s">
        <v>1941</v>
      </c>
      <c r="H311" s="17">
        <v>6127</v>
      </c>
      <c r="I311" t="s">
        <v>1942</v>
      </c>
    </row>
    <row r="312" spans="1:9" x14ac:dyDescent="0.3">
      <c r="A312" s="17" t="s">
        <v>635</v>
      </c>
      <c r="B312" s="17" t="s">
        <v>3349</v>
      </c>
      <c r="C312" s="17" t="s">
        <v>3350</v>
      </c>
      <c r="D312" s="17" t="s">
        <v>3351</v>
      </c>
      <c r="E312" s="17" t="s">
        <v>3352</v>
      </c>
      <c r="F312" s="17" t="s">
        <v>2309</v>
      </c>
      <c r="G312" s="17" t="s">
        <v>1949</v>
      </c>
      <c r="H312" s="17" t="s">
        <v>2310</v>
      </c>
      <c r="I312" t="s">
        <v>1951</v>
      </c>
    </row>
    <row r="313" spans="1:9" x14ac:dyDescent="0.3">
      <c r="A313" s="17" t="s">
        <v>623</v>
      </c>
      <c r="B313" s="17" t="s">
        <v>3353</v>
      </c>
      <c r="C313" s="17" t="s">
        <v>3354</v>
      </c>
      <c r="D313" s="17" t="s">
        <v>3355</v>
      </c>
      <c r="E313" s="17" t="s">
        <v>3356</v>
      </c>
      <c r="F313" s="17" t="s">
        <v>2300</v>
      </c>
      <c r="G313" s="17" t="s">
        <v>1941</v>
      </c>
      <c r="H313" s="17">
        <v>28299</v>
      </c>
      <c r="I313" t="s">
        <v>1942</v>
      </c>
    </row>
    <row r="314" spans="1:9" x14ac:dyDescent="0.3">
      <c r="A314" s="17" t="s">
        <v>638</v>
      </c>
      <c r="B314" s="17" t="s">
        <v>3357</v>
      </c>
      <c r="C314" s="17" t="s">
        <v>3358</v>
      </c>
      <c r="D314" s="17" t="s">
        <v>3359</v>
      </c>
      <c r="E314" s="17" t="s">
        <v>3360</v>
      </c>
      <c r="F314" s="17" t="s">
        <v>2699</v>
      </c>
      <c r="G314" s="17" t="s">
        <v>1941</v>
      </c>
      <c r="H314" s="17">
        <v>71307</v>
      </c>
      <c r="I314" t="s">
        <v>1942</v>
      </c>
    </row>
    <row r="315" spans="1:9" x14ac:dyDescent="0.3">
      <c r="A315" s="17" t="s">
        <v>640</v>
      </c>
      <c r="B315" s="17" t="s">
        <v>3361</v>
      </c>
      <c r="C315" s="17" t="s">
        <v>3362</v>
      </c>
      <c r="D315" s="17" t="s">
        <v>3363</v>
      </c>
      <c r="E315" s="17" t="s">
        <v>3364</v>
      </c>
      <c r="F315" s="17" t="s">
        <v>3365</v>
      </c>
      <c r="G315" s="17" t="s">
        <v>2116</v>
      </c>
      <c r="H315" s="17" t="s">
        <v>3366</v>
      </c>
      <c r="I315" t="s">
        <v>1942</v>
      </c>
    </row>
    <row r="316" spans="1:9" x14ac:dyDescent="0.3">
      <c r="A316" s="17" t="s">
        <v>642</v>
      </c>
      <c r="B316" s="17" t="s">
        <v>3367</v>
      </c>
      <c r="C316" s="17"/>
      <c r="D316" s="17" t="s">
        <v>3368</v>
      </c>
      <c r="E316" s="17" t="s">
        <v>3369</v>
      </c>
      <c r="F316" s="17" t="s">
        <v>3370</v>
      </c>
      <c r="G316" s="17" t="s">
        <v>1941</v>
      </c>
      <c r="H316" s="17">
        <v>89115</v>
      </c>
      <c r="I316" t="s">
        <v>1951</v>
      </c>
    </row>
    <row r="317" spans="1:9" x14ac:dyDescent="0.3">
      <c r="A317" s="17" t="s">
        <v>644</v>
      </c>
      <c r="B317" s="17" t="s">
        <v>3371</v>
      </c>
      <c r="C317" s="17" t="s">
        <v>3372</v>
      </c>
      <c r="D317" s="17" t="s">
        <v>3373</v>
      </c>
      <c r="E317" s="17" t="s">
        <v>3374</v>
      </c>
      <c r="F317" s="17" t="s">
        <v>2647</v>
      </c>
      <c r="G317" s="17" t="s">
        <v>1941</v>
      </c>
      <c r="H317" s="17">
        <v>50369</v>
      </c>
      <c r="I317" t="s">
        <v>1942</v>
      </c>
    </row>
    <row r="318" spans="1:9" x14ac:dyDescent="0.3">
      <c r="A318" s="17" t="s">
        <v>646</v>
      </c>
      <c r="B318" s="17" t="s">
        <v>3375</v>
      </c>
      <c r="C318" s="17" t="s">
        <v>3376</v>
      </c>
      <c r="D318" s="17" t="s">
        <v>3377</v>
      </c>
      <c r="E318" s="17" t="s">
        <v>3378</v>
      </c>
      <c r="F318" s="17" t="s">
        <v>2600</v>
      </c>
      <c r="G318" s="17" t="s">
        <v>1949</v>
      </c>
      <c r="H318" s="17" t="s">
        <v>2545</v>
      </c>
      <c r="I318" t="s">
        <v>1951</v>
      </c>
    </row>
    <row r="319" spans="1:9" x14ac:dyDescent="0.3">
      <c r="A319" s="17" t="s">
        <v>648</v>
      </c>
      <c r="B319" s="17" t="s">
        <v>3379</v>
      </c>
      <c r="C319" s="17" t="s">
        <v>3380</v>
      </c>
      <c r="D319" s="17" t="s">
        <v>3381</v>
      </c>
      <c r="E319" s="17" t="s">
        <v>3382</v>
      </c>
      <c r="F319" s="17" t="s">
        <v>3383</v>
      </c>
      <c r="G319" s="17" t="s">
        <v>1941</v>
      </c>
      <c r="H319" s="17">
        <v>44315</v>
      </c>
      <c r="I319" t="s">
        <v>1951</v>
      </c>
    </row>
    <row r="320" spans="1:9" x14ac:dyDescent="0.3">
      <c r="A320" s="17" t="s">
        <v>650</v>
      </c>
      <c r="B320" s="17" t="s">
        <v>3384</v>
      </c>
      <c r="C320" s="17" t="s">
        <v>3385</v>
      </c>
      <c r="D320" s="17" t="s">
        <v>3386</v>
      </c>
      <c r="E320" s="17" t="s">
        <v>3387</v>
      </c>
      <c r="F320" s="17" t="s">
        <v>3388</v>
      </c>
      <c r="G320" s="17" t="s">
        <v>1941</v>
      </c>
      <c r="H320" s="17">
        <v>33405</v>
      </c>
      <c r="I320" t="s">
        <v>1942</v>
      </c>
    </row>
    <row r="321" spans="1:9" x14ac:dyDescent="0.3">
      <c r="A321" s="17" t="s">
        <v>652</v>
      </c>
      <c r="B321" s="17" t="s">
        <v>3389</v>
      </c>
      <c r="C321" s="17" t="s">
        <v>3390</v>
      </c>
      <c r="D321" s="17"/>
      <c r="E321" s="17" t="s">
        <v>3391</v>
      </c>
      <c r="F321" s="17" t="s">
        <v>2355</v>
      </c>
      <c r="G321" s="17" t="s">
        <v>1941</v>
      </c>
      <c r="H321" s="17">
        <v>93715</v>
      </c>
      <c r="I321" t="s">
        <v>1942</v>
      </c>
    </row>
    <row r="322" spans="1:9" x14ac:dyDescent="0.3">
      <c r="A322" s="17" t="s">
        <v>3392</v>
      </c>
      <c r="B322" s="17" t="s">
        <v>3393</v>
      </c>
      <c r="C322" s="17" t="s">
        <v>3394</v>
      </c>
      <c r="D322" s="17" t="s">
        <v>3395</v>
      </c>
      <c r="E322" s="17" t="s">
        <v>3396</v>
      </c>
      <c r="F322" s="17" t="s">
        <v>3397</v>
      </c>
      <c r="G322" s="17" t="s">
        <v>1941</v>
      </c>
      <c r="H322" s="17">
        <v>52245</v>
      </c>
      <c r="I322" t="s">
        <v>1942</v>
      </c>
    </row>
    <row r="323" spans="1:9" x14ac:dyDescent="0.3">
      <c r="A323" s="17" t="s">
        <v>654</v>
      </c>
      <c r="B323" s="17" t="s">
        <v>3398</v>
      </c>
      <c r="C323" s="17" t="s">
        <v>3399</v>
      </c>
      <c r="D323" s="17" t="s">
        <v>3400</v>
      </c>
      <c r="E323" s="17" t="s">
        <v>3401</v>
      </c>
      <c r="F323" s="17" t="s">
        <v>3402</v>
      </c>
      <c r="G323" s="17" t="s">
        <v>1949</v>
      </c>
      <c r="H323" s="17" t="s">
        <v>2083</v>
      </c>
      <c r="I323" t="s">
        <v>1942</v>
      </c>
    </row>
    <row r="324" spans="1:9" x14ac:dyDescent="0.3">
      <c r="A324" s="17" t="s">
        <v>656</v>
      </c>
      <c r="B324" s="17" t="s">
        <v>3403</v>
      </c>
      <c r="C324" s="17" t="s">
        <v>3404</v>
      </c>
      <c r="D324" s="17" t="s">
        <v>3405</v>
      </c>
      <c r="E324" s="17" t="s">
        <v>3406</v>
      </c>
      <c r="F324" s="17" t="s">
        <v>3407</v>
      </c>
      <c r="G324" s="17" t="s">
        <v>1949</v>
      </c>
      <c r="H324" s="17" t="s">
        <v>2083</v>
      </c>
      <c r="I324" t="s">
        <v>1951</v>
      </c>
    </row>
    <row r="325" spans="1:9" x14ac:dyDescent="0.3">
      <c r="A325" s="17" t="s">
        <v>658</v>
      </c>
      <c r="B325" s="17" t="s">
        <v>3408</v>
      </c>
      <c r="C325" s="17" t="s">
        <v>3409</v>
      </c>
      <c r="D325" s="17" t="s">
        <v>3410</v>
      </c>
      <c r="E325" s="17" t="s">
        <v>3411</v>
      </c>
      <c r="F325" s="17" t="s">
        <v>3412</v>
      </c>
      <c r="G325" s="17" t="s">
        <v>1941</v>
      </c>
      <c r="H325" s="17">
        <v>37924</v>
      </c>
      <c r="I325" t="s">
        <v>1942</v>
      </c>
    </row>
    <row r="326" spans="1:9" x14ac:dyDescent="0.3">
      <c r="A326" s="17" t="s">
        <v>660</v>
      </c>
      <c r="B326" s="17" t="s">
        <v>3413</v>
      </c>
      <c r="C326" s="17"/>
      <c r="D326" s="17" t="s">
        <v>3414</v>
      </c>
      <c r="E326" s="17" t="s">
        <v>3415</v>
      </c>
      <c r="F326" s="17" t="s">
        <v>2988</v>
      </c>
      <c r="G326" s="17" t="s">
        <v>1941</v>
      </c>
      <c r="H326" s="17">
        <v>66276</v>
      </c>
      <c r="I326" t="s">
        <v>1951</v>
      </c>
    </row>
    <row r="327" spans="1:9" x14ac:dyDescent="0.3">
      <c r="A327" s="17" t="s">
        <v>662</v>
      </c>
      <c r="B327" s="17" t="s">
        <v>3416</v>
      </c>
      <c r="C327" s="17" t="s">
        <v>3417</v>
      </c>
      <c r="D327" s="17" t="s">
        <v>3418</v>
      </c>
      <c r="E327" s="17" t="s">
        <v>3419</v>
      </c>
      <c r="F327" s="17" t="s">
        <v>3090</v>
      </c>
      <c r="G327" s="17" t="s">
        <v>1941</v>
      </c>
      <c r="H327" s="17">
        <v>94132</v>
      </c>
      <c r="I327" t="s">
        <v>1942</v>
      </c>
    </row>
    <row r="328" spans="1:9" x14ac:dyDescent="0.3">
      <c r="A328" s="17" t="s">
        <v>664</v>
      </c>
      <c r="B328" s="17" t="s">
        <v>3420</v>
      </c>
      <c r="C328" s="17"/>
      <c r="D328" s="17" t="s">
        <v>3421</v>
      </c>
      <c r="E328" s="17" t="s">
        <v>3422</v>
      </c>
      <c r="F328" s="17" t="s">
        <v>2172</v>
      </c>
      <c r="G328" s="17" t="s">
        <v>1941</v>
      </c>
      <c r="H328" s="17">
        <v>35244</v>
      </c>
      <c r="I328" t="s">
        <v>1951</v>
      </c>
    </row>
    <row r="329" spans="1:9" x14ac:dyDescent="0.3">
      <c r="A329" s="17" t="s">
        <v>666</v>
      </c>
      <c r="B329" s="17" t="s">
        <v>3423</v>
      </c>
      <c r="C329" s="17" t="s">
        <v>3424</v>
      </c>
      <c r="D329" s="17" t="s">
        <v>3425</v>
      </c>
      <c r="E329" s="17" t="s">
        <v>3426</v>
      </c>
      <c r="F329" s="17" t="s">
        <v>2776</v>
      </c>
      <c r="G329" s="17" t="s">
        <v>1941</v>
      </c>
      <c r="H329" s="17">
        <v>11215</v>
      </c>
      <c r="I329" t="s">
        <v>1942</v>
      </c>
    </row>
    <row r="330" spans="1:9" x14ac:dyDescent="0.3">
      <c r="A330" s="17" t="s">
        <v>668</v>
      </c>
      <c r="B330" s="17" t="s">
        <v>3427</v>
      </c>
      <c r="C330" s="17"/>
      <c r="D330" s="17" t="s">
        <v>3428</v>
      </c>
      <c r="E330" s="17" t="s">
        <v>3429</v>
      </c>
      <c r="F330" s="17" t="s">
        <v>2448</v>
      </c>
      <c r="G330" s="17" t="s">
        <v>1941</v>
      </c>
      <c r="H330" s="17">
        <v>79934</v>
      </c>
      <c r="I330" t="s">
        <v>1942</v>
      </c>
    </row>
    <row r="331" spans="1:9" x14ac:dyDescent="0.3">
      <c r="A331" s="17" t="s">
        <v>670</v>
      </c>
      <c r="B331" s="17" t="s">
        <v>3430</v>
      </c>
      <c r="C331" s="17" t="s">
        <v>3431</v>
      </c>
      <c r="D331" s="17"/>
      <c r="E331" s="17" t="s">
        <v>3432</v>
      </c>
      <c r="F331" s="17" t="s">
        <v>2999</v>
      </c>
      <c r="G331" s="17" t="s">
        <v>1941</v>
      </c>
      <c r="H331" s="17">
        <v>94250</v>
      </c>
      <c r="I331" t="s">
        <v>1942</v>
      </c>
    </row>
    <row r="332" spans="1:9" x14ac:dyDescent="0.3">
      <c r="A332" s="17" t="s">
        <v>3433</v>
      </c>
      <c r="B332" s="17" t="s">
        <v>3434</v>
      </c>
      <c r="C332" s="17" t="s">
        <v>3435</v>
      </c>
      <c r="D332" s="17" t="s">
        <v>3436</v>
      </c>
      <c r="E332" s="17" t="s">
        <v>3437</v>
      </c>
      <c r="F332" s="17" t="s">
        <v>2186</v>
      </c>
      <c r="G332" s="17" t="s">
        <v>1941</v>
      </c>
      <c r="H332" s="17">
        <v>20220</v>
      </c>
      <c r="I332" t="s">
        <v>1951</v>
      </c>
    </row>
    <row r="333" spans="1:9" x14ac:dyDescent="0.3">
      <c r="A333" s="17" t="s">
        <v>673</v>
      </c>
      <c r="B333" s="17" t="s">
        <v>3438</v>
      </c>
      <c r="C333" s="17" t="s">
        <v>3439</v>
      </c>
      <c r="D333" s="17" t="s">
        <v>3440</v>
      </c>
      <c r="E333" s="17" t="s">
        <v>3441</v>
      </c>
      <c r="F333" s="17" t="s">
        <v>3442</v>
      </c>
      <c r="G333" s="17" t="s">
        <v>1941</v>
      </c>
      <c r="H333" s="17">
        <v>33436</v>
      </c>
      <c r="I333" t="s">
        <v>1942</v>
      </c>
    </row>
    <row r="334" spans="1:9" x14ac:dyDescent="0.3">
      <c r="A334" s="17" t="s">
        <v>675</v>
      </c>
      <c r="B334" s="17" t="s">
        <v>3443</v>
      </c>
      <c r="C334" s="17" t="s">
        <v>3444</v>
      </c>
      <c r="D334" s="17" t="s">
        <v>3445</v>
      </c>
      <c r="E334" s="17" t="s">
        <v>3446</v>
      </c>
      <c r="F334" s="17" t="s">
        <v>1986</v>
      </c>
      <c r="G334" s="17" t="s">
        <v>1941</v>
      </c>
      <c r="H334" s="17">
        <v>90094</v>
      </c>
      <c r="I334" t="s">
        <v>1942</v>
      </c>
    </row>
    <row r="335" spans="1:9" x14ac:dyDescent="0.3">
      <c r="A335" s="17" t="s">
        <v>677</v>
      </c>
      <c r="B335" s="17" t="s">
        <v>3447</v>
      </c>
      <c r="C335" s="17" t="s">
        <v>3448</v>
      </c>
      <c r="D335" s="17" t="s">
        <v>3449</v>
      </c>
      <c r="E335" s="17" t="s">
        <v>3450</v>
      </c>
      <c r="F335" s="17" t="s">
        <v>3316</v>
      </c>
      <c r="G335" s="17" t="s">
        <v>1941</v>
      </c>
      <c r="H335" s="17">
        <v>21275</v>
      </c>
      <c r="I335" t="s">
        <v>1942</v>
      </c>
    </row>
    <row r="336" spans="1:9" x14ac:dyDescent="0.3">
      <c r="A336" s="17" t="s">
        <v>679</v>
      </c>
      <c r="B336" s="17" t="s">
        <v>3451</v>
      </c>
      <c r="C336" s="17"/>
      <c r="D336" s="17"/>
      <c r="E336" s="17" t="s">
        <v>3452</v>
      </c>
      <c r="F336" s="17" t="s">
        <v>2938</v>
      </c>
      <c r="G336" s="17" t="s">
        <v>1941</v>
      </c>
      <c r="H336" s="17">
        <v>84125</v>
      </c>
      <c r="I336" t="s">
        <v>1951</v>
      </c>
    </row>
    <row r="337" spans="1:9" x14ac:dyDescent="0.3">
      <c r="A337" s="17" t="s">
        <v>681</v>
      </c>
      <c r="B337" s="17" t="s">
        <v>3453</v>
      </c>
      <c r="C337" s="17" t="s">
        <v>3454</v>
      </c>
      <c r="D337" s="17" t="s">
        <v>3455</v>
      </c>
      <c r="E337" s="17" t="s">
        <v>3456</v>
      </c>
      <c r="F337" s="17" t="s">
        <v>2791</v>
      </c>
      <c r="G337" s="17" t="s">
        <v>1941</v>
      </c>
      <c r="H337" s="17">
        <v>75049</v>
      </c>
      <c r="I337" t="s">
        <v>1942</v>
      </c>
    </row>
    <row r="338" spans="1:9" x14ac:dyDescent="0.3">
      <c r="A338" s="17" t="s">
        <v>683</v>
      </c>
      <c r="B338" s="17" t="s">
        <v>3457</v>
      </c>
      <c r="C338" s="17" t="s">
        <v>3458</v>
      </c>
      <c r="D338" s="17" t="s">
        <v>3459</v>
      </c>
      <c r="E338" s="17" t="s">
        <v>3460</v>
      </c>
      <c r="F338" s="17" t="s">
        <v>3461</v>
      </c>
      <c r="G338" s="17" t="s">
        <v>2116</v>
      </c>
      <c r="H338" s="17" t="s">
        <v>3462</v>
      </c>
      <c r="I338" t="s">
        <v>1951</v>
      </c>
    </row>
    <row r="339" spans="1:9" x14ac:dyDescent="0.3">
      <c r="A339" s="17" t="s">
        <v>3463</v>
      </c>
      <c r="B339" s="17" t="s">
        <v>3464</v>
      </c>
      <c r="C339" s="17"/>
      <c r="D339" s="17" t="s">
        <v>3465</v>
      </c>
      <c r="E339" s="17" t="s">
        <v>3466</v>
      </c>
      <c r="F339" s="17" t="s">
        <v>2287</v>
      </c>
      <c r="G339" s="17" t="s">
        <v>1941</v>
      </c>
      <c r="H339" s="17">
        <v>43240</v>
      </c>
      <c r="I339" t="s">
        <v>1951</v>
      </c>
    </row>
    <row r="340" spans="1:9" x14ac:dyDescent="0.3">
      <c r="A340" s="17" t="s">
        <v>686</v>
      </c>
      <c r="B340" s="17" t="s">
        <v>3467</v>
      </c>
      <c r="C340" s="17" t="s">
        <v>3468</v>
      </c>
      <c r="D340" s="17" t="s">
        <v>3469</v>
      </c>
      <c r="E340" s="17" t="s">
        <v>3470</v>
      </c>
      <c r="F340" s="17" t="s">
        <v>2037</v>
      </c>
      <c r="G340" s="17" t="s">
        <v>1941</v>
      </c>
      <c r="H340" s="17">
        <v>10184</v>
      </c>
      <c r="I340" t="s">
        <v>1951</v>
      </c>
    </row>
    <row r="341" spans="1:9" x14ac:dyDescent="0.3">
      <c r="A341" s="17" t="s">
        <v>688</v>
      </c>
      <c r="B341" s="17" t="s">
        <v>3471</v>
      </c>
      <c r="C341" s="17" t="s">
        <v>3472</v>
      </c>
      <c r="D341" s="17" t="s">
        <v>3473</v>
      </c>
      <c r="E341" s="17" t="s">
        <v>3474</v>
      </c>
      <c r="F341" s="17" t="s">
        <v>2158</v>
      </c>
      <c r="G341" s="17" t="s">
        <v>1941</v>
      </c>
      <c r="H341" s="17">
        <v>2216</v>
      </c>
      <c r="I341" t="s">
        <v>1942</v>
      </c>
    </row>
    <row r="342" spans="1:9" x14ac:dyDescent="0.3">
      <c r="A342" s="17" t="s">
        <v>690</v>
      </c>
      <c r="B342" s="17" t="s">
        <v>3475</v>
      </c>
      <c r="C342" s="17" t="s">
        <v>3476</v>
      </c>
      <c r="D342" s="17" t="s">
        <v>3477</v>
      </c>
      <c r="E342" s="17" t="s">
        <v>3478</v>
      </c>
      <c r="F342" s="17" t="s">
        <v>3090</v>
      </c>
      <c r="G342" s="17" t="s">
        <v>1941</v>
      </c>
      <c r="H342" s="17">
        <v>94132</v>
      </c>
      <c r="I342" t="s">
        <v>1942</v>
      </c>
    </row>
    <row r="343" spans="1:9" x14ac:dyDescent="0.3">
      <c r="A343" s="17" t="s">
        <v>692</v>
      </c>
      <c r="B343" s="17" t="s">
        <v>3479</v>
      </c>
      <c r="C343" s="17" t="s">
        <v>3480</v>
      </c>
      <c r="D343" s="17" t="s">
        <v>3481</v>
      </c>
      <c r="E343" s="17" t="s">
        <v>3482</v>
      </c>
      <c r="F343" s="17" t="s">
        <v>3483</v>
      </c>
      <c r="G343" s="17" t="s">
        <v>1941</v>
      </c>
      <c r="H343" s="17">
        <v>46295</v>
      </c>
      <c r="I343" t="s">
        <v>1951</v>
      </c>
    </row>
    <row r="344" spans="1:9" x14ac:dyDescent="0.3">
      <c r="A344" s="17" t="s">
        <v>3484</v>
      </c>
      <c r="B344" s="17" t="s">
        <v>3485</v>
      </c>
      <c r="C344" s="17" t="s">
        <v>3486</v>
      </c>
      <c r="D344" s="17"/>
      <c r="E344" s="17" t="s">
        <v>3487</v>
      </c>
      <c r="F344" s="17" t="s">
        <v>3488</v>
      </c>
      <c r="G344" s="17" t="s">
        <v>1941</v>
      </c>
      <c r="H344" s="17">
        <v>32209</v>
      </c>
      <c r="I344" t="s">
        <v>1951</v>
      </c>
    </row>
    <row r="345" spans="1:9" x14ac:dyDescent="0.3">
      <c r="A345" s="17" t="s">
        <v>694</v>
      </c>
      <c r="B345" s="17" t="s">
        <v>3489</v>
      </c>
      <c r="C345" s="17" t="s">
        <v>3490</v>
      </c>
      <c r="D345" s="17"/>
      <c r="E345" s="17" t="s">
        <v>3491</v>
      </c>
      <c r="F345" s="17" t="s">
        <v>3492</v>
      </c>
      <c r="G345" s="17" t="s">
        <v>1941</v>
      </c>
      <c r="H345" s="17">
        <v>98148</v>
      </c>
      <c r="I345" t="s">
        <v>1951</v>
      </c>
    </row>
    <row r="346" spans="1:9" x14ac:dyDescent="0.3">
      <c r="A346" s="17" t="s">
        <v>696</v>
      </c>
      <c r="B346" s="17" t="s">
        <v>3493</v>
      </c>
      <c r="C346" s="17"/>
      <c r="D346" s="17" t="s">
        <v>3494</v>
      </c>
      <c r="E346" s="17" t="s">
        <v>3495</v>
      </c>
      <c r="F346" s="17" t="s">
        <v>3496</v>
      </c>
      <c r="G346" s="17" t="s">
        <v>1949</v>
      </c>
      <c r="H346" s="17" t="s">
        <v>3497</v>
      </c>
      <c r="I346" t="s">
        <v>1942</v>
      </c>
    </row>
    <row r="347" spans="1:9" x14ac:dyDescent="0.3">
      <c r="A347" s="17" t="s">
        <v>698</v>
      </c>
      <c r="B347" s="17" t="s">
        <v>3498</v>
      </c>
      <c r="C347" s="17" t="s">
        <v>3499</v>
      </c>
      <c r="D347" s="17" t="s">
        <v>3500</v>
      </c>
      <c r="E347" s="17" t="s">
        <v>3501</v>
      </c>
      <c r="F347" s="17" t="s">
        <v>2744</v>
      </c>
      <c r="G347" s="17" t="s">
        <v>1941</v>
      </c>
      <c r="H347" s="17">
        <v>36109</v>
      </c>
      <c r="I347" t="s">
        <v>1951</v>
      </c>
    </row>
    <row r="348" spans="1:9" x14ac:dyDescent="0.3">
      <c r="A348" s="17" t="s">
        <v>700</v>
      </c>
      <c r="B348" s="17" t="s">
        <v>3502</v>
      </c>
      <c r="C348" s="17" t="s">
        <v>3503</v>
      </c>
      <c r="D348" s="17" t="s">
        <v>3504</v>
      </c>
      <c r="E348" s="17" t="s">
        <v>3505</v>
      </c>
      <c r="F348" s="17" t="s">
        <v>2325</v>
      </c>
      <c r="G348" s="17" t="s">
        <v>1941</v>
      </c>
      <c r="H348" s="17">
        <v>75372</v>
      </c>
      <c r="I348" t="s">
        <v>1942</v>
      </c>
    </row>
    <row r="349" spans="1:9" x14ac:dyDescent="0.3">
      <c r="A349" s="17" t="s">
        <v>702</v>
      </c>
      <c r="B349" s="17" t="s">
        <v>3506</v>
      </c>
      <c r="C349" s="17" t="s">
        <v>3507</v>
      </c>
      <c r="D349" s="17" t="s">
        <v>3508</v>
      </c>
      <c r="E349" s="17" t="s">
        <v>3509</v>
      </c>
      <c r="F349" s="17" t="s">
        <v>3510</v>
      </c>
      <c r="G349" s="17" t="s">
        <v>1941</v>
      </c>
      <c r="H349" s="17">
        <v>66622</v>
      </c>
      <c r="I349" t="s">
        <v>1951</v>
      </c>
    </row>
    <row r="350" spans="1:9" x14ac:dyDescent="0.3">
      <c r="A350" s="17" t="s">
        <v>704</v>
      </c>
      <c r="B350" s="17" t="s">
        <v>3511</v>
      </c>
      <c r="C350" s="17" t="s">
        <v>3512</v>
      </c>
      <c r="D350" s="17" t="s">
        <v>3513</v>
      </c>
      <c r="E350" s="17" t="s">
        <v>3514</v>
      </c>
      <c r="F350" s="17" t="s">
        <v>3515</v>
      </c>
      <c r="G350" s="17" t="s">
        <v>1941</v>
      </c>
      <c r="H350" s="17">
        <v>75799</v>
      </c>
      <c r="I350" t="s">
        <v>1951</v>
      </c>
    </row>
    <row r="351" spans="1:9" x14ac:dyDescent="0.3">
      <c r="A351" s="17" t="s">
        <v>706</v>
      </c>
      <c r="B351" s="17" t="s">
        <v>3516</v>
      </c>
      <c r="C351" s="17" t="s">
        <v>3517</v>
      </c>
      <c r="D351" s="17" t="s">
        <v>3518</v>
      </c>
      <c r="E351" s="17" t="s">
        <v>3519</v>
      </c>
      <c r="F351" s="17" t="s">
        <v>1986</v>
      </c>
      <c r="G351" s="17" t="s">
        <v>1941</v>
      </c>
      <c r="H351" s="17">
        <v>90065</v>
      </c>
      <c r="I351" t="s">
        <v>1951</v>
      </c>
    </row>
    <row r="352" spans="1:9" x14ac:dyDescent="0.3">
      <c r="A352" s="17" t="s">
        <v>708</v>
      </c>
      <c r="B352" s="17" t="s">
        <v>3520</v>
      </c>
      <c r="C352" s="17" t="s">
        <v>3521</v>
      </c>
      <c r="D352" s="17" t="s">
        <v>3522</v>
      </c>
      <c r="E352" s="17" t="s">
        <v>3523</v>
      </c>
      <c r="F352" s="17" t="s">
        <v>3524</v>
      </c>
      <c r="G352" s="17" t="s">
        <v>1941</v>
      </c>
      <c r="H352" s="17">
        <v>71137</v>
      </c>
      <c r="I352" t="s">
        <v>1951</v>
      </c>
    </row>
    <row r="353" spans="1:9" x14ac:dyDescent="0.3">
      <c r="A353" s="17" t="s">
        <v>710</v>
      </c>
      <c r="B353" s="17" t="s">
        <v>3525</v>
      </c>
      <c r="C353" s="17" t="s">
        <v>3526</v>
      </c>
      <c r="D353" s="17" t="s">
        <v>3527</v>
      </c>
      <c r="E353" s="17" t="s">
        <v>3528</v>
      </c>
      <c r="F353" s="17" t="s">
        <v>3529</v>
      </c>
      <c r="G353" s="17" t="s">
        <v>1941</v>
      </c>
      <c r="H353" s="17">
        <v>83722</v>
      </c>
      <c r="I353" t="s">
        <v>1951</v>
      </c>
    </row>
    <row r="354" spans="1:9" x14ac:dyDescent="0.3">
      <c r="A354" s="17" t="s">
        <v>3530</v>
      </c>
      <c r="B354" s="17" t="s">
        <v>3531</v>
      </c>
      <c r="C354" s="17" t="s">
        <v>3532</v>
      </c>
      <c r="D354" s="17" t="s">
        <v>3533</v>
      </c>
      <c r="E354" s="17" t="s">
        <v>3534</v>
      </c>
      <c r="F354" s="17" t="s">
        <v>2177</v>
      </c>
      <c r="G354" s="17" t="s">
        <v>1941</v>
      </c>
      <c r="H354" s="17">
        <v>92415</v>
      </c>
      <c r="I354" t="s">
        <v>1951</v>
      </c>
    </row>
    <row r="355" spans="1:9" x14ac:dyDescent="0.3">
      <c r="A355" s="17" t="s">
        <v>713</v>
      </c>
      <c r="B355" s="17" t="s">
        <v>3535</v>
      </c>
      <c r="C355" s="17"/>
      <c r="D355" s="17" t="s">
        <v>3536</v>
      </c>
      <c r="E355" s="17" t="s">
        <v>3537</v>
      </c>
      <c r="F355" s="17" t="s">
        <v>2744</v>
      </c>
      <c r="G355" s="17" t="s">
        <v>1941</v>
      </c>
      <c r="H355" s="17">
        <v>36177</v>
      </c>
      <c r="I355" t="s">
        <v>1942</v>
      </c>
    </row>
    <row r="356" spans="1:9" x14ac:dyDescent="0.3">
      <c r="A356" s="17" t="s">
        <v>715</v>
      </c>
      <c r="B356" s="17" t="s">
        <v>3538</v>
      </c>
      <c r="C356" s="17" t="s">
        <v>3539</v>
      </c>
      <c r="D356" s="17"/>
      <c r="E356" s="17" t="s">
        <v>3540</v>
      </c>
      <c r="F356" s="17" t="s">
        <v>3541</v>
      </c>
      <c r="G356" s="17" t="s">
        <v>1941</v>
      </c>
      <c r="H356" s="17">
        <v>34981</v>
      </c>
      <c r="I356" t="s">
        <v>1951</v>
      </c>
    </row>
    <row r="357" spans="1:9" x14ac:dyDescent="0.3">
      <c r="A357" s="17" t="s">
        <v>717</v>
      </c>
      <c r="B357" s="17" t="s">
        <v>3542</v>
      </c>
      <c r="C357" s="17" t="s">
        <v>3543</v>
      </c>
      <c r="D357" s="17" t="s">
        <v>3544</v>
      </c>
      <c r="E357" s="17" t="s">
        <v>3545</v>
      </c>
      <c r="F357" s="17" t="s">
        <v>2694</v>
      </c>
      <c r="G357" s="17" t="s">
        <v>1941</v>
      </c>
      <c r="H357" s="17">
        <v>27415</v>
      </c>
      <c r="I357" t="s">
        <v>1942</v>
      </c>
    </row>
    <row r="358" spans="1:9" x14ac:dyDescent="0.3">
      <c r="A358" s="17" t="s">
        <v>719</v>
      </c>
      <c r="B358" s="17" t="s">
        <v>3546</v>
      </c>
      <c r="C358" s="17" t="s">
        <v>3547</v>
      </c>
      <c r="D358" s="17" t="s">
        <v>3548</v>
      </c>
      <c r="E358" s="17" t="s">
        <v>3549</v>
      </c>
      <c r="F358" s="17" t="s">
        <v>2999</v>
      </c>
      <c r="G358" s="17" t="s">
        <v>1941</v>
      </c>
      <c r="H358" s="17">
        <v>94237</v>
      </c>
      <c r="I358" t="s">
        <v>1942</v>
      </c>
    </row>
    <row r="359" spans="1:9" x14ac:dyDescent="0.3">
      <c r="A359" s="17" t="s">
        <v>721</v>
      </c>
      <c r="B359" s="17" t="s">
        <v>3550</v>
      </c>
      <c r="C359" s="17"/>
      <c r="D359" s="17" t="s">
        <v>3551</v>
      </c>
      <c r="E359" s="17" t="s">
        <v>3552</v>
      </c>
      <c r="F359" s="17" t="s">
        <v>3553</v>
      </c>
      <c r="G359" s="17" t="s">
        <v>1941</v>
      </c>
      <c r="H359" s="17">
        <v>78682</v>
      </c>
      <c r="I359" t="s">
        <v>1951</v>
      </c>
    </row>
    <row r="360" spans="1:9" x14ac:dyDescent="0.3">
      <c r="A360" s="17" t="s">
        <v>723</v>
      </c>
      <c r="B360" s="17" t="s">
        <v>3554</v>
      </c>
      <c r="C360" s="17" t="s">
        <v>3555</v>
      </c>
      <c r="D360" s="17" t="s">
        <v>3556</v>
      </c>
      <c r="E360" s="17" t="s">
        <v>3557</v>
      </c>
      <c r="F360" s="17" t="s">
        <v>3558</v>
      </c>
      <c r="G360" s="17" t="s">
        <v>1941</v>
      </c>
      <c r="H360" s="17">
        <v>22096</v>
      </c>
      <c r="I360" t="s">
        <v>1951</v>
      </c>
    </row>
    <row r="361" spans="1:9" x14ac:dyDescent="0.3">
      <c r="A361" s="17" t="s">
        <v>725</v>
      </c>
      <c r="B361" s="17" t="s">
        <v>3559</v>
      </c>
      <c r="C361" s="17" t="s">
        <v>3560</v>
      </c>
      <c r="D361" s="17" t="s">
        <v>3561</v>
      </c>
      <c r="E361" s="17" t="s">
        <v>3562</v>
      </c>
      <c r="F361" s="17" t="s">
        <v>3563</v>
      </c>
      <c r="G361" s="17" t="s">
        <v>2116</v>
      </c>
      <c r="H361" s="17" t="s">
        <v>3564</v>
      </c>
      <c r="I361" t="s">
        <v>1951</v>
      </c>
    </row>
    <row r="362" spans="1:9" x14ac:dyDescent="0.3">
      <c r="A362" s="17" t="s">
        <v>727</v>
      </c>
      <c r="B362" s="17" t="s">
        <v>3565</v>
      </c>
      <c r="C362" s="17" t="s">
        <v>3566</v>
      </c>
      <c r="D362" s="17" t="s">
        <v>3567</v>
      </c>
      <c r="E362" s="17" t="s">
        <v>3568</v>
      </c>
      <c r="F362" s="17" t="s">
        <v>3217</v>
      </c>
      <c r="G362" s="17" t="s">
        <v>1941</v>
      </c>
      <c r="H362" s="17">
        <v>29220</v>
      </c>
      <c r="I362" t="s">
        <v>1951</v>
      </c>
    </row>
    <row r="363" spans="1:9" x14ac:dyDescent="0.3">
      <c r="A363" s="17" t="s">
        <v>3569</v>
      </c>
      <c r="B363" s="17" t="s">
        <v>3570</v>
      </c>
      <c r="C363" s="17" t="s">
        <v>3571</v>
      </c>
      <c r="D363" s="17" t="s">
        <v>3572</v>
      </c>
      <c r="E363" s="17" t="s">
        <v>3573</v>
      </c>
      <c r="F363" s="17" t="s">
        <v>2506</v>
      </c>
      <c r="G363" s="17" t="s">
        <v>1941</v>
      </c>
      <c r="H363" s="17">
        <v>37215</v>
      </c>
      <c r="I363" t="s">
        <v>1942</v>
      </c>
    </row>
    <row r="364" spans="1:9" x14ac:dyDescent="0.3">
      <c r="A364" s="17" t="s">
        <v>729</v>
      </c>
      <c r="B364" s="17" t="s">
        <v>3574</v>
      </c>
      <c r="C364" s="17" t="s">
        <v>3575</v>
      </c>
      <c r="D364" s="17" t="s">
        <v>3576</v>
      </c>
      <c r="E364" s="17" t="s">
        <v>3577</v>
      </c>
      <c r="F364" s="17" t="s">
        <v>3099</v>
      </c>
      <c r="G364" s="17" t="s">
        <v>1941</v>
      </c>
      <c r="H364" s="17">
        <v>85025</v>
      </c>
      <c r="I364" t="s">
        <v>1942</v>
      </c>
    </row>
    <row r="365" spans="1:9" x14ac:dyDescent="0.3">
      <c r="A365" s="17" t="s">
        <v>731</v>
      </c>
      <c r="B365" s="17" t="s">
        <v>3578</v>
      </c>
      <c r="C365" s="17" t="s">
        <v>3579</v>
      </c>
      <c r="D365" s="17"/>
      <c r="E365" s="17" t="s">
        <v>3580</v>
      </c>
      <c r="F365" s="17" t="s">
        <v>3581</v>
      </c>
      <c r="G365" s="17" t="s">
        <v>1941</v>
      </c>
      <c r="H365" s="17">
        <v>33233</v>
      </c>
      <c r="I365" t="s">
        <v>1951</v>
      </c>
    </row>
    <row r="366" spans="1:9" x14ac:dyDescent="0.3">
      <c r="A366" s="17" t="s">
        <v>733</v>
      </c>
      <c r="B366" s="17" t="s">
        <v>3582</v>
      </c>
      <c r="C366" s="17" t="s">
        <v>3583</v>
      </c>
      <c r="D366" s="17" t="s">
        <v>3584</v>
      </c>
      <c r="E366" s="17" t="s">
        <v>3585</v>
      </c>
      <c r="F366" s="17" t="s">
        <v>2355</v>
      </c>
      <c r="G366" s="17" t="s">
        <v>1941</v>
      </c>
      <c r="H366" s="17">
        <v>93762</v>
      </c>
      <c r="I366" t="s">
        <v>1942</v>
      </c>
    </row>
    <row r="367" spans="1:9" x14ac:dyDescent="0.3">
      <c r="A367" s="17" t="s">
        <v>735</v>
      </c>
      <c r="B367" s="17" t="s">
        <v>3586</v>
      </c>
      <c r="C367" s="17" t="s">
        <v>3587</v>
      </c>
      <c r="D367" s="17"/>
      <c r="E367" s="17" t="s">
        <v>3588</v>
      </c>
      <c r="F367" s="17" t="s">
        <v>3589</v>
      </c>
      <c r="G367" s="17" t="s">
        <v>1941</v>
      </c>
      <c r="H367" s="17">
        <v>92825</v>
      </c>
      <c r="I367" t="s">
        <v>1951</v>
      </c>
    </row>
    <row r="368" spans="1:9" x14ac:dyDescent="0.3">
      <c r="A368" s="17" t="s">
        <v>737</v>
      </c>
      <c r="B368" s="17" t="s">
        <v>3590</v>
      </c>
      <c r="C368" s="17"/>
      <c r="D368" s="17" t="s">
        <v>3591</v>
      </c>
      <c r="E368" s="17" t="s">
        <v>3592</v>
      </c>
      <c r="F368" s="17" t="s">
        <v>2530</v>
      </c>
      <c r="G368" s="17" t="s">
        <v>1941</v>
      </c>
      <c r="H368" s="17">
        <v>23605</v>
      </c>
      <c r="I368" t="s">
        <v>1951</v>
      </c>
    </row>
    <row r="369" spans="1:9" x14ac:dyDescent="0.3">
      <c r="A369" s="17" t="s">
        <v>739</v>
      </c>
      <c r="B369" s="17" t="s">
        <v>3593</v>
      </c>
      <c r="C369" s="17"/>
      <c r="D369" s="17"/>
      <c r="E369" s="17" t="s">
        <v>3594</v>
      </c>
      <c r="F369" s="17" t="s">
        <v>2886</v>
      </c>
      <c r="G369" s="17" t="s">
        <v>1941</v>
      </c>
      <c r="H369" s="17">
        <v>29305</v>
      </c>
      <c r="I369" t="s">
        <v>1942</v>
      </c>
    </row>
    <row r="370" spans="1:9" x14ac:dyDescent="0.3">
      <c r="A370" s="17" t="s">
        <v>741</v>
      </c>
      <c r="B370" s="17" t="s">
        <v>3595</v>
      </c>
      <c r="C370" s="17" t="s">
        <v>3596</v>
      </c>
      <c r="D370" s="17" t="s">
        <v>3597</v>
      </c>
      <c r="E370" s="17" t="s">
        <v>3598</v>
      </c>
      <c r="F370" s="17" t="s">
        <v>2890</v>
      </c>
      <c r="G370" s="17" t="s">
        <v>1941</v>
      </c>
      <c r="H370" s="17">
        <v>10305</v>
      </c>
      <c r="I370" t="s">
        <v>1951</v>
      </c>
    </row>
    <row r="371" spans="1:9" x14ac:dyDescent="0.3">
      <c r="A371" s="17" t="s">
        <v>743</v>
      </c>
      <c r="B371" s="17" t="s">
        <v>3599</v>
      </c>
      <c r="C371" s="17"/>
      <c r="D371" s="17"/>
      <c r="E371" s="17" t="s">
        <v>3600</v>
      </c>
      <c r="F371" s="17" t="s">
        <v>3370</v>
      </c>
      <c r="G371" s="17" t="s">
        <v>1941</v>
      </c>
      <c r="H371" s="17">
        <v>89115</v>
      </c>
      <c r="I371" t="s">
        <v>1942</v>
      </c>
    </row>
    <row r="372" spans="1:9" x14ac:dyDescent="0.3">
      <c r="A372" s="17" t="s">
        <v>745</v>
      </c>
      <c r="B372" s="17" t="s">
        <v>3601</v>
      </c>
      <c r="C372" s="17" t="s">
        <v>3602</v>
      </c>
      <c r="D372" s="17" t="s">
        <v>3603</v>
      </c>
      <c r="E372" s="17" t="s">
        <v>3604</v>
      </c>
      <c r="F372" s="17" t="s">
        <v>2938</v>
      </c>
      <c r="G372" s="17" t="s">
        <v>1941</v>
      </c>
      <c r="H372" s="17">
        <v>84105</v>
      </c>
      <c r="I372" t="s">
        <v>1942</v>
      </c>
    </row>
    <row r="373" spans="1:9" x14ac:dyDescent="0.3">
      <c r="A373" s="17" t="s">
        <v>747</v>
      </c>
      <c r="B373" s="17" t="s">
        <v>3605</v>
      </c>
      <c r="C373" s="17" t="s">
        <v>3606</v>
      </c>
      <c r="D373" s="17" t="s">
        <v>3607</v>
      </c>
      <c r="E373" s="17" t="s">
        <v>3608</v>
      </c>
      <c r="F373" s="17" t="s">
        <v>3492</v>
      </c>
      <c r="G373" s="17" t="s">
        <v>1941</v>
      </c>
      <c r="H373" s="17">
        <v>98109</v>
      </c>
      <c r="I373" t="s">
        <v>1942</v>
      </c>
    </row>
    <row r="374" spans="1:9" x14ac:dyDescent="0.3">
      <c r="A374" s="17" t="s">
        <v>749</v>
      </c>
      <c r="B374" s="17" t="s">
        <v>3609</v>
      </c>
      <c r="C374" s="17" t="s">
        <v>3610</v>
      </c>
      <c r="D374" s="17" t="s">
        <v>3611</v>
      </c>
      <c r="E374" s="17" t="s">
        <v>3612</v>
      </c>
      <c r="F374" s="17" t="s">
        <v>3613</v>
      </c>
      <c r="G374" s="17" t="s">
        <v>1941</v>
      </c>
      <c r="H374" s="17">
        <v>79764</v>
      </c>
      <c r="I374" t="s">
        <v>1951</v>
      </c>
    </row>
    <row r="375" spans="1:9" x14ac:dyDescent="0.3">
      <c r="A375" s="17" t="s">
        <v>751</v>
      </c>
      <c r="B375" s="17" t="s">
        <v>3614</v>
      </c>
      <c r="C375" s="17"/>
      <c r="D375" s="17" t="s">
        <v>3615</v>
      </c>
      <c r="E375" s="17" t="s">
        <v>3616</v>
      </c>
      <c r="F375" s="17" t="s">
        <v>3617</v>
      </c>
      <c r="G375" s="17" t="s">
        <v>1949</v>
      </c>
      <c r="H375" s="17" t="s">
        <v>3618</v>
      </c>
      <c r="I375" t="s">
        <v>1942</v>
      </c>
    </row>
    <row r="376" spans="1:9" x14ac:dyDescent="0.3">
      <c r="A376" s="17" t="s">
        <v>753</v>
      </c>
      <c r="B376" s="17" t="s">
        <v>3619</v>
      </c>
      <c r="C376" s="17" t="s">
        <v>3620</v>
      </c>
      <c r="D376" s="17" t="s">
        <v>3621</v>
      </c>
      <c r="E376" s="17" t="s">
        <v>3622</v>
      </c>
      <c r="F376" s="17" t="s">
        <v>3623</v>
      </c>
      <c r="G376" s="17" t="s">
        <v>1941</v>
      </c>
      <c r="H376" s="17">
        <v>75037</v>
      </c>
      <c r="I376" t="s">
        <v>1942</v>
      </c>
    </row>
    <row r="377" spans="1:9" x14ac:dyDescent="0.3">
      <c r="A377" s="17" t="s">
        <v>755</v>
      </c>
      <c r="B377" s="17" t="s">
        <v>3624</v>
      </c>
      <c r="C377" s="17" t="s">
        <v>3625</v>
      </c>
      <c r="D377" s="17" t="s">
        <v>3626</v>
      </c>
      <c r="E377" s="17" t="s">
        <v>3627</v>
      </c>
      <c r="F377" s="17" t="s">
        <v>1976</v>
      </c>
      <c r="G377" s="17" t="s">
        <v>1941</v>
      </c>
      <c r="H377" s="17">
        <v>45426</v>
      </c>
      <c r="I377" t="s">
        <v>1942</v>
      </c>
    </row>
    <row r="378" spans="1:9" x14ac:dyDescent="0.3">
      <c r="A378" s="17" t="s">
        <v>757</v>
      </c>
      <c r="B378" s="17" t="s">
        <v>3628</v>
      </c>
      <c r="C378" s="17" t="s">
        <v>3629</v>
      </c>
      <c r="D378" s="17" t="s">
        <v>3630</v>
      </c>
      <c r="E378" s="17" t="s">
        <v>3631</v>
      </c>
      <c r="F378" s="17" t="s">
        <v>2048</v>
      </c>
      <c r="G378" s="17" t="s">
        <v>1941</v>
      </c>
      <c r="H378" s="17">
        <v>49560</v>
      </c>
      <c r="I378" t="s">
        <v>1942</v>
      </c>
    </row>
    <row r="379" spans="1:9" x14ac:dyDescent="0.3">
      <c r="A379" s="17" t="s">
        <v>759</v>
      </c>
      <c r="B379" s="17" t="s">
        <v>3632</v>
      </c>
      <c r="C379" s="17" t="s">
        <v>3633</v>
      </c>
      <c r="D379" s="17" t="s">
        <v>3634</v>
      </c>
      <c r="E379" s="17" t="s">
        <v>3635</v>
      </c>
      <c r="F379" s="17" t="s">
        <v>2933</v>
      </c>
      <c r="G379" s="17" t="s">
        <v>1949</v>
      </c>
      <c r="H379" s="17" t="s">
        <v>2083</v>
      </c>
      <c r="I379" t="s">
        <v>1951</v>
      </c>
    </row>
    <row r="380" spans="1:9" x14ac:dyDescent="0.3">
      <c r="A380" s="17" t="s">
        <v>761</v>
      </c>
      <c r="B380" s="17" t="s">
        <v>3636</v>
      </c>
      <c r="C380" s="17" t="s">
        <v>3637</v>
      </c>
      <c r="D380" s="17" t="s">
        <v>3638</v>
      </c>
      <c r="E380" s="17" t="s">
        <v>3639</v>
      </c>
      <c r="F380" s="17" t="s">
        <v>3640</v>
      </c>
      <c r="G380" s="17" t="s">
        <v>1949</v>
      </c>
      <c r="H380" s="17" t="s">
        <v>2425</v>
      </c>
      <c r="I380" t="s">
        <v>1942</v>
      </c>
    </row>
    <row r="381" spans="1:9" x14ac:dyDescent="0.3">
      <c r="A381" s="17" t="s">
        <v>763</v>
      </c>
      <c r="B381" s="17" t="s">
        <v>3641</v>
      </c>
      <c r="C381" s="17" t="s">
        <v>3642</v>
      </c>
      <c r="D381" s="17"/>
      <c r="E381" s="17" t="s">
        <v>3643</v>
      </c>
      <c r="F381" s="17" t="s">
        <v>3644</v>
      </c>
      <c r="G381" s="17" t="s">
        <v>2116</v>
      </c>
      <c r="H381" s="17" t="s">
        <v>3645</v>
      </c>
      <c r="I381" t="s">
        <v>1942</v>
      </c>
    </row>
    <row r="382" spans="1:9" x14ac:dyDescent="0.3">
      <c r="A382" s="17" t="s">
        <v>3646</v>
      </c>
      <c r="B382" s="17" t="s">
        <v>3647</v>
      </c>
      <c r="C382" s="17" t="s">
        <v>3648</v>
      </c>
      <c r="D382" s="17" t="s">
        <v>3649</v>
      </c>
      <c r="E382" s="17" t="s">
        <v>3650</v>
      </c>
      <c r="F382" s="17" t="s">
        <v>1962</v>
      </c>
      <c r="G382" s="17" t="s">
        <v>1941</v>
      </c>
      <c r="H382" s="17">
        <v>62756</v>
      </c>
      <c r="I382" t="s">
        <v>1951</v>
      </c>
    </row>
    <row r="383" spans="1:9" x14ac:dyDescent="0.3">
      <c r="A383" s="17" t="s">
        <v>766</v>
      </c>
      <c r="B383" s="17" t="s">
        <v>3651</v>
      </c>
      <c r="C383" s="17" t="s">
        <v>3652</v>
      </c>
      <c r="D383" s="17" t="s">
        <v>3653</v>
      </c>
      <c r="E383" s="17" t="s">
        <v>3654</v>
      </c>
      <c r="F383" s="17" t="s">
        <v>1986</v>
      </c>
      <c r="G383" s="17" t="s">
        <v>1941</v>
      </c>
      <c r="H383" s="17">
        <v>90010</v>
      </c>
      <c r="I383" t="s">
        <v>1942</v>
      </c>
    </row>
    <row r="384" spans="1:9" x14ac:dyDescent="0.3">
      <c r="A384" s="17" t="s">
        <v>768</v>
      </c>
      <c r="B384" s="17" t="s">
        <v>3655</v>
      </c>
      <c r="C384" s="17" t="s">
        <v>3656</v>
      </c>
      <c r="D384" s="17" t="s">
        <v>3657</v>
      </c>
      <c r="E384" s="17" t="s">
        <v>3658</v>
      </c>
      <c r="F384" s="17" t="s">
        <v>3316</v>
      </c>
      <c r="G384" s="17" t="s">
        <v>1941</v>
      </c>
      <c r="H384" s="17">
        <v>21239</v>
      </c>
      <c r="I384" t="s">
        <v>1951</v>
      </c>
    </row>
    <row r="385" spans="1:9" x14ac:dyDescent="0.3">
      <c r="A385" s="17" t="s">
        <v>770</v>
      </c>
      <c r="B385" s="17" t="s">
        <v>3659</v>
      </c>
      <c r="C385" s="17"/>
      <c r="D385" s="17" t="s">
        <v>3660</v>
      </c>
      <c r="E385" s="17" t="s">
        <v>3661</v>
      </c>
      <c r="F385" s="17" t="s">
        <v>3662</v>
      </c>
      <c r="G385" s="17" t="s">
        <v>1941</v>
      </c>
      <c r="H385" s="17">
        <v>17126</v>
      </c>
      <c r="I385" t="s">
        <v>1942</v>
      </c>
    </row>
    <row r="386" spans="1:9" x14ac:dyDescent="0.3">
      <c r="A386" s="17" t="s">
        <v>772</v>
      </c>
      <c r="B386" s="17" t="s">
        <v>3663</v>
      </c>
      <c r="C386" s="17"/>
      <c r="D386" s="17" t="s">
        <v>3664</v>
      </c>
      <c r="E386" s="17" t="s">
        <v>3665</v>
      </c>
      <c r="F386" s="17" t="s">
        <v>2325</v>
      </c>
      <c r="G386" s="17" t="s">
        <v>1941</v>
      </c>
      <c r="H386" s="17">
        <v>75216</v>
      </c>
      <c r="I386" t="s">
        <v>1951</v>
      </c>
    </row>
    <row r="387" spans="1:9" x14ac:dyDescent="0.3">
      <c r="A387" s="17" t="s">
        <v>774</v>
      </c>
      <c r="B387" s="17" t="s">
        <v>3666</v>
      </c>
      <c r="C387" s="17" t="s">
        <v>3667</v>
      </c>
      <c r="D387" s="17" t="s">
        <v>3668</v>
      </c>
      <c r="E387" s="17" t="s">
        <v>3669</v>
      </c>
      <c r="F387" s="17" t="s">
        <v>2375</v>
      </c>
      <c r="G387" s="17" t="s">
        <v>1941</v>
      </c>
      <c r="H387" s="17">
        <v>64125</v>
      </c>
      <c r="I387" t="s">
        <v>1942</v>
      </c>
    </row>
    <row r="388" spans="1:9" x14ac:dyDescent="0.3">
      <c r="A388" s="17" t="s">
        <v>776</v>
      </c>
      <c r="B388" s="17" t="s">
        <v>3670</v>
      </c>
      <c r="C388" s="17"/>
      <c r="D388" s="17" t="s">
        <v>3671</v>
      </c>
      <c r="E388" s="17" t="s">
        <v>3672</v>
      </c>
      <c r="F388" s="17" t="s">
        <v>1962</v>
      </c>
      <c r="G388" s="17" t="s">
        <v>1941</v>
      </c>
      <c r="H388" s="17">
        <v>62723</v>
      </c>
      <c r="I388" t="s">
        <v>1942</v>
      </c>
    </row>
    <row r="389" spans="1:9" x14ac:dyDescent="0.3">
      <c r="A389" s="17" t="s">
        <v>778</v>
      </c>
      <c r="B389" s="17" t="s">
        <v>3673</v>
      </c>
      <c r="C389" s="17" t="s">
        <v>3674</v>
      </c>
      <c r="D389" s="17" t="s">
        <v>3675</v>
      </c>
      <c r="E389" s="17" t="s">
        <v>3676</v>
      </c>
      <c r="F389" s="17" t="s">
        <v>3677</v>
      </c>
      <c r="G389" s="17" t="s">
        <v>1941</v>
      </c>
      <c r="H389" s="17">
        <v>6510</v>
      </c>
      <c r="I389" t="s">
        <v>1942</v>
      </c>
    </row>
    <row r="390" spans="1:9" x14ac:dyDescent="0.3">
      <c r="A390" s="17" t="s">
        <v>780</v>
      </c>
      <c r="B390" s="17" t="s">
        <v>3678</v>
      </c>
      <c r="C390" s="17" t="s">
        <v>3679</v>
      </c>
      <c r="D390" s="17" t="s">
        <v>3680</v>
      </c>
      <c r="E390" s="17" t="s">
        <v>3681</v>
      </c>
      <c r="F390" s="17" t="s">
        <v>3682</v>
      </c>
      <c r="G390" s="17" t="s">
        <v>1941</v>
      </c>
      <c r="H390" s="17">
        <v>30045</v>
      </c>
      <c r="I390" t="s">
        <v>1942</v>
      </c>
    </row>
    <row r="391" spans="1:9" x14ac:dyDescent="0.3">
      <c r="A391" s="17" t="s">
        <v>782</v>
      </c>
      <c r="B391" s="17" t="s">
        <v>3683</v>
      </c>
      <c r="C391" s="17" t="s">
        <v>3684</v>
      </c>
      <c r="D391" s="17" t="s">
        <v>3685</v>
      </c>
      <c r="E391" s="17" t="s">
        <v>3686</v>
      </c>
      <c r="F391" s="17" t="s">
        <v>3687</v>
      </c>
      <c r="G391" s="17" t="s">
        <v>1941</v>
      </c>
      <c r="H391" s="17">
        <v>28805</v>
      </c>
      <c r="I391" t="s">
        <v>1942</v>
      </c>
    </row>
    <row r="392" spans="1:9" x14ac:dyDescent="0.3">
      <c r="A392" s="17" t="s">
        <v>784</v>
      </c>
      <c r="B392" s="17" t="s">
        <v>3688</v>
      </c>
      <c r="C392" s="17" t="s">
        <v>3689</v>
      </c>
      <c r="D392" s="17"/>
      <c r="E392" s="17" t="s">
        <v>3690</v>
      </c>
      <c r="F392" s="17" t="s">
        <v>2233</v>
      </c>
      <c r="G392" s="17" t="s">
        <v>1941</v>
      </c>
      <c r="H392" s="17">
        <v>55123</v>
      </c>
      <c r="I392" t="s">
        <v>1942</v>
      </c>
    </row>
    <row r="393" spans="1:9" x14ac:dyDescent="0.3">
      <c r="A393" s="17" t="s">
        <v>786</v>
      </c>
      <c r="B393" s="17" t="s">
        <v>3691</v>
      </c>
      <c r="C393" s="17" t="s">
        <v>3692</v>
      </c>
      <c r="D393" s="17"/>
      <c r="E393" s="17" t="s">
        <v>3693</v>
      </c>
      <c r="F393" s="17" t="s">
        <v>2137</v>
      </c>
      <c r="G393" s="17" t="s">
        <v>1941</v>
      </c>
      <c r="H393" s="17">
        <v>55458</v>
      </c>
      <c r="I393" t="s">
        <v>1951</v>
      </c>
    </row>
    <row r="394" spans="1:9" x14ac:dyDescent="0.3">
      <c r="A394" s="17" t="s">
        <v>788</v>
      </c>
      <c r="B394" s="17" t="s">
        <v>3694</v>
      </c>
      <c r="C394" s="17" t="s">
        <v>3695</v>
      </c>
      <c r="D394" s="17" t="s">
        <v>3696</v>
      </c>
      <c r="E394" s="17" t="s">
        <v>3697</v>
      </c>
      <c r="F394" s="17" t="s">
        <v>2572</v>
      </c>
      <c r="G394" s="17" t="s">
        <v>1941</v>
      </c>
      <c r="H394" s="17">
        <v>92725</v>
      </c>
      <c r="I394" t="s">
        <v>1951</v>
      </c>
    </row>
    <row r="395" spans="1:9" x14ac:dyDescent="0.3">
      <c r="A395" s="17" t="s">
        <v>3698</v>
      </c>
      <c r="B395" s="17" t="s">
        <v>3699</v>
      </c>
      <c r="C395" s="17" t="s">
        <v>3700</v>
      </c>
      <c r="D395" s="17" t="s">
        <v>3701</v>
      </c>
      <c r="E395" s="17" t="s">
        <v>3702</v>
      </c>
      <c r="F395" s="17" t="s">
        <v>3703</v>
      </c>
      <c r="G395" s="17" t="s">
        <v>1941</v>
      </c>
      <c r="H395" s="17">
        <v>21747</v>
      </c>
      <c r="I395" t="s">
        <v>1942</v>
      </c>
    </row>
    <row r="396" spans="1:9" x14ac:dyDescent="0.3">
      <c r="A396" s="17" t="s">
        <v>790</v>
      </c>
      <c r="B396" s="17" t="s">
        <v>3704</v>
      </c>
      <c r="C396" s="17" t="s">
        <v>3705</v>
      </c>
      <c r="D396" s="17" t="s">
        <v>3706</v>
      </c>
      <c r="E396" s="17" t="s">
        <v>3707</v>
      </c>
      <c r="F396" s="17" t="s">
        <v>2137</v>
      </c>
      <c r="G396" s="17" t="s">
        <v>1941</v>
      </c>
      <c r="H396" s="17">
        <v>55458</v>
      </c>
      <c r="I396" t="s">
        <v>1951</v>
      </c>
    </row>
    <row r="397" spans="1:9" x14ac:dyDescent="0.3">
      <c r="A397" s="17" t="s">
        <v>792</v>
      </c>
      <c r="B397" s="17" t="s">
        <v>3708</v>
      </c>
      <c r="C397" s="17" t="s">
        <v>3709</v>
      </c>
      <c r="D397" s="17"/>
      <c r="E397" s="17" t="s">
        <v>3710</v>
      </c>
      <c r="F397" s="17" t="s">
        <v>2186</v>
      </c>
      <c r="G397" s="17" t="s">
        <v>1941</v>
      </c>
      <c r="H397" s="17">
        <v>20420</v>
      </c>
      <c r="I397" t="s">
        <v>1942</v>
      </c>
    </row>
    <row r="398" spans="1:9" x14ac:dyDescent="0.3">
      <c r="A398" s="17" t="s">
        <v>794</v>
      </c>
      <c r="B398" s="17" t="s">
        <v>3711</v>
      </c>
      <c r="C398" s="17" t="s">
        <v>3712</v>
      </c>
      <c r="D398" s="17" t="s">
        <v>3713</v>
      </c>
      <c r="E398" s="17" t="s">
        <v>3714</v>
      </c>
      <c r="F398" s="17" t="s">
        <v>2177</v>
      </c>
      <c r="G398" s="17" t="s">
        <v>1941</v>
      </c>
      <c r="H398" s="17">
        <v>92415</v>
      </c>
      <c r="I398" t="s">
        <v>1951</v>
      </c>
    </row>
    <row r="399" spans="1:9" x14ac:dyDescent="0.3">
      <c r="A399" s="17" t="s">
        <v>796</v>
      </c>
      <c r="B399" s="17" t="s">
        <v>3715</v>
      </c>
      <c r="C399" s="17" t="s">
        <v>3716</v>
      </c>
      <c r="D399" s="17" t="s">
        <v>3717</v>
      </c>
      <c r="E399" s="17" t="s">
        <v>3718</v>
      </c>
      <c r="F399" s="17" t="s">
        <v>2163</v>
      </c>
      <c r="G399" s="17" t="s">
        <v>1941</v>
      </c>
      <c r="H399" s="17">
        <v>14609</v>
      </c>
      <c r="I399" t="s">
        <v>1942</v>
      </c>
    </row>
    <row r="400" spans="1:9" x14ac:dyDescent="0.3">
      <c r="A400" s="17" t="s">
        <v>798</v>
      </c>
      <c r="B400" s="17" t="s">
        <v>3719</v>
      </c>
      <c r="C400" s="17" t="s">
        <v>3720</v>
      </c>
      <c r="D400" s="17" t="s">
        <v>3721</v>
      </c>
      <c r="E400" s="17" t="s">
        <v>3722</v>
      </c>
      <c r="F400" s="17" t="s">
        <v>2058</v>
      </c>
      <c r="G400" s="17" t="s">
        <v>1941</v>
      </c>
      <c r="H400" s="17">
        <v>98664</v>
      </c>
      <c r="I400" t="s">
        <v>1942</v>
      </c>
    </row>
    <row r="401" spans="1:9" x14ac:dyDescent="0.3">
      <c r="A401" s="17" t="s">
        <v>800</v>
      </c>
      <c r="B401" s="17" t="s">
        <v>3723</v>
      </c>
      <c r="C401" s="17" t="s">
        <v>3724</v>
      </c>
      <c r="D401" s="17" t="s">
        <v>3725</v>
      </c>
      <c r="E401" s="17" t="s">
        <v>3726</v>
      </c>
      <c r="F401" s="17" t="s">
        <v>3727</v>
      </c>
      <c r="G401" s="17" t="s">
        <v>2116</v>
      </c>
      <c r="H401" s="17" t="s">
        <v>3728</v>
      </c>
      <c r="I401" t="s">
        <v>1951</v>
      </c>
    </row>
    <row r="402" spans="1:9" x14ac:dyDescent="0.3">
      <c r="A402" s="17" t="s">
        <v>802</v>
      </c>
      <c r="B402" s="17" t="s">
        <v>3729</v>
      </c>
      <c r="C402" s="17" t="s">
        <v>3730</v>
      </c>
      <c r="D402" s="17" t="s">
        <v>3731</v>
      </c>
      <c r="E402" s="17" t="s">
        <v>3732</v>
      </c>
      <c r="F402" s="17" t="s">
        <v>2186</v>
      </c>
      <c r="G402" s="17" t="s">
        <v>1941</v>
      </c>
      <c r="H402" s="17">
        <v>20057</v>
      </c>
      <c r="I402" t="s">
        <v>1951</v>
      </c>
    </row>
    <row r="403" spans="1:9" x14ac:dyDescent="0.3">
      <c r="A403" s="17" t="s">
        <v>804</v>
      </c>
      <c r="B403" s="17" t="s">
        <v>3733</v>
      </c>
      <c r="C403" s="17" t="s">
        <v>3734</v>
      </c>
      <c r="D403" s="17" t="s">
        <v>3735</v>
      </c>
      <c r="E403" s="17" t="s">
        <v>3736</v>
      </c>
      <c r="F403" s="17" t="s">
        <v>3412</v>
      </c>
      <c r="G403" s="17" t="s">
        <v>1941</v>
      </c>
      <c r="H403" s="17">
        <v>37924</v>
      </c>
      <c r="I403" t="s">
        <v>1942</v>
      </c>
    </row>
    <row r="404" spans="1:9" x14ac:dyDescent="0.3">
      <c r="A404" s="17" t="s">
        <v>806</v>
      </c>
      <c r="B404" s="17" t="s">
        <v>3737</v>
      </c>
      <c r="C404" s="17" t="s">
        <v>3738</v>
      </c>
      <c r="D404" s="17" t="s">
        <v>3739</v>
      </c>
      <c r="E404" s="17" t="s">
        <v>3740</v>
      </c>
      <c r="F404" s="17" t="s">
        <v>2122</v>
      </c>
      <c r="G404" s="17" t="s">
        <v>1941</v>
      </c>
      <c r="H404" s="17">
        <v>25336</v>
      </c>
      <c r="I404" t="s">
        <v>1942</v>
      </c>
    </row>
    <row r="405" spans="1:9" x14ac:dyDescent="0.3">
      <c r="A405" s="17" t="s">
        <v>808</v>
      </c>
      <c r="B405" s="17" t="s">
        <v>3741</v>
      </c>
      <c r="C405" s="17" t="s">
        <v>3742</v>
      </c>
      <c r="D405" s="17" t="s">
        <v>3743</v>
      </c>
      <c r="E405" s="17" t="s">
        <v>3744</v>
      </c>
      <c r="F405" s="17" t="s">
        <v>2325</v>
      </c>
      <c r="G405" s="17" t="s">
        <v>1941</v>
      </c>
      <c r="H405" s="17">
        <v>75372</v>
      </c>
      <c r="I405" t="s">
        <v>1951</v>
      </c>
    </row>
    <row r="406" spans="1:9" x14ac:dyDescent="0.3">
      <c r="A406" s="17" t="s">
        <v>810</v>
      </c>
      <c r="B406" s="17" t="s">
        <v>3745</v>
      </c>
      <c r="C406" s="17" t="s">
        <v>3746</v>
      </c>
      <c r="D406" s="17" t="s">
        <v>3747</v>
      </c>
      <c r="E406" s="17" t="s">
        <v>3748</v>
      </c>
      <c r="F406" s="17" t="s">
        <v>3749</v>
      </c>
      <c r="G406" s="17" t="s">
        <v>1949</v>
      </c>
      <c r="H406" s="17" t="s">
        <v>3750</v>
      </c>
      <c r="I406" t="s">
        <v>1951</v>
      </c>
    </row>
    <row r="407" spans="1:9" x14ac:dyDescent="0.3">
      <c r="A407" s="17" t="s">
        <v>812</v>
      </c>
      <c r="B407" s="17" t="s">
        <v>3751</v>
      </c>
      <c r="C407" s="17" t="s">
        <v>3752</v>
      </c>
      <c r="D407" s="17" t="s">
        <v>3753</v>
      </c>
      <c r="E407" s="17" t="s">
        <v>3754</v>
      </c>
      <c r="F407" s="17" t="s">
        <v>3755</v>
      </c>
      <c r="G407" s="17" t="s">
        <v>1941</v>
      </c>
      <c r="H407" s="17">
        <v>95973</v>
      </c>
      <c r="I407" t="s">
        <v>1942</v>
      </c>
    </row>
    <row r="408" spans="1:9" x14ac:dyDescent="0.3">
      <c r="A408" s="17" t="s">
        <v>814</v>
      </c>
      <c r="B408" s="17" t="s">
        <v>3756</v>
      </c>
      <c r="C408" s="17" t="s">
        <v>3757</v>
      </c>
      <c r="D408" s="17" t="s">
        <v>3758</v>
      </c>
      <c r="E408" s="17" t="s">
        <v>3759</v>
      </c>
      <c r="F408" s="17" t="s">
        <v>2127</v>
      </c>
      <c r="G408" s="17" t="s">
        <v>1941</v>
      </c>
      <c r="H408" s="17">
        <v>72215</v>
      </c>
      <c r="I408" t="s">
        <v>1942</v>
      </c>
    </row>
    <row r="409" spans="1:9" x14ac:dyDescent="0.3">
      <c r="A409" s="17" t="s">
        <v>816</v>
      </c>
      <c r="B409" s="17" t="s">
        <v>3760</v>
      </c>
      <c r="C409" s="17"/>
      <c r="D409" s="17" t="s">
        <v>3761</v>
      </c>
      <c r="E409" s="17" t="s">
        <v>3762</v>
      </c>
      <c r="F409" s="17" t="s">
        <v>3763</v>
      </c>
      <c r="G409" s="17" t="s">
        <v>1949</v>
      </c>
      <c r="H409" s="17" t="s">
        <v>3764</v>
      </c>
      <c r="I409" t="s">
        <v>1951</v>
      </c>
    </row>
    <row r="410" spans="1:9" x14ac:dyDescent="0.3">
      <c r="A410" s="17" t="s">
        <v>818</v>
      </c>
      <c r="B410" s="17" t="s">
        <v>3765</v>
      </c>
      <c r="C410" s="17" t="s">
        <v>3766</v>
      </c>
      <c r="D410" s="17" t="s">
        <v>3767</v>
      </c>
      <c r="E410" s="17" t="s">
        <v>3768</v>
      </c>
      <c r="F410" s="17" t="s">
        <v>3769</v>
      </c>
      <c r="G410" s="17" t="s">
        <v>1941</v>
      </c>
      <c r="H410" s="17">
        <v>8922</v>
      </c>
      <c r="I410" t="s">
        <v>1942</v>
      </c>
    </row>
    <row r="411" spans="1:9" x14ac:dyDescent="0.3">
      <c r="A411" s="17" t="s">
        <v>820</v>
      </c>
      <c r="B411" s="17" t="s">
        <v>3770</v>
      </c>
      <c r="C411" s="17"/>
      <c r="D411" s="17" t="s">
        <v>3771</v>
      </c>
      <c r="E411" s="17" t="s">
        <v>3772</v>
      </c>
      <c r="F411" s="17" t="s">
        <v>3773</v>
      </c>
      <c r="G411" s="17" t="s">
        <v>1949</v>
      </c>
      <c r="H411" s="17" t="s">
        <v>3774</v>
      </c>
      <c r="I411" t="s">
        <v>1942</v>
      </c>
    </row>
    <row r="412" spans="1:9" x14ac:dyDescent="0.3">
      <c r="A412" s="17" t="s">
        <v>822</v>
      </c>
      <c r="B412" s="17" t="s">
        <v>3775</v>
      </c>
      <c r="C412" s="17"/>
      <c r="D412" s="17" t="s">
        <v>3776</v>
      </c>
      <c r="E412" s="17" t="s">
        <v>3777</v>
      </c>
      <c r="F412" s="17" t="s">
        <v>3090</v>
      </c>
      <c r="G412" s="17" t="s">
        <v>1941</v>
      </c>
      <c r="H412" s="17">
        <v>94132</v>
      </c>
      <c r="I412" t="s">
        <v>1951</v>
      </c>
    </row>
    <row r="413" spans="1:9" x14ac:dyDescent="0.3">
      <c r="A413" s="17" t="s">
        <v>824</v>
      </c>
      <c r="B413" s="17" t="s">
        <v>3778</v>
      </c>
      <c r="C413" s="17"/>
      <c r="D413" s="17" t="s">
        <v>3779</v>
      </c>
      <c r="E413" s="17" t="s">
        <v>3780</v>
      </c>
      <c r="F413" s="17" t="s">
        <v>3781</v>
      </c>
      <c r="G413" s="17" t="s">
        <v>1941</v>
      </c>
      <c r="H413" s="17">
        <v>70505</v>
      </c>
      <c r="I413" t="s">
        <v>1942</v>
      </c>
    </row>
    <row r="414" spans="1:9" x14ac:dyDescent="0.3">
      <c r="A414" s="17" t="s">
        <v>826</v>
      </c>
      <c r="B414" s="17" t="s">
        <v>3782</v>
      </c>
      <c r="C414" s="17"/>
      <c r="D414" s="17" t="s">
        <v>3783</v>
      </c>
      <c r="E414" s="17" t="s">
        <v>3784</v>
      </c>
      <c r="F414" s="17" t="s">
        <v>3785</v>
      </c>
      <c r="G414" s="17" t="s">
        <v>1941</v>
      </c>
      <c r="H414" s="17">
        <v>92191</v>
      </c>
      <c r="I414" t="s">
        <v>1942</v>
      </c>
    </row>
    <row r="415" spans="1:9" x14ac:dyDescent="0.3">
      <c r="A415" s="17" t="s">
        <v>828</v>
      </c>
      <c r="B415" s="17" t="s">
        <v>3786</v>
      </c>
      <c r="C415" s="17" t="s">
        <v>3787</v>
      </c>
      <c r="D415" s="17" t="s">
        <v>3788</v>
      </c>
      <c r="E415" s="17" t="s">
        <v>3789</v>
      </c>
      <c r="F415" s="17" t="s">
        <v>3790</v>
      </c>
      <c r="G415" s="17" t="s">
        <v>1941</v>
      </c>
      <c r="H415" s="17">
        <v>91841</v>
      </c>
      <c r="I415" t="s">
        <v>1942</v>
      </c>
    </row>
    <row r="416" spans="1:9" x14ac:dyDescent="0.3">
      <c r="A416" s="17" t="s">
        <v>830</v>
      </c>
      <c r="B416" s="17" t="s">
        <v>3791</v>
      </c>
      <c r="C416" s="17"/>
      <c r="D416" s="17" t="s">
        <v>3792</v>
      </c>
      <c r="E416" s="17" t="s">
        <v>3793</v>
      </c>
      <c r="F416" s="17" t="s">
        <v>3515</v>
      </c>
      <c r="G416" s="17" t="s">
        <v>1941</v>
      </c>
      <c r="H416" s="17">
        <v>75799</v>
      </c>
      <c r="I416" t="s">
        <v>1942</v>
      </c>
    </row>
    <row r="417" spans="1:9" x14ac:dyDescent="0.3">
      <c r="A417" s="17" t="s">
        <v>832</v>
      </c>
      <c r="B417" s="17" t="s">
        <v>3794</v>
      </c>
      <c r="C417" s="17" t="s">
        <v>3795</v>
      </c>
      <c r="D417" s="17"/>
      <c r="E417" s="17" t="s">
        <v>3796</v>
      </c>
      <c r="F417" s="17" t="s">
        <v>3781</v>
      </c>
      <c r="G417" s="17" t="s">
        <v>1941</v>
      </c>
      <c r="H417" s="17">
        <v>70593</v>
      </c>
      <c r="I417" t="s">
        <v>1951</v>
      </c>
    </row>
    <row r="418" spans="1:9" x14ac:dyDescent="0.3">
      <c r="A418" s="17" t="s">
        <v>834</v>
      </c>
      <c r="B418" s="17" t="s">
        <v>3797</v>
      </c>
      <c r="C418" s="17"/>
      <c r="D418" s="17" t="s">
        <v>3798</v>
      </c>
      <c r="E418" s="17" t="s">
        <v>3799</v>
      </c>
      <c r="F418" s="17" t="s">
        <v>1976</v>
      </c>
      <c r="G418" s="17" t="s">
        <v>1941</v>
      </c>
      <c r="H418" s="17">
        <v>45426</v>
      </c>
      <c r="I418" t="s">
        <v>1942</v>
      </c>
    </row>
    <row r="419" spans="1:9" x14ac:dyDescent="0.3">
      <c r="A419" s="17" t="s">
        <v>836</v>
      </c>
      <c r="B419" s="17" t="s">
        <v>3800</v>
      </c>
      <c r="C419" s="17"/>
      <c r="D419" s="17" t="s">
        <v>3801</v>
      </c>
      <c r="E419" s="17" t="s">
        <v>3802</v>
      </c>
      <c r="F419" s="17" t="s">
        <v>3099</v>
      </c>
      <c r="G419" s="17" t="s">
        <v>1941</v>
      </c>
      <c r="H419" s="17">
        <v>85072</v>
      </c>
      <c r="I419" t="s">
        <v>1942</v>
      </c>
    </row>
    <row r="420" spans="1:9" x14ac:dyDescent="0.3">
      <c r="A420" s="17" t="s">
        <v>838</v>
      </c>
      <c r="B420" s="17" t="s">
        <v>3803</v>
      </c>
      <c r="C420" s="17" t="s">
        <v>3804</v>
      </c>
      <c r="D420" s="17"/>
      <c r="E420" s="17" t="s">
        <v>3805</v>
      </c>
      <c r="F420" s="17" t="s">
        <v>2999</v>
      </c>
      <c r="G420" s="17" t="s">
        <v>1941</v>
      </c>
      <c r="H420" s="17">
        <v>94263</v>
      </c>
      <c r="I420" t="s">
        <v>1942</v>
      </c>
    </row>
    <row r="421" spans="1:9" x14ac:dyDescent="0.3">
      <c r="A421" s="17" t="s">
        <v>840</v>
      </c>
      <c r="B421" s="17" t="s">
        <v>3806</v>
      </c>
      <c r="C421" s="17" t="s">
        <v>3807</v>
      </c>
      <c r="D421" s="17" t="s">
        <v>3808</v>
      </c>
      <c r="E421" s="17" t="s">
        <v>3809</v>
      </c>
      <c r="F421" s="17" t="s">
        <v>3336</v>
      </c>
      <c r="G421" s="17" t="s">
        <v>1941</v>
      </c>
      <c r="H421" s="17">
        <v>68505</v>
      </c>
      <c r="I421" t="s">
        <v>1942</v>
      </c>
    </row>
    <row r="422" spans="1:9" x14ac:dyDescent="0.3">
      <c r="A422" s="17" t="s">
        <v>3810</v>
      </c>
      <c r="B422" s="17" t="s">
        <v>3811</v>
      </c>
      <c r="C422" s="17" t="s">
        <v>3812</v>
      </c>
      <c r="D422" s="17" t="s">
        <v>3813</v>
      </c>
      <c r="E422" s="17" t="s">
        <v>3814</v>
      </c>
      <c r="F422" s="17" t="s">
        <v>3662</v>
      </c>
      <c r="G422" s="17" t="s">
        <v>1941</v>
      </c>
      <c r="H422" s="17">
        <v>17126</v>
      </c>
      <c r="I422" t="s">
        <v>1951</v>
      </c>
    </row>
    <row r="423" spans="1:9" x14ac:dyDescent="0.3">
      <c r="A423" s="17" t="s">
        <v>3815</v>
      </c>
      <c r="B423" s="17" t="s">
        <v>3816</v>
      </c>
      <c r="C423" s="17" t="s">
        <v>3817</v>
      </c>
      <c r="D423" s="17" t="s">
        <v>3818</v>
      </c>
      <c r="E423" s="17" t="s">
        <v>3819</v>
      </c>
      <c r="F423" s="17" t="s">
        <v>2144</v>
      </c>
      <c r="G423" s="17" t="s">
        <v>1941</v>
      </c>
      <c r="H423" s="17">
        <v>70174</v>
      </c>
      <c r="I423" t="s">
        <v>1942</v>
      </c>
    </row>
    <row r="424" spans="1:9" x14ac:dyDescent="0.3">
      <c r="A424" s="17" t="s">
        <v>843</v>
      </c>
      <c r="B424" s="17" t="s">
        <v>3820</v>
      </c>
      <c r="C424" s="17"/>
      <c r="D424" s="17" t="s">
        <v>3821</v>
      </c>
      <c r="E424" s="17" t="s">
        <v>3822</v>
      </c>
      <c r="F424" s="17" t="s">
        <v>3823</v>
      </c>
      <c r="G424" s="17" t="s">
        <v>1941</v>
      </c>
      <c r="H424" s="17">
        <v>53726</v>
      </c>
      <c r="I424" t="s">
        <v>1951</v>
      </c>
    </row>
    <row r="425" spans="1:9" x14ac:dyDescent="0.3">
      <c r="A425" s="17" t="s">
        <v>845</v>
      </c>
      <c r="B425" s="17" t="s">
        <v>3824</v>
      </c>
      <c r="C425" s="17"/>
      <c r="D425" s="17" t="s">
        <v>3825</v>
      </c>
      <c r="E425" s="17" t="s">
        <v>3826</v>
      </c>
      <c r="F425" s="17" t="s">
        <v>2122</v>
      </c>
      <c r="G425" s="17" t="s">
        <v>1941</v>
      </c>
      <c r="H425" s="17">
        <v>25336</v>
      </c>
      <c r="I425" t="s">
        <v>1951</v>
      </c>
    </row>
    <row r="426" spans="1:9" x14ac:dyDescent="0.3">
      <c r="A426" s="17" t="s">
        <v>847</v>
      </c>
      <c r="B426" s="17" t="s">
        <v>3827</v>
      </c>
      <c r="C426" s="17" t="s">
        <v>3828</v>
      </c>
      <c r="D426" s="17" t="s">
        <v>3829</v>
      </c>
      <c r="E426" s="17" t="s">
        <v>3830</v>
      </c>
      <c r="F426" s="17" t="s">
        <v>2127</v>
      </c>
      <c r="G426" s="17" t="s">
        <v>1941</v>
      </c>
      <c r="H426" s="17">
        <v>72204</v>
      </c>
      <c r="I426" t="s">
        <v>1942</v>
      </c>
    </row>
    <row r="427" spans="1:9" x14ac:dyDescent="0.3">
      <c r="A427" s="17" t="s">
        <v>849</v>
      </c>
      <c r="B427" s="17" t="s">
        <v>3831</v>
      </c>
      <c r="C427" s="17" t="s">
        <v>3832</v>
      </c>
      <c r="D427" s="17" t="s">
        <v>3833</v>
      </c>
      <c r="E427" s="17" t="s">
        <v>3834</v>
      </c>
      <c r="F427" s="17" t="s">
        <v>2501</v>
      </c>
      <c r="G427" s="17" t="s">
        <v>1941</v>
      </c>
      <c r="H427" s="17">
        <v>99507</v>
      </c>
      <c r="I427" t="s">
        <v>1951</v>
      </c>
    </row>
    <row r="428" spans="1:9" x14ac:dyDescent="0.3">
      <c r="A428" s="17" t="s">
        <v>851</v>
      </c>
      <c r="B428" s="17" t="s">
        <v>3835</v>
      </c>
      <c r="C428" s="17" t="s">
        <v>3836</v>
      </c>
      <c r="D428" s="17" t="s">
        <v>3837</v>
      </c>
      <c r="E428" s="17" t="s">
        <v>3838</v>
      </c>
      <c r="F428" s="17" t="s">
        <v>3839</v>
      </c>
      <c r="G428" s="17" t="s">
        <v>1949</v>
      </c>
      <c r="H428" s="17" t="s">
        <v>3840</v>
      </c>
      <c r="I428" t="s">
        <v>1942</v>
      </c>
    </row>
    <row r="429" spans="1:9" x14ac:dyDescent="0.3">
      <c r="A429" s="17" t="s">
        <v>853</v>
      </c>
      <c r="B429" s="17" t="s">
        <v>3841</v>
      </c>
      <c r="C429" s="17"/>
      <c r="D429" s="17" t="s">
        <v>3842</v>
      </c>
      <c r="E429" s="17" t="s">
        <v>3843</v>
      </c>
      <c r="F429" s="17" t="s">
        <v>3090</v>
      </c>
      <c r="G429" s="17" t="s">
        <v>1941</v>
      </c>
      <c r="H429" s="17">
        <v>94110</v>
      </c>
      <c r="I429" t="s">
        <v>1942</v>
      </c>
    </row>
    <row r="430" spans="1:9" x14ac:dyDescent="0.3">
      <c r="A430" s="17" t="s">
        <v>855</v>
      </c>
      <c r="B430" s="17" t="s">
        <v>3844</v>
      </c>
      <c r="C430" s="17" t="s">
        <v>3845</v>
      </c>
      <c r="D430" s="17" t="s">
        <v>3846</v>
      </c>
      <c r="E430" s="17" t="s">
        <v>3847</v>
      </c>
      <c r="F430" s="17" t="s">
        <v>2840</v>
      </c>
      <c r="G430" s="17" t="s">
        <v>1941</v>
      </c>
      <c r="H430" s="17">
        <v>44485</v>
      </c>
      <c r="I430" t="s">
        <v>1951</v>
      </c>
    </row>
    <row r="431" spans="1:9" x14ac:dyDescent="0.3">
      <c r="A431" s="17" t="s">
        <v>3848</v>
      </c>
      <c r="B431" s="17" t="s">
        <v>3849</v>
      </c>
      <c r="C431" s="17" t="s">
        <v>3850</v>
      </c>
      <c r="D431" s="17" t="s">
        <v>3851</v>
      </c>
      <c r="E431" s="17" t="s">
        <v>3852</v>
      </c>
      <c r="F431" s="17" t="s">
        <v>3853</v>
      </c>
      <c r="G431" s="17" t="s">
        <v>1941</v>
      </c>
      <c r="H431" s="17">
        <v>23324</v>
      </c>
      <c r="I431" t="s">
        <v>1951</v>
      </c>
    </row>
    <row r="432" spans="1:9" x14ac:dyDescent="0.3">
      <c r="A432" s="17" t="s">
        <v>858</v>
      </c>
      <c r="B432" s="17" t="s">
        <v>3854</v>
      </c>
      <c r="C432" s="17" t="s">
        <v>3855</v>
      </c>
      <c r="D432" s="17" t="s">
        <v>3856</v>
      </c>
      <c r="E432" s="17" t="s">
        <v>3857</v>
      </c>
      <c r="F432" s="17" t="s">
        <v>3858</v>
      </c>
      <c r="G432" s="17" t="s">
        <v>1941</v>
      </c>
      <c r="H432" s="17">
        <v>39236</v>
      </c>
      <c r="I432" t="s">
        <v>1942</v>
      </c>
    </row>
    <row r="433" spans="1:9" x14ac:dyDescent="0.3">
      <c r="A433" s="17" t="s">
        <v>860</v>
      </c>
      <c r="B433" s="17" t="s">
        <v>3859</v>
      </c>
      <c r="C433" s="17" t="s">
        <v>3860</v>
      </c>
      <c r="D433" s="17" t="s">
        <v>3861</v>
      </c>
      <c r="E433" s="17" t="s">
        <v>3862</v>
      </c>
      <c r="F433" s="17" t="s">
        <v>3863</v>
      </c>
      <c r="G433" s="17" t="s">
        <v>1949</v>
      </c>
      <c r="H433" s="17" t="s">
        <v>3864</v>
      </c>
      <c r="I433" t="s">
        <v>1942</v>
      </c>
    </row>
    <row r="434" spans="1:9" x14ac:dyDescent="0.3">
      <c r="A434" s="17" t="s">
        <v>862</v>
      </c>
      <c r="B434" s="17" t="s">
        <v>3865</v>
      </c>
      <c r="C434" s="17"/>
      <c r="D434" s="17" t="s">
        <v>3866</v>
      </c>
      <c r="E434" s="17" t="s">
        <v>3867</v>
      </c>
      <c r="F434" s="17" t="s">
        <v>3121</v>
      </c>
      <c r="G434" s="17" t="s">
        <v>1941</v>
      </c>
      <c r="H434" s="17">
        <v>53277</v>
      </c>
      <c r="I434" t="s">
        <v>1951</v>
      </c>
    </row>
    <row r="435" spans="1:9" x14ac:dyDescent="0.3">
      <c r="A435" s="17" t="s">
        <v>864</v>
      </c>
      <c r="B435" s="17" t="s">
        <v>3868</v>
      </c>
      <c r="C435" s="17" t="s">
        <v>3869</v>
      </c>
      <c r="D435" s="17" t="s">
        <v>3870</v>
      </c>
      <c r="E435" s="17" t="s">
        <v>3871</v>
      </c>
      <c r="F435" s="17" t="s">
        <v>2999</v>
      </c>
      <c r="G435" s="17" t="s">
        <v>1941</v>
      </c>
      <c r="H435" s="17">
        <v>94250</v>
      </c>
      <c r="I435" t="s">
        <v>1942</v>
      </c>
    </row>
    <row r="436" spans="1:9" x14ac:dyDescent="0.3">
      <c r="A436" s="17" t="s">
        <v>866</v>
      </c>
      <c r="B436" s="17" t="s">
        <v>3872</v>
      </c>
      <c r="C436" s="17"/>
      <c r="D436" s="17" t="s">
        <v>3873</v>
      </c>
      <c r="E436" s="17" t="s">
        <v>3874</v>
      </c>
      <c r="F436" s="17" t="s">
        <v>2158</v>
      </c>
      <c r="G436" s="17" t="s">
        <v>1941</v>
      </c>
      <c r="H436" s="17">
        <v>2298</v>
      </c>
      <c r="I436" t="s">
        <v>1951</v>
      </c>
    </row>
    <row r="437" spans="1:9" x14ac:dyDescent="0.3">
      <c r="A437" s="17" t="s">
        <v>868</v>
      </c>
      <c r="B437" s="17" t="s">
        <v>3875</v>
      </c>
      <c r="C437" s="17" t="s">
        <v>3876</v>
      </c>
      <c r="D437" s="17" t="s">
        <v>3877</v>
      </c>
      <c r="E437" s="17" t="s">
        <v>3878</v>
      </c>
      <c r="F437" s="17" t="s">
        <v>3510</v>
      </c>
      <c r="G437" s="17" t="s">
        <v>1941</v>
      </c>
      <c r="H437" s="17">
        <v>66622</v>
      </c>
      <c r="I437" t="s">
        <v>1951</v>
      </c>
    </row>
    <row r="438" spans="1:9" x14ac:dyDescent="0.3">
      <c r="A438" s="17" t="s">
        <v>870</v>
      </c>
      <c r="B438" s="17" t="s">
        <v>3879</v>
      </c>
      <c r="C438" s="17" t="s">
        <v>3880</v>
      </c>
      <c r="D438" s="17" t="s">
        <v>3881</v>
      </c>
      <c r="E438" s="17" t="s">
        <v>3882</v>
      </c>
      <c r="F438" s="17" t="s">
        <v>2550</v>
      </c>
      <c r="G438" s="17" t="s">
        <v>1941</v>
      </c>
      <c r="H438" s="17">
        <v>58122</v>
      </c>
      <c r="I438" t="s">
        <v>1942</v>
      </c>
    </row>
    <row r="439" spans="1:9" x14ac:dyDescent="0.3">
      <c r="A439" s="17" t="s">
        <v>872</v>
      </c>
      <c r="B439" s="17" t="s">
        <v>3883</v>
      </c>
      <c r="C439" s="17"/>
      <c r="D439" s="17" t="s">
        <v>3884</v>
      </c>
      <c r="E439" s="17" t="s">
        <v>3885</v>
      </c>
      <c r="F439" s="17" t="s">
        <v>2027</v>
      </c>
      <c r="G439" s="17" t="s">
        <v>1941</v>
      </c>
      <c r="H439" s="17">
        <v>77095</v>
      </c>
      <c r="I439" t="s">
        <v>1951</v>
      </c>
    </row>
    <row r="440" spans="1:9" x14ac:dyDescent="0.3">
      <c r="A440" s="17" t="s">
        <v>3886</v>
      </c>
      <c r="B440" s="17" t="s">
        <v>3887</v>
      </c>
      <c r="C440" s="17" t="s">
        <v>3888</v>
      </c>
      <c r="D440" s="17" t="s">
        <v>3889</v>
      </c>
      <c r="E440" s="17" t="s">
        <v>3890</v>
      </c>
      <c r="F440" s="17" t="s">
        <v>2362</v>
      </c>
      <c r="G440" s="17" t="s">
        <v>1941</v>
      </c>
      <c r="H440" s="17">
        <v>73190</v>
      </c>
      <c r="I440" t="s">
        <v>1951</v>
      </c>
    </row>
    <row r="441" spans="1:9" x14ac:dyDescent="0.3">
      <c r="A441" s="17" t="s">
        <v>876</v>
      </c>
      <c r="B441" s="17" t="s">
        <v>3891</v>
      </c>
      <c r="C441" s="17" t="s">
        <v>3892</v>
      </c>
      <c r="D441" s="17" t="s">
        <v>3893</v>
      </c>
      <c r="E441" s="17" t="s">
        <v>3894</v>
      </c>
      <c r="F441" s="17" t="s">
        <v>2031</v>
      </c>
      <c r="G441" s="17" t="s">
        <v>1949</v>
      </c>
      <c r="H441" s="17" t="s">
        <v>2032</v>
      </c>
      <c r="I441" t="s">
        <v>1951</v>
      </c>
    </row>
    <row r="442" spans="1:9" x14ac:dyDescent="0.3">
      <c r="A442" s="17" t="s">
        <v>878</v>
      </c>
      <c r="B442" s="17" t="s">
        <v>3895</v>
      </c>
      <c r="C442" s="17" t="s">
        <v>3896</v>
      </c>
      <c r="D442" s="17" t="s">
        <v>3897</v>
      </c>
      <c r="E442" s="17" t="s">
        <v>3898</v>
      </c>
      <c r="F442" s="17" t="s">
        <v>2350</v>
      </c>
      <c r="G442" s="17" t="s">
        <v>1941</v>
      </c>
      <c r="H442" s="17">
        <v>14205</v>
      </c>
      <c r="I442" t="s">
        <v>1942</v>
      </c>
    </row>
    <row r="443" spans="1:9" x14ac:dyDescent="0.3">
      <c r="A443" s="17" t="s">
        <v>880</v>
      </c>
      <c r="B443" s="17" t="s">
        <v>3899</v>
      </c>
      <c r="C443" s="17" t="s">
        <v>3900</v>
      </c>
      <c r="D443" s="17" t="s">
        <v>3901</v>
      </c>
      <c r="E443" s="17" t="s">
        <v>3902</v>
      </c>
      <c r="F443" s="17" t="s">
        <v>3193</v>
      </c>
      <c r="G443" s="17" t="s">
        <v>1949</v>
      </c>
      <c r="H443" s="17" t="s">
        <v>3194</v>
      </c>
      <c r="I443" t="s">
        <v>1942</v>
      </c>
    </row>
    <row r="444" spans="1:9" x14ac:dyDescent="0.3">
      <c r="A444" s="17" t="s">
        <v>882</v>
      </c>
      <c r="B444" s="17" t="s">
        <v>3903</v>
      </c>
      <c r="C444" s="17" t="s">
        <v>3904</v>
      </c>
      <c r="D444" s="17" t="s">
        <v>3905</v>
      </c>
      <c r="E444" s="17" t="s">
        <v>3906</v>
      </c>
      <c r="F444" s="17" t="s">
        <v>3907</v>
      </c>
      <c r="G444" s="17" t="s">
        <v>1941</v>
      </c>
      <c r="H444" s="17">
        <v>18018</v>
      </c>
      <c r="I444" t="s">
        <v>1951</v>
      </c>
    </row>
    <row r="445" spans="1:9" x14ac:dyDescent="0.3">
      <c r="A445" s="17" t="s">
        <v>884</v>
      </c>
      <c r="B445" s="17" t="s">
        <v>3908</v>
      </c>
      <c r="C445" s="17" t="s">
        <v>3909</v>
      </c>
      <c r="D445" s="17" t="s">
        <v>3910</v>
      </c>
      <c r="E445" s="17" t="s">
        <v>3911</v>
      </c>
      <c r="F445" s="17" t="s">
        <v>3912</v>
      </c>
      <c r="G445" s="17" t="s">
        <v>1949</v>
      </c>
      <c r="H445" s="17" t="s">
        <v>3913</v>
      </c>
      <c r="I445" t="s">
        <v>1942</v>
      </c>
    </row>
    <row r="446" spans="1:9" x14ac:dyDescent="0.3">
      <c r="A446" s="17" t="s">
        <v>886</v>
      </c>
      <c r="B446" s="17" t="s">
        <v>3914</v>
      </c>
      <c r="C446" s="17" t="s">
        <v>3915</v>
      </c>
      <c r="D446" s="17" t="s">
        <v>3916</v>
      </c>
      <c r="E446" s="17" t="s">
        <v>3917</v>
      </c>
      <c r="F446" s="17" t="s">
        <v>3918</v>
      </c>
      <c r="G446" s="17" t="s">
        <v>1949</v>
      </c>
      <c r="H446" s="17" t="s">
        <v>3919</v>
      </c>
      <c r="I446" t="s">
        <v>1951</v>
      </c>
    </row>
    <row r="447" spans="1:9" x14ac:dyDescent="0.3">
      <c r="A447" s="17" t="s">
        <v>888</v>
      </c>
      <c r="B447" s="17" t="s">
        <v>3920</v>
      </c>
      <c r="C447" s="17" t="s">
        <v>3921</v>
      </c>
      <c r="D447" s="17"/>
      <c r="E447" s="17" t="s">
        <v>3922</v>
      </c>
      <c r="F447" s="17" t="s">
        <v>3402</v>
      </c>
      <c r="G447" s="17" t="s">
        <v>1949</v>
      </c>
      <c r="H447" s="17" t="s">
        <v>2083</v>
      </c>
      <c r="I447" t="s">
        <v>1942</v>
      </c>
    </row>
    <row r="448" spans="1:9" x14ac:dyDescent="0.3">
      <c r="A448" s="17" t="s">
        <v>890</v>
      </c>
      <c r="B448" s="17" t="s">
        <v>3923</v>
      </c>
      <c r="C448" s="17" t="s">
        <v>3924</v>
      </c>
      <c r="D448" s="17" t="s">
        <v>3925</v>
      </c>
      <c r="E448" s="17" t="s">
        <v>3926</v>
      </c>
      <c r="F448" s="17" t="s">
        <v>2172</v>
      </c>
      <c r="G448" s="17" t="s">
        <v>2116</v>
      </c>
      <c r="H448" s="17" t="s">
        <v>3927</v>
      </c>
      <c r="I448" t="s">
        <v>1942</v>
      </c>
    </row>
    <row r="449" spans="1:9" x14ac:dyDescent="0.3">
      <c r="A449" s="17" t="s">
        <v>892</v>
      </c>
      <c r="B449" s="17" t="s">
        <v>3928</v>
      </c>
      <c r="C449" s="17" t="s">
        <v>3929</v>
      </c>
      <c r="D449" s="17"/>
      <c r="E449" s="17" t="s">
        <v>3930</v>
      </c>
      <c r="F449" s="17" t="s">
        <v>3099</v>
      </c>
      <c r="G449" s="17" t="s">
        <v>1941</v>
      </c>
      <c r="H449" s="17">
        <v>85099</v>
      </c>
      <c r="I449" t="s">
        <v>1951</v>
      </c>
    </row>
    <row r="450" spans="1:9" x14ac:dyDescent="0.3">
      <c r="A450" s="17" t="s">
        <v>894</v>
      </c>
      <c r="B450" s="17" t="s">
        <v>3931</v>
      </c>
      <c r="C450" s="17" t="s">
        <v>3932</v>
      </c>
      <c r="D450" s="17" t="s">
        <v>3933</v>
      </c>
      <c r="E450" s="17" t="s">
        <v>3934</v>
      </c>
      <c r="F450" s="17" t="s">
        <v>3935</v>
      </c>
      <c r="G450" s="17" t="s">
        <v>1949</v>
      </c>
      <c r="H450" s="17" t="s">
        <v>3936</v>
      </c>
      <c r="I450" t="s">
        <v>1951</v>
      </c>
    </row>
    <row r="451" spans="1:9" x14ac:dyDescent="0.3">
      <c r="A451" s="17" t="s">
        <v>896</v>
      </c>
      <c r="B451" s="17" t="s">
        <v>3937</v>
      </c>
      <c r="C451" s="17" t="s">
        <v>3938</v>
      </c>
      <c r="D451" s="17" t="s">
        <v>3939</v>
      </c>
      <c r="E451" s="17" t="s">
        <v>3940</v>
      </c>
      <c r="F451" s="17" t="s">
        <v>2211</v>
      </c>
      <c r="G451" s="17" t="s">
        <v>1941</v>
      </c>
      <c r="H451" s="17">
        <v>43610</v>
      </c>
      <c r="I451" t="s">
        <v>1951</v>
      </c>
    </row>
    <row r="452" spans="1:9" x14ac:dyDescent="0.3">
      <c r="A452" s="17" t="s">
        <v>898</v>
      </c>
      <c r="B452" s="17" t="s">
        <v>3941</v>
      </c>
      <c r="C452" s="17" t="s">
        <v>3942</v>
      </c>
      <c r="D452" s="17" t="s">
        <v>3943</v>
      </c>
      <c r="E452" s="17" t="s">
        <v>3944</v>
      </c>
      <c r="F452" s="17" t="s">
        <v>3945</v>
      </c>
      <c r="G452" s="17" t="s">
        <v>1949</v>
      </c>
      <c r="H452" s="17" t="s">
        <v>3946</v>
      </c>
      <c r="I452" t="s">
        <v>1951</v>
      </c>
    </row>
    <row r="453" spans="1:9" x14ac:dyDescent="0.3">
      <c r="A453" s="17" t="s">
        <v>900</v>
      </c>
      <c r="B453" s="17" t="s">
        <v>3947</v>
      </c>
      <c r="C453" s="17" t="s">
        <v>3948</v>
      </c>
      <c r="D453" s="17" t="s">
        <v>3949</v>
      </c>
      <c r="E453" s="17" t="s">
        <v>3950</v>
      </c>
      <c r="F453" s="17" t="s">
        <v>2300</v>
      </c>
      <c r="G453" s="17" t="s">
        <v>1941</v>
      </c>
      <c r="H453" s="17">
        <v>28210</v>
      </c>
      <c r="I453" t="s">
        <v>1942</v>
      </c>
    </row>
    <row r="454" spans="1:9" x14ac:dyDescent="0.3">
      <c r="A454" s="17" t="s">
        <v>874</v>
      </c>
      <c r="B454" s="17" t="s">
        <v>3951</v>
      </c>
      <c r="C454" s="17" t="s">
        <v>3952</v>
      </c>
      <c r="D454" s="17" t="s">
        <v>3953</v>
      </c>
      <c r="E454" s="17" t="s">
        <v>3954</v>
      </c>
      <c r="F454" s="17" t="s">
        <v>3492</v>
      </c>
      <c r="G454" s="17" t="s">
        <v>1941</v>
      </c>
      <c r="H454" s="17">
        <v>98109</v>
      </c>
      <c r="I454" t="s">
        <v>1951</v>
      </c>
    </row>
    <row r="455" spans="1:9" x14ac:dyDescent="0.3">
      <c r="A455" s="17" t="s">
        <v>903</v>
      </c>
      <c r="B455" s="17" t="s">
        <v>3955</v>
      </c>
      <c r="C455" s="17" t="s">
        <v>3956</v>
      </c>
      <c r="D455" s="17" t="s">
        <v>3957</v>
      </c>
      <c r="E455" s="17" t="s">
        <v>3958</v>
      </c>
      <c r="F455" s="17" t="s">
        <v>3004</v>
      </c>
      <c r="G455" s="17" t="s">
        <v>1941</v>
      </c>
      <c r="H455" s="17">
        <v>18706</v>
      </c>
      <c r="I455" t="s">
        <v>1951</v>
      </c>
    </row>
    <row r="456" spans="1:9" x14ac:dyDescent="0.3">
      <c r="A456" s="17" t="s">
        <v>905</v>
      </c>
      <c r="B456" s="17" t="s">
        <v>3959</v>
      </c>
      <c r="C456" s="17" t="s">
        <v>3960</v>
      </c>
      <c r="D456" s="17"/>
      <c r="E456" s="17" t="s">
        <v>3961</v>
      </c>
      <c r="F456" s="17" t="s">
        <v>3962</v>
      </c>
      <c r="G456" s="17" t="s">
        <v>1949</v>
      </c>
      <c r="H456" s="17" t="s">
        <v>1950</v>
      </c>
      <c r="I456" t="s">
        <v>1942</v>
      </c>
    </row>
    <row r="457" spans="1:9" x14ac:dyDescent="0.3">
      <c r="A457" s="17" t="s">
        <v>907</v>
      </c>
      <c r="B457" s="17" t="s">
        <v>3963</v>
      </c>
      <c r="C457" s="17" t="s">
        <v>3964</v>
      </c>
      <c r="D457" s="17" t="s">
        <v>3965</v>
      </c>
      <c r="E457" s="17" t="s">
        <v>3966</v>
      </c>
      <c r="F457" s="17" t="s">
        <v>3967</v>
      </c>
      <c r="G457" s="17" t="s">
        <v>1949</v>
      </c>
      <c r="H457" s="17" t="s">
        <v>2771</v>
      </c>
      <c r="I457" t="s">
        <v>1942</v>
      </c>
    </row>
    <row r="458" spans="1:9" x14ac:dyDescent="0.3">
      <c r="A458" s="17" t="s">
        <v>909</v>
      </c>
      <c r="B458" s="17" t="s">
        <v>3968</v>
      </c>
      <c r="C458" s="17" t="s">
        <v>3969</v>
      </c>
      <c r="D458" s="17" t="s">
        <v>3970</v>
      </c>
      <c r="E458" s="17" t="s">
        <v>3971</v>
      </c>
      <c r="F458" s="17" t="s">
        <v>2281</v>
      </c>
      <c r="G458" s="17" t="s">
        <v>2116</v>
      </c>
      <c r="H458" s="17" t="s">
        <v>3972</v>
      </c>
      <c r="I458" t="s">
        <v>1951</v>
      </c>
    </row>
    <row r="459" spans="1:9" x14ac:dyDescent="0.3">
      <c r="A459" s="17" t="s">
        <v>911</v>
      </c>
      <c r="B459" s="17" t="s">
        <v>3973</v>
      </c>
      <c r="C459" s="17" t="s">
        <v>3974</v>
      </c>
      <c r="D459" s="17" t="s">
        <v>3975</v>
      </c>
      <c r="E459" s="17" t="s">
        <v>3976</v>
      </c>
      <c r="F459" s="17" t="s">
        <v>2163</v>
      </c>
      <c r="G459" s="17" t="s">
        <v>1941</v>
      </c>
      <c r="H459" s="17">
        <v>14652</v>
      </c>
      <c r="I459" t="s">
        <v>1951</v>
      </c>
    </row>
    <row r="460" spans="1:9" x14ac:dyDescent="0.3">
      <c r="A460" s="17" t="s">
        <v>913</v>
      </c>
      <c r="B460" s="17" t="s">
        <v>3977</v>
      </c>
      <c r="C460" s="17" t="s">
        <v>3978</v>
      </c>
      <c r="D460" s="17" t="s">
        <v>3979</v>
      </c>
      <c r="E460" s="17" t="s">
        <v>3980</v>
      </c>
      <c r="F460" s="17" t="s">
        <v>2140</v>
      </c>
      <c r="G460" s="17" t="s">
        <v>1941</v>
      </c>
      <c r="H460" s="17">
        <v>85754</v>
      </c>
      <c r="I460" t="s">
        <v>1951</v>
      </c>
    </row>
    <row r="461" spans="1:9" x14ac:dyDescent="0.3">
      <c r="A461" s="17" t="s">
        <v>915</v>
      </c>
      <c r="B461" s="17" t="s">
        <v>3981</v>
      </c>
      <c r="C461" s="17" t="s">
        <v>3982</v>
      </c>
      <c r="D461" s="17" t="s">
        <v>3983</v>
      </c>
      <c r="E461" s="17" t="s">
        <v>3984</v>
      </c>
      <c r="F461" s="17" t="s">
        <v>2137</v>
      </c>
      <c r="G461" s="17" t="s">
        <v>1941</v>
      </c>
      <c r="H461" s="17">
        <v>55480</v>
      </c>
      <c r="I461" t="s">
        <v>1951</v>
      </c>
    </row>
    <row r="462" spans="1:9" x14ac:dyDescent="0.3">
      <c r="A462" s="17" t="s">
        <v>917</v>
      </c>
      <c r="B462" s="17" t="s">
        <v>3985</v>
      </c>
      <c r="C462" s="17" t="s">
        <v>3986</v>
      </c>
      <c r="D462" s="17" t="s">
        <v>3987</v>
      </c>
      <c r="E462" s="17" t="s">
        <v>3988</v>
      </c>
      <c r="F462" s="17" t="s">
        <v>3989</v>
      </c>
      <c r="G462" s="17" t="s">
        <v>1949</v>
      </c>
      <c r="H462" s="17" t="s">
        <v>3990</v>
      </c>
      <c r="I462" t="s">
        <v>1942</v>
      </c>
    </row>
    <row r="463" spans="1:9" x14ac:dyDescent="0.3">
      <c r="A463" s="17" t="s">
        <v>919</v>
      </c>
      <c r="B463" s="17" t="s">
        <v>3991</v>
      </c>
      <c r="C463" s="17" t="s">
        <v>3992</v>
      </c>
      <c r="D463" s="17" t="s">
        <v>3993</v>
      </c>
      <c r="E463" s="17" t="s">
        <v>3994</v>
      </c>
      <c r="F463" s="17" t="s">
        <v>3995</v>
      </c>
      <c r="G463" s="17" t="s">
        <v>2116</v>
      </c>
      <c r="H463" s="17" t="s">
        <v>3996</v>
      </c>
      <c r="I463" t="s">
        <v>1942</v>
      </c>
    </row>
    <row r="464" spans="1:9" x14ac:dyDescent="0.3">
      <c r="A464" s="17" t="s">
        <v>921</v>
      </c>
      <c r="B464" s="17" t="s">
        <v>3997</v>
      </c>
      <c r="C464" s="17" t="s">
        <v>3998</v>
      </c>
      <c r="D464" s="17" t="s">
        <v>3999</v>
      </c>
      <c r="E464" s="17" t="s">
        <v>4000</v>
      </c>
      <c r="F464" s="17" t="s">
        <v>3049</v>
      </c>
      <c r="G464" s="17" t="s">
        <v>1941</v>
      </c>
      <c r="H464" s="17">
        <v>31119</v>
      </c>
      <c r="I464" t="s">
        <v>1942</v>
      </c>
    </row>
    <row r="465" spans="1:9" x14ac:dyDescent="0.3">
      <c r="A465" s="17" t="s">
        <v>923</v>
      </c>
      <c r="B465" s="17" t="s">
        <v>4001</v>
      </c>
      <c r="C465" s="17" t="s">
        <v>4002</v>
      </c>
      <c r="D465" s="17" t="s">
        <v>4003</v>
      </c>
      <c r="E465" s="17" t="s">
        <v>4004</v>
      </c>
      <c r="F465" s="17" t="s">
        <v>4005</v>
      </c>
      <c r="G465" s="17" t="s">
        <v>1949</v>
      </c>
      <c r="H465" s="17" t="s">
        <v>4006</v>
      </c>
      <c r="I465" t="s">
        <v>1951</v>
      </c>
    </row>
    <row r="466" spans="1:9" x14ac:dyDescent="0.3">
      <c r="A466" s="17" t="s">
        <v>925</v>
      </c>
      <c r="B466" s="17" t="s">
        <v>4007</v>
      </c>
      <c r="C466" s="17" t="s">
        <v>4008</v>
      </c>
      <c r="D466" s="17" t="s">
        <v>4009</v>
      </c>
      <c r="E466" s="17" t="s">
        <v>4010</v>
      </c>
      <c r="F466" s="17" t="s">
        <v>2872</v>
      </c>
      <c r="G466" s="17" t="s">
        <v>2116</v>
      </c>
      <c r="H466" s="17" t="s">
        <v>2873</v>
      </c>
      <c r="I466" t="s">
        <v>1951</v>
      </c>
    </row>
    <row r="467" spans="1:9" x14ac:dyDescent="0.3">
      <c r="A467" s="17" t="s">
        <v>927</v>
      </c>
      <c r="B467" s="17" t="s">
        <v>4011</v>
      </c>
      <c r="C467" s="17" t="s">
        <v>4012</v>
      </c>
      <c r="D467" s="17" t="s">
        <v>4013</v>
      </c>
      <c r="E467" s="17" t="s">
        <v>4014</v>
      </c>
      <c r="F467" s="17" t="s">
        <v>3412</v>
      </c>
      <c r="G467" s="17" t="s">
        <v>1941</v>
      </c>
      <c r="H467" s="17">
        <v>37939</v>
      </c>
      <c r="I467" t="s">
        <v>1942</v>
      </c>
    </row>
    <row r="468" spans="1:9" x14ac:dyDescent="0.3">
      <c r="A468" s="17" t="s">
        <v>929</v>
      </c>
      <c r="B468" s="17" t="s">
        <v>4015</v>
      </c>
      <c r="C468" s="17" t="s">
        <v>4016</v>
      </c>
      <c r="D468" s="17" t="s">
        <v>4017</v>
      </c>
      <c r="E468" s="17" t="s">
        <v>4018</v>
      </c>
      <c r="F468" s="17" t="s">
        <v>4019</v>
      </c>
      <c r="G468" s="17" t="s">
        <v>1941</v>
      </c>
      <c r="H468" s="17">
        <v>48604</v>
      </c>
      <c r="I468" t="s">
        <v>1942</v>
      </c>
    </row>
    <row r="469" spans="1:9" x14ac:dyDescent="0.3">
      <c r="A469" s="17" t="s">
        <v>931</v>
      </c>
      <c r="B469" s="17" t="s">
        <v>4020</v>
      </c>
      <c r="C469" s="17" t="s">
        <v>4021</v>
      </c>
      <c r="D469" s="17" t="s">
        <v>4022</v>
      </c>
      <c r="E469" s="17" t="s">
        <v>4023</v>
      </c>
      <c r="F469" s="17" t="s">
        <v>4024</v>
      </c>
      <c r="G469" s="17" t="s">
        <v>1941</v>
      </c>
      <c r="H469" s="17">
        <v>32092</v>
      </c>
      <c r="I469" t="s">
        <v>1951</v>
      </c>
    </row>
    <row r="470" spans="1:9" x14ac:dyDescent="0.3">
      <c r="A470" s="17" t="s">
        <v>933</v>
      </c>
      <c r="B470" s="17" t="s">
        <v>4025</v>
      </c>
      <c r="C470" s="17" t="s">
        <v>4026</v>
      </c>
      <c r="D470" s="17"/>
      <c r="E470" s="17" t="s">
        <v>4027</v>
      </c>
      <c r="F470" s="17" t="s">
        <v>4028</v>
      </c>
      <c r="G470" s="17" t="s">
        <v>1941</v>
      </c>
      <c r="H470" s="17">
        <v>94913</v>
      </c>
      <c r="I470" t="s">
        <v>1942</v>
      </c>
    </row>
    <row r="471" spans="1:9" x14ac:dyDescent="0.3">
      <c r="A471" s="17" t="s">
        <v>4029</v>
      </c>
      <c r="B471" s="17" t="s">
        <v>4030</v>
      </c>
      <c r="C471" s="17" t="s">
        <v>4031</v>
      </c>
      <c r="D471" s="17" t="s">
        <v>4032</v>
      </c>
      <c r="E471" s="17" t="s">
        <v>4033</v>
      </c>
      <c r="F471" s="17" t="s">
        <v>1995</v>
      </c>
      <c r="G471" s="17" t="s">
        <v>1941</v>
      </c>
      <c r="H471" s="17">
        <v>95113</v>
      </c>
      <c r="I471" t="s">
        <v>1942</v>
      </c>
    </row>
    <row r="472" spans="1:9" x14ac:dyDescent="0.3">
      <c r="A472" s="17" t="s">
        <v>937</v>
      </c>
      <c r="B472" s="17" t="s">
        <v>4034</v>
      </c>
      <c r="C472" s="17" t="s">
        <v>4035</v>
      </c>
      <c r="D472" s="17" t="s">
        <v>4036</v>
      </c>
      <c r="E472" s="17" t="s">
        <v>4037</v>
      </c>
      <c r="F472" s="17" t="s">
        <v>3682</v>
      </c>
      <c r="G472" s="17" t="s">
        <v>1941</v>
      </c>
      <c r="H472" s="17">
        <v>30045</v>
      </c>
      <c r="I472" t="s">
        <v>1942</v>
      </c>
    </row>
    <row r="473" spans="1:9" x14ac:dyDescent="0.3">
      <c r="A473" s="17" t="s">
        <v>939</v>
      </c>
      <c r="B473" s="17" t="s">
        <v>4038</v>
      </c>
      <c r="C473" s="17"/>
      <c r="D473" s="17" t="s">
        <v>4039</v>
      </c>
      <c r="E473" s="17" t="s">
        <v>4040</v>
      </c>
      <c r="F473" s="17" t="s">
        <v>3510</v>
      </c>
      <c r="G473" s="17" t="s">
        <v>1941</v>
      </c>
      <c r="H473" s="17">
        <v>66622</v>
      </c>
      <c r="I473" t="s">
        <v>1942</v>
      </c>
    </row>
    <row r="474" spans="1:9" x14ac:dyDescent="0.3">
      <c r="A474" s="17" t="s">
        <v>941</v>
      </c>
      <c r="B474" s="17" t="s">
        <v>4041</v>
      </c>
      <c r="C474" s="17" t="s">
        <v>4042</v>
      </c>
      <c r="D474" s="17" t="s">
        <v>4043</v>
      </c>
      <c r="E474" s="17" t="s">
        <v>4044</v>
      </c>
      <c r="F474" s="17" t="s">
        <v>2988</v>
      </c>
      <c r="G474" s="17" t="s">
        <v>1941</v>
      </c>
      <c r="H474" s="17">
        <v>66276</v>
      </c>
      <c r="I474" t="s">
        <v>1951</v>
      </c>
    </row>
    <row r="475" spans="1:9" x14ac:dyDescent="0.3">
      <c r="A475" s="17" t="s">
        <v>943</v>
      </c>
      <c r="B475" s="17" t="s">
        <v>4045</v>
      </c>
      <c r="C475" s="17" t="s">
        <v>4046</v>
      </c>
      <c r="D475" s="17" t="s">
        <v>4047</v>
      </c>
      <c r="E475" s="17" t="s">
        <v>4048</v>
      </c>
      <c r="F475" s="17" t="s">
        <v>3492</v>
      </c>
      <c r="G475" s="17" t="s">
        <v>1941</v>
      </c>
      <c r="H475" s="17">
        <v>98148</v>
      </c>
      <c r="I475" t="s">
        <v>1951</v>
      </c>
    </row>
    <row r="476" spans="1:9" x14ac:dyDescent="0.3">
      <c r="A476" s="17" t="s">
        <v>945</v>
      </c>
      <c r="B476" s="17" t="s">
        <v>4049</v>
      </c>
      <c r="C476" s="17" t="s">
        <v>4050</v>
      </c>
      <c r="D476" s="17" t="s">
        <v>4051</v>
      </c>
      <c r="E476" s="17" t="s">
        <v>4052</v>
      </c>
      <c r="F476" s="17" t="s">
        <v>3080</v>
      </c>
      <c r="G476" s="17" t="s">
        <v>1949</v>
      </c>
      <c r="H476" s="17" t="s">
        <v>3081</v>
      </c>
      <c r="I476" t="s">
        <v>1942</v>
      </c>
    </row>
    <row r="477" spans="1:9" x14ac:dyDescent="0.3">
      <c r="A477" s="17" t="s">
        <v>947</v>
      </c>
      <c r="B477" s="17" t="s">
        <v>4053</v>
      </c>
      <c r="C477" s="17" t="s">
        <v>4054</v>
      </c>
      <c r="D477" s="17"/>
      <c r="E477" s="17" t="s">
        <v>4055</v>
      </c>
      <c r="F477" s="17" t="s">
        <v>4056</v>
      </c>
      <c r="G477" s="17" t="s">
        <v>1941</v>
      </c>
      <c r="H477" s="17">
        <v>34745</v>
      </c>
      <c r="I477" t="s">
        <v>1951</v>
      </c>
    </row>
    <row r="478" spans="1:9" x14ac:dyDescent="0.3">
      <c r="A478" s="17" t="s">
        <v>949</v>
      </c>
      <c r="B478" s="17" t="s">
        <v>4057</v>
      </c>
      <c r="C478" s="17" t="s">
        <v>4058</v>
      </c>
      <c r="D478" s="17" t="s">
        <v>4059</v>
      </c>
      <c r="E478" s="17" t="s">
        <v>4060</v>
      </c>
      <c r="F478" s="17" t="s">
        <v>2163</v>
      </c>
      <c r="G478" s="17" t="s">
        <v>1941</v>
      </c>
      <c r="H478" s="17">
        <v>14683</v>
      </c>
      <c r="I478" t="s">
        <v>1942</v>
      </c>
    </row>
    <row r="479" spans="1:9" x14ac:dyDescent="0.3">
      <c r="A479" s="17" t="s">
        <v>951</v>
      </c>
      <c r="B479" s="17" t="s">
        <v>4061</v>
      </c>
      <c r="C479" s="17" t="s">
        <v>4062</v>
      </c>
      <c r="D479" s="17" t="s">
        <v>4063</v>
      </c>
      <c r="E479" s="17" t="s">
        <v>4064</v>
      </c>
      <c r="F479" s="17" t="s">
        <v>3515</v>
      </c>
      <c r="G479" s="17" t="s">
        <v>1941</v>
      </c>
      <c r="H479" s="17">
        <v>75799</v>
      </c>
      <c r="I479" t="s">
        <v>1951</v>
      </c>
    </row>
    <row r="480" spans="1:9" x14ac:dyDescent="0.3">
      <c r="A480" s="17" t="s">
        <v>935</v>
      </c>
      <c r="B480" s="17" t="s">
        <v>4065</v>
      </c>
      <c r="C480" s="17" t="s">
        <v>4066</v>
      </c>
      <c r="D480" s="17" t="s">
        <v>4067</v>
      </c>
      <c r="E480" s="17" t="s">
        <v>4068</v>
      </c>
      <c r="F480" s="17" t="s">
        <v>4069</v>
      </c>
      <c r="G480" s="17" t="s">
        <v>1941</v>
      </c>
      <c r="H480" s="17">
        <v>11388</v>
      </c>
      <c r="I480" t="s">
        <v>1942</v>
      </c>
    </row>
    <row r="481" spans="1:9" x14ac:dyDescent="0.3">
      <c r="A481" s="17" t="s">
        <v>4070</v>
      </c>
      <c r="B481" s="17" t="s">
        <v>4071</v>
      </c>
      <c r="C481" s="17"/>
      <c r="D481" s="17" t="s">
        <v>4072</v>
      </c>
      <c r="E481" s="17" t="s">
        <v>4073</v>
      </c>
      <c r="F481" s="17" t="s">
        <v>4074</v>
      </c>
      <c r="G481" s="17" t="s">
        <v>1941</v>
      </c>
      <c r="H481" s="17">
        <v>20167</v>
      </c>
      <c r="I481" t="s">
        <v>1942</v>
      </c>
    </row>
    <row r="482" spans="1:9" x14ac:dyDescent="0.3">
      <c r="A482" s="17" t="s">
        <v>4075</v>
      </c>
      <c r="B482" s="17" t="s">
        <v>4076</v>
      </c>
      <c r="C482" s="17" t="s">
        <v>4077</v>
      </c>
      <c r="D482" s="17" t="s">
        <v>4078</v>
      </c>
      <c r="E482" s="17" t="s">
        <v>4079</v>
      </c>
      <c r="F482" s="17" t="s">
        <v>2004</v>
      </c>
      <c r="G482" s="17" t="s">
        <v>1941</v>
      </c>
      <c r="H482" s="17">
        <v>23203</v>
      </c>
      <c r="I482" t="s">
        <v>1951</v>
      </c>
    </row>
    <row r="483" spans="1:9" x14ac:dyDescent="0.3">
      <c r="A483" s="17" t="s">
        <v>954</v>
      </c>
      <c r="B483" s="17" t="s">
        <v>4080</v>
      </c>
      <c r="C483" s="17" t="s">
        <v>4081</v>
      </c>
      <c r="D483" s="17" t="s">
        <v>4082</v>
      </c>
      <c r="E483" s="17" t="s">
        <v>4083</v>
      </c>
      <c r="F483" s="17" t="s">
        <v>4084</v>
      </c>
      <c r="G483" s="17" t="s">
        <v>2116</v>
      </c>
      <c r="H483" s="17" t="s">
        <v>2393</v>
      </c>
      <c r="I483" t="s">
        <v>1951</v>
      </c>
    </row>
    <row r="484" spans="1:9" x14ac:dyDescent="0.3">
      <c r="A484" s="17" t="s">
        <v>956</v>
      </c>
      <c r="B484" s="17" t="s">
        <v>4085</v>
      </c>
      <c r="C484" s="17" t="s">
        <v>4086</v>
      </c>
      <c r="D484" s="17" t="s">
        <v>4087</v>
      </c>
      <c r="E484" s="17" t="s">
        <v>4088</v>
      </c>
      <c r="F484" s="17" t="s">
        <v>2699</v>
      </c>
      <c r="G484" s="17" t="s">
        <v>1941</v>
      </c>
      <c r="H484" s="17">
        <v>22309</v>
      </c>
      <c r="I484" t="s">
        <v>1942</v>
      </c>
    </row>
    <row r="485" spans="1:9" x14ac:dyDescent="0.3">
      <c r="A485" s="17" t="s">
        <v>958</v>
      </c>
      <c r="B485" s="17" t="s">
        <v>4089</v>
      </c>
      <c r="C485" s="17"/>
      <c r="D485" s="17" t="s">
        <v>4090</v>
      </c>
      <c r="E485" s="17" t="s">
        <v>4091</v>
      </c>
      <c r="F485" s="17" t="s">
        <v>2938</v>
      </c>
      <c r="G485" s="17" t="s">
        <v>1941</v>
      </c>
      <c r="H485" s="17">
        <v>84115</v>
      </c>
      <c r="I485" t="s">
        <v>1942</v>
      </c>
    </row>
    <row r="486" spans="1:9" x14ac:dyDescent="0.3">
      <c r="A486" s="17" t="s">
        <v>960</v>
      </c>
      <c r="B486" s="17" t="s">
        <v>4092</v>
      </c>
      <c r="C486" s="17" t="s">
        <v>4093</v>
      </c>
      <c r="D486" s="17"/>
      <c r="E486" s="17" t="s">
        <v>4094</v>
      </c>
      <c r="F486" s="17" t="s">
        <v>1995</v>
      </c>
      <c r="G486" s="17" t="s">
        <v>1941</v>
      </c>
      <c r="H486" s="17">
        <v>95108</v>
      </c>
      <c r="I486" t="s">
        <v>1951</v>
      </c>
    </row>
    <row r="487" spans="1:9" x14ac:dyDescent="0.3">
      <c r="A487" s="17" t="s">
        <v>962</v>
      </c>
      <c r="B487" s="17" t="s">
        <v>4095</v>
      </c>
      <c r="C487" s="17" t="s">
        <v>4096</v>
      </c>
      <c r="D487" s="17" t="s">
        <v>4097</v>
      </c>
      <c r="E487" s="17" t="s">
        <v>4098</v>
      </c>
      <c r="F487" s="17" t="s">
        <v>4099</v>
      </c>
      <c r="G487" s="17" t="s">
        <v>1949</v>
      </c>
      <c r="H487" s="17" t="s">
        <v>4100</v>
      </c>
      <c r="I487" t="s">
        <v>1942</v>
      </c>
    </row>
    <row r="488" spans="1:9" x14ac:dyDescent="0.3">
      <c r="A488" s="17" t="s">
        <v>964</v>
      </c>
      <c r="B488" s="17" t="s">
        <v>4101</v>
      </c>
      <c r="C488" s="17" t="s">
        <v>4102</v>
      </c>
      <c r="D488" s="17" t="s">
        <v>4103</v>
      </c>
      <c r="E488" s="17" t="s">
        <v>4104</v>
      </c>
      <c r="F488" s="17" t="s">
        <v>4105</v>
      </c>
      <c r="G488" s="17" t="s">
        <v>1949</v>
      </c>
      <c r="H488" s="17" t="s">
        <v>2545</v>
      </c>
      <c r="I488" t="s">
        <v>1942</v>
      </c>
    </row>
    <row r="489" spans="1:9" x14ac:dyDescent="0.3">
      <c r="A489" s="17" t="s">
        <v>966</v>
      </c>
      <c r="B489" s="17" t="s">
        <v>4106</v>
      </c>
      <c r="C489" s="17" t="s">
        <v>4107</v>
      </c>
      <c r="D489" s="17" t="s">
        <v>4108</v>
      </c>
      <c r="E489" s="17" t="s">
        <v>4109</v>
      </c>
      <c r="F489" s="17" t="s">
        <v>4105</v>
      </c>
      <c r="G489" s="17" t="s">
        <v>1949</v>
      </c>
      <c r="H489" s="17" t="s">
        <v>2545</v>
      </c>
      <c r="I489" t="s">
        <v>1951</v>
      </c>
    </row>
    <row r="490" spans="1:9" x14ac:dyDescent="0.3">
      <c r="A490" s="17" t="s">
        <v>968</v>
      </c>
      <c r="B490" s="17" t="s">
        <v>4110</v>
      </c>
      <c r="C490" s="17" t="s">
        <v>4111</v>
      </c>
      <c r="D490" s="17" t="s">
        <v>4112</v>
      </c>
      <c r="E490" s="17" t="s">
        <v>4113</v>
      </c>
      <c r="F490" s="17" t="s">
        <v>4114</v>
      </c>
      <c r="G490" s="17" t="s">
        <v>1949</v>
      </c>
      <c r="H490" s="17" t="s">
        <v>2855</v>
      </c>
      <c r="I490" t="s">
        <v>1942</v>
      </c>
    </row>
    <row r="491" spans="1:9" x14ac:dyDescent="0.3">
      <c r="A491" s="17" t="s">
        <v>970</v>
      </c>
      <c r="B491" s="17" t="s">
        <v>4115</v>
      </c>
      <c r="C491" s="17" t="s">
        <v>4116</v>
      </c>
      <c r="D491" s="17" t="s">
        <v>4117</v>
      </c>
      <c r="E491" s="17" t="s">
        <v>4118</v>
      </c>
      <c r="F491" s="17" t="s">
        <v>2448</v>
      </c>
      <c r="G491" s="17" t="s">
        <v>1941</v>
      </c>
      <c r="H491" s="17">
        <v>79945</v>
      </c>
      <c r="I491" t="s">
        <v>1951</v>
      </c>
    </row>
    <row r="492" spans="1:9" x14ac:dyDescent="0.3">
      <c r="A492" s="17" t="s">
        <v>972</v>
      </c>
      <c r="B492" s="17" t="s">
        <v>4119</v>
      </c>
      <c r="C492" s="17" t="s">
        <v>4120</v>
      </c>
      <c r="D492" s="17" t="s">
        <v>4121</v>
      </c>
      <c r="E492" s="17" t="s">
        <v>4122</v>
      </c>
      <c r="F492" s="17" t="s">
        <v>2191</v>
      </c>
      <c r="G492" s="17" t="s">
        <v>1941</v>
      </c>
      <c r="H492" s="17">
        <v>33355</v>
      </c>
      <c r="I492" t="s">
        <v>1951</v>
      </c>
    </row>
    <row r="493" spans="1:9" x14ac:dyDescent="0.3">
      <c r="A493" s="17" t="s">
        <v>974</v>
      </c>
      <c r="B493" s="17" t="s">
        <v>4123</v>
      </c>
      <c r="C493" s="17"/>
      <c r="D493" s="17" t="s">
        <v>4124</v>
      </c>
      <c r="E493" s="17" t="s">
        <v>4125</v>
      </c>
      <c r="F493" s="17" t="s">
        <v>3483</v>
      </c>
      <c r="G493" s="17" t="s">
        <v>1941</v>
      </c>
      <c r="H493" s="17">
        <v>46295</v>
      </c>
      <c r="I493" t="s">
        <v>1951</v>
      </c>
    </row>
    <row r="494" spans="1:9" x14ac:dyDescent="0.3">
      <c r="A494" s="17" t="s">
        <v>976</v>
      </c>
      <c r="B494" s="17" t="s">
        <v>4126</v>
      </c>
      <c r="C494" s="17" t="s">
        <v>4127</v>
      </c>
      <c r="D494" s="17" t="s">
        <v>4128</v>
      </c>
      <c r="E494" s="17" t="s">
        <v>4129</v>
      </c>
      <c r="F494" s="17" t="s">
        <v>3121</v>
      </c>
      <c r="G494" s="17" t="s">
        <v>1941</v>
      </c>
      <c r="H494" s="17">
        <v>53234</v>
      </c>
      <c r="I494" t="s">
        <v>1942</v>
      </c>
    </row>
    <row r="495" spans="1:9" x14ac:dyDescent="0.3">
      <c r="A495" s="17" t="s">
        <v>978</v>
      </c>
      <c r="B495" s="17" t="s">
        <v>4130</v>
      </c>
      <c r="C495" s="17" t="s">
        <v>4131</v>
      </c>
      <c r="D495" s="17" t="s">
        <v>4132</v>
      </c>
      <c r="E495" s="17" t="s">
        <v>4133</v>
      </c>
      <c r="F495" s="17" t="s">
        <v>3330</v>
      </c>
      <c r="G495" s="17" t="s">
        <v>2116</v>
      </c>
      <c r="H495" s="17" t="s">
        <v>3331</v>
      </c>
      <c r="I495" t="s">
        <v>1951</v>
      </c>
    </row>
    <row r="496" spans="1:9" x14ac:dyDescent="0.3">
      <c r="A496" s="17" t="s">
        <v>980</v>
      </c>
      <c r="B496" s="17" t="s">
        <v>4134</v>
      </c>
      <c r="C496" s="17" t="s">
        <v>4135</v>
      </c>
      <c r="D496" s="17" t="s">
        <v>4136</v>
      </c>
      <c r="E496" s="17" t="s">
        <v>4137</v>
      </c>
      <c r="F496" s="17" t="s">
        <v>3070</v>
      </c>
      <c r="G496" s="17" t="s">
        <v>1941</v>
      </c>
      <c r="H496" s="17">
        <v>70836</v>
      </c>
      <c r="I496" t="s">
        <v>1951</v>
      </c>
    </row>
    <row r="497" spans="1:9" x14ac:dyDescent="0.3">
      <c r="A497" s="17" t="s">
        <v>982</v>
      </c>
      <c r="B497" s="17" t="s">
        <v>4138</v>
      </c>
      <c r="C497" s="17"/>
      <c r="D497" s="17" t="s">
        <v>4139</v>
      </c>
      <c r="E497" s="17" t="s">
        <v>4140</v>
      </c>
      <c r="F497" s="17" t="s">
        <v>3283</v>
      </c>
      <c r="G497" s="17" t="s">
        <v>1941</v>
      </c>
      <c r="H497" s="17">
        <v>6816</v>
      </c>
      <c r="I497" t="s">
        <v>1942</v>
      </c>
    </row>
    <row r="498" spans="1:9" x14ac:dyDescent="0.3">
      <c r="A498" s="17" t="s">
        <v>984</v>
      </c>
      <c r="B498" s="17" t="s">
        <v>4141</v>
      </c>
      <c r="C498" s="17" t="s">
        <v>4142</v>
      </c>
      <c r="D498" s="17" t="s">
        <v>4143</v>
      </c>
      <c r="E498" s="17" t="s">
        <v>4144</v>
      </c>
      <c r="F498" s="17" t="s">
        <v>2225</v>
      </c>
      <c r="G498" s="17" t="s">
        <v>1941</v>
      </c>
      <c r="H498" s="17">
        <v>32590</v>
      </c>
      <c r="I498" t="s">
        <v>1951</v>
      </c>
    </row>
    <row r="499" spans="1:9" x14ac:dyDescent="0.3">
      <c r="A499" s="17" t="s">
        <v>986</v>
      </c>
      <c r="B499" s="17" t="s">
        <v>4145</v>
      </c>
      <c r="C499" s="17" t="s">
        <v>4146</v>
      </c>
      <c r="D499" s="17" t="s">
        <v>4147</v>
      </c>
      <c r="E499" s="17" t="s">
        <v>4148</v>
      </c>
      <c r="F499" s="17" t="s">
        <v>4149</v>
      </c>
      <c r="G499" s="17" t="s">
        <v>1949</v>
      </c>
      <c r="H499" s="17" t="s">
        <v>2083</v>
      </c>
      <c r="I499" t="s">
        <v>1951</v>
      </c>
    </row>
    <row r="500" spans="1:9" x14ac:dyDescent="0.3">
      <c r="A500" s="17" t="s">
        <v>4150</v>
      </c>
      <c r="B500" s="17" t="s">
        <v>4151</v>
      </c>
      <c r="C500" s="17" t="s">
        <v>4152</v>
      </c>
      <c r="D500" s="17" t="s">
        <v>4153</v>
      </c>
      <c r="E500" s="17" t="s">
        <v>4154</v>
      </c>
      <c r="F500" s="17" t="s">
        <v>3238</v>
      </c>
      <c r="G500" s="17" t="s">
        <v>2116</v>
      </c>
      <c r="H500" s="17" t="s">
        <v>3239</v>
      </c>
      <c r="I500" t="s">
        <v>1942</v>
      </c>
    </row>
    <row r="501" spans="1:9" x14ac:dyDescent="0.3">
      <c r="A501" s="17" t="s">
        <v>990</v>
      </c>
      <c r="B501" s="17" t="s">
        <v>4155</v>
      </c>
      <c r="C501" s="17"/>
      <c r="D501" s="17" t="s">
        <v>4156</v>
      </c>
      <c r="E501" s="17" t="s">
        <v>4157</v>
      </c>
      <c r="F501" s="17" t="s">
        <v>2933</v>
      </c>
      <c r="G501" s="17" t="s">
        <v>1949</v>
      </c>
      <c r="H501" s="17" t="s">
        <v>2083</v>
      </c>
      <c r="I501" t="s">
        <v>1942</v>
      </c>
    </row>
    <row r="502" spans="1:9" x14ac:dyDescent="0.3">
      <c r="A502" s="17" t="s">
        <v>992</v>
      </c>
      <c r="B502" s="17" t="s">
        <v>4158</v>
      </c>
      <c r="C502" s="17"/>
      <c r="D502" s="17" t="s">
        <v>4159</v>
      </c>
      <c r="E502" s="17" t="s">
        <v>4160</v>
      </c>
      <c r="F502" s="17" t="s">
        <v>2048</v>
      </c>
      <c r="G502" s="17" t="s">
        <v>1941</v>
      </c>
      <c r="H502" s="17">
        <v>49518</v>
      </c>
      <c r="I502" t="s">
        <v>1951</v>
      </c>
    </row>
    <row r="503" spans="1:9" x14ac:dyDescent="0.3">
      <c r="A503" s="17" t="s">
        <v>994</v>
      </c>
      <c r="B503" s="17" t="s">
        <v>4161</v>
      </c>
      <c r="C503" s="17" t="s">
        <v>4162</v>
      </c>
      <c r="D503" s="17" t="s">
        <v>4163</v>
      </c>
      <c r="E503" s="17" t="s">
        <v>4164</v>
      </c>
      <c r="F503" s="17" t="s">
        <v>3365</v>
      </c>
      <c r="G503" s="17" t="s">
        <v>2116</v>
      </c>
      <c r="H503" s="17" t="s">
        <v>3366</v>
      </c>
      <c r="I503" t="s">
        <v>1951</v>
      </c>
    </row>
    <row r="504" spans="1:9" x14ac:dyDescent="0.3">
      <c r="A504" s="17" t="s">
        <v>4165</v>
      </c>
      <c r="B504" s="17" t="s">
        <v>4166</v>
      </c>
      <c r="C504" s="17" t="s">
        <v>4167</v>
      </c>
      <c r="D504" s="17" t="s">
        <v>4168</v>
      </c>
      <c r="E504" s="17" t="s">
        <v>4169</v>
      </c>
      <c r="F504" s="17" t="s">
        <v>2375</v>
      </c>
      <c r="G504" s="17" t="s">
        <v>1941</v>
      </c>
      <c r="H504" s="17">
        <v>66160</v>
      </c>
      <c r="I504" t="s">
        <v>1951</v>
      </c>
    </row>
    <row r="505" spans="1:9" x14ac:dyDescent="0.3">
      <c r="A505" s="17" t="s">
        <v>4170</v>
      </c>
      <c r="B505" s="17" t="s">
        <v>4171</v>
      </c>
      <c r="C505" s="17"/>
      <c r="D505" s="17" t="s">
        <v>4172</v>
      </c>
      <c r="E505" s="17" t="s">
        <v>4173</v>
      </c>
      <c r="F505" s="17" t="s">
        <v>4174</v>
      </c>
      <c r="G505" s="17" t="s">
        <v>1941</v>
      </c>
      <c r="H505" s="17">
        <v>14905</v>
      </c>
      <c r="I505" t="s">
        <v>1951</v>
      </c>
    </row>
    <row r="506" spans="1:9" x14ac:dyDescent="0.3">
      <c r="A506" s="17" t="s">
        <v>4175</v>
      </c>
      <c r="B506" s="17" t="s">
        <v>4176</v>
      </c>
      <c r="C506" s="17" t="s">
        <v>4177</v>
      </c>
      <c r="D506" s="17" t="s">
        <v>4178</v>
      </c>
      <c r="E506" s="17" t="s">
        <v>4179</v>
      </c>
      <c r="F506" s="17" t="s">
        <v>3121</v>
      </c>
      <c r="G506" s="17" t="s">
        <v>1941</v>
      </c>
      <c r="H506" s="17">
        <v>53205</v>
      </c>
      <c r="I506" t="s">
        <v>1942</v>
      </c>
    </row>
    <row r="507" spans="1:9" x14ac:dyDescent="0.3">
      <c r="A507" s="17" t="s">
        <v>996</v>
      </c>
      <c r="B507" s="17" t="s">
        <v>4180</v>
      </c>
      <c r="C507" s="17" t="s">
        <v>4181</v>
      </c>
      <c r="D507" s="17" t="s">
        <v>4182</v>
      </c>
      <c r="E507" s="17" t="s">
        <v>4183</v>
      </c>
      <c r="F507" s="17" t="s">
        <v>4184</v>
      </c>
      <c r="G507" s="17" t="s">
        <v>1941</v>
      </c>
      <c r="H507" s="17">
        <v>27264</v>
      </c>
      <c r="I507" t="s">
        <v>1951</v>
      </c>
    </row>
    <row r="508" spans="1:9" x14ac:dyDescent="0.3">
      <c r="A508" s="17" t="s">
        <v>998</v>
      </c>
      <c r="B508" s="17" t="s">
        <v>4185</v>
      </c>
      <c r="C508" s="17" t="s">
        <v>4186</v>
      </c>
      <c r="D508" s="17" t="s">
        <v>4187</v>
      </c>
      <c r="E508" s="17" t="s">
        <v>4188</v>
      </c>
      <c r="F508" s="17" t="s">
        <v>2448</v>
      </c>
      <c r="G508" s="17" t="s">
        <v>1941</v>
      </c>
      <c r="H508" s="17">
        <v>88546</v>
      </c>
      <c r="I508" t="s">
        <v>1942</v>
      </c>
    </row>
    <row r="509" spans="1:9" x14ac:dyDescent="0.3">
      <c r="A509" s="17" t="s">
        <v>1000</v>
      </c>
      <c r="B509" s="17" t="s">
        <v>4189</v>
      </c>
      <c r="C509" s="17" t="s">
        <v>4190</v>
      </c>
      <c r="D509" s="17" t="s">
        <v>4191</v>
      </c>
      <c r="E509" s="17" t="s">
        <v>4192</v>
      </c>
      <c r="F509" s="17" t="s">
        <v>4193</v>
      </c>
      <c r="G509" s="17" t="s">
        <v>1941</v>
      </c>
      <c r="H509" s="17">
        <v>44185</v>
      </c>
      <c r="I509" t="s">
        <v>1942</v>
      </c>
    </row>
    <row r="510" spans="1:9" x14ac:dyDescent="0.3">
      <c r="A510" s="17" t="s">
        <v>1002</v>
      </c>
      <c r="B510" s="17" t="s">
        <v>4194</v>
      </c>
      <c r="C510" s="17" t="s">
        <v>4195</v>
      </c>
      <c r="D510" s="17" t="s">
        <v>4196</v>
      </c>
      <c r="E510" s="17" t="s">
        <v>4197</v>
      </c>
      <c r="F510" s="17" t="s">
        <v>4198</v>
      </c>
      <c r="G510" s="17" t="s">
        <v>1949</v>
      </c>
      <c r="H510" s="17" t="s">
        <v>4199</v>
      </c>
      <c r="I510" t="s">
        <v>1951</v>
      </c>
    </row>
    <row r="511" spans="1:9" x14ac:dyDescent="0.3">
      <c r="A511" s="17" t="s">
        <v>988</v>
      </c>
      <c r="B511" s="17" t="s">
        <v>4200</v>
      </c>
      <c r="C511" s="17" t="s">
        <v>4201</v>
      </c>
      <c r="D511" s="17" t="s">
        <v>4202</v>
      </c>
      <c r="E511" s="17" t="s">
        <v>4203</v>
      </c>
      <c r="F511" s="17" t="s">
        <v>4204</v>
      </c>
      <c r="G511" s="17" t="s">
        <v>1949</v>
      </c>
      <c r="H511" s="17" t="s">
        <v>4205</v>
      </c>
      <c r="I511" t="s">
        <v>1942</v>
      </c>
    </row>
    <row r="512" spans="1:9" x14ac:dyDescent="0.3">
      <c r="A512" s="17" t="s">
        <v>1005</v>
      </c>
      <c r="B512" s="17" t="s">
        <v>4206</v>
      </c>
      <c r="C512" s="17" t="s">
        <v>4207</v>
      </c>
      <c r="D512" s="17" t="s">
        <v>4208</v>
      </c>
      <c r="E512" s="17" t="s">
        <v>4209</v>
      </c>
      <c r="F512" s="17" t="s">
        <v>3749</v>
      </c>
      <c r="G512" s="17" t="s">
        <v>1949</v>
      </c>
      <c r="H512" s="17" t="s">
        <v>3750</v>
      </c>
      <c r="I512" t="s">
        <v>1942</v>
      </c>
    </row>
    <row r="513" spans="1:9" x14ac:dyDescent="0.3">
      <c r="A513" s="17" t="s">
        <v>1007</v>
      </c>
      <c r="B513" s="17" t="s">
        <v>4210</v>
      </c>
      <c r="C513" s="17" t="s">
        <v>4211</v>
      </c>
      <c r="D513" s="17" t="s">
        <v>4212</v>
      </c>
      <c r="E513" s="17" t="s">
        <v>4213</v>
      </c>
      <c r="F513" s="17" t="s">
        <v>2172</v>
      </c>
      <c r="G513" s="17" t="s">
        <v>1941</v>
      </c>
      <c r="H513" s="17">
        <v>35244</v>
      </c>
      <c r="I513" t="s">
        <v>1942</v>
      </c>
    </row>
    <row r="514" spans="1:9" x14ac:dyDescent="0.3">
      <c r="A514" s="17" t="s">
        <v>1009</v>
      </c>
      <c r="B514" s="17" t="s">
        <v>4214</v>
      </c>
      <c r="C514" s="17" t="s">
        <v>4215</v>
      </c>
      <c r="D514" s="17" t="s">
        <v>4216</v>
      </c>
      <c r="E514" s="17" t="s">
        <v>4217</v>
      </c>
      <c r="F514" s="17" t="s">
        <v>4218</v>
      </c>
      <c r="G514" s="17" t="s">
        <v>1941</v>
      </c>
      <c r="H514" s="17">
        <v>56372</v>
      </c>
      <c r="I514" t="s">
        <v>1951</v>
      </c>
    </row>
    <row r="515" spans="1:9" x14ac:dyDescent="0.3">
      <c r="A515" s="17" t="s">
        <v>1011</v>
      </c>
      <c r="B515" s="17" t="s">
        <v>4219</v>
      </c>
      <c r="C515" s="17" t="s">
        <v>4220</v>
      </c>
      <c r="D515" s="17"/>
      <c r="E515" s="17" t="s">
        <v>4221</v>
      </c>
      <c r="F515" s="17" t="s">
        <v>2017</v>
      </c>
      <c r="G515" s="17" t="s">
        <v>1941</v>
      </c>
      <c r="H515" s="17">
        <v>19191</v>
      </c>
      <c r="I515" t="s">
        <v>1951</v>
      </c>
    </row>
    <row r="516" spans="1:9" x14ac:dyDescent="0.3">
      <c r="A516" s="17" t="s">
        <v>1013</v>
      </c>
      <c r="B516" s="17" t="s">
        <v>4222</v>
      </c>
      <c r="C516" s="17" t="s">
        <v>4223</v>
      </c>
      <c r="D516" s="17" t="s">
        <v>4224</v>
      </c>
      <c r="E516" s="17" t="s">
        <v>4225</v>
      </c>
      <c r="F516" s="17" t="s">
        <v>2821</v>
      </c>
      <c r="G516" s="17" t="s">
        <v>1941</v>
      </c>
      <c r="H516" s="17">
        <v>48211</v>
      </c>
      <c r="I516" t="s">
        <v>1942</v>
      </c>
    </row>
    <row r="517" spans="1:9" x14ac:dyDescent="0.3">
      <c r="A517" s="17" t="s">
        <v>1015</v>
      </c>
      <c r="B517" s="17" t="s">
        <v>4226</v>
      </c>
      <c r="C517" s="17" t="s">
        <v>4227</v>
      </c>
      <c r="D517" s="17" t="s">
        <v>4228</v>
      </c>
      <c r="E517" s="17" t="s">
        <v>4229</v>
      </c>
      <c r="F517" s="17" t="s">
        <v>2013</v>
      </c>
      <c r="G517" s="17" t="s">
        <v>1941</v>
      </c>
      <c r="H517" s="17">
        <v>63180</v>
      </c>
      <c r="I517" t="s">
        <v>1951</v>
      </c>
    </row>
    <row r="518" spans="1:9" x14ac:dyDescent="0.3">
      <c r="A518" s="17" t="s">
        <v>1017</v>
      </c>
      <c r="B518" s="17" t="s">
        <v>4230</v>
      </c>
      <c r="C518" s="17"/>
      <c r="D518" s="17" t="s">
        <v>4231</v>
      </c>
      <c r="E518" s="17" t="s">
        <v>4232</v>
      </c>
      <c r="F518" s="17" t="s">
        <v>4233</v>
      </c>
      <c r="G518" s="17" t="s">
        <v>1941</v>
      </c>
      <c r="H518" s="17">
        <v>12305</v>
      </c>
      <c r="I518" t="s">
        <v>1942</v>
      </c>
    </row>
    <row r="519" spans="1:9" x14ac:dyDescent="0.3">
      <c r="A519" s="17" t="s">
        <v>1019</v>
      </c>
      <c r="B519" s="17" t="s">
        <v>4234</v>
      </c>
      <c r="C519" s="17"/>
      <c r="D519" s="17" t="s">
        <v>4235</v>
      </c>
      <c r="E519" s="17" t="s">
        <v>4236</v>
      </c>
      <c r="F519" s="17" t="s">
        <v>4237</v>
      </c>
      <c r="G519" s="17" t="s">
        <v>1941</v>
      </c>
      <c r="H519" s="17">
        <v>33805</v>
      </c>
      <c r="I519" t="s">
        <v>1951</v>
      </c>
    </row>
    <row r="520" spans="1:9" x14ac:dyDescent="0.3">
      <c r="A520" s="17" t="s">
        <v>1021</v>
      </c>
      <c r="B520" s="17" t="s">
        <v>4238</v>
      </c>
      <c r="C520" s="17" t="s">
        <v>4239</v>
      </c>
      <c r="D520" s="17" t="s">
        <v>4240</v>
      </c>
      <c r="E520" s="17" t="s">
        <v>4241</v>
      </c>
      <c r="F520" s="17" t="s">
        <v>4242</v>
      </c>
      <c r="G520" s="17" t="s">
        <v>1941</v>
      </c>
      <c r="H520" s="17">
        <v>32941</v>
      </c>
      <c r="I520" t="s">
        <v>1951</v>
      </c>
    </row>
    <row r="521" spans="1:9" x14ac:dyDescent="0.3">
      <c r="A521" s="17" t="s">
        <v>4243</v>
      </c>
      <c r="B521" s="17" t="s">
        <v>4244</v>
      </c>
      <c r="C521" s="17" t="s">
        <v>4245</v>
      </c>
      <c r="D521" s="17" t="s">
        <v>4246</v>
      </c>
      <c r="E521" s="17" t="s">
        <v>4247</v>
      </c>
      <c r="F521" s="17" t="s">
        <v>2027</v>
      </c>
      <c r="G521" s="17" t="s">
        <v>1941</v>
      </c>
      <c r="H521" s="17">
        <v>77075</v>
      </c>
      <c r="I521" t="s">
        <v>1951</v>
      </c>
    </row>
    <row r="522" spans="1:9" x14ac:dyDescent="0.3">
      <c r="A522" s="17" t="s">
        <v>1024</v>
      </c>
      <c r="B522" s="17" t="s">
        <v>4248</v>
      </c>
      <c r="C522" s="17" t="s">
        <v>4249</v>
      </c>
      <c r="D522" s="17" t="s">
        <v>4250</v>
      </c>
      <c r="E522" s="17" t="s">
        <v>4251</v>
      </c>
      <c r="F522" s="17" t="s">
        <v>2144</v>
      </c>
      <c r="G522" s="17" t="s">
        <v>1941</v>
      </c>
      <c r="H522" s="17">
        <v>70179</v>
      </c>
      <c r="I522" t="s">
        <v>1951</v>
      </c>
    </row>
    <row r="523" spans="1:9" x14ac:dyDescent="0.3">
      <c r="A523" s="17" t="s">
        <v>4252</v>
      </c>
      <c r="B523" s="17" t="s">
        <v>4253</v>
      </c>
      <c r="C523" s="17" t="s">
        <v>4254</v>
      </c>
      <c r="D523" s="17" t="s">
        <v>4255</v>
      </c>
      <c r="E523" s="17" t="s">
        <v>4256</v>
      </c>
      <c r="F523" s="17" t="s">
        <v>2362</v>
      </c>
      <c r="G523" s="17" t="s">
        <v>1941</v>
      </c>
      <c r="H523" s="17">
        <v>73142</v>
      </c>
      <c r="I523" t="s">
        <v>1951</v>
      </c>
    </row>
    <row r="524" spans="1:9" x14ac:dyDescent="0.3">
      <c r="A524" s="17" t="s">
        <v>1026</v>
      </c>
      <c r="B524" s="17" t="s">
        <v>4257</v>
      </c>
      <c r="C524" s="17" t="s">
        <v>4258</v>
      </c>
      <c r="D524" s="17" t="s">
        <v>4259</v>
      </c>
      <c r="E524" s="17" t="s">
        <v>4260</v>
      </c>
      <c r="F524" s="17" t="s">
        <v>3510</v>
      </c>
      <c r="G524" s="17" t="s">
        <v>1941</v>
      </c>
      <c r="H524" s="17">
        <v>66617</v>
      </c>
      <c r="I524" t="s">
        <v>1951</v>
      </c>
    </row>
    <row r="525" spans="1:9" x14ac:dyDescent="0.3">
      <c r="A525" s="17" t="s">
        <v>1028</v>
      </c>
      <c r="B525" s="17" t="s">
        <v>4261</v>
      </c>
      <c r="C525" s="17" t="s">
        <v>4262</v>
      </c>
      <c r="D525" s="17" t="s">
        <v>4263</v>
      </c>
      <c r="E525" s="17" t="s">
        <v>4264</v>
      </c>
      <c r="F525" s="17" t="s">
        <v>4265</v>
      </c>
      <c r="G525" s="17" t="s">
        <v>1949</v>
      </c>
      <c r="H525" s="17" t="s">
        <v>3618</v>
      </c>
      <c r="I525" t="s">
        <v>1951</v>
      </c>
    </row>
    <row r="526" spans="1:9" x14ac:dyDescent="0.3">
      <c r="A526" s="17" t="s">
        <v>1030</v>
      </c>
      <c r="B526" s="17" t="s">
        <v>4266</v>
      </c>
      <c r="C526" s="17"/>
      <c r="D526" s="17" t="s">
        <v>4267</v>
      </c>
      <c r="E526" s="17" t="s">
        <v>4268</v>
      </c>
      <c r="F526" s="17" t="s">
        <v>1962</v>
      </c>
      <c r="G526" s="17" t="s">
        <v>1941</v>
      </c>
      <c r="H526" s="17">
        <v>62723</v>
      </c>
      <c r="I526" t="s">
        <v>1951</v>
      </c>
    </row>
    <row r="527" spans="1:9" x14ac:dyDescent="0.3">
      <c r="A527" s="17" t="s">
        <v>1032</v>
      </c>
      <c r="B527" s="17" t="s">
        <v>4269</v>
      </c>
      <c r="C527" s="17"/>
      <c r="D527" s="17" t="s">
        <v>4270</v>
      </c>
      <c r="E527" s="17" t="s">
        <v>4271</v>
      </c>
      <c r="F527" s="17" t="s">
        <v>4272</v>
      </c>
      <c r="G527" s="17" t="s">
        <v>1941</v>
      </c>
      <c r="H527" s="17">
        <v>8104</v>
      </c>
      <c r="I527" t="s">
        <v>1942</v>
      </c>
    </row>
    <row r="528" spans="1:9" x14ac:dyDescent="0.3">
      <c r="A528" s="17" t="s">
        <v>1034</v>
      </c>
      <c r="B528" s="17" t="s">
        <v>4273</v>
      </c>
      <c r="C528" s="17" t="s">
        <v>4274</v>
      </c>
      <c r="D528" s="17" t="s">
        <v>4275</v>
      </c>
      <c r="E528" s="17" t="s">
        <v>4276</v>
      </c>
      <c r="F528" s="17" t="s">
        <v>3492</v>
      </c>
      <c r="G528" s="17" t="s">
        <v>1941</v>
      </c>
      <c r="H528" s="17">
        <v>98185</v>
      </c>
      <c r="I528" t="s">
        <v>1942</v>
      </c>
    </row>
    <row r="529" spans="1:9" x14ac:dyDescent="0.3">
      <c r="A529" s="17" t="s">
        <v>1036</v>
      </c>
      <c r="B529" s="17" t="s">
        <v>4277</v>
      </c>
      <c r="C529" s="17" t="s">
        <v>4278</v>
      </c>
      <c r="D529" s="17" t="s">
        <v>4279</v>
      </c>
      <c r="E529" s="17" t="s">
        <v>4280</v>
      </c>
      <c r="F529" s="17" t="s">
        <v>2242</v>
      </c>
      <c r="G529" s="17" t="s">
        <v>2116</v>
      </c>
      <c r="H529" s="17" t="s">
        <v>2243</v>
      </c>
      <c r="I529" t="s">
        <v>1951</v>
      </c>
    </row>
    <row r="530" spans="1:9" x14ac:dyDescent="0.3">
      <c r="A530" s="17" t="s">
        <v>1038</v>
      </c>
      <c r="B530" s="17" t="s">
        <v>4281</v>
      </c>
      <c r="C530" s="17" t="s">
        <v>4282</v>
      </c>
      <c r="D530" s="17" t="s">
        <v>4283</v>
      </c>
      <c r="E530" s="17" t="s">
        <v>4284</v>
      </c>
      <c r="F530" s="17" t="s">
        <v>4285</v>
      </c>
      <c r="G530" s="17" t="s">
        <v>1941</v>
      </c>
      <c r="H530" s="17">
        <v>76711</v>
      </c>
      <c r="I530" t="s">
        <v>1951</v>
      </c>
    </row>
    <row r="531" spans="1:9" x14ac:dyDescent="0.3">
      <c r="A531" s="17" t="s">
        <v>1040</v>
      </c>
      <c r="B531" s="17" t="s">
        <v>4286</v>
      </c>
      <c r="C531" s="17" t="s">
        <v>4287</v>
      </c>
      <c r="D531" s="17" t="s">
        <v>4288</v>
      </c>
      <c r="E531" s="17" t="s">
        <v>4289</v>
      </c>
      <c r="F531" s="17" t="s">
        <v>2004</v>
      </c>
      <c r="G531" s="17" t="s">
        <v>1941</v>
      </c>
      <c r="H531" s="17">
        <v>23242</v>
      </c>
      <c r="I531" t="s">
        <v>1951</v>
      </c>
    </row>
    <row r="532" spans="1:9" x14ac:dyDescent="0.3">
      <c r="A532" s="17" t="s">
        <v>1042</v>
      </c>
      <c r="B532" s="17" t="s">
        <v>4290</v>
      </c>
      <c r="C532" s="17" t="s">
        <v>4291</v>
      </c>
      <c r="D532" s="17" t="s">
        <v>4292</v>
      </c>
      <c r="E532" s="17" t="s">
        <v>4293</v>
      </c>
      <c r="F532" s="17" t="s">
        <v>2211</v>
      </c>
      <c r="G532" s="17" t="s">
        <v>1941</v>
      </c>
      <c r="H532" s="17">
        <v>43610</v>
      </c>
      <c r="I532" t="s">
        <v>1951</v>
      </c>
    </row>
    <row r="533" spans="1:9" x14ac:dyDescent="0.3">
      <c r="A533" s="17" t="s">
        <v>1044</v>
      </c>
      <c r="B533" s="17" t="s">
        <v>4294</v>
      </c>
      <c r="C533" s="17" t="s">
        <v>4295</v>
      </c>
      <c r="D533" s="17" t="s">
        <v>4296</v>
      </c>
      <c r="E533" s="17" t="s">
        <v>4297</v>
      </c>
      <c r="F533" s="17" t="s">
        <v>2481</v>
      </c>
      <c r="G533" s="17" t="s">
        <v>1941</v>
      </c>
      <c r="H533" s="17">
        <v>25705</v>
      </c>
      <c r="I533" t="s">
        <v>1951</v>
      </c>
    </row>
    <row r="534" spans="1:9" x14ac:dyDescent="0.3">
      <c r="A534" s="17" t="s">
        <v>1046</v>
      </c>
      <c r="B534" s="17" t="s">
        <v>4298</v>
      </c>
      <c r="C534" s="17" t="s">
        <v>4299</v>
      </c>
      <c r="D534" s="17" t="s">
        <v>4300</v>
      </c>
      <c r="E534" s="17" t="s">
        <v>4301</v>
      </c>
      <c r="F534" s="17" t="s">
        <v>4302</v>
      </c>
      <c r="G534" s="17" t="s">
        <v>1941</v>
      </c>
      <c r="H534" s="17">
        <v>33884</v>
      </c>
      <c r="I534" t="s">
        <v>1942</v>
      </c>
    </row>
    <row r="535" spans="1:9" x14ac:dyDescent="0.3">
      <c r="A535" s="17" t="s">
        <v>1048</v>
      </c>
      <c r="B535" s="17" t="s">
        <v>4303</v>
      </c>
      <c r="C535" s="17"/>
      <c r="D535" s="17" t="s">
        <v>4304</v>
      </c>
      <c r="E535" s="17" t="s">
        <v>4305</v>
      </c>
      <c r="F535" s="17" t="s">
        <v>2325</v>
      </c>
      <c r="G535" s="17" t="s">
        <v>1941</v>
      </c>
      <c r="H535" s="17">
        <v>75323</v>
      </c>
      <c r="I535" t="s">
        <v>1951</v>
      </c>
    </row>
    <row r="536" spans="1:9" x14ac:dyDescent="0.3">
      <c r="A536" s="17" t="s">
        <v>1050</v>
      </c>
      <c r="B536" s="17" t="s">
        <v>4306</v>
      </c>
      <c r="C536" s="17" t="s">
        <v>4307</v>
      </c>
      <c r="D536" s="17" t="s">
        <v>4308</v>
      </c>
      <c r="E536" s="17" t="s">
        <v>4309</v>
      </c>
      <c r="F536" s="17" t="s">
        <v>2345</v>
      </c>
      <c r="G536" s="17" t="s">
        <v>1949</v>
      </c>
      <c r="H536" s="17" t="s">
        <v>2346</v>
      </c>
      <c r="I536" t="s">
        <v>1942</v>
      </c>
    </row>
    <row r="537" spans="1:9" x14ac:dyDescent="0.3">
      <c r="A537" s="17" t="s">
        <v>1052</v>
      </c>
      <c r="B537" s="17" t="s">
        <v>4310</v>
      </c>
      <c r="C537" s="17"/>
      <c r="D537" s="17" t="s">
        <v>4311</v>
      </c>
      <c r="E537" s="17" t="s">
        <v>4312</v>
      </c>
      <c r="F537" s="17" t="s">
        <v>2600</v>
      </c>
      <c r="G537" s="17" t="s">
        <v>1949</v>
      </c>
      <c r="H537" s="17" t="s">
        <v>2545</v>
      </c>
      <c r="I537" t="s">
        <v>1951</v>
      </c>
    </row>
    <row r="538" spans="1:9" x14ac:dyDescent="0.3">
      <c r="A538" s="17" t="s">
        <v>4313</v>
      </c>
      <c r="B538" s="17" t="s">
        <v>4314</v>
      </c>
      <c r="C538" s="17" t="s">
        <v>4315</v>
      </c>
      <c r="D538" s="17" t="s">
        <v>4316</v>
      </c>
      <c r="E538" s="17" t="s">
        <v>4317</v>
      </c>
      <c r="F538" s="17" t="s">
        <v>2287</v>
      </c>
      <c r="G538" s="17" t="s">
        <v>1941</v>
      </c>
      <c r="H538" s="17">
        <v>43231</v>
      </c>
      <c r="I538" t="s">
        <v>1951</v>
      </c>
    </row>
    <row r="539" spans="1:9" x14ac:dyDescent="0.3">
      <c r="A539" s="17" t="s">
        <v>1055</v>
      </c>
      <c r="B539" s="17" t="s">
        <v>4318</v>
      </c>
      <c r="C539" s="17" t="s">
        <v>4319</v>
      </c>
      <c r="D539" s="17"/>
      <c r="E539" s="17" t="s">
        <v>4320</v>
      </c>
      <c r="F539" s="17" t="s">
        <v>2555</v>
      </c>
      <c r="G539" s="17" t="s">
        <v>1941</v>
      </c>
      <c r="H539" s="17">
        <v>47747</v>
      </c>
      <c r="I539" t="s">
        <v>1942</v>
      </c>
    </row>
    <row r="540" spans="1:9" x14ac:dyDescent="0.3">
      <c r="A540" s="17" t="s">
        <v>1057</v>
      </c>
      <c r="B540" s="17" t="s">
        <v>4321</v>
      </c>
      <c r="C540" s="17" t="s">
        <v>4322</v>
      </c>
      <c r="D540" s="17"/>
      <c r="E540" s="17" t="s">
        <v>4323</v>
      </c>
      <c r="F540" s="17" t="s">
        <v>4324</v>
      </c>
      <c r="G540" s="17" t="s">
        <v>1941</v>
      </c>
      <c r="H540" s="17">
        <v>60567</v>
      </c>
      <c r="I540" t="s">
        <v>1942</v>
      </c>
    </row>
    <row r="541" spans="1:9" x14ac:dyDescent="0.3">
      <c r="A541" s="17" t="s">
        <v>1059</v>
      </c>
      <c r="B541" s="17" t="s">
        <v>4325</v>
      </c>
      <c r="C541" s="17" t="s">
        <v>4326</v>
      </c>
      <c r="D541" s="17"/>
      <c r="E541" s="17" t="s">
        <v>4327</v>
      </c>
      <c r="F541" s="17" t="s">
        <v>2122</v>
      </c>
      <c r="G541" s="17" t="s">
        <v>1941</v>
      </c>
      <c r="H541" s="17">
        <v>29424</v>
      </c>
      <c r="I541" t="s">
        <v>1951</v>
      </c>
    </row>
    <row r="542" spans="1:9" x14ac:dyDescent="0.3">
      <c r="A542" s="17" t="s">
        <v>1061</v>
      </c>
      <c r="B542" s="17" t="s">
        <v>4328</v>
      </c>
      <c r="C542" s="17" t="s">
        <v>4329</v>
      </c>
      <c r="D542" s="17" t="s">
        <v>4330</v>
      </c>
      <c r="E542" s="17" t="s">
        <v>4331</v>
      </c>
      <c r="F542" s="17" t="s">
        <v>2800</v>
      </c>
      <c r="G542" s="17" t="s">
        <v>1941</v>
      </c>
      <c r="H542" s="17">
        <v>48930</v>
      </c>
      <c r="I542" t="s">
        <v>1942</v>
      </c>
    </row>
    <row r="543" spans="1:9" x14ac:dyDescent="0.3">
      <c r="A543" s="17" t="s">
        <v>1063</v>
      </c>
      <c r="B543" s="17" t="s">
        <v>4332</v>
      </c>
      <c r="C543" s="17"/>
      <c r="D543" s="17" t="s">
        <v>4333</v>
      </c>
      <c r="E543" s="17" t="s">
        <v>4334</v>
      </c>
      <c r="F543" s="17" t="s">
        <v>4335</v>
      </c>
      <c r="G543" s="17" t="s">
        <v>1949</v>
      </c>
      <c r="H543" s="17" t="s">
        <v>4199</v>
      </c>
      <c r="I543" t="s">
        <v>1942</v>
      </c>
    </row>
    <row r="544" spans="1:9" x14ac:dyDescent="0.3">
      <c r="A544" s="17" t="s">
        <v>1065</v>
      </c>
      <c r="B544" s="17" t="s">
        <v>4336</v>
      </c>
      <c r="C544" s="17" t="s">
        <v>4337</v>
      </c>
      <c r="D544" s="17" t="s">
        <v>4338</v>
      </c>
      <c r="E544" s="17" t="s">
        <v>4339</v>
      </c>
      <c r="F544" s="17" t="s">
        <v>3524</v>
      </c>
      <c r="G544" s="17" t="s">
        <v>1941</v>
      </c>
      <c r="H544" s="17">
        <v>71115</v>
      </c>
      <c r="I544" t="s">
        <v>1951</v>
      </c>
    </row>
    <row r="545" spans="1:9" x14ac:dyDescent="0.3">
      <c r="A545" s="17" t="s">
        <v>1067</v>
      </c>
      <c r="B545" s="17" t="s">
        <v>4340</v>
      </c>
      <c r="C545" s="17" t="s">
        <v>4341</v>
      </c>
      <c r="D545" s="17" t="s">
        <v>4342</v>
      </c>
      <c r="E545" s="17" t="s">
        <v>4343</v>
      </c>
      <c r="F545" s="17" t="s">
        <v>1995</v>
      </c>
      <c r="G545" s="17" t="s">
        <v>1941</v>
      </c>
      <c r="H545" s="17">
        <v>95194</v>
      </c>
      <c r="I545" t="s">
        <v>1951</v>
      </c>
    </row>
    <row r="546" spans="1:9" x14ac:dyDescent="0.3">
      <c r="A546" s="17" t="s">
        <v>1069</v>
      </c>
      <c r="B546" s="17" t="s">
        <v>4344</v>
      </c>
      <c r="C546" s="17" t="s">
        <v>4345</v>
      </c>
      <c r="D546" s="17" t="s">
        <v>4346</v>
      </c>
      <c r="E546" s="17" t="s">
        <v>4347</v>
      </c>
      <c r="F546" s="17" t="s">
        <v>2017</v>
      </c>
      <c r="G546" s="17" t="s">
        <v>1941</v>
      </c>
      <c r="H546" s="17">
        <v>19104</v>
      </c>
      <c r="I546" t="s">
        <v>1951</v>
      </c>
    </row>
    <row r="547" spans="1:9" x14ac:dyDescent="0.3">
      <c r="A547" s="17" t="s">
        <v>1071</v>
      </c>
      <c r="B547" s="17" t="s">
        <v>4348</v>
      </c>
      <c r="C547" s="17" t="s">
        <v>4349</v>
      </c>
      <c r="D547" s="17" t="s">
        <v>4350</v>
      </c>
      <c r="E547" s="17" t="s">
        <v>4351</v>
      </c>
      <c r="F547" s="17" t="s">
        <v>3134</v>
      </c>
      <c r="G547" s="17" t="s">
        <v>2116</v>
      </c>
      <c r="H547" s="17" t="s">
        <v>3135</v>
      </c>
      <c r="I547" t="s">
        <v>1951</v>
      </c>
    </row>
    <row r="548" spans="1:9" x14ac:dyDescent="0.3">
      <c r="A548" s="17" t="s">
        <v>1073</v>
      </c>
      <c r="B548" s="17" t="s">
        <v>4352</v>
      </c>
      <c r="C548" s="17"/>
      <c r="D548" s="17" t="s">
        <v>4353</v>
      </c>
      <c r="E548" s="17" t="s">
        <v>4354</v>
      </c>
      <c r="F548" s="17" t="s">
        <v>4355</v>
      </c>
      <c r="G548" s="17" t="s">
        <v>1949</v>
      </c>
      <c r="H548" s="17" t="s">
        <v>4356</v>
      </c>
      <c r="I548" t="s">
        <v>1951</v>
      </c>
    </row>
    <row r="549" spans="1:9" x14ac:dyDescent="0.3">
      <c r="A549" s="17" t="s">
        <v>4357</v>
      </c>
      <c r="B549" s="17" t="s">
        <v>4358</v>
      </c>
      <c r="C549" s="17"/>
      <c r="D549" s="17" t="s">
        <v>4359</v>
      </c>
      <c r="E549" s="17" t="s">
        <v>4360</v>
      </c>
      <c r="F549" s="17" t="s">
        <v>3316</v>
      </c>
      <c r="G549" s="17" t="s">
        <v>1941</v>
      </c>
      <c r="H549" s="17">
        <v>21229</v>
      </c>
      <c r="I549" t="s">
        <v>1942</v>
      </c>
    </row>
    <row r="550" spans="1:9" x14ac:dyDescent="0.3">
      <c r="A550" s="17" t="s">
        <v>1077</v>
      </c>
      <c r="B550" s="17" t="s">
        <v>4361</v>
      </c>
      <c r="C550" s="17" t="s">
        <v>4362</v>
      </c>
      <c r="D550" s="17" t="s">
        <v>4363</v>
      </c>
      <c r="E550" s="17" t="s">
        <v>4364</v>
      </c>
      <c r="F550" s="17" t="s">
        <v>2362</v>
      </c>
      <c r="G550" s="17" t="s">
        <v>1941</v>
      </c>
      <c r="H550" s="17">
        <v>73119</v>
      </c>
      <c r="I550" t="s">
        <v>1942</v>
      </c>
    </row>
    <row r="551" spans="1:9" x14ac:dyDescent="0.3">
      <c r="A551" s="17" t="s">
        <v>1075</v>
      </c>
      <c r="B551" s="17" t="s">
        <v>4365</v>
      </c>
      <c r="C551" s="17" t="s">
        <v>4366</v>
      </c>
      <c r="D551" s="17" t="s">
        <v>4367</v>
      </c>
      <c r="E551" s="17" t="s">
        <v>4368</v>
      </c>
      <c r="F551" s="17" t="s">
        <v>2037</v>
      </c>
      <c r="G551" s="17" t="s">
        <v>1941</v>
      </c>
      <c r="H551" s="17">
        <v>10060</v>
      </c>
      <c r="I551" t="s">
        <v>1942</v>
      </c>
    </row>
    <row r="552" spans="1:9" x14ac:dyDescent="0.3">
      <c r="A552" s="17" t="s">
        <v>1080</v>
      </c>
      <c r="B552" s="17" t="s">
        <v>4369</v>
      </c>
      <c r="C552" s="17" t="s">
        <v>4370</v>
      </c>
      <c r="D552" s="17" t="s">
        <v>4371</v>
      </c>
      <c r="E552" s="17" t="s">
        <v>4372</v>
      </c>
      <c r="F552" s="17" t="s">
        <v>2256</v>
      </c>
      <c r="G552" s="17" t="s">
        <v>1941</v>
      </c>
      <c r="H552" s="17">
        <v>7112</v>
      </c>
      <c r="I552" t="s">
        <v>1942</v>
      </c>
    </row>
    <row r="553" spans="1:9" x14ac:dyDescent="0.3">
      <c r="A553" s="17" t="s">
        <v>1082</v>
      </c>
      <c r="B553" s="17" t="s">
        <v>4373</v>
      </c>
      <c r="C553" s="17" t="s">
        <v>4374</v>
      </c>
      <c r="D553" s="17" t="s">
        <v>4375</v>
      </c>
      <c r="E553" s="17" t="s">
        <v>4376</v>
      </c>
      <c r="F553" s="17" t="s">
        <v>3677</v>
      </c>
      <c r="G553" s="17" t="s">
        <v>1941</v>
      </c>
      <c r="H553" s="17">
        <v>6510</v>
      </c>
      <c r="I553" t="s">
        <v>1951</v>
      </c>
    </row>
    <row r="554" spans="1:9" x14ac:dyDescent="0.3">
      <c r="A554" s="17" t="s">
        <v>1084</v>
      </c>
      <c r="B554" s="17" t="s">
        <v>4377</v>
      </c>
      <c r="C554" s="17" t="s">
        <v>4378</v>
      </c>
      <c r="D554" s="17" t="s">
        <v>4379</v>
      </c>
      <c r="E554" s="17" t="s">
        <v>4380</v>
      </c>
      <c r="F554" s="17" t="s">
        <v>3365</v>
      </c>
      <c r="G554" s="17" t="s">
        <v>2116</v>
      </c>
      <c r="H554" s="17" t="s">
        <v>3366</v>
      </c>
      <c r="I554" t="s">
        <v>1942</v>
      </c>
    </row>
    <row r="555" spans="1:9" x14ac:dyDescent="0.3">
      <c r="A555" s="17" t="s">
        <v>1086</v>
      </c>
      <c r="B555" s="17" t="s">
        <v>4381</v>
      </c>
      <c r="C555" s="17" t="s">
        <v>4382</v>
      </c>
      <c r="D555" s="17"/>
      <c r="E555" s="17" t="s">
        <v>4383</v>
      </c>
      <c r="F555" s="17" t="s">
        <v>2211</v>
      </c>
      <c r="G555" s="17" t="s">
        <v>1941</v>
      </c>
      <c r="H555" s="17">
        <v>43610</v>
      </c>
      <c r="I555" t="s">
        <v>1951</v>
      </c>
    </row>
    <row r="556" spans="1:9" x14ac:dyDescent="0.3">
      <c r="A556" s="17" t="s">
        <v>1088</v>
      </c>
      <c r="B556" s="17" t="s">
        <v>4384</v>
      </c>
      <c r="C556" s="17"/>
      <c r="D556" s="17" t="s">
        <v>4385</v>
      </c>
      <c r="E556" s="17" t="s">
        <v>4386</v>
      </c>
      <c r="F556" s="17" t="s">
        <v>3164</v>
      </c>
      <c r="G556" s="17" t="s">
        <v>2116</v>
      </c>
      <c r="H556" s="17" t="s">
        <v>4387</v>
      </c>
      <c r="I556" t="s">
        <v>1942</v>
      </c>
    </row>
    <row r="557" spans="1:9" x14ac:dyDescent="0.3">
      <c r="A557" s="17" t="s">
        <v>1090</v>
      </c>
      <c r="B557" s="17" t="s">
        <v>4388</v>
      </c>
      <c r="C557" s="17" t="s">
        <v>4389</v>
      </c>
      <c r="D557" s="17" t="s">
        <v>4390</v>
      </c>
      <c r="E557" s="17" t="s">
        <v>4391</v>
      </c>
      <c r="F557" s="17" t="s">
        <v>4392</v>
      </c>
      <c r="G557" s="17" t="s">
        <v>1949</v>
      </c>
      <c r="H557" s="17" t="s">
        <v>4393</v>
      </c>
      <c r="I557" t="s">
        <v>1951</v>
      </c>
    </row>
    <row r="558" spans="1:9" x14ac:dyDescent="0.3">
      <c r="A558" s="17" t="s">
        <v>1092</v>
      </c>
      <c r="B558" s="17" t="s">
        <v>4394</v>
      </c>
      <c r="C558" s="17" t="s">
        <v>4395</v>
      </c>
      <c r="D558" s="17"/>
      <c r="E558" s="17" t="s">
        <v>4396</v>
      </c>
      <c r="F558" s="17" t="s">
        <v>3524</v>
      </c>
      <c r="G558" s="17" t="s">
        <v>1941</v>
      </c>
      <c r="H558" s="17">
        <v>71161</v>
      </c>
      <c r="I558" t="s">
        <v>1942</v>
      </c>
    </row>
    <row r="559" spans="1:9" x14ac:dyDescent="0.3">
      <c r="A559" s="17" t="s">
        <v>4397</v>
      </c>
      <c r="B559" s="17" t="s">
        <v>4398</v>
      </c>
      <c r="C559" s="17"/>
      <c r="D559" s="17" t="s">
        <v>4399</v>
      </c>
      <c r="E559" s="17" t="s">
        <v>4400</v>
      </c>
      <c r="F559" s="17" t="s">
        <v>4401</v>
      </c>
      <c r="G559" s="17" t="s">
        <v>1941</v>
      </c>
      <c r="H559" s="17">
        <v>32835</v>
      </c>
      <c r="I559" t="s">
        <v>1951</v>
      </c>
    </row>
    <row r="560" spans="1:9" x14ac:dyDescent="0.3">
      <c r="A560" s="17" t="s">
        <v>1095</v>
      </c>
      <c r="B560" s="17" t="s">
        <v>4402</v>
      </c>
      <c r="C560" s="17"/>
      <c r="D560" s="17" t="s">
        <v>4403</v>
      </c>
      <c r="E560" s="17" t="s">
        <v>4404</v>
      </c>
      <c r="F560" s="17" t="s">
        <v>3320</v>
      </c>
      <c r="G560" s="17" t="s">
        <v>1941</v>
      </c>
      <c r="H560" s="17">
        <v>40515</v>
      </c>
      <c r="I560" t="s">
        <v>1942</v>
      </c>
    </row>
    <row r="561" spans="1:9" x14ac:dyDescent="0.3">
      <c r="A561" s="17" t="s">
        <v>1097</v>
      </c>
      <c r="B561" s="17" t="s">
        <v>4405</v>
      </c>
      <c r="C561" s="17" t="s">
        <v>4406</v>
      </c>
      <c r="D561" s="17" t="s">
        <v>4407</v>
      </c>
      <c r="E561" s="17" t="s">
        <v>4408</v>
      </c>
      <c r="F561" s="17" t="s">
        <v>3121</v>
      </c>
      <c r="G561" s="17" t="s">
        <v>1941</v>
      </c>
      <c r="H561" s="17">
        <v>53263</v>
      </c>
      <c r="I561" t="s">
        <v>1942</v>
      </c>
    </row>
    <row r="562" spans="1:9" x14ac:dyDescent="0.3">
      <c r="A562" s="17" t="s">
        <v>1099</v>
      </c>
      <c r="B562" s="17" t="s">
        <v>4409</v>
      </c>
      <c r="C562" s="17"/>
      <c r="D562" s="17" t="s">
        <v>4410</v>
      </c>
      <c r="E562" s="17" t="s">
        <v>4411</v>
      </c>
      <c r="F562" s="17" t="s">
        <v>4412</v>
      </c>
      <c r="G562" s="17" t="s">
        <v>1941</v>
      </c>
      <c r="H562" s="17">
        <v>79176</v>
      </c>
      <c r="I562" t="s">
        <v>1942</v>
      </c>
    </row>
    <row r="563" spans="1:9" x14ac:dyDescent="0.3">
      <c r="A563" s="17" t="s">
        <v>1101</v>
      </c>
      <c r="B563" s="17" t="s">
        <v>4413</v>
      </c>
      <c r="C563" s="17"/>
      <c r="D563" s="17" t="s">
        <v>4414</v>
      </c>
      <c r="E563" s="17" t="s">
        <v>4415</v>
      </c>
      <c r="F563" s="17" t="s">
        <v>4416</v>
      </c>
      <c r="G563" s="17" t="s">
        <v>1949</v>
      </c>
      <c r="H563" s="17" t="s">
        <v>4417</v>
      </c>
      <c r="I563" t="s">
        <v>1942</v>
      </c>
    </row>
    <row r="564" spans="1:9" x14ac:dyDescent="0.3">
      <c r="A564" s="17" t="s">
        <v>1103</v>
      </c>
      <c r="B564" s="17" t="s">
        <v>4418</v>
      </c>
      <c r="C564" s="17" t="s">
        <v>4419</v>
      </c>
      <c r="D564" s="17" t="s">
        <v>4420</v>
      </c>
      <c r="E564" s="17" t="s">
        <v>4421</v>
      </c>
      <c r="F564" s="17" t="s">
        <v>4422</v>
      </c>
      <c r="G564" s="17" t="s">
        <v>2116</v>
      </c>
      <c r="H564" s="17" t="s">
        <v>4423</v>
      </c>
      <c r="I564" t="s">
        <v>1951</v>
      </c>
    </row>
    <row r="565" spans="1:9" x14ac:dyDescent="0.3">
      <c r="A565" s="17" t="s">
        <v>4424</v>
      </c>
      <c r="B565" s="17" t="s">
        <v>4425</v>
      </c>
      <c r="C565" s="17" t="s">
        <v>4426</v>
      </c>
      <c r="D565" s="17" t="s">
        <v>4427</v>
      </c>
      <c r="E565" s="17" t="s">
        <v>4428</v>
      </c>
      <c r="F565" s="17" t="s">
        <v>3049</v>
      </c>
      <c r="G565" s="17" t="s">
        <v>1941</v>
      </c>
      <c r="H565" s="17">
        <v>30323</v>
      </c>
      <c r="I565" t="s">
        <v>1951</v>
      </c>
    </row>
    <row r="566" spans="1:9" x14ac:dyDescent="0.3">
      <c r="A566" s="17" t="s">
        <v>1107</v>
      </c>
      <c r="B566" s="17" t="s">
        <v>4429</v>
      </c>
      <c r="C566" s="17" t="s">
        <v>4430</v>
      </c>
      <c r="D566" s="17" t="s">
        <v>4431</v>
      </c>
      <c r="E566" s="17" t="s">
        <v>4432</v>
      </c>
      <c r="F566" s="17" t="s">
        <v>3412</v>
      </c>
      <c r="G566" s="17" t="s">
        <v>1941</v>
      </c>
      <c r="H566" s="17">
        <v>37924</v>
      </c>
      <c r="I566" t="s">
        <v>1951</v>
      </c>
    </row>
    <row r="567" spans="1:9" x14ac:dyDescent="0.3">
      <c r="A567" s="17" t="s">
        <v>1109</v>
      </c>
      <c r="B567" s="17" t="s">
        <v>4433</v>
      </c>
      <c r="C567" s="17" t="s">
        <v>4434</v>
      </c>
      <c r="D567" s="17" t="s">
        <v>4435</v>
      </c>
      <c r="E567" s="17" t="s">
        <v>4436</v>
      </c>
      <c r="F567" s="17" t="s">
        <v>2988</v>
      </c>
      <c r="G567" s="17" t="s">
        <v>1941</v>
      </c>
      <c r="H567" s="17">
        <v>66225</v>
      </c>
      <c r="I567" t="s">
        <v>1951</v>
      </c>
    </row>
    <row r="568" spans="1:9" x14ac:dyDescent="0.3">
      <c r="A568" s="17" t="s">
        <v>1111</v>
      </c>
      <c r="B568" s="17" t="s">
        <v>4437</v>
      </c>
      <c r="C568" s="17" t="s">
        <v>4438</v>
      </c>
      <c r="D568" s="17" t="s">
        <v>4439</v>
      </c>
      <c r="E568" s="17" t="s">
        <v>4440</v>
      </c>
      <c r="F568" s="17" t="s">
        <v>2191</v>
      </c>
      <c r="G568" s="17" t="s">
        <v>1941</v>
      </c>
      <c r="H568" s="17">
        <v>33330</v>
      </c>
      <c r="I568" t="s">
        <v>1942</v>
      </c>
    </row>
    <row r="569" spans="1:9" x14ac:dyDescent="0.3">
      <c r="A569" s="17" t="s">
        <v>1113</v>
      </c>
      <c r="B569" s="17" t="s">
        <v>4441</v>
      </c>
      <c r="C569" s="17"/>
      <c r="D569" s="17" t="s">
        <v>4442</v>
      </c>
      <c r="E569" s="17" t="s">
        <v>4443</v>
      </c>
      <c r="F569" s="17" t="s">
        <v>2076</v>
      </c>
      <c r="G569" s="17" t="s">
        <v>1949</v>
      </c>
      <c r="H569" s="17" t="s">
        <v>2077</v>
      </c>
      <c r="I569" t="s">
        <v>1951</v>
      </c>
    </row>
    <row r="570" spans="1:9" x14ac:dyDescent="0.3">
      <c r="A570" s="17" t="s">
        <v>1115</v>
      </c>
      <c r="B570" s="17" t="s">
        <v>4444</v>
      </c>
      <c r="C570" s="17" t="s">
        <v>4445</v>
      </c>
      <c r="D570" s="17" t="s">
        <v>4446</v>
      </c>
      <c r="E570" s="17" t="s">
        <v>4447</v>
      </c>
      <c r="F570" s="17" t="s">
        <v>2387</v>
      </c>
      <c r="G570" s="17" t="s">
        <v>1941</v>
      </c>
      <c r="H570" s="17">
        <v>78715</v>
      </c>
      <c r="I570" t="s">
        <v>1942</v>
      </c>
    </row>
    <row r="571" spans="1:9" x14ac:dyDescent="0.3">
      <c r="A571" s="17" t="s">
        <v>4448</v>
      </c>
      <c r="B571" s="17" t="s">
        <v>4449</v>
      </c>
      <c r="C571" s="17" t="s">
        <v>4450</v>
      </c>
      <c r="D571" s="17" t="s">
        <v>4451</v>
      </c>
      <c r="E571" s="17" t="s">
        <v>4452</v>
      </c>
      <c r="F571" s="17" t="s">
        <v>4193</v>
      </c>
      <c r="G571" s="17" t="s">
        <v>1941</v>
      </c>
      <c r="H571" s="17">
        <v>44105</v>
      </c>
      <c r="I571" t="s">
        <v>1951</v>
      </c>
    </row>
    <row r="572" spans="1:9" x14ac:dyDescent="0.3">
      <c r="A572" s="17" t="s">
        <v>1118</v>
      </c>
      <c r="B572" s="17" t="s">
        <v>4453</v>
      </c>
      <c r="C572" s="17" t="s">
        <v>4454</v>
      </c>
      <c r="D572" s="17" t="s">
        <v>4455</v>
      </c>
      <c r="E572" s="17" t="s">
        <v>4456</v>
      </c>
      <c r="F572" s="17" t="s">
        <v>4457</v>
      </c>
      <c r="G572" s="17" t="s">
        <v>1941</v>
      </c>
      <c r="H572" s="17">
        <v>20784</v>
      </c>
      <c r="I572" t="s">
        <v>1951</v>
      </c>
    </row>
    <row r="573" spans="1:9" x14ac:dyDescent="0.3">
      <c r="A573" s="17" t="s">
        <v>1120</v>
      </c>
      <c r="B573" s="17" t="s">
        <v>4458</v>
      </c>
      <c r="C573" s="17" t="s">
        <v>4459</v>
      </c>
      <c r="D573" s="17" t="s">
        <v>4460</v>
      </c>
      <c r="E573" s="17" t="s">
        <v>4461</v>
      </c>
      <c r="F573" s="17" t="s">
        <v>4462</v>
      </c>
      <c r="G573" s="17" t="s">
        <v>2116</v>
      </c>
      <c r="H573" s="17" t="s">
        <v>4463</v>
      </c>
      <c r="I573" t="s">
        <v>1951</v>
      </c>
    </row>
    <row r="574" spans="1:9" x14ac:dyDescent="0.3">
      <c r="A574" s="17" t="s">
        <v>1122</v>
      </c>
      <c r="B574" s="17" t="s">
        <v>4464</v>
      </c>
      <c r="C574" s="17"/>
      <c r="D574" s="17"/>
      <c r="E574" s="17" t="s">
        <v>4465</v>
      </c>
      <c r="F574" s="17" t="s">
        <v>2947</v>
      </c>
      <c r="G574" s="17" t="s">
        <v>1941</v>
      </c>
      <c r="H574" s="17">
        <v>91103</v>
      </c>
      <c r="I574" t="s">
        <v>1942</v>
      </c>
    </row>
    <row r="575" spans="1:9" x14ac:dyDescent="0.3">
      <c r="A575" s="17" t="s">
        <v>1124</v>
      </c>
      <c r="B575" s="17" t="s">
        <v>4466</v>
      </c>
      <c r="C575" s="17" t="s">
        <v>4467</v>
      </c>
      <c r="D575" s="17" t="s">
        <v>4468</v>
      </c>
      <c r="E575" s="17" t="s">
        <v>4469</v>
      </c>
      <c r="F575" s="17" t="s">
        <v>3524</v>
      </c>
      <c r="G575" s="17" t="s">
        <v>1941</v>
      </c>
      <c r="H575" s="17">
        <v>71161</v>
      </c>
      <c r="I575" t="s">
        <v>1951</v>
      </c>
    </row>
    <row r="576" spans="1:9" x14ac:dyDescent="0.3">
      <c r="A576" s="17" t="s">
        <v>1126</v>
      </c>
      <c r="B576" s="17" t="s">
        <v>4470</v>
      </c>
      <c r="C576" s="17" t="s">
        <v>4471</v>
      </c>
      <c r="D576" s="17"/>
      <c r="E576" s="17" t="s">
        <v>4472</v>
      </c>
      <c r="F576" s="17" t="s">
        <v>2225</v>
      </c>
      <c r="G576" s="17" t="s">
        <v>1941</v>
      </c>
      <c r="H576" s="17">
        <v>32590</v>
      </c>
      <c r="I576" t="s">
        <v>1942</v>
      </c>
    </row>
    <row r="577" spans="1:9" x14ac:dyDescent="0.3">
      <c r="A577" s="17" t="s">
        <v>1128</v>
      </c>
      <c r="B577" s="17" t="s">
        <v>4473</v>
      </c>
      <c r="C577" s="17" t="s">
        <v>4474</v>
      </c>
      <c r="D577" s="17" t="s">
        <v>4475</v>
      </c>
      <c r="E577" s="17" t="s">
        <v>4476</v>
      </c>
      <c r="F577" s="17" t="s">
        <v>1986</v>
      </c>
      <c r="G577" s="17" t="s">
        <v>1941</v>
      </c>
      <c r="H577" s="17">
        <v>90035</v>
      </c>
      <c r="I577" t="s">
        <v>1951</v>
      </c>
    </row>
    <row r="578" spans="1:9" x14ac:dyDescent="0.3">
      <c r="A578" s="17" t="s">
        <v>1130</v>
      </c>
      <c r="B578" s="17" t="s">
        <v>4477</v>
      </c>
      <c r="C578" s="17" t="s">
        <v>4478</v>
      </c>
      <c r="D578" s="17" t="s">
        <v>4479</v>
      </c>
      <c r="E578" s="17" t="s">
        <v>4480</v>
      </c>
      <c r="F578" s="17" t="s">
        <v>4481</v>
      </c>
      <c r="G578" s="17" t="s">
        <v>1941</v>
      </c>
      <c r="H578" s="17">
        <v>27705</v>
      </c>
      <c r="I578" t="s">
        <v>1951</v>
      </c>
    </row>
    <row r="579" spans="1:9" x14ac:dyDescent="0.3">
      <c r="A579" s="17" t="s">
        <v>1105</v>
      </c>
      <c r="B579" s="17" t="s">
        <v>4482</v>
      </c>
      <c r="C579" s="17" t="s">
        <v>4483</v>
      </c>
      <c r="D579" s="17"/>
      <c r="E579" s="17" t="s">
        <v>4484</v>
      </c>
      <c r="F579" s="17" t="s">
        <v>4485</v>
      </c>
      <c r="G579" s="17" t="s">
        <v>2116</v>
      </c>
      <c r="H579" s="17" t="s">
        <v>4486</v>
      </c>
      <c r="I579" t="s">
        <v>1951</v>
      </c>
    </row>
    <row r="580" spans="1:9" x14ac:dyDescent="0.3">
      <c r="A580" s="17" t="s">
        <v>1133</v>
      </c>
      <c r="B580" s="17" t="s">
        <v>4487</v>
      </c>
      <c r="C580" s="17" t="s">
        <v>4488</v>
      </c>
      <c r="D580" s="17" t="s">
        <v>4489</v>
      </c>
      <c r="E580" s="17" t="s">
        <v>4490</v>
      </c>
      <c r="F580" s="17" t="s">
        <v>4491</v>
      </c>
      <c r="G580" s="17" t="s">
        <v>1949</v>
      </c>
      <c r="H580" s="17" t="s">
        <v>4492</v>
      </c>
      <c r="I580" t="s">
        <v>1951</v>
      </c>
    </row>
    <row r="581" spans="1:9" x14ac:dyDescent="0.3">
      <c r="A581" s="17" t="s">
        <v>4493</v>
      </c>
      <c r="B581" s="17" t="s">
        <v>4494</v>
      </c>
      <c r="C581" s="17" t="s">
        <v>4495</v>
      </c>
      <c r="D581" s="17" t="s">
        <v>4496</v>
      </c>
      <c r="E581" s="17" t="s">
        <v>4497</v>
      </c>
      <c r="F581" s="17" t="s">
        <v>4416</v>
      </c>
      <c r="G581" s="17" t="s">
        <v>1949</v>
      </c>
      <c r="H581" s="17" t="s">
        <v>4417</v>
      </c>
      <c r="I581" t="s">
        <v>1951</v>
      </c>
    </row>
    <row r="582" spans="1:9" x14ac:dyDescent="0.3">
      <c r="A582" s="17" t="s">
        <v>1135</v>
      </c>
      <c r="B582" s="17" t="s">
        <v>4498</v>
      </c>
      <c r="C582" s="17" t="s">
        <v>4499</v>
      </c>
      <c r="D582" s="17" t="s">
        <v>4500</v>
      </c>
      <c r="E582" s="17" t="s">
        <v>4501</v>
      </c>
      <c r="F582" s="17" t="s">
        <v>2758</v>
      </c>
      <c r="G582" s="17" t="s">
        <v>1941</v>
      </c>
      <c r="H582" s="17">
        <v>90605</v>
      </c>
      <c r="I582" t="s">
        <v>1942</v>
      </c>
    </row>
    <row r="583" spans="1:9" x14ac:dyDescent="0.3">
      <c r="A583" s="17" t="s">
        <v>1137</v>
      </c>
      <c r="B583" s="17" t="s">
        <v>4502</v>
      </c>
      <c r="C583" s="17" t="s">
        <v>4503</v>
      </c>
      <c r="D583" s="17"/>
      <c r="E583" s="17" t="s">
        <v>4504</v>
      </c>
      <c r="F583" s="17" t="s">
        <v>2172</v>
      </c>
      <c r="G583" s="17" t="s">
        <v>2116</v>
      </c>
      <c r="H583" s="17" t="s">
        <v>2486</v>
      </c>
      <c r="I583" t="s">
        <v>1942</v>
      </c>
    </row>
    <row r="584" spans="1:9" x14ac:dyDescent="0.3">
      <c r="A584" s="17" t="s">
        <v>1139</v>
      </c>
      <c r="B584" s="17" t="s">
        <v>4505</v>
      </c>
      <c r="C584" s="17" t="s">
        <v>4506</v>
      </c>
      <c r="D584" s="17" t="s">
        <v>4507</v>
      </c>
      <c r="E584" s="17" t="s">
        <v>4508</v>
      </c>
      <c r="F584" s="17" t="s">
        <v>2004</v>
      </c>
      <c r="G584" s="17" t="s">
        <v>1941</v>
      </c>
      <c r="H584" s="17">
        <v>23237</v>
      </c>
      <c r="I584" t="s">
        <v>1951</v>
      </c>
    </row>
    <row r="585" spans="1:9" x14ac:dyDescent="0.3">
      <c r="A585" s="17" t="s">
        <v>1141</v>
      </c>
      <c r="B585" s="17" t="s">
        <v>4509</v>
      </c>
      <c r="C585" s="17" t="s">
        <v>4510</v>
      </c>
      <c r="D585" s="17" t="s">
        <v>4511</v>
      </c>
      <c r="E585" s="17" t="s">
        <v>4512</v>
      </c>
      <c r="F585" s="17" t="s">
        <v>4074</v>
      </c>
      <c r="G585" s="17" t="s">
        <v>1941</v>
      </c>
      <c r="H585" s="17">
        <v>20167</v>
      </c>
      <c r="I585" t="s">
        <v>1942</v>
      </c>
    </row>
    <row r="586" spans="1:9" x14ac:dyDescent="0.3">
      <c r="A586" s="17" t="s">
        <v>1143</v>
      </c>
      <c r="B586" s="17" t="s">
        <v>4513</v>
      </c>
      <c r="C586" s="17" t="s">
        <v>4514</v>
      </c>
      <c r="D586" s="17" t="s">
        <v>4515</v>
      </c>
      <c r="E586" s="17" t="s">
        <v>4516</v>
      </c>
      <c r="F586" s="17" t="s">
        <v>2625</v>
      </c>
      <c r="G586" s="17" t="s">
        <v>1941</v>
      </c>
      <c r="H586" s="17">
        <v>89706</v>
      </c>
      <c r="I586" t="s">
        <v>1951</v>
      </c>
    </row>
    <row r="587" spans="1:9" x14ac:dyDescent="0.3">
      <c r="A587" s="17" t="s">
        <v>4517</v>
      </c>
      <c r="B587" s="17" t="s">
        <v>4518</v>
      </c>
      <c r="C587" s="17" t="s">
        <v>4519</v>
      </c>
      <c r="D587" s="17" t="s">
        <v>4520</v>
      </c>
      <c r="E587" s="17" t="s">
        <v>4521</v>
      </c>
      <c r="F587" s="17" t="s">
        <v>2673</v>
      </c>
      <c r="G587" s="17" t="s">
        <v>1949</v>
      </c>
      <c r="H587" s="17" t="s">
        <v>2674</v>
      </c>
      <c r="I587" t="s">
        <v>1942</v>
      </c>
    </row>
    <row r="588" spans="1:9" x14ac:dyDescent="0.3">
      <c r="A588" s="17" t="s">
        <v>1147</v>
      </c>
      <c r="B588" s="17" t="s">
        <v>4522</v>
      </c>
      <c r="C588" s="17"/>
      <c r="D588" s="17" t="s">
        <v>4523</v>
      </c>
      <c r="E588" s="17" t="s">
        <v>4524</v>
      </c>
      <c r="F588" s="17" t="s">
        <v>2233</v>
      </c>
      <c r="G588" s="17" t="s">
        <v>1941</v>
      </c>
      <c r="H588" s="17">
        <v>55123</v>
      </c>
      <c r="I588" t="s">
        <v>1951</v>
      </c>
    </row>
    <row r="589" spans="1:9" x14ac:dyDescent="0.3">
      <c r="A589" s="17" t="s">
        <v>1149</v>
      </c>
      <c r="B589" s="17" t="s">
        <v>4525</v>
      </c>
      <c r="C589" s="17" t="s">
        <v>4526</v>
      </c>
      <c r="D589" s="17"/>
      <c r="E589" s="17" t="s">
        <v>4527</v>
      </c>
      <c r="F589" s="17" t="s">
        <v>2567</v>
      </c>
      <c r="G589" s="17" t="s">
        <v>1941</v>
      </c>
      <c r="H589" s="17">
        <v>35895</v>
      </c>
      <c r="I589" t="s">
        <v>1942</v>
      </c>
    </row>
    <row r="590" spans="1:9" x14ac:dyDescent="0.3">
      <c r="A590" s="17" t="s">
        <v>1151</v>
      </c>
      <c r="B590" s="17" t="s">
        <v>4528</v>
      </c>
      <c r="C590" s="17" t="s">
        <v>4529</v>
      </c>
      <c r="D590" s="17" t="s">
        <v>4530</v>
      </c>
      <c r="E590" s="17" t="s">
        <v>4531</v>
      </c>
      <c r="F590" s="17" t="s">
        <v>2448</v>
      </c>
      <c r="G590" s="17" t="s">
        <v>1941</v>
      </c>
      <c r="H590" s="17">
        <v>88553</v>
      </c>
      <c r="I590" t="s">
        <v>1942</v>
      </c>
    </row>
    <row r="591" spans="1:9" x14ac:dyDescent="0.3">
      <c r="A591" s="17" t="s">
        <v>1153</v>
      </c>
      <c r="B591" s="17" t="s">
        <v>4532</v>
      </c>
      <c r="C591" s="17" t="s">
        <v>4533</v>
      </c>
      <c r="D591" s="17"/>
      <c r="E591" s="17" t="s">
        <v>4534</v>
      </c>
      <c r="F591" s="17" t="s">
        <v>4535</v>
      </c>
      <c r="G591" s="17" t="s">
        <v>1941</v>
      </c>
      <c r="H591" s="17">
        <v>30033</v>
      </c>
      <c r="I591" t="s">
        <v>1951</v>
      </c>
    </row>
    <row r="592" spans="1:9" x14ac:dyDescent="0.3">
      <c r="A592" s="17" t="s">
        <v>1155</v>
      </c>
      <c r="B592" s="17" t="s">
        <v>4536</v>
      </c>
      <c r="C592" s="17" t="s">
        <v>4537</v>
      </c>
      <c r="D592" s="17" t="s">
        <v>4538</v>
      </c>
      <c r="E592" s="17" t="s">
        <v>4539</v>
      </c>
      <c r="F592" s="17" t="s">
        <v>2616</v>
      </c>
      <c r="G592" s="17" t="s">
        <v>1941</v>
      </c>
      <c r="H592" s="17">
        <v>92668</v>
      </c>
      <c r="I592" t="s">
        <v>1942</v>
      </c>
    </row>
    <row r="593" spans="1:9" x14ac:dyDescent="0.3">
      <c r="A593" s="17" t="s">
        <v>1157</v>
      </c>
      <c r="B593" s="17" t="s">
        <v>4540</v>
      </c>
      <c r="C593" s="17" t="s">
        <v>4541</v>
      </c>
      <c r="D593" s="17"/>
      <c r="E593" s="17" t="s">
        <v>4542</v>
      </c>
      <c r="F593" s="17" t="s">
        <v>4543</v>
      </c>
      <c r="G593" s="17" t="s">
        <v>1941</v>
      </c>
      <c r="H593" s="17">
        <v>92648</v>
      </c>
      <c r="I593" t="s">
        <v>1942</v>
      </c>
    </row>
    <row r="594" spans="1:9" x14ac:dyDescent="0.3">
      <c r="A594" s="17" t="s">
        <v>1159</v>
      </c>
      <c r="B594" s="17" t="s">
        <v>4544</v>
      </c>
      <c r="C594" s="17"/>
      <c r="D594" s="17" t="s">
        <v>4545</v>
      </c>
      <c r="E594" s="17" t="s">
        <v>4546</v>
      </c>
      <c r="F594" s="17" t="s">
        <v>3121</v>
      </c>
      <c r="G594" s="17" t="s">
        <v>1941</v>
      </c>
      <c r="H594" s="17">
        <v>53285</v>
      </c>
      <c r="I594" t="s">
        <v>1951</v>
      </c>
    </row>
    <row r="595" spans="1:9" x14ac:dyDescent="0.3">
      <c r="A595" s="17" t="s">
        <v>1145</v>
      </c>
      <c r="B595" s="17" t="s">
        <v>4547</v>
      </c>
      <c r="C595" s="17" t="s">
        <v>4548</v>
      </c>
      <c r="D595" s="17"/>
      <c r="E595" s="17" t="s">
        <v>4549</v>
      </c>
      <c r="F595" s="17" t="s">
        <v>2115</v>
      </c>
      <c r="G595" s="17" t="s">
        <v>2116</v>
      </c>
      <c r="H595" s="17" t="s">
        <v>2117</v>
      </c>
      <c r="I595" t="s">
        <v>1942</v>
      </c>
    </row>
    <row r="596" spans="1:9" x14ac:dyDescent="0.3">
      <c r="A596" s="17" t="s">
        <v>1162</v>
      </c>
      <c r="B596" s="17" t="s">
        <v>4550</v>
      </c>
      <c r="C596" s="17" t="s">
        <v>4551</v>
      </c>
      <c r="D596" s="17" t="s">
        <v>4552</v>
      </c>
      <c r="E596" s="17" t="s">
        <v>4553</v>
      </c>
      <c r="F596" s="17" t="s">
        <v>2678</v>
      </c>
      <c r="G596" s="17" t="s">
        <v>1941</v>
      </c>
      <c r="H596" s="17">
        <v>37416</v>
      </c>
      <c r="I596" t="s">
        <v>1951</v>
      </c>
    </row>
    <row r="597" spans="1:9" x14ac:dyDescent="0.3">
      <c r="A597" s="17" t="s">
        <v>1164</v>
      </c>
      <c r="B597" s="17" t="s">
        <v>4554</v>
      </c>
      <c r="C597" s="17"/>
      <c r="D597" s="17"/>
      <c r="E597" s="17" t="s">
        <v>4555</v>
      </c>
      <c r="F597" s="17" t="s">
        <v>4556</v>
      </c>
      <c r="G597" s="17" t="s">
        <v>2116</v>
      </c>
      <c r="H597" s="17" t="s">
        <v>4557</v>
      </c>
      <c r="I597" t="s">
        <v>1951</v>
      </c>
    </row>
    <row r="598" spans="1:9" x14ac:dyDescent="0.3">
      <c r="A598" s="17" t="s">
        <v>1166</v>
      </c>
      <c r="B598" s="17" t="s">
        <v>4558</v>
      </c>
      <c r="C598" s="17" t="s">
        <v>4559</v>
      </c>
      <c r="D598" s="17" t="s">
        <v>4560</v>
      </c>
      <c r="E598" s="17" t="s">
        <v>4561</v>
      </c>
      <c r="F598" s="17" t="s">
        <v>2287</v>
      </c>
      <c r="G598" s="17" t="s">
        <v>1941</v>
      </c>
      <c r="H598" s="17">
        <v>43268</v>
      </c>
      <c r="I598" t="s">
        <v>1951</v>
      </c>
    </row>
    <row r="599" spans="1:9" x14ac:dyDescent="0.3">
      <c r="A599" s="17" t="s">
        <v>1168</v>
      </c>
      <c r="B599" s="17" t="s">
        <v>4562</v>
      </c>
      <c r="C599" s="17" t="s">
        <v>4563</v>
      </c>
      <c r="D599" s="17" t="s">
        <v>4564</v>
      </c>
      <c r="E599" s="17" t="s">
        <v>4565</v>
      </c>
      <c r="F599" s="17" t="s">
        <v>2947</v>
      </c>
      <c r="G599" s="17" t="s">
        <v>1941</v>
      </c>
      <c r="H599" s="17">
        <v>91186</v>
      </c>
      <c r="I599" t="s">
        <v>1942</v>
      </c>
    </row>
    <row r="600" spans="1:9" x14ac:dyDescent="0.3">
      <c r="A600" s="17" t="s">
        <v>1170</v>
      </c>
      <c r="B600" s="17" t="s">
        <v>4566</v>
      </c>
      <c r="C600" s="17" t="s">
        <v>4567</v>
      </c>
      <c r="D600" s="17" t="s">
        <v>4568</v>
      </c>
      <c r="E600" s="17" t="s">
        <v>4569</v>
      </c>
      <c r="F600" s="17" t="s">
        <v>3090</v>
      </c>
      <c r="G600" s="17" t="s">
        <v>1941</v>
      </c>
      <c r="H600" s="17">
        <v>94159</v>
      </c>
      <c r="I600" t="s">
        <v>1942</v>
      </c>
    </row>
    <row r="601" spans="1:9" x14ac:dyDescent="0.3">
      <c r="A601" s="17" t="s">
        <v>1172</v>
      </c>
      <c r="B601" s="17" t="s">
        <v>4570</v>
      </c>
      <c r="C601" s="17" t="s">
        <v>4571</v>
      </c>
      <c r="D601" s="17"/>
      <c r="E601" s="17" t="s">
        <v>4572</v>
      </c>
      <c r="F601" s="17" t="s">
        <v>3524</v>
      </c>
      <c r="G601" s="17" t="s">
        <v>1941</v>
      </c>
      <c r="H601" s="17">
        <v>71137</v>
      </c>
      <c r="I601" t="s">
        <v>1942</v>
      </c>
    </row>
    <row r="602" spans="1:9" x14ac:dyDescent="0.3">
      <c r="A602" s="17" t="s">
        <v>1174</v>
      </c>
      <c r="B602" s="17" t="s">
        <v>4573</v>
      </c>
      <c r="C602" s="17" t="s">
        <v>4574</v>
      </c>
      <c r="D602" s="17" t="s">
        <v>4575</v>
      </c>
      <c r="E602" s="17" t="s">
        <v>4576</v>
      </c>
      <c r="F602" s="17" t="s">
        <v>2017</v>
      </c>
      <c r="G602" s="17" t="s">
        <v>1941</v>
      </c>
      <c r="H602" s="17">
        <v>19141</v>
      </c>
      <c r="I602" t="s">
        <v>1951</v>
      </c>
    </row>
    <row r="603" spans="1:9" x14ac:dyDescent="0.3">
      <c r="A603" s="17" t="s">
        <v>1176</v>
      </c>
      <c r="B603" s="17" t="s">
        <v>4577</v>
      </c>
      <c r="C603" s="17" t="s">
        <v>4578</v>
      </c>
      <c r="D603" s="17" t="s">
        <v>4579</v>
      </c>
      <c r="E603" s="17" t="s">
        <v>4580</v>
      </c>
      <c r="F603" s="17" t="s">
        <v>2008</v>
      </c>
      <c r="G603" s="17" t="s">
        <v>1941</v>
      </c>
      <c r="H603" s="17">
        <v>41905</v>
      </c>
      <c r="I603" t="s">
        <v>1942</v>
      </c>
    </row>
    <row r="604" spans="1:9" x14ac:dyDescent="0.3">
      <c r="A604" s="17" t="s">
        <v>1178</v>
      </c>
      <c r="B604" s="17" t="s">
        <v>4581</v>
      </c>
      <c r="C604" s="17" t="s">
        <v>4582</v>
      </c>
      <c r="D604" s="17" t="s">
        <v>4583</v>
      </c>
      <c r="E604" s="17" t="s">
        <v>4584</v>
      </c>
      <c r="F604" s="17" t="s">
        <v>2211</v>
      </c>
      <c r="G604" s="17" t="s">
        <v>1941</v>
      </c>
      <c r="H604" s="17">
        <v>43666</v>
      </c>
      <c r="I604" t="s">
        <v>1942</v>
      </c>
    </row>
    <row r="605" spans="1:9" x14ac:dyDescent="0.3">
      <c r="A605" s="17" t="s">
        <v>1180</v>
      </c>
      <c r="B605" s="17" t="s">
        <v>4585</v>
      </c>
      <c r="C605" s="17" t="s">
        <v>4586</v>
      </c>
      <c r="D605" s="17"/>
      <c r="E605" s="17" t="s">
        <v>4587</v>
      </c>
      <c r="F605" s="17" t="s">
        <v>2340</v>
      </c>
      <c r="G605" s="17" t="s">
        <v>1941</v>
      </c>
      <c r="H605" s="17">
        <v>80945</v>
      </c>
      <c r="I605" t="s">
        <v>1951</v>
      </c>
    </row>
    <row r="606" spans="1:9" x14ac:dyDescent="0.3">
      <c r="A606" s="17" t="s">
        <v>1182</v>
      </c>
      <c r="B606" s="17" t="s">
        <v>4588</v>
      </c>
      <c r="C606" s="17"/>
      <c r="D606" s="17" t="s">
        <v>4589</v>
      </c>
      <c r="E606" s="17" t="s">
        <v>4590</v>
      </c>
      <c r="F606" s="17" t="s">
        <v>3839</v>
      </c>
      <c r="G606" s="17" t="s">
        <v>1949</v>
      </c>
      <c r="H606" s="17" t="s">
        <v>3840</v>
      </c>
      <c r="I606" t="s">
        <v>1951</v>
      </c>
    </row>
    <row r="607" spans="1:9" x14ac:dyDescent="0.3">
      <c r="A607" s="17" t="s">
        <v>1184</v>
      </c>
      <c r="B607" s="17" t="s">
        <v>4591</v>
      </c>
      <c r="C607" s="17" t="s">
        <v>4592</v>
      </c>
      <c r="D607" s="17" t="s">
        <v>4593</v>
      </c>
      <c r="E607" s="17" t="s">
        <v>4594</v>
      </c>
      <c r="F607" s="17" t="s">
        <v>4595</v>
      </c>
      <c r="G607" s="17" t="s">
        <v>1941</v>
      </c>
      <c r="H607" s="17">
        <v>15274</v>
      </c>
      <c r="I607" t="s">
        <v>1942</v>
      </c>
    </row>
    <row r="608" spans="1:9" x14ac:dyDescent="0.3">
      <c r="A608" s="17" t="s">
        <v>4596</v>
      </c>
      <c r="B608" s="17" t="s">
        <v>4597</v>
      </c>
      <c r="C608" s="17" t="s">
        <v>4598</v>
      </c>
      <c r="D608" s="17" t="s">
        <v>4599</v>
      </c>
      <c r="E608" s="17" t="s">
        <v>4600</v>
      </c>
      <c r="F608" s="17" t="s">
        <v>3388</v>
      </c>
      <c r="G608" s="17" t="s">
        <v>1941</v>
      </c>
      <c r="H608" s="17">
        <v>33411</v>
      </c>
      <c r="I608" t="s">
        <v>1951</v>
      </c>
    </row>
    <row r="609" spans="1:9" x14ac:dyDescent="0.3">
      <c r="A609" s="17" t="s">
        <v>1187</v>
      </c>
      <c r="B609" s="17" t="s">
        <v>4601</v>
      </c>
      <c r="C609" s="17" t="s">
        <v>4602</v>
      </c>
      <c r="D609" s="17" t="s">
        <v>4603</v>
      </c>
      <c r="E609" s="17" t="s">
        <v>4604</v>
      </c>
      <c r="F609" s="17" t="s">
        <v>3524</v>
      </c>
      <c r="G609" s="17" t="s">
        <v>1941</v>
      </c>
      <c r="H609" s="17">
        <v>71115</v>
      </c>
      <c r="I609" t="s">
        <v>1942</v>
      </c>
    </row>
    <row r="610" spans="1:9" x14ac:dyDescent="0.3">
      <c r="A610" s="17" t="s">
        <v>1189</v>
      </c>
      <c r="B610" s="17" t="s">
        <v>4605</v>
      </c>
      <c r="C610" s="17"/>
      <c r="D610" s="17"/>
      <c r="E610" s="17" t="s">
        <v>4606</v>
      </c>
      <c r="F610" s="17" t="s">
        <v>4193</v>
      </c>
      <c r="G610" s="17" t="s">
        <v>1941</v>
      </c>
      <c r="H610" s="17">
        <v>44105</v>
      </c>
      <c r="I610" t="s">
        <v>1951</v>
      </c>
    </row>
    <row r="611" spans="1:9" x14ac:dyDescent="0.3">
      <c r="A611" s="17" t="s">
        <v>1191</v>
      </c>
      <c r="B611" s="17" t="s">
        <v>4607</v>
      </c>
      <c r="C611" s="17" t="s">
        <v>4608</v>
      </c>
      <c r="D611" s="17" t="s">
        <v>4609</v>
      </c>
      <c r="E611" s="17" t="s">
        <v>4610</v>
      </c>
      <c r="F611" s="17" t="s">
        <v>3121</v>
      </c>
      <c r="G611" s="17" t="s">
        <v>1941</v>
      </c>
      <c r="H611" s="17">
        <v>53234</v>
      </c>
      <c r="I611" t="s">
        <v>1942</v>
      </c>
    </row>
    <row r="612" spans="1:9" x14ac:dyDescent="0.3">
      <c r="A612" s="17" t="s">
        <v>1193</v>
      </c>
      <c r="B612" s="17" t="s">
        <v>4611</v>
      </c>
      <c r="C612" s="17" t="s">
        <v>4612</v>
      </c>
      <c r="D612" s="17" t="s">
        <v>4613</v>
      </c>
      <c r="E612" s="17" t="s">
        <v>4614</v>
      </c>
      <c r="F612" s="17" t="s">
        <v>2191</v>
      </c>
      <c r="G612" s="17" t="s">
        <v>1941</v>
      </c>
      <c r="H612" s="17">
        <v>33345</v>
      </c>
      <c r="I612" t="s">
        <v>1951</v>
      </c>
    </row>
    <row r="613" spans="1:9" x14ac:dyDescent="0.3">
      <c r="A613" s="17" t="s">
        <v>1195</v>
      </c>
      <c r="B613" s="17" t="s">
        <v>4615</v>
      </c>
      <c r="C613" s="17" t="s">
        <v>4616</v>
      </c>
      <c r="D613" s="17" t="s">
        <v>4617</v>
      </c>
      <c r="E613" s="17" t="s">
        <v>4618</v>
      </c>
      <c r="F613" s="17" t="s">
        <v>3524</v>
      </c>
      <c r="G613" s="17" t="s">
        <v>1941</v>
      </c>
      <c r="H613" s="17">
        <v>71105</v>
      </c>
      <c r="I613" t="s">
        <v>1951</v>
      </c>
    </row>
    <row r="614" spans="1:9" x14ac:dyDescent="0.3">
      <c r="A614" s="17" t="s">
        <v>1197</v>
      </c>
      <c r="B614" s="17" t="s">
        <v>4619</v>
      </c>
      <c r="C614" s="17"/>
      <c r="D614" s="17" t="s">
        <v>4620</v>
      </c>
      <c r="E614" s="17" t="s">
        <v>4621</v>
      </c>
      <c r="F614" s="17" t="s">
        <v>2366</v>
      </c>
      <c r="G614" s="17" t="s">
        <v>1949</v>
      </c>
      <c r="H614" s="17" t="s">
        <v>2545</v>
      </c>
      <c r="I614" t="s">
        <v>1951</v>
      </c>
    </row>
    <row r="615" spans="1:9" x14ac:dyDescent="0.3">
      <c r="A615" s="17" t="s">
        <v>1199</v>
      </c>
      <c r="B615" s="17" t="s">
        <v>4622</v>
      </c>
      <c r="C615" s="17"/>
      <c r="D615" s="17" t="s">
        <v>4623</v>
      </c>
      <c r="E615" s="17" t="s">
        <v>4624</v>
      </c>
      <c r="F615" s="17" t="s">
        <v>2999</v>
      </c>
      <c r="G615" s="17" t="s">
        <v>1941</v>
      </c>
      <c r="H615" s="17">
        <v>94207</v>
      </c>
      <c r="I615" t="s">
        <v>1951</v>
      </c>
    </row>
    <row r="616" spans="1:9" x14ac:dyDescent="0.3">
      <c r="A616" s="17" t="s">
        <v>4625</v>
      </c>
      <c r="B616" s="17" t="s">
        <v>4626</v>
      </c>
      <c r="C616" s="17"/>
      <c r="D616" s="17" t="s">
        <v>4627</v>
      </c>
      <c r="E616" s="17" t="s">
        <v>4628</v>
      </c>
      <c r="F616" s="17" t="s">
        <v>2506</v>
      </c>
      <c r="G616" s="17" t="s">
        <v>1941</v>
      </c>
      <c r="H616" s="17">
        <v>37240</v>
      </c>
      <c r="I616" t="s">
        <v>1951</v>
      </c>
    </row>
    <row r="617" spans="1:9" x14ac:dyDescent="0.3">
      <c r="A617" s="17" t="s">
        <v>1202</v>
      </c>
      <c r="B617" s="17" t="s">
        <v>4629</v>
      </c>
      <c r="C617" s="17" t="s">
        <v>4630</v>
      </c>
      <c r="D617" s="17" t="s">
        <v>4631</v>
      </c>
      <c r="E617" s="17" t="s">
        <v>4632</v>
      </c>
      <c r="F617" s="17" t="s">
        <v>2550</v>
      </c>
      <c r="G617" s="17" t="s">
        <v>1941</v>
      </c>
      <c r="H617" s="17">
        <v>58122</v>
      </c>
      <c r="I617" t="s">
        <v>1942</v>
      </c>
    </row>
    <row r="618" spans="1:9" x14ac:dyDescent="0.3">
      <c r="A618" s="17" t="s">
        <v>1204</v>
      </c>
      <c r="B618" s="17" t="s">
        <v>4633</v>
      </c>
      <c r="C618" s="17" t="s">
        <v>4634</v>
      </c>
      <c r="D618" s="17" t="s">
        <v>4635</v>
      </c>
      <c r="E618" s="17" t="s">
        <v>4636</v>
      </c>
      <c r="F618" s="17" t="s">
        <v>4637</v>
      </c>
      <c r="G618" s="17" t="s">
        <v>2116</v>
      </c>
      <c r="H618" s="17" t="s">
        <v>4638</v>
      </c>
      <c r="I618" t="s">
        <v>1951</v>
      </c>
    </row>
    <row r="619" spans="1:9" x14ac:dyDescent="0.3">
      <c r="A619" s="17" t="s">
        <v>1206</v>
      </c>
      <c r="B619" s="17" t="s">
        <v>4639</v>
      </c>
      <c r="C619" s="17" t="s">
        <v>4640</v>
      </c>
      <c r="D619" s="17" t="s">
        <v>4641</v>
      </c>
      <c r="E619" s="17" t="s">
        <v>4642</v>
      </c>
      <c r="F619" s="17" t="s">
        <v>2816</v>
      </c>
      <c r="G619" s="17" t="s">
        <v>1941</v>
      </c>
      <c r="H619" s="17">
        <v>74184</v>
      </c>
      <c r="I619" t="s">
        <v>1951</v>
      </c>
    </row>
    <row r="620" spans="1:9" x14ac:dyDescent="0.3">
      <c r="A620" s="17" t="s">
        <v>1208</v>
      </c>
      <c r="B620" s="17" t="s">
        <v>4643</v>
      </c>
      <c r="C620" s="17" t="s">
        <v>4644</v>
      </c>
      <c r="D620" s="17" t="s">
        <v>4645</v>
      </c>
      <c r="E620" s="17" t="s">
        <v>4646</v>
      </c>
      <c r="F620" s="17" t="s">
        <v>2037</v>
      </c>
      <c r="G620" s="17" t="s">
        <v>1941</v>
      </c>
      <c r="H620" s="17">
        <v>10045</v>
      </c>
      <c r="I620" t="s">
        <v>1942</v>
      </c>
    </row>
    <row r="621" spans="1:9" x14ac:dyDescent="0.3">
      <c r="A621" s="17" t="s">
        <v>1210</v>
      </c>
      <c r="B621" s="17" t="s">
        <v>4647</v>
      </c>
      <c r="C621" s="17" t="s">
        <v>4648</v>
      </c>
      <c r="D621" s="17" t="s">
        <v>4649</v>
      </c>
      <c r="E621" s="17" t="s">
        <v>4650</v>
      </c>
      <c r="F621" s="17" t="s">
        <v>4651</v>
      </c>
      <c r="G621" s="17" t="s">
        <v>1941</v>
      </c>
      <c r="H621" s="17">
        <v>34642</v>
      </c>
      <c r="I621" t="s">
        <v>1942</v>
      </c>
    </row>
    <row r="622" spans="1:9" x14ac:dyDescent="0.3">
      <c r="A622" s="17" t="s">
        <v>4652</v>
      </c>
      <c r="B622" s="17" t="s">
        <v>4653</v>
      </c>
      <c r="C622" s="17" t="s">
        <v>4654</v>
      </c>
      <c r="D622" s="17" t="s">
        <v>4655</v>
      </c>
      <c r="E622" s="17" t="s">
        <v>4656</v>
      </c>
      <c r="F622" s="17" t="s">
        <v>3918</v>
      </c>
      <c r="G622" s="17" t="s">
        <v>1949</v>
      </c>
      <c r="H622" s="17" t="s">
        <v>3919</v>
      </c>
      <c r="I622" t="s">
        <v>1951</v>
      </c>
    </row>
    <row r="623" spans="1:9" x14ac:dyDescent="0.3">
      <c r="A623" s="17" t="s">
        <v>1214</v>
      </c>
      <c r="B623" s="17" t="s">
        <v>4657</v>
      </c>
      <c r="C623" s="17" t="s">
        <v>4658</v>
      </c>
      <c r="D623" s="17" t="s">
        <v>4659</v>
      </c>
      <c r="E623" s="17" t="s">
        <v>4660</v>
      </c>
      <c r="F623" s="17" t="s">
        <v>2022</v>
      </c>
      <c r="G623" s="17" t="s">
        <v>1941</v>
      </c>
      <c r="H623" s="17">
        <v>97296</v>
      </c>
      <c r="I623" t="s">
        <v>1951</v>
      </c>
    </row>
    <row r="624" spans="1:9" x14ac:dyDescent="0.3">
      <c r="A624" s="17" t="s">
        <v>1216</v>
      </c>
      <c r="B624" s="17" t="s">
        <v>4661</v>
      </c>
      <c r="C624" s="17" t="s">
        <v>4662</v>
      </c>
      <c r="D624" s="17"/>
      <c r="E624" s="17" t="s">
        <v>4663</v>
      </c>
      <c r="F624" s="17" t="s">
        <v>3370</v>
      </c>
      <c r="G624" s="17" t="s">
        <v>1941</v>
      </c>
      <c r="H624" s="17">
        <v>89115</v>
      </c>
      <c r="I624" t="s">
        <v>1951</v>
      </c>
    </row>
    <row r="625" spans="1:9" x14ac:dyDescent="0.3">
      <c r="A625" s="17" t="s">
        <v>1218</v>
      </c>
      <c r="B625" s="17" t="s">
        <v>4664</v>
      </c>
      <c r="C625" s="17"/>
      <c r="D625" s="17" t="s">
        <v>4665</v>
      </c>
      <c r="E625" s="17" t="s">
        <v>4666</v>
      </c>
      <c r="F625" s="17" t="s">
        <v>4667</v>
      </c>
      <c r="G625" s="17" t="s">
        <v>2116</v>
      </c>
      <c r="H625" s="17" t="s">
        <v>4668</v>
      </c>
      <c r="I625" t="s">
        <v>1951</v>
      </c>
    </row>
    <row r="626" spans="1:9" x14ac:dyDescent="0.3">
      <c r="A626" s="17" t="s">
        <v>1220</v>
      </c>
      <c r="B626" s="17" t="s">
        <v>4669</v>
      </c>
      <c r="C626" s="17" t="s">
        <v>4670</v>
      </c>
      <c r="D626" s="17"/>
      <c r="E626" s="17" t="s">
        <v>4671</v>
      </c>
      <c r="F626" s="17" t="s">
        <v>4672</v>
      </c>
      <c r="G626" s="17" t="s">
        <v>1949</v>
      </c>
      <c r="H626" s="17" t="s">
        <v>4673</v>
      </c>
      <c r="I626" t="s">
        <v>1942</v>
      </c>
    </row>
    <row r="627" spans="1:9" x14ac:dyDescent="0.3">
      <c r="A627" s="17" t="s">
        <v>1222</v>
      </c>
      <c r="B627" s="17" t="s">
        <v>4674</v>
      </c>
      <c r="C627" s="17" t="s">
        <v>4675</v>
      </c>
      <c r="D627" s="17" t="s">
        <v>4676</v>
      </c>
      <c r="E627" s="17" t="s">
        <v>4677</v>
      </c>
      <c r="F627" s="17" t="s">
        <v>3090</v>
      </c>
      <c r="G627" s="17" t="s">
        <v>1941</v>
      </c>
      <c r="H627" s="17">
        <v>94159</v>
      </c>
      <c r="I627" t="s">
        <v>1951</v>
      </c>
    </row>
    <row r="628" spans="1:9" x14ac:dyDescent="0.3">
      <c r="A628" s="17" t="s">
        <v>1224</v>
      </c>
      <c r="B628" s="17" t="s">
        <v>4678</v>
      </c>
      <c r="C628" s="17" t="s">
        <v>4679</v>
      </c>
      <c r="D628" s="17" t="s">
        <v>4680</v>
      </c>
      <c r="E628" s="17" t="s">
        <v>4681</v>
      </c>
      <c r="F628" s="17" t="s">
        <v>4595</v>
      </c>
      <c r="G628" s="17" t="s">
        <v>1941</v>
      </c>
      <c r="H628" s="17">
        <v>15274</v>
      </c>
      <c r="I628" t="s">
        <v>1951</v>
      </c>
    </row>
    <row r="629" spans="1:9" x14ac:dyDescent="0.3">
      <c r="A629" s="17" t="s">
        <v>1226</v>
      </c>
      <c r="B629" s="17" t="s">
        <v>4682</v>
      </c>
      <c r="C629" s="17" t="s">
        <v>4683</v>
      </c>
      <c r="D629" s="17" t="s">
        <v>4684</v>
      </c>
      <c r="E629" s="17" t="s">
        <v>4685</v>
      </c>
      <c r="F629" s="17" t="s">
        <v>2027</v>
      </c>
      <c r="G629" s="17" t="s">
        <v>1941</v>
      </c>
      <c r="H629" s="17">
        <v>77281</v>
      </c>
      <c r="I629" t="s">
        <v>1942</v>
      </c>
    </row>
    <row r="630" spans="1:9" x14ac:dyDescent="0.3">
      <c r="A630" s="17" t="s">
        <v>1228</v>
      </c>
      <c r="B630" s="17" t="s">
        <v>4686</v>
      </c>
      <c r="C630" s="17" t="s">
        <v>4687</v>
      </c>
      <c r="D630" s="17" t="s">
        <v>4688</v>
      </c>
      <c r="E630" s="17" t="s">
        <v>4689</v>
      </c>
      <c r="F630" s="17" t="s">
        <v>4690</v>
      </c>
      <c r="G630" s="17" t="s">
        <v>1949</v>
      </c>
      <c r="H630" s="17" t="s">
        <v>2032</v>
      </c>
      <c r="I630" t="s">
        <v>1942</v>
      </c>
    </row>
    <row r="631" spans="1:9" x14ac:dyDescent="0.3">
      <c r="A631" s="17" t="s">
        <v>1212</v>
      </c>
      <c r="B631" s="17" t="s">
        <v>4691</v>
      </c>
      <c r="C631" s="17" t="s">
        <v>4692</v>
      </c>
      <c r="D631" s="17"/>
      <c r="E631" s="17" t="s">
        <v>4693</v>
      </c>
      <c r="F631" s="17" t="s">
        <v>2191</v>
      </c>
      <c r="G631" s="17" t="s">
        <v>1941</v>
      </c>
      <c r="H631" s="17">
        <v>33345</v>
      </c>
      <c r="I631" t="s">
        <v>1951</v>
      </c>
    </row>
    <row r="632" spans="1:9" x14ac:dyDescent="0.3">
      <c r="A632" s="17" t="s">
        <v>4694</v>
      </c>
      <c r="B632" s="17" t="s">
        <v>4695</v>
      </c>
      <c r="C632" s="17" t="s">
        <v>4696</v>
      </c>
      <c r="D632" s="17" t="s">
        <v>4697</v>
      </c>
      <c r="E632" s="17" t="s">
        <v>4698</v>
      </c>
      <c r="F632" s="17" t="s">
        <v>3179</v>
      </c>
      <c r="G632" s="17" t="s">
        <v>1941</v>
      </c>
      <c r="H632" s="17">
        <v>76210</v>
      </c>
      <c r="I632" t="s">
        <v>1951</v>
      </c>
    </row>
    <row r="633" spans="1:9" x14ac:dyDescent="0.3">
      <c r="A633" s="17" t="s">
        <v>4699</v>
      </c>
      <c r="B633" s="17" t="s">
        <v>4700</v>
      </c>
      <c r="C633" s="17" t="s">
        <v>4701</v>
      </c>
      <c r="D633" s="17" t="s">
        <v>4702</v>
      </c>
      <c r="E633" s="17" t="s">
        <v>4703</v>
      </c>
      <c r="F633" s="17" t="s">
        <v>3967</v>
      </c>
      <c r="G633" s="17" t="s">
        <v>1949</v>
      </c>
      <c r="H633" s="17" t="s">
        <v>2771</v>
      </c>
      <c r="I633" t="s">
        <v>1942</v>
      </c>
    </row>
    <row r="634" spans="1:9" x14ac:dyDescent="0.3">
      <c r="A634" s="17" t="s">
        <v>1230</v>
      </c>
      <c r="B634" s="17" t="s">
        <v>4704</v>
      </c>
      <c r="C634" s="17" t="s">
        <v>4705</v>
      </c>
      <c r="D634" s="17" t="s">
        <v>4706</v>
      </c>
      <c r="E634" s="17" t="s">
        <v>4707</v>
      </c>
      <c r="F634" s="17" t="s">
        <v>1986</v>
      </c>
      <c r="G634" s="17" t="s">
        <v>1941</v>
      </c>
      <c r="H634" s="17">
        <v>90005</v>
      </c>
      <c r="I634" t="s">
        <v>1951</v>
      </c>
    </row>
    <row r="635" spans="1:9" x14ac:dyDescent="0.3">
      <c r="A635" s="17" t="s">
        <v>1232</v>
      </c>
      <c r="B635" s="17" t="s">
        <v>4708</v>
      </c>
      <c r="C635" s="17" t="s">
        <v>4709</v>
      </c>
      <c r="D635" s="17" t="s">
        <v>4710</v>
      </c>
      <c r="E635" s="17" t="s">
        <v>4711</v>
      </c>
      <c r="F635" s="17" t="s">
        <v>3004</v>
      </c>
      <c r="G635" s="17" t="s">
        <v>1941</v>
      </c>
      <c r="H635" s="17">
        <v>18706</v>
      </c>
      <c r="I635" t="s">
        <v>1951</v>
      </c>
    </row>
    <row r="636" spans="1:9" x14ac:dyDescent="0.3">
      <c r="A636" s="17" t="s">
        <v>1234</v>
      </c>
      <c r="B636" s="17" t="s">
        <v>4712</v>
      </c>
      <c r="C636" s="17" t="s">
        <v>4713</v>
      </c>
      <c r="D636" s="17" t="s">
        <v>4714</v>
      </c>
      <c r="E636" s="17" t="s">
        <v>4715</v>
      </c>
      <c r="F636" s="17" t="s">
        <v>3179</v>
      </c>
      <c r="G636" s="17" t="s">
        <v>1941</v>
      </c>
      <c r="H636" s="17">
        <v>76205</v>
      </c>
      <c r="I636" t="s">
        <v>1951</v>
      </c>
    </row>
    <row r="637" spans="1:9" x14ac:dyDescent="0.3">
      <c r="A637" s="17" t="s">
        <v>1236</v>
      </c>
      <c r="B637" s="17" t="s">
        <v>4716</v>
      </c>
      <c r="C637" s="17" t="s">
        <v>4717</v>
      </c>
      <c r="D637" s="17" t="s">
        <v>4718</v>
      </c>
      <c r="E637" s="17" t="s">
        <v>4719</v>
      </c>
      <c r="F637" s="17" t="s">
        <v>2957</v>
      </c>
      <c r="G637" s="17" t="s">
        <v>1941</v>
      </c>
      <c r="H637" s="17">
        <v>64082</v>
      </c>
      <c r="I637" t="s">
        <v>1942</v>
      </c>
    </row>
    <row r="638" spans="1:9" x14ac:dyDescent="0.3">
      <c r="A638" s="17" t="s">
        <v>1238</v>
      </c>
      <c r="B638" s="17" t="s">
        <v>4720</v>
      </c>
      <c r="C638" s="17" t="s">
        <v>4721</v>
      </c>
      <c r="D638" s="17" t="s">
        <v>4722</v>
      </c>
      <c r="E638" s="17" t="s">
        <v>4723</v>
      </c>
      <c r="F638" s="17" t="s">
        <v>2127</v>
      </c>
      <c r="G638" s="17" t="s">
        <v>1941</v>
      </c>
      <c r="H638" s="17">
        <v>72209</v>
      </c>
      <c r="I638" t="s">
        <v>1942</v>
      </c>
    </row>
    <row r="639" spans="1:9" x14ac:dyDescent="0.3">
      <c r="A639" s="17" t="s">
        <v>1240</v>
      </c>
      <c r="B639" s="17" t="s">
        <v>4724</v>
      </c>
      <c r="C639" s="17" t="s">
        <v>4725</v>
      </c>
      <c r="D639" s="17" t="s">
        <v>4726</v>
      </c>
      <c r="E639" s="17" t="s">
        <v>4727</v>
      </c>
      <c r="F639" s="17" t="s">
        <v>4728</v>
      </c>
      <c r="G639" s="17" t="s">
        <v>1949</v>
      </c>
      <c r="H639" s="17" t="s">
        <v>2831</v>
      </c>
      <c r="I639" t="s">
        <v>1942</v>
      </c>
    </row>
    <row r="640" spans="1:9" x14ac:dyDescent="0.3">
      <c r="A640" s="17" t="s">
        <v>1242</v>
      </c>
      <c r="B640" s="17" t="s">
        <v>4729</v>
      </c>
      <c r="C640" s="17"/>
      <c r="D640" s="17" t="s">
        <v>4730</v>
      </c>
      <c r="E640" s="17" t="s">
        <v>4731</v>
      </c>
      <c r="F640" s="17" t="s">
        <v>4416</v>
      </c>
      <c r="G640" s="17" t="s">
        <v>1949</v>
      </c>
      <c r="H640" s="17" t="s">
        <v>4417</v>
      </c>
      <c r="I640" t="s">
        <v>1942</v>
      </c>
    </row>
    <row r="641" spans="1:9" x14ac:dyDescent="0.3">
      <c r="A641" s="17" t="s">
        <v>1244</v>
      </c>
      <c r="B641" s="17" t="s">
        <v>4732</v>
      </c>
      <c r="C641" s="17" t="s">
        <v>4733</v>
      </c>
      <c r="D641" s="17" t="s">
        <v>4734</v>
      </c>
      <c r="E641" s="17" t="s">
        <v>4735</v>
      </c>
      <c r="F641" s="17" t="s">
        <v>3143</v>
      </c>
      <c r="G641" s="17" t="s">
        <v>1941</v>
      </c>
      <c r="H641" s="17">
        <v>16534</v>
      </c>
      <c r="I641" t="s">
        <v>1942</v>
      </c>
    </row>
    <row r="642" spans="1:9" x14ac:dyDescent="0.3">
      <c r="A642" s="17" t="s">
        <v>4736</v>
      </c>
      <c r="B642" s="17" t="s">
        <v>4737</v>
      </c>
      <c r="C642" s="17"/>
      <c r="D642" s="17" t="s">
        <v>4738</v>
      </c>
      <c r="E642" s="17" t="s">
        <v>4739</v>
      </c>
      <c r="F642" s="17" t="s">
        <v>3164</v>
      </c>
      <c r="G642" s="17" t="s">
        <v>2116</v>
      </c>
      <c r="H642" s="17" t="s">
        <v>3165</v>
      </c>
      <c r="I642" t="s">
        <v>1951</v>
      </c>
    </row>
    <row r="643" spans="1:9" x14ac:dyDescent="0.3">
      <c r="A643" s="17" t="s">
        <v>1248</v>
      </c>
      <c r="B643" s="17" t="s">
        <v>4740</v>
      </c>
      <c r="C643" s="17" t="s">
        <v>4741</v>
      </c>
      <c r="D643" s="17" t="s">
        <v>4742</v>
      </c>
      <c r="E643" s="17" t="s">
        <v>4743</v>
      </c>
      <c r="F643" s="17" t="s">
        <v>4595</v>
      </c>
      <c r="G643" s="17" t="s">
        <v>1941</v>
      </c>
      <c r="H643" s="17">
        <v>15255</v>
      </c>
      <c r="I643" t="s">
        <v>1942</v>
      </c>
    </row>
    <row r="644" spans="1:9" x14ac:dyDescent="0.3">
      <c r="A644" s="17" t="s">
        <v>1250</v>
      </c>
      <c r="B644" s="17" t="s">
        <v>4744</v>
      </c>
      <c r="C644" s="17" t="s">
        <v>4745</v>
      </c>
      <c r="D644" s="17" t="s">
        <v>4746</v>
      </c>
      <c r="E644" s="17" t="s">
        <v>4747</v>
      </c>
      <c r="F644" s="17" t="s">
        <v>4748</v>
      </c>
      <c r="G644" s="17" t="s">
        <v>2116</v>
      </c>
      <c r="H644" s="17" t="s">
        <v>4749</v>
      </c>
      <c r="I644" t="s">
        <v>1942</v>
      </c>
    </row>
    <row r="645" spans="1:9" x14ac:dyDescent="0.3">
      <c r="A645" s="17" t="s">
        <v>1252</v>
      </c>
      <c r="B645" s="17" t="s">
        <v>4750</v>
      </c>
      <c r="C645" s="17" t="s">
        <v>4751</v>
      </c>
      <c r="D645" s="17"/>
      <c r="E645" s="17" t="s">
        <v>4752</v>
      </c>
      <c r="F645" s="17" t="s">
        <v>2325</v>
      </c>
      <c r="G645" s="17" t="s">
        <v>1941</v>
      </c>
      <c r="H645" s="17">
        <v>75260</v>
      </c>
      <c r="I645" t="s">
        <v>1942</v>
      </c>
    </row>
    <row r="646" spans="1:9" x14ac:dyDescent="0.3">
      <c r="A646" s="17" t="s">
        <v>1254</v>
      </c>
      <c r="B646" s="17" t="s">
        <v>4753</v>
      </c>
      <c r="C646" s="17"/>
      <c r="D646" s="17" t="s">
        <v>4754</v>
      </c>
      <c r="E646" s="17" t="s">
        <v>4755</v>
      </c>
      <c r="F646" s="17" t="s">
        <v>3581</v>
      </c>
      <c r="G646" s="17" t="s">
        <v>1941</v>
      </c>
      <c r="H646" s="17">
        <v>33233</v>
      </c>
      <c r="I646" t="s">
        <v>1951</v>
      </c>
    </row>
    <row r="647" spans="1:9" x14ac:dyDescent="0.3">
      <c r="A647" s="17" t="s">
        <v>1256</v>
      </c>
      <c r="B647" s="17" t="s">
        <v>4756</v>
      </c>
      <c r="C647" s="17" t="s">
        <v>4757</v>
      </c>
      <c r="D647" s="17" t="s">
        <v>4758</v>
      </c>
      <c r="E647" s="17" t="s">
        <v>4759</v>
      </c>
      <c r="F647" s="17" t="s">
        <v>4760</v>
      </c>
      <c r="G647" s="17" t="s">
        <v>1941</v>
      </c>
      <c r="H647" s="17">
        <v>76905</v>
      </c>
      <c r="I647" t="s">
        <v>1942</v>
      </c>
    </row>
    <row r="648" spans="1:9" x14ac:dyDescent="0.3">
      <c r="A648" s="17" t="s">
        <v>1258</v>
      </c>
      <c r="B648" s="17" t="s">
        <v>4761</v>
      </c>
      <c r="C648" s="17" t="s">
        <v>4762</v>
      </c>
      <c r="D648" s="17" t="s">
        <v>4763</v>
      </c>
      <c r="E648" s="17" t="s">
        <v>4764</v>
      </c>
      <c r="F648" s="17" t="s">
        <v>2881</v>
      </c>
      <c r="G648" s="17" t="s">
        <v>1941</v>
      </c>
      <c r="H648" s="17">
        <v>12205</v>
      </c>
      <c r="I648" t="s">
        <v>1942</v>
      </c>
    </row>
    <row r="649" spans="1:9" x14ac:dyDescent="0.3">
      <c r="A649" s="17" t="s">
        <v>1260</v>
      </c>
      <c r="B649" s="17" t="s">
        <v>4765</v>
      </c>
      <c r="C649" s="17" t="s">
        <v>4766</v>
      </c>
      <c r="D649" s="17" t="s">
        <v>4767</v>
      </c>
      <c r="E649" s="17" t="s">
        <v>4768</v>
      </c>
      <c r="F649" s="17" t="s">
        <v>4769</v>
      </c>
      <c r="G649" s="17" t="s">
        <v>2116</v>
      </c>
      <c r="H649" s="17" t="s">
        <v>4770</v>
      </c>
      <c r="I649" t="s">
        <v>1942</v>
      </c>
    </row>
    <row r="650" spans="1:9" x14ac:dyDescent="0.3">
      <c r="A650" s="17" t="s">
        <v>1246</v>
      </c>
      <c r="B650" s="17" t="s">
        <v>4771</v>
      </c>
      <c r="C650" s="17" t="s">
        <v>4772</v>
      </c>
      <c r="D650" s="17" t="s">
        <v>4773</v>
      </c>
      <c r="E650" s="17" t="s">
        <v>4774</v>
      </c>
      <c r="F650" s="17" t="s">
        <v>2287</v>
      </c>
      <c r="G650" s="17" t="s">
        <v>1941</v>
      </c>
      <c r="H650" s="17">
        <v>43240</v>
      </c>
      <c r="I650" t="s">
        <v>1951</v>
      </c>
    </row>
    <row r="651" spans="1:9" x14ac:dyDescent="0.3">
      <c r="A651" s="17" t="s">
        <v>1263</v>
      </c>
      <c r="B651" s="17" t="s">
        <v>4775</v>
      </c>
      <c r="C651" s="17" t="s">
        <v>4776</v>
      </c>
      <c r="D651" s="17" t="s">
        <v>4777</v>
      </c>
      <c r="E651" s="17" t="s">
        <v>4778</v>
      </c>
      <c r="F651" s="17" t="s">
        <v>4779</v>
      </c>
      <c r="G651" s="17" t="s">
        <v>2116</v>
      </c>
      <c r="H651" s="17" t="s">
        <v>4780</v>
      </c>
      <c r="I651" t="s">
        <v>1951</v>
      </c>
    </row>
    <row r="652" spans="1:9" x14ac:dyDescent="0.3">
      <c r="A652" s="17" t="s">
        <v>1265</v>
      </c>
      <c r="B652" s="17" t="s">
        <v>4781</v>
      </c>
      <c r="C652" s="17" t="s">
        <v>4782</v>
      </c>
      <c r="D652" s="17" t="s">
        <v>4783</v>
      </c>
      <c r="E652" s="17" t="s">
        <v>4784</v>
      </c>
      <c r="F652" s="17" t="s">
        <v>2383</v>
      </c>
      <c r="G652" s="17" t="s">
        <v>1941</v>
      </c>
      <c r="H652" s="17">
        <v>92883</v>
      </c>
      <c r="I652" t="s">
        <v>1942</v>
      </c>
    </row>
    <row r="653" spans="1:9" x14ac:dyDescent="0.3">
      <c r="A653" s="17" t="s">
        <v>1267</v>
      </c>
      <c r="B653" s="17" t="s">
        <v>4785</v>
      </c>
      <c r="C653" s="17"/>
      <c r="D653" s="17" t="s">
        <v>4786</v>
      </c>
      <c r="E653" s="17" t="s">
        <v>4787</v>
      </c>
      <c r="F653" s="17" t="s">
        <v>2186</v>
      </c>
      <c r="G653" s="17" t="s">
        <v>1941</v>
      </c>
      <c r="H653" s="17">
        <v>20436</v>
      </c>
      <c r="I653" t="s">
        <v>1951</v>
      </c>
    </row>
    <row r="654" spans="1:9" x14ac:dyDescent="0.3">
      <c r="A654" s="17" t="s">
        <v>1269</v>
      </c>
      <c r="B654" s="17" t="s">
        <v>4788</v>
      </c>
      <c r="C654" s="17" t="s">
        <v>4789</v>
      </c>
      <c r="D654" s="17"/>
      <c r="E654" s="17" t="s">
        <v>4790</v>
      </c>
      <c r="F654" s="17" t="s">
        <v>4791</v>
      </c>
      <c r="G654" s="17" t="s">
        <v>1949</v>
      </c>
      <c r="H654" s="17" t="s">
        <v>1950</v>
      </c>
      <c r="I654" t="s">
        <v>1951</v>
      </c>
    </row>
    <row r="655" spans="1:9" x14ac:dyDescent="0.3">
      <c r="A655" s="17" t="s">
        <v>1271</v>
      </c>
      <c r="B655" s="17" t="s">
        <v>4792</v>
      </c>
      <c r="C655" s="17" t="s">
        <v>4793</v>
      </c>
      <c r="D655" s="17" t="s">
        <v>4794</v>
      </c>
      <c r="E655" s="17" t="s">
        <v>4795</v>
      </c>
      <c r="F655" s="17" t="s">
        <v>2211</v>
      </c>
      <c r="G655" s="17" t="s">
        <v>1941</v>
      </c>
      <c r="H655" s="17">
        <v>43610</v>
      </c>
      <c r="I655" t="s">
        <v>1951</v>
      </c>
    </row>
    <row r="656" spans="1:9" x14ac:dyDescent="0.3">
      <c r="A656" s="17" t="s">
        <v>1273</v>
      </c>
      <c r="B656" s="17" t="s">
        <v>4796</v>
      </c>
      <c r="C656" s="17" t="s">
        <v>4797</v>
      </c>
      <c r="D656" s="17" t="s">
        <v>4798</v>
      </c>
      <c r="E656" s="17" t="s">
        <v>4799</v>
      </c>
      <c r="F656" s="17" t="s">
        <v>2186</v>
      </c>
      <c r="G656" s="17" t="s">
        <v>1941</v>
      </c>
      <c r="H656" s="17">
        <v>20088</v>
      </c>
      <c r="I656" t="s">
        <v>1951</v>
      </c>
    </row>
    <row r="657" spans="1:9" x14ac:dyDescent="0.3">
      <c r="A657" s="17" t="s">
        <v>1275</v>
      </c>
      <c r="B657" s="17" t="s">
        <v>4800</v>
      </c>
      <c r="C657" s="17" t="s">
        <v>4801</v>
      </c>
      <c r="D657" s="17"/>
      <c r="E657" s="17" t="s">
        <v>4802</v>
      </c>
      <c r="F657" s="17" t="s">
        <v>4803</v>
      </c>
      <c r="G657" s="17" t="s">
        <v>1941</v>
      </c>
      <c r="H657" s="17">
        <v>52405</v>
      </c>
      <c r="I657" t="s">
        <v>1942</v>
      </c>
    </row>
    <row r="658" spans="1:9" x14ac:dyDescent="0.3">
      <c r="A658" s="17" t="s">
        <v>1277</v>
      </c>
      <c r="B658" s="17" t="s">
        <v>4804</v>
      </c>
      <c r="C658" s="17" t="s">
        <v>4805</v>
      </c>
      <c r="D658" s="17"/>
      <c r="E658" s="17" t="s">
        <v>4806</v>
      </c>
      <c r="F658" s="17" t="s">
        <v>2093</v>
      </c>
      <c r="G658" s="17" t="s">
        <v>1941</v>
      </c>
      <c r="H658" s="17">
        <v>80045</v>
      </c>
      <c r="I658" t="s">
        <v>1951</v>
      </c>
    </row>
    <row r="659" spans="1:9" x14ac:dyDescent="0.3">
      <c r="A659" s="17" t="s">
        <v>1279</v>
      </c>
      <c r="B659" s="17" t="s">
        <v>4807</v>
      </c>
      <c r="C659" s="17" t="s">
        <v>4808</v>
      </c>
      <c r="D659" s="17" t="s">
        <v>4809</v>
      </c>
      <c r="E659" s="17" t="s">
        <v>4810</v>
      </c>
      <c r="F659" s="17" t="s">
        <v>4811</v>
      </c>
      <c r="G659" s="17" t="s">
        <v>1941</v>
      </c>
      <c r="H659" s="17">
        <v>94089</v>
      </c>
      <c r="I659" t="s">
        <v>1942</v>
      </c>
    </row>
    <row r="660" spans="1:9" x14ac:dyDescent="0.3">
      <c r="A660" s="17" t="s">
        <v>4812</v>
      </c>
      <c r="B660" s="17" t="s">
        <v>4813</v>
      </c>
      <c r="C660" s="17"/>
      <c r="D660" s="17"/>
      <c r="E660" s="17" t="s">
        <v>4814</v>
      </c>
      <c r="F660" s="17" t="s">
        <v>4355</v>
      </c>
      <c r="G660" s="17" t="s">
        <v>1949</v>
      </c>
      <c r="H660" s="17" t="s">
        <v>4356</v>
      </c>
      <c r="I660" t="s">
        <v>1942</v>
      </c>
    </row>
    <row r="661" spans="1:9" x14ac:dyDescent="0.3">
      <c r="A661" s="17" t="s">
        <v>1283</v>
      </c>
      <c r="B661" s="17" t="s">
        <v>4815</v>
      </c>
      <c r="C661" s="17" t="s">
        <v>4816</v>
      </c>
      <c r="D661" s="17" t="s">
        <v>4817</v>
      </c>
      <c r="E661" s="17" t="s">
        <v>4818</v>
      </c>
      <c r="F661" s="17" t="s">
        <v>4819</v>
      </c>
      <c r="G661" s="17" t="s">
        <v>1949</v>
      </c>
      <c r="H661" s="17" t="s">
        <v>4417</v>
      </c>
      <c r="I661" t="s">
        <v>1942</v>
      </c>
    </row>
    <row r="662" spans="1:9" x14ac:dyDescent="0.3">
      <c r="A662" s="17" t="s">
        <v>1285</v>
      </c>
      <c r="B662" s="17" t="s">
        <v>4820</v>
      </c>
      <c r="C662" s="17" t="s">
        <v>4821</v>
      </c>
      <c r="D662" s="17" t="s">
        <v>4822</v>
      </c>
      <c r="E662" s="17" t="s">
        <v>4823</v>
      </c>
      <c r="F662" s="17" t="s">
        <v>2800</v>
      </c>
      <c r="G662" s="17" t="s">
        <v>1941</v>
      </c>
      <c r="H662" s="17">
        <v>48930</v>
      </c>
      <c r="I662" t="s">
        <v>1951</v>
      </c>
    </row>
    <row r="663" spans="1:9" x14ac:dyDescent="0.3">
      <c r="A663" s="17" t="s">
        <v>1287</v>
      </c>
      <c r="B663" s="17" t="s">
        <v>4824</v>
      </c>
      <c r="C663" s="17" t="s">
        <v>4825</v>
      </c>
      <c r="D663" s="17" t="s">
        <v>4826</v>
      </c>
      <c r="E663" s="17" t="s">
        <v>4827</v>
      </c>
      <c r="F663" s="17" t="s">
        <v>2027</v>
      </c>
      <c r="G663" s="17" t="s">
        <v>1941</v>
      </c>
      <c r="H663" s="17">
        <v>77281</v>
      </c>
      <c r="I663" t="s">
        <v>1942</v>
      </c>
    </row>
    <row r="664" spans="1:9" x14ac:dyDescent="0.3">
      <c r="A664" s="17" t="s">
        <v>1289</v>
      </c>
      <c r="B664" s="17" t="s">
        <v>4828</v>
      </c>
      <c r="C664" s="17" t="s">
        <v>4829</v>
      </c>
      <c r="D664" s="17"/>
      <c r="E664" s="17" t="s">
        <v>4830</v>
      </c>
      <c r="F664" s="17" t="s">
        <v>4831</v>
      </c>
      <c r="G664" s="17" t="s">
        <v>1941</v>
      </c>
      <c r="H664" s="17">
        <v>37131</v>
      </c>
      <c r="I664" t="s">
        <v>1951</v>
      </c>
    </row>
    <row r="665" spans="1:9" x14ac:dyDescent="0.3">
      <c r="A665" s="17" t="s">
        <v>1291</v>
      </c>
      <c r="B665" s="17" t="s">
        <v>4832</v>
      </c>
      <c r="C665" s="17" t="s">
        <v>4833</v>
      </c>
      <c r="D665" s="17"/>
      <c r="E665" s="17" t="s">
        <v>4834</v>
      </c>
      <c r="F665" s="17" t="s">
        <v>2122</v>
      </c>
      <c r="G665" s="17" t="s">
        <v>1941</v>
      </c>
      <c r="H665" s="17">
        <v>25362</v>
      </c>
      <c r="I665" t="s">
        <v>1951</v>
      </c>
    </row>
    <row r="666" spans="1:9" x14ac:dyDescent="0.3">
      <c r="A666" s="17" t="s">
        <v>1293</v>
      </c>
      <c r="B666" s="17" t="s">
        <v>4835</v>
      </c>
      <c r="C666" s="17" t="s">
        <v>4836</v>
      </c>
      <c r="D666" s="17" t="s">
        <v>4837</v>
      </c>
      <c r="E666" s="17" t="s">
        <v>4838</v>
      </c>
      <c r="F666" s="17" t="s">
        <v>3143</v>
      </c>
      <c r="G666" s="17" t="s">
        <v>1941</v>
      </c>
      <c r="H666" s="17">
        <v>16534</v>
      </c>
      <c r="I666" t="s">
        <v>1951</v>
      </c>
    </row>
    <row r="667" spans="1:9" x14ac:dyDescent="0.3">
      <c r="A667" s="17" t="s">
        <v>4839</v>
      </c>
      <c r="B667" s="17" t="s">
        <v>4840</v>
      </c>
      <c r="C667" s="17" t="s">
        <v>4841</v>
      </c>
      <c r="D667" s="17" t="s">
        <v>4842</v>
      </c>
      <c r="E667" s="17" t="s">
        <v>4843</v>
      </c>
      <c r="F667" s="17" t="s">
        <v>3858</v>
      </c>
      <c r="G667" s="17" t="s">
        <v>1941</v>
      </c>
      <c r="H667" s="17">
        <v>39204</v>
      </c>
      <c r="I667" t="s">
        <v>1942</v>
      </c>
    </row>
    <row r="668" spans="1:9" x14ac:dyDescent="0.3">
      <c r="A668" s="17" t="s">
        <v>1295</v>
      </c>
      <c r="B668" s="17" t="s">
        <v>4844</v>
      </c>
      <c r="C668" s="17" t="s">
        <v>4845</v>
      </c>
      <c r="D668" s="17" t="s">
        <v>4846</v>
      </c>
      <c r="E668" s="17" t="s">
        <v>4847</v>
      </c>
      <c r="F668" s="17" t="s">
        <v>2901</v>
      </c>
      <c r="G668" s="17" t="s">
        <v>1941</v>
      </c>
      <c r="H668" s="17">
        <v>79491</v>
      </c>
      <c r="I668" t="s">
        <v>1951</v>
      </c>
    </row>
    <row r="669" spans="1:9" x14ac:dyDescent="0.3">
      <c r="A669" s="17" t="s">
        <v>1297</v>
      </c>
      <c r="B669" s="17" t="s">
        <v>4848</v>
      </c>
      <c r="C669" s="17" t="s">
        <v>4849</v>
      </c>
      <c r="D669" s="17" t="s">
        <v>4850</v>
      </c>
      <c r="E669" s="17" t="s">
        <v>4851</v>
      </c>
      <c r="F669" s="17" t="s">
        <v>4852</v>
      </c>
      <c r="G669" s="17" t="s">
        <v>1949</v>
      </c>
      <c r="H669" s="17" t="s">
        <v>2089</v>
      </c>
      <c r="I669" t="s">
        <v>1951</v>
      </c>
    </row>
    <row r="670" spans="1:9" x14ac:dyDescent="0.3">
      <c r="A670" s="17" t="s">
        <v>1281</v>
      </c>
      <c r="B670" s="17" t="s">
        <v>4853</v>
      </c>
      <c r="C670" s="17" t="s">
        <v>4854</v>
      </c>
      <c r="D670" s="17" t="s">
        <v>4855</v>
      </c>
      <c r="E670" s="17" t="s">
        <v>4856</v>
      </c>
      <c r="F670" s="17" t="s">
        <v>4481</v>
      </c>
      <c r="G670" s="17" t="s">
        <v>1941</v>
      </c>
      <c r="H670" s="17">
        <v>27717</v>
      </c>
      <c r="I670" t="s">
        <v>1942</v>
      </c>
    </row>
    <row r="671" spans="1:9" x14ac:dyDescent="0.3">
      <c r="A671" s="17" t="s">
        <v>1300</v>
      </c>
      <c r="B671" s="17" t="s">
        <v>4857</v>
      </c>
      <c r="C671" s="17" t="s">
        <v>4858</v>
      </c>
      <c r="D671" s="17" t="s">
        <v>4859</v>
      </c>
      <c r="E671" s="17" t="s">
        <v>4860</v>
      </c>
      <c r="F671" s="17" t="s">
        <v>4861</v>
      </c>
      <c r="G671" s="17" t="s">
        <v>1941</v>
      </c>
      <c r="H671" s="17">
        <v>29505</v>
      </c>
      <c r="I671" t="s">
        <v>1951</v>
      </c>
    </row>
    <row r="672" spans="1:9" x14ac:dyDescent="0.3">
      <c r="A672" s="17" t="s">
        <v>1302</v>
      </c>
      <c r="B672" s="17" t="s">
        <v>4862</v>
      </c>
      <c r="C672" s="17" t="s">
        <v>4863</v>
      </c>
      <c r="D672" s="17" t="s">
        <v>4864</v>
      </c>
      <c r="E672" s="17" t="s">
        <v>4865</v>
      </c>
      <c r="F672" s="17" t="s">
        <v>4866</v>
      </c>
      <c r="G672" s="17" t="s">
        <v>1941</v>
      </c>
      <c r="H672" s="17">
        <v>13205</v>
      </c>
      <c r="I672" t="s">
        <v>1942</v>
      </c>
    </row>
    <row r="673" spans="1:9" x14ac:dyDescent="0.3">
      <c r="A673" s="17" t="s">
        <v>1304</v>
      </c>
      <c r="B673" s="17" t="s">
        <v>4867</v>
      </c>
      <c r="C673" s="17" t="s">
        <v>4868</v>
      </c>
      <c r="D673" s="17" t="s">
        <v>4869</v>
      </c>
      <c r="E673" s="17" t="s">
        <v>4870</v>
      </c>
      <c r="F673" s="17" t="s">
        <v>3682</v>
      </c>
      <c r="G673" s="17" t="s">
        <v>1941</v>
      </c>
      <c r="H673" s="17">
        <v>30245</v>
      </c>
      <c r="I673" t="s">
        <v>1951</v>
      </c>
    </row>
    <row r="674" spans="1:9" x14ac:dyDescent="0.3">
      <c r="A674" s="17" t="s">
        <v>1306</v>
      </c>
      <c r="B674" s="17" t="s">
        <v>4871</v>
      </c>
      <c r="C674" s="17" t="s">
        <v>4872</v>
      </c>
      <c r="D674" s="17"/>
      <c r="E674" s="17" t="s">
        <v>4873</v>
      </c>
      <c r="F674" s="17" t="s">
        <v>2027</v>
      </c>
      <c r="G674" s="17" t="s">
        <v>1941</v>
      </c>
      <c r="H674" s="17">
        <v>77070</v>
      </c>
      <c r="I674" t="s">
        <v>1942</v>
      </c>
    </row>
    <row r="675" spans="1:9" x14ac:dyDescent="0.3">
      <c r="A675" s="17" t="s">
        <v>1308</v>
      </c>
      <c r="B675" s="17" t="s">
        <v>4874</v>
      </c>
      <c r="C675" s="17" t="s">
        <v>4875</v>
      </c>
      <c r="D675" s="17" t="s">
        <v>4876</v>
      </c>
      <c r="E675" s="17" t="s">
        <v>4877</v>
      </c>
      <c r="F675" s="17" t="s">
        <v>2375</v>
      </c>
      <c r="G675" s="17" t="s">
        <v>1941</v>
      </c>
      <c r="H675" s="17">
        <v>66160</v>
      </c>
      <c r="I675" t="s">
        <v>1942</v>
      </c>
    </row>
    <row r="676" spans="1:9" x14ac:dyDescent="0.3">
      <c r="A676" s="17" t="s">
        <v>1310</v>
      </c>
      <c r="B676" s="17" t="s">
        <v>4878</v>
      </c>
      <c r="C676" s="17" t="s">
        <v>4879</v>
      </c>
      <c r="D676" s="17" t="s">
        <v>4880</v>
      </c>
      <c r="E676" s="17" t="s">
        <v>4881</v>
      </c>
      <c r="F676" s="17" t="s">
        <v>4882</v>
      </c>
      <c r="G676" s="17" t="s">
        <v>1941</v>
      </c>
      <c r="H676" s="17">
        <v>34282</v>
      </c>
      <c r="I676" t="s">
        <v>1942</v>
      </c>
    </row>
    <row r="677" spans="1:9" x14ac:dyDescent="0.3">
      <c r="A677" s="17" t="s">
        <v>1312</v>
      </c>
      <c r="B677" s="17" t="s">
        <v>4883</v>
      </c>
      <c r="C677" s="17"/>
      <c r="D677" s="17" t="s">
        <v>4884</v>
      </c>
      <c r="E677" s="17" t="s">
        <v>4885</v>
      </c>
      <c r="F677" s="17" t="s">
        <v>4886</v>
      </c>
      <c r="G677" s="17" t="s">
        <v>1941</v>
      </c>
      <c r="H677" s="17">
        <v>18105</v>
      </c>
      <c r="I677" t="s">
        <v>1942</v>
      </c>
    </row>
    <row r="678" spans="1:9" x14ac:dyDescent="0.3">
      <c r="A678" s="17" t="s">
        <v>1314</v>
      </c>
      <c r="B678" s="17" t="s">
        <v>4887</v>
      </c>
      <c r="C678" s="17"/>
      <c r="D678" s="17" t="s">
        <v>4888</v>
      </c>
      <c r="E678" s="17" t="s">
        <v>4889</v>
      </c>
      <c r="F678" s="17" t="s">
        <v>4890</v>
      </c>
      <c r="G678" s="17" t="s">
        <v>1941</v>
      </c>
      <c r="H678" s="17">
        <v>23663</v>
      </c>
      <c r="I678" t="s">
        <v>1951</v>
      </c>
    </row>
    <row r="679" spans="1:9" x14ac:dyDescent="0.3">
      <c r="A679" s="17" t="s">
        <v>1316</v>
      </c>
      <c r="B679" s="17" t="s">
        <v>4891</v>
      </c>
      <c r="C679" s="17" t="s">
        <v>4892</v>
      </c>
      <c r="D679" s="17" t="s">
        <v>4893</v>
      </c>
      <c r="E679" s="17" t="s">
        <v>4894</v>
      </c>
      <c r="F679" s="17" t="s">
        <v>3749</v>
      </c>
      <c r="G679" s="17" t="s">
        <v>1949</v>
      </c>
      <c r="H679" s="17" t="s">
        <v>3750</v>
      </c>
      <c r="I679" t="s">
        <v>1951</v>
      </c>
    </row>
    <row r="680" spans="1:9" x14ac:dyDescent="0.3">
      <c r="A680" s="17" t="s">
        <v>1318</v>
      </c>
      <c r="B680" s="17" t="s">
        <v>4895</v>
      </c>
      <c r="C680" s="17" t="s">
        <v>4896</v>
      </c>
      <c r="D680" s="17" t="s">
        <v>4897</v>
      </c>
      <c r="E680" s="17" t="s">
        <v>4898</v>
      </c>
      <c r="F680" s="17" t="s">
        <v>4899</v>
      </c>
      <c r="G680" s="17" t="s">
        <v>1941</v>
      </c>
      <c r="H680" s="17">
        <v>67260</v>
      </c>
      <c r="I680" t="s">
        <v>1942</v>
      </c>
    </row>
    <row r="681" spans="1:9" x14ac:dyDescent="0.3">
      <c r="A681" s="17" t="s">
        <v>1320</v>
      </c>
      <c r="B681" s="17" t="s">
        <v>4900</v>
      </c>
      <c r="C681" s="17" t="s">
        <v>4901</v>
      </c>
      <c r="D681" s="17" t="s">
        <v>4902</v>
      </c>
      <c r="E681" s="17" t="s">
        <v>4903</v>
      </c>
      <c r="F681" s="17" t="s">
        <v>4769</v>
      </c>
      <c r="G681" s="17" t="s">
        <v>2116</v>
      </c>
      <c r="H681" s="17" t="s">
        <v>4770</v>
      </c>
      <c r="I681" t="s">
        <v>1951</v>
      </c>
    </row>
    <row r="682" spans="1:9" x14ac:dyDescent="0.3">
      <c r="A682" s="17" t="s">
        <v>1322</v>
      </c>
      <c r="B682" s="17" t="s">
        <v>4904</v>
      </c>
      <c r="C682" s="17" t="s">
        <v>4905</v>
      </c>
      <c r="D682" s="17"/>
      <c r="E682" s="17" t="s">
        <v>4906</v>
      </c>
      <c r="F682" s="17" t="s">
        <v>3283</v>
      </c>
      <c r="G682" s="17" t="s">
        <v>1941</v>
      </c>
      <c r="H682" s="17">
        <v>6816</v>
      </c>
      <c r="I682" t="s">
        <v>1951</v>
      </c>
    </row>
    <row r="683" spans="1:9" x14ac:dyDescent="0.3">
      <c r="A683" s="17" t="s">
        <v>1324</v>
      </c>
      <c r="B683" s="17" t="s">
        <v>4907</v>
      </c>
      <c r="C683" s="17" t="s">
        <v>4908</v>
      </c>
      <c r="D683" s="17" t="s">
        <v>4909</v>
      </c>
      <c r="E683" s="17" t="s">
        <v>4910</v>
      </c>
      <c r="F683" s="17" t="s">
        <v>2199</v>
      </c>
      <c r="G683" s="17" t="s">
        <v>2116</v>
      </c>
      <c r="H683" s="17" t="s">
        <v>2200</v>
      </c>
      <c r="I683" t="s">
        <v>1942</v>
      </c>
    </row>
    <row r="684" spans="1:9" x14ac:dyDescent="0.3">
      <c r="A684" s="17" t="s">
        <v>1326</v>
      </c>
      <c r="B684" s="17" t="s">
        <v>4911</v>
      </c>
      <c r="C684" s="17" t="s">
        <v>4912</v>
      </c>
      <c r="D684" s="17" t="s">
        <v>4913</v>
      </c>
      <c r="E684" s="17" t="s">
        <v>4914</v>
      </c>
      <c r="F684" s="17" t="s">
        <v>3488</v>
      </c>
      <c r="G684" s="17" t="s">
        <v>1941</v>
      </c>
      <c r="H684" s="17">
        <v>32209</v>
      </c>
      <c r="I684" t="s">
        <v>1942</v>
      </c>
    </row>
    <row r="685" spans="1:9" x14ac:dyDescent="0.3">
      <c r="A685" s="17" t="s">
        <v>1328</v>
      </c>
      <c r="B685" s="17" t="s">
        <v>4915</v>
      </c>
      <c r="C685" s="17" t="s">
        <v>4916</v>
      </c>
      <c r="D685" s="17" t="s">
        <v>4917</v>
      </c>
      <c r="E685" s="17" t="s">
        <v>4918</v>
      </c>
      <c r="F685" s="17" t="s">
        <v>2027</v>
      </c>
      <c r="G685" s="17" t="s">
        <v>1941</v>
      </c>
      <c r="H685" s="17">
        <v>77299</v>
      </c>
      <c r="I685" t="s">
        <v>1951</v>
      </c>
    </row>
    <row r="686" spans="1:9" x14ac:dyDescent="0.3">
      <c r="A686" s="17" t="s">
        <v>1330</v>
      </c>
      <c r="B686" s="17" t="s">
        <v>4919</v>
      </c>
      <c r="C686" s="17"/>
      <c r="D686" s="17" t="s">
        <v>4920</v>
      </c>
      <c r="E686" s="17" t="s">
        <v>4921</v>
      </c>
      <c r="F686" s="17" t="s">
        <v>2022</v>
      </c>
      <c r="G686" s="17" t="s">
        <v>1941</v>
      </c>
      <c r="H686" s="17">
        <v>97255</v>
      </c>
      <c r="I686" t="s">
        <v>1951</v>
      </c>
    </row>
    <row r="687" spans="1:9" x14ac:dyDescent="0.3">
      <c r="A687" s="17" t="s">
        <v>1332</v>
      </c>
      <c r="B687" s="17" t="s">
        <v>4922</v>
      </c>
      <c r="C687" s="17" t="s">
        <v>4923</v>
      </c>
      <c r="D687" s="17" t="s">
        <v>4924</v>
      </c>
      <c r="E687" s="17" t="s">
        <v>4925</v>
      </c>
      <c r="F687" s="17" t="s">
        <v>2947</v>
      </c>
      <c r="G687" s="17" t="s">
        <v>1941</v>
      </c>
      <c r="H687" s="17">
        <v>91186</v>
      </c>
      <c r="I687" t="s">
        <v>1942</v>
      </c>
    </row>
    <row r="688" spans="1:9" x14ac:dyDescent="0.3">
      <c r="A688" s="17" t="s">
        <v>1334</v>
      </c>
      <c r="B688" s="17" t="s">
        <v>4926</v>
      </c>
      <c r="C688" s="17" t="s">
        <v>4927</v>
      </c>
      <c r="D688" s="17" t="s">
        <v>4928</v>
      </c>
      <c r="E688" s="17" t="s">
        <v>4929</v>
      </c>
      <c r="F688" s="17" t="s">
        <v>2572</v>
      </c>
      <c r="G688" s="17" t="s">
        <v>1941</v>
      </c>
      <c r="H688" s="17">
        <v>92725</v>
      </c>
      <c r="I688" t="s">
        <v>1942</v>
      </c>
    </row>
    <row r="689" spans="1:9" x14ac:dyDescent="0.3">
      <c r="A689" s="17" t="s">
        <v>1336</v>
      </c>
      <c r="B689" s="17" t="s">
        <v>4930</v>
      </c>
      <c r="C689" s="17" t="s">
        <v>4931</v>
      </c>
      <c r="D689" s="17" t="s">
        <v>4932</v>
      </c>
      <c r="E689" s="17" t="s">
        <v>4933</v>
      </c>
      <c r="F689" s="17" t="s">
        <v>1995</v>
      </c>
      <c r="G689" s="17" t="s">
        <v>1941</v>
      </c>
      <c r="H689" s="17">
        <v>95160</v>
      </c>
      <c r="I689" t="s">
        <v>1951</v>
      </c>
    </row>
    <row r="690" spans="1:9" x14ac:dyDescent="0.3">
      <c r="A690" s="17" t="s">
        <v>1338</v>
      </c>
      <c r="B690" s="17" t="s">
        <v>4934</v>
      </c>
      <c r="C690" s="17" t="s">
        <v>4935</v>
      </c>
      <c r="D690" s="17" t="s">
        <v>4936</v>
      </c>
      <c r="E690" s="17" t="s">
        <v>4937</v>
      </c>
      <c r="F690" s="17" t="s">
        <v>4938</v>
      </c>
      <c r="G690" s="17" t="s">
        <v>1949</v>
      </c>
      <c r="H690" s="17" t="s">
        <v>2043</v>
      </c>
      <c r="I690" t="s">
        <v>1951</v>
      </c>
    </row>
    <row r="691" spans="1:9" x14ac:dyDescent="0.3">
      <c r="A691" s="17" t="s">
        <v>1340</v>
      </c>
      <c r="B691" s="17" t="s">
        <v>4939</v>
      </c>
      <c r="C691" s="17" t="s">
        <v>4940</v>
      </c>
      <c r="D691" s="17" t="s">
        <v>4941</v>
      </c>
      <c r="E691" s="17" t="s">
        <v>4942</v>
      </c>
      <c r="F691" s="17" t="s">
        <v>2340</v>
      </c>
      <c r="G691" s="17" t="s">
        <v>1941</v>
      </c>
      <c r="H691" s="17">
        <v>80935</v>
      </c>
      <c r="I691" t="s">
        <v>1951</v>
      </c>
    </row>
    <row r="692" spans="1:9" x14ac:dyDescent="0.3">
      <c r="A692" s="17" t="s">
        <v>1342</v>
      </c>
      <c r="B692" s="17" t="s">
        <v>4943</v>
      </c>
      <c r="C692" s="17"/>
      <c r="D692" s="17"/>
      <c r="E692" s="17" t="s">
        <v>4944</v>
      </c>
      <c r="F692" s="17" t="s">
        <v>2211</v>
      </c>
      <c r="G692" s="17" t="s">
        <v>1941</v>
      </c>
      <c r="H692" s="17">
        <v>43605</v>
      </c>
      <c r="I692" t="s">
        <v>1951</v>
      </c>
    </row>
    <row r="693" spans="1:9" x14ac:dyDescent="0.3">
      <c r="A693" s="17" t="s">
        <v>4945</v>
      </c>
      <c r="B693" s="17" t="s">
        <v>4946</v>
      </c>
      <c r="C693" s="17" t="s">
        <v>4947</v>
      </c>
      <c r="D693" s="17" t="s">
        <v>4948</v>
      </c>
      <c r="E693" s="17" t="s">
        <v>4949</v>
      </c>
      <c r="F693" s="17" t="s">
        <v>3442</v>
      </c>
      <c r="G693" s="17" t="s">
        <v>1941</v>
      </c>
      <c r="H693" s="17">
        <v>33436</v>
      </c>
      <c r="I693" t="s">
        <v>1942</v>
      </c>
    </row>
    <row r="694" spans="1:9" x14ac:dyDescent="0.3">
      <c r="A694" s="17" t="s">
        <v>1346</v>
      </c>
      <c r="B694" s="17" t="s">
        <v>4950</v>
      </c>
      <c r="C694" s="17" t="s">
        <v>4951</v>
      </c>
      <c r="D694" s="17" t="s">
        <v>4952</v>
      </c>
      <c r="E694" s="17" t="s">
        <v>4953</v>
      </c>
      <c r="F694" s="17" t="s">
        <v>3037</v>
      </c>
      <c r="G694" s="17" t="s">
        <v>1941</v>
      </c>
      <c r="H694" s="17">
        <v>45999</v>
      </c>
      <c r="I694" t="s">
        <v>1951</v>
      </c>
    </row>
    <row r="695" spans="1:9" x14ac:dyDescent="0.3">
      <c r="A695" s="17" t="s">
        <v>1348</v>
      </c>
      <c r="B695" s="17" t="s">
        <v>4954</v>
      </c>
      <c r="C695" s="17" t="s">
        <v>4955</v>
      </c>
      <c r="D695" s="17" t="s">
        <v>4956</v>
      </c>
      <c r="E695" s="17" t="s">
        <v>4957</v>
      </c>
      <c r="F695" s="17" t="s">
        <v>2013</v>
      </c>
      <c r="G695" s="17" t="s">
        <v>1941</v>
      </c>
      <c r="H695" s="17">
        <v>63121</v>
      </c>
      <c r="I695" t="s">
        <v>1942</v>
      </c>
    </row>
    <row r="696" spans="1:9" x14ac:dyDescent="0.3">
      <c r="A696" s="17" t="s">
        <v>1350</v>
      </c>
      <c r="B696" s="17" t="s">
        <v>4958</v>
      </c>
      <c r="C696" s="17" t="s">
        <v>4959</v>
      </c>
      <c r="D696" s="17" t="s">
        <v>4960</v>
      </c>
      <c r="E696" s="17" t="s">
        <v>4961</v>
      </c>
      <c r="F696" s="17" t="s">
        <v>4962</v>
      </c>
      <c r="G696" s="17" t="s">
        <v>1941</v>
      </c>
      <c r="H696" s="17">
        <v>10705</v>
      </c>
      <c r="I696" t="s">
        <v>1951</v>
      </c>
    </row>
    <row r="697" spans="1:9" x14ac:dyDescent="0.3">
      <c r="A697" s="17" t="s">
        <v>1352</v>
      </c>
      <c r="B697" s="17" t="s">
        <v>4963</v>
      </c>
      <c r="C697" s="17" t="s">
        <v>4964</v>
      </c>
      <c r="D697" s="17" t="s">
        <v>4965</v>
      </c>
      <c r="E697" s="17" t="s">
        <v>4966</v>
      </c>
      <c r="F697" s="17" t="s">
        <v>3316</v>
      </c>
      <c r="G697" s="17" t="s">
        <v>1941</v>
      </c>
      <c r="H697" s="17">
        <v>21290</v>
      </c>
      <c r="I697" t="s">
        <v>1942</v>
      </c>
    </row>
    <row r="698" spans="1:9" x14ac:dyDescent="0.3">
      <c r="A698" s="17" t="s">
        <v>1354</v>
      </c>
      <c r="B698" s="17" t="s">
        <v>4967</v>
      </c>
      <c r="C698" s="17" t="s">
        <v>4968</v>
      </c>
      <c r="D698" s="17" t="s">
        <v>4969</v>
      </c>
      <c r="E698" s="17" t="s">
        <v>4970</v>
      </c>
      <c r="F698" s="17" t="s">
        <v>3488</v>
      </c>
      <c r="G698" s="17" t="s">
        <v>1941</v>
      </c>
      <c r="H698" s="17">
        <v>32230</v>
      </c>
      <c r="I698" t="s">
        <v>1951</v>
      </c>
    </row>
    <row r="699" spans="1:9" x14ac:dyDescent="0.3">
      <c r="A699" s="17" t="s">
        <v>1356</v>
      </c>
      <c r="B699" s="17" t="s">
        <v>4971</v>
      </c>
      <c r="C699" s="17"/>
      <c r="D699" s="17"/>
      <c r="E699" s="17" t="s">
        <v>4972</v>
      </c>
      <c r="F699" s="17" t="s">
        <v>4973</v>
      </c>
      <c r="G699" s="17" t="s">
        <v>1949</v>
      </c>
      <c r="H699" s="17" t="s">
        <v>4974</v>
      </c>
      <c r="I699" t="s">
        <v>1951</v>
      </c>
    </row>
    <row r="700" spans="1:9" x14ac:dyDescent="0.3">
      <c r="A700" s="17" t="s">
        <v>1344</v>
      </c>
      <c r="B700" s="17" t="s">
        <v>4975</v>
      </c>
      <c r="C700" s="17" t="s">
        <v>4976</v>
      </c>
      <c r="D700" s="17" t="s">
        <v>4977</v>
      </c>
      <c r="E700" s="17" t="s">
        <v>4978</v>
      </c>
      <c r="F700" s="17" t="s">
        <v>2366</v>
      </c>
      <c r="G700" s="17" t="s">
        <v>1949</v>
      </c>
      <c r="H700" s="17" t="s">
        <v>2545</v>
      </c>
      <c r="I700" t="s">
        <v>1951</v>
      </c>
    </row>
    <row r="701" spans="1:9" x14ac:dyDescent="0.3">
      <c r="A701" s="17" t="s">
        <v>1359</v>
      </c>
      <c r="B701" s="17" t="s">
        <v>4979</v>
      </c>
      <c r="C701" s="17" t="s">
        <v>4980</v>
      </c>
      <c r="D701" s="17" t="s">
        <v>4981</v>
      </c>
      <c r="E701" s="17" t="s">
        <v>4982</v>
      </c>
      <c r="F701" s="17" t="s">
        <v>3581</v>
      </c>
      <c r="G701" s="17" t="s">
        <v>1941</v>
      </c>
      <c r="H701" s="17">
        <v>33196</v>
      </c>
      <c r="I701" t="s">
        <v>1942</v>
      </c>
    </row>
    <row r="702" spans="1:9" x14ac:dyDescent="0.3">
      <c r="A702" s="17" t="s">
        <v>1361</v>
      </c>
      <c r="B702" s="17" t="s">
        <v>4983</v>
      </c>
      <c r="C702" s="17" t="s">
        <v>4984</v>
      </c>
      <c r="D702" s="17"/>
      <c r="E702" s="17" t="s">
        <v>4985</v>
      </c>
      <c r="F702" s="17" t="s">
        <v>3090</v>
      </c>
      <c r="G702" s="17" t="s">
        <v>1941</v>
      </c>
      <c r="H702" s="17">
        <v>94121</v>
      </c>
      <c r="I702" t="s">
        <v>1951</v>
      </c>
    </row>
    <row r="703" spans="1:9" x14ac:dyDescent="0.3">
      <c r="A703" s="17" t="s">
        <v>1363</v>
      </c>
      <c r="B703" s="17" t="s">
        <v>4986</v>
      </c>
      <c r="C703" s="17" t="s">
        <v>4987</v>
      </c>
      <c r="D703" s="17" t="s">
        <v>4988</v>
      </c>
      <c r="E703" s="17" t="s">
        <v>4989</v>
      </c>
      <c r="F703" s="17" t="s">
        <v>3402</v>
      </c>
      <c r="G703" s="17" t="s">
        <v>1949</v>
      </c>
      <c r="H703" s="17" t="s">
        <v>2083</v>
      </c>
      <c r="I703" t="s">
        <v>1942</v>
      </c>
    </row>
    <row r="704" spans="1:9" x14ac:dyDescent="0.3">
      <c r="A704" s="17" t="s">
        <v>1365</v>
      </c>
      <c r="B704" s="17" t="s">
        <v>4990</v>
      </c>
      <c r="C704" s="17" t="s">
        <v>4991</v>
      </c>
      <c r="D704" s="17"/>
      <c r="E704" s="17" t="s">
        <v>4992</v>
      </c>
      <c r="F704" s="17" t="s">
        <v>2053</v>
      </c>
      <c r="G704" s="17" t="s">
        <v>1941</v>
      </c>
      <c r="H704" s="17">
        <v>33982</v>
      </c>
      <c r="I704" t="s">
        <v>1942</v>
      </c>
    </row>
    <row r="705" spans="1:9" x14ac:dyDescent="0.3">
      <c r="A705" s="17" t="s">
        <v>1367</v>
      </c>
      <c r="B705" s="17" t="s">
        <v>4993</v>
      </c>
      <c r="C705" s="17"/>
      <c r="D705" s="17" t="s">
        <v>4994</v>
      </c>
      <c r="E705" s="17" t="s">
        <v>4995</v>
      </c>
      <c r="F705" s="17" t="s">
        <v>2600</v>
      </c>
      <c r="G705" s="17" t="s">
        <v>1949</v>
      </c>
      <c r="H705" s="17" t="s">
        <v>2545</v>
      </c>
      <c r="I705" t="s">
        <v>1942</v>
      </c>
    </row>
    <row r="706" spans="1:9" x14ac:dyDescent="0.3">
      <c r="A706" s="17" t="s">
        <v>1369</v>
      </c>
      <c r="B706" s="17" t="s">
        <v>4996</v>
      </c>
      <c r="C706" s="17"/>
      <c r="D706" s="17" t="s">
        <v>4997</v>
      </c>
      <c r="E706" s="17" t="s">
        <v>4998</v>
      </c>
      <c r="F706" s="17" t="s">
        <v>2037</v>
      </c>
      <c r="G706" s="17" t="s">
        <v>1941</v>
      </c>
      <c r="H706" s="17">
        <v>10125</v>
      </c>
      <c r="I706" t="s">
        <v>1942</v>
      </c>
    </row>
    <row r="707" spans="1:9" x14ac:dyDescent="0.3">
      <c r="A707" s="17" t="s">
        <v>1371</v>
      </c>
      <c r="B707" s="17" t="s">
        <v>4999</v>
      </c>
      <c r="C707" s="17" t="s">
        <v>5000</v>
      </c>
      <c r="D707" s="17" t="s">
        <v>5001</v>
      </c>
      <c r="E707" s="17" t="s">
        <v>5002</v>
      </c>
      <c r="F707" s="17" t="s">
        <v>2886</v>
      </c>
      <c r="G707" s="17" t="s">
        <v>1941</v>
      </c>
      <c r="H707" s="17">
        <v>29305</v>
      </c>
      <c r="I707" t="s">
        <v>1951</v>
      </c>
    </row>
    <row r="708" spans="1:9" x14ac:dyDescent="0.3">
      <c r="A708" s="17" t="s">
        <v>1373</v>
      </c>
      <c r="B708" s="17" t="s">
        <v>5003</v>
      </c>
      <c r="C708" s="17" t="s">
        <v>5004</v>
      </c>
      <c r="D708" s="17" t="s">
        <v>5005</v>
      </c>
      <c r="E708" s="17" t="s">
        <v>5006</v>
      </c>
      <c r="F708" s="17" t="s">
        <v>5007</v>
      </c>
      <c r="G708" s="17" t="s">
        <v>1941</v>
      </c>
      <c r="H708" s="17">
        <v>93305</v>
      </c>
      <c r="I708" t="s">
        <v>1951</v>
      </c>
    </row>
    <row r="709" spans="1:9" x14ac:dyDescent="0.3">
      <c r="A709" s="17" t="s">
        <v>1375</v>
      </c>
      <c r="B709" s="17" t="s">
        <v>5008</v>
      </c>
      <c r="C709" s="17"/>
      <c r="D709" s="17" t="s">
        <v>5009</v>
      </c>
      <c r="E709" s="17" t="s">
        <v>5010</v>
      </c>
      <c r="F709" s="17" t="s">
        <v>5011</v>
      </c>
      <c r="G709" s="17" t="s">
        <v>1949</v>
      </c>
      <c r="H709" s="17" t="s">
        <v>3913</v>
      </c>
      <c r="I709" t="s">
        <v>1951</v>
      </c>
    </row>
    <row r="710" spans="1:9" x14ac:dyDescent="0.3">
      <c r="A710" s="17" t="s">
        <v>1377</v>
      </c>
      <c r="B710" s="17" t="s">
        <v>5012</v>
      </c>
      <c r="C710" s="17" t="s">
        <v>5013</v>
      </c>
      <c r="D710" s="17" t="s">
        <v>5014</v>
      </c>
      <c r="E710" s="17" t="s">
        <v>5015</v>
      </c>
      <c r="F710" s="17" t="s">
        <v>2013</v>
      </c>
      <c r="G710" s="17" t="s">
        <v>1941</v>
      </c>
      <c r="H710" s="17">
        <v>63169</v>
      </c>
      <c r="I710" t="s">
        <v>1942</v>
      </c>
    </row>
    <row r="711" spans="1:9" x14ac:dyDescent="0.3">
      <c r="A711" s="17" t="s">
        <v>1379</v>
      </c>
      <c r="B711" s="17" t="s">
        <v>5016</v>
      </c>
      <c r="C711" s="17"/>
      <c r="D711" s="17" t="s">
        <v>5017</v>
      </c>
      <c r="E711" s="17" t="s">
        <v>5018</v>
      </c>
      <c r="F711" s="17" t="s">
        <v>2238</v>
      </c>
      <c r="G711" s="17" t="s">
        <v>1941</v>
      </c>
      <c r="H711" s="17">
        <v>46896</v>
      </c>
      <c r="I711" t="s">
        <v>1942</v>
      </c>
    </row>
    <row r="712" spans="1:9" x14ac:dyDescent="0.3">
      <c r="A712" s="17" t="s">
        <v>1381</v>
      </c>
      <c r="B712" s="17" t="s">
        <v>5019</v>
      </c>
      <c r="C712" s="17" t="s">
        <v>5020</v>
      </c>
      <c r="D712" s="17" t="s">
        <v>5021</v>
      </c>
      <c r="E712" s="17" t="s">
        <v>5022</v>
      </c>
      <c r="F712" s="17" t="s">
        <v>5023</v>
      </c>
      <c r="G712" s="17" t="s">
        <v>1941</v>
      </c>
      <c r="H712" s="17">
        <v>55564</v>
      </c>
      <c r="I712" t="s">
        <v>1951</v>
      </c>
    </row>
    <row r="713" spans="1:9" x14ac:dyDescent="0.3">
      <c r="A713" s="17" t="s">
        <v>1383</v>
      </c>
      <c r="B713" s="17" t="s">
        <v>5024</v>
      </c>
      <c r="C713" s="17" t="s">
        <v>5025</v>
      </c>
      <c r="D713" s="17" t="s">
        <v>5026</v>
      </c>
      <c r="E713" s="17" t="s">
        <v>5027</v>
      </c>
      <c r="F713" s="17" t="s">
        <v>5028</v>
      </c>
      <c r="G713" s="17" t="s">
        <v>1941</v>
      </c>
      <c r="H713" s="17">
        <v>72905</v>
      </c>
      <c r="I713" t="s">
        <v>1951</v>
      </c>
    </row>
    <row r="714" spans="1:9" x14ac:dyDescent="0.3">
      <c r="A714" s="17" t="s">
        <v>1385</v>
      </c>
      <c r="B714" s="17" t="s">
        <v>5029</v>
      </c>
      <c r="C714" s="17"/>
      <c r="D714" s="17"/>
      <c r="E714" s="17" t="s">
        <v>5030</v>
      </c>
      <c r="F714" s="17" t="s">
        <v>3563</v>
      </c>
      <c r="G714" s="17" t="s">
        <v>2116</v>
      </c>
      <c r="H714" s="17" t="s">
        <v>3564</v>
      </c>
      <c r="I714" t="s">
        <v>1951</v>
      </c>
    </row>
    <row r="715" spans="1:9" x14ac:dyDescent="0.3">
      <c r="A715" s="17" t="s">
        <v>1387</v>
      </c>
      <c r="B715" s="17" t="s">
        <v>5031</v>
      </c>
      <c r="C715" s="17" t="s">
        <v>5032</v>
      </c>
      <c r="D715" s="17" t="s">
        <v>5033</v>
      </c>
      <c r="E715" s="17" t="s">
        <v>5034</v>
      </c>
      <c r="F715" s="17" t="s">
        <v>2419</v>
      </c>
      <c r="G715" s="17" t="s">
        <v>1941</v>
      </c>
      <c r="H715" s="17">
        <v>95210</v>
      </c>
      <c r="I715" t="s">
        <v>1951</v>
      </c>
    </row>
    <row r="716" spans="1:9" x14ac:dyDescent="0.3">
      <c r="A716" s="17" t="s">
        <v>1389</v>
      </c>
      <c r="B716" s="17" t="s">
        <v>5035</v>
      </c>
      <c r="C716" s="17" t="s">
        <v>5036</v>
      </c>
      <c r="D716" s="17" t="s">
        <v>5037</v>
      </c>
      <c r="E716" s="17" t="s">
        <v>5038</v>
      </c>
      <c r="F716" s="17" t="s">
        <v>5039</v>
      </c>
      <c r="G716" s="17" t="s">
        <v>1949</v>
      </c>
      <c r="H716" s="17" t="s">
        <v>2536</v>
      </c>
      <c r="I716" t="s">
        <v>1942</v>
      </c>
    </row>
    <row r="717" spans="1:9" x14ac:dyDescent="0.3">
      <c r="A717" s="17" t="s">
        <v>1391</v>
      </c>
      <c r="B717" s="17" t="s">
        <v>5040</v>
      </c>
      <c r="C717" s="17" t="s">
        <v>5041</v>
      </c>
      <c r="D717" s="17"/>
      <c r="E717" s="17" t="s">
        <v>5042</v>
      </c>
      <c r="F717" s="17" t="s">
        <v>2220</v>
      </c>
      <c r="G717" s="17" t="s">
        <v>1941</v>
      </c>
      <c r="H717" s="17">
        <v>33686</v>
      </c>
      <c r="I717" t="s">
        <v>1951</v>
      </c>
    </row>
    <row r="718" spans="1:9" x14ac:dyDescent="0.3">
      <c r="A718" s="17" t="s">
        <v>5043</v>
      </c>
      <c r="B718" s="17" t="s">
        <v>5044</v>
      </c>
      <c r="C718" s="17" t="s">
        <v>5045</v>
      </c>
      <c r="D718" s="17" t="s">
        <v>5046</v>
      </c>
      <c r="E718" s="17" t="s">
        <v>5047</v>
      </c>
      <c r="F718" s="17" t="s">
        <v>2725</v>
      </c>
      <c r="G718" s="17" t="s">
        <v>1949</v>
      </c>
      <c r="H718" s="17" t="s">
        <v>2726</v>
      </c>
      <c r="I718" t="s">
        <v>1951</v>
      </c>
    </row>
    <row r="719" spans="1:9" x14ac:dyDescent="0.3">
      <c r="A719" s="17" t="s">
        <v>1394</v>
      </c>
      <c r="B719" s="17" t="s">
        <v>5048</v>
      </c>
      <c r="C719" s="17" t="s">
        <v>5049</v>
      </c>
      <c r="D719" s="17" t="s">
        <v>5050</v>
      </c>
      <c r="E719" s="17" t="s">
        <v>5051</v>
      </c>
      <c r="F719" s="17" t="s">
        <v>2017</v>
      </c>
      <c r="G719" s="17" t="s">
        <v>1941</v>
      </c>
      <c r="H719" s="17">
        <v>19104</v>
      </c>
      <c r="I719" t="s">
        <v>1951</v>
      </c>
    </row>
    <row r="720" spans="1:9" x14ac:dyDescent="0.3">
      <c r="A720" s="17" t="s">
        <v>1396</v>
      </c>
      <c r="B720" s="17" t="s">
        <v>5052</v>
      </c>
      <c r="C720" s="17" t="s">
        <v>5053</v>
      </c>
      <c r="D720" s="17" t="s">
        <v>5054</v>
      </c>
      <c r="E720" s="17" t="s">
        <v>5055</v>
      </c>
      <c r="F720" s="17" t="s">
        <v>4760</v>
      </c>
      <c r="G720" s="17" t="s">
        <v>1941</v>
      </c>
      <c r="H720" s="17">
        <v>76905</v>
      </c>
      <c r="I720" t="s">
        <v>1951</v>
      </c>
    </row>
    <row r="721" spans="1:9" x14ac:dyDescent="0.3">
      <c r="A721" s="17" t="s">
        <v>1398</v>
      </c>
      <c r="B721" s="17" t="s">
        <v>5056</v>
      </c>
      <c r="C721" s="17" t="s">
        <v>5057</v>
      </c>
      <c r="D721" s="17" t="s">
        <v>5058</v>
      </c>
      <c r="E721" s="17" t="s">
        <v>5059</v>
      </c>
      <c r="F721" s="17" t="s">
        <v>1986</v>
      </c>
      <c r="G721" s="17" t="s">
        <v>1941</v>
      </c>
      <c r="H721" s="17">
        <v>90035</v>
      </c>
      <c r="I721" t="s">
        <v>1942</v>
      </c>
    </row>
    <row r="722" spans="1:9" x14ac:dyDescent="0.3">
      <c r="A722" s="17" t="s">
        <v>1400</v>
      </c>
      <c r="B722" s="17" t="s">
        <v>5060</v>
      </c>
      <c r="C722" s="17" t="s">
        <v>5061</v>
      </c>
      <c r="D722" s="17" t="s">
        <v>5062</v>
      </c>
      <c r="E722" s="17" t="s">
        <v>5063</v>
      </c>
      <c r="F722" s="17" t="s">
        <v>2800</v>
      </c>
      <c r="G722" s="17" t="s">
        <v>1941</v>
      </c>
      <c r="H722" s="17">
        <v>48912</v>
      </c>
      <c r="I722" t="s">
        <v>1942</v>
      </c>
    </row>
    <row r="723" spans="1:9" x14ac:dyDescent="0.3">
      <c r="A723" s="17" t="s">
        <v>1402</v>
      </c>
      <c r="B723" s="17" t="s">
        <v>5064</v>
      </c>
      <c r="C723" s="17" t="s">
        <v>5065</v>
      </c>
      <c r="D723" s="17" t="s">
        <v>5066</v>
      </c>
      <c r="E723" s="17" t="s">
        <v>5067</v>
      </c>
      <c r="F723" s="17" t="s">
        <v>2713</v>
      </c>
      <c r="G723" s="17" t="s">
        <v>1941</v>
      </c>
      <c r="H723" s="17">
        <v>34615</v>
      </c>
      <c r="I723" t="s">
        <v>1942</v>
      </c>
    </row>
    <row r="724" spans="1:9" x14ac:dyDescent="0.3">
      <c r="A724" s="17" t="s">
        <v>1404</v>
      </c>
      <c r="B724" s="17" t="s">
        <v>5068</v>
      </c>
      <c r="C724" s="17"/>
      <c r="D724" s="17" t="s">
        <v>5069</v>
      </c>
      <c r="E724" s="17" t="s">
        <v>5070</v>
      </c>
      <c r="F724" s="17" t="s">
        <v>2758</v>
      </c>
      <c r="G724" s="17" t="s">
        <v>1941</v>
      </c>
      <c r="H724" s="17">
        <v>90605</v>
      </c>
      <c r="I724" t="s">
        <v>1951</v>
      </c>
    </row>
    <row r="725" spans="1:9" x14ac:dyDescent="0.3">
      <c r="A725" s="17" t="s">
        <v>1406</v>
      </c>
      <c r="B725" s="17" t="s">
        <v>5071</v>
      </c>
      <c r="C725" s="17" t="s">
        <v>5072</v>
      </c>
      <c r="D725" s="17" t="s">
        <v>5073</v>
      </c>
      <c r="E725" s="17" t="s">
        <v>5074</v>
      </c>
      <c r="F725" s="17" t="s">
        <v>2355</v>
      </c>
      <c r="G725" s="17" t="s">
        <v>1941</v>
      </c>
      <c r="H725" s="17">
        <v>93773</v>
      </c>
      <c r="I725" t="s">
        <v>1951</v>
      </c>
    </row>
    <row r="726" spans="1:9" x14ac:dyDescent="0.3">
      <c r="A726" s="17" t="s">
        <v>1408</v>
      </c>
      <c r="B726" s="17" t="s">
        <v>5075</v>
      </c>
      <c r="C726" s="17"/>
      <c r="D726" s="17" t="s">
        <v>5076</v>
      </c>
      <c r="E726" s="17" t="s">
        <v>5077</v>
      </c>
      <c r="F726" s="17" t="s">
        <v>2037</v>
      </c>
      <c r="G726" s="17" t="s">
        <v>1941</v>
      </c>
      <c r="H726" s="17">
        <v>10155</v>
      </c>
      <c r="I726" t="s">
        <v>1942</v>
      </c>
    </row>
    <row r="727" spans="1:9" x14ac:dyDescent="0.3">
      <c r="A727" s="17" t="s">
        <v>1410</v>
      </c>
      <c r="B727" s="17" t="s">
        <v>5078</v>
      </c>
      <c r="C727" s="17" t="s">
        <v>5079</v>
      </c>
      <c r="D727" s="17" t="s">
        <v>5080</v>
      </c>
      <c r="E727" s="17" t="s">
        <v>5081</v>
      </c>
      <c r="F727" s="17" t="s">
        <v>2340</v>
      </c>
      <c r="G727" s="17" t="s">
        <v>1941</v>
      </c>
      <c r="H727" s="17">
        <v>80935</v>
      </c>
      <c r="I727" t="s">
        <v>1951</v>
      </c>
    </row>
    <row r="728" spans="1:9" x14ac:dyDescent="0.3">
      <c r="A728" s="17" t="s">
        <v>1412</v>
      </c>
      <c r="B728" s="17" t="s">
        <v>5082</v>
      </c>
      <c r="C728" s="17"/>
      <c r="D728" s="17" t="s">
        <v>5083</v>
      </c>
      <c r="E728" s="17" t="s">
        <v>5084</v>
      </c>
      <c r="F728" s="17" t="s">
        <v>5085</v>
      </c>
      <c r="G728" s="17" t="s">
        <v>1941</v>
      </c>
      <c r="H728" s="17">
        <v>90831</v>
      </c>
      <c r="I728" t="s">
        <v>1951</v>
      </c>
    </row>
    <row r="729" spans="1:9" x14ac:dyDescent="0.3">
      <c r="A729" s="17" t="s">
        <v>1414</v>
      </c>
      <c r="B729" s="17" t="s">
        <v>5086</v>
      </c>
      <c r="C729" s="17" t="s">
        <v>5087</v>
      </c>
      <c r="D729" s="17" t="s">
        <v>5088</v>
      </c>
      <c r="E729" s="17" t="s">
        <v>5089</v>
      </c>
      <c r="F729" s="17" t="s">
        <v>5090</v>
      </c>
      <c r="G729" s="17" t="s">
        <v>1949</v>
      </c>
      <c r="H729" s="17" t="s">
        <v>5091</v>
      </c>
      <c r="I729" t="s">
        <v>1942</v>
      </c>
    </row>
    <row r="730" spans="1:9" x14ac:dyDescent="0.3">
      <c r="A730" s="17" t="s">
        <v>1416</v>
      </c>
      <c r="B730" s="17" t="s">
        <v>5092</v>
      </c>
      <c r="C730" s="17" t="s">
        <v>5093</v>
      </c>
      <c r="D730" s="17" t="s">
        <v>5094</v>
      </c>
      <c r="E730" s="17" t="s">
        <v>5095</v>
      </c>
      <c r="F730" s="17" t="s">
        <v>2370</v>
      </c>
      <c r="G730" s="17" t="s">
        <v>1941</v>
      </c>
      <c r="H730" s="17">
        <v>89510</v>
      </c>
      <c r="I730" t="s">
        <v>1942</v>
      </c>
    </row>
    <row r="731" spans="1:9" x14ac:dyDescent="0.3">
      <c r="A731" s="17" t="s">
        <v>1418</v>
      </c>
      <c r="B731" s="17" t="s">
        <v>5096</v>
      </c>
      <c r="C731" s="17" t="s">
        <v>5097</v>
      </c>
      <c r="D731" s="17" t="s">
        <v>5098</v>
      </c>
      <c r="E731" s="17" t="s">
        <v>5099</v>
      </c>
      <c r="F731" s="17" t="s">
        <v>2115</v>
      </c>
      <c r="G731" s="17" t="s">
        <v>2116</v>
      </c>
      <c r="H731" s="17" t="s">
        <v>2117</v>
      </c>
      <c r="I731" t="s">
        <v>1951</v>
      </c>
    </row>
    <row r="732" spans="1:9" x14ac:dyDescent="0.3">
      <c r="A732" s="17" t="s">
        <v>1420</v>
      </c>
      <c r="B732" s="17" t="s">
        <v>5100</v>
      </c>
      <c r="C732" s="17" t="s">
        <v>5101</v>
      </c>
      <c r="D732" s="17" t="s">
        <v>5102</v>
      </c>
      <c r="E732" s="17" t="s">
        <v>5103</v>
      </c>
      <c r="F732" s="17" t="s">
        <v>3370</v>
      </c>
      <c r="G732" s="17" t="s">
        <v>1941</v>
      </c>
      <c r="H732" s="17">
        <v>89155</v>
      </c>
      <c r="I732" t="s">
        <v>1951</v>
      </c>
    </row>
    <row r="733" spans="1:9" x14ac:dyDescent="0.3">
      <c r="A733" s="17" t="s">
        <v>1422</v>
      </c>
      <c r="B733" s="17" t="s">
        <v>5104</v>
      </c>
      <c r="C733" s="17"/>
      <c r="D733" s="17" t="s">
        <v>5105</v>
      </c>
      <c r="E733" s="17" t="s">
        <v>5106</v>
      </c>
      <c r="F733" s="17" t="s">
        <v>5107</v>
      </c>
      <c r="G733" s="17" t="s">
        <v>1941</v>
      </c>
      <c r="H733" s="17">
        <v>19805</v>
      </c>
      <c r="I733" t="s">
        <v>1942</v>
      </c>
    </row>
    <row r="734" spans="1:9" x14ac:dyDescent="0.3">
      <c r="A734" s="17" t="s">
        <v>1424</v>
      </c>
      <c r="B734" s="17" t="s">
        <v>5108</v>
      </c>
      <c r="C734" s="17" t="s">
        <v>5109</v>
      </c>
      <c r="D734" s="17" t="s">
        <v>5110</v>
      </c>
      <c r="E734" s="17" t="s">
        <v>5111</v>
      </c>
      <c r="F734" s="17" t="s">
        <v>2370</v>
      </c>
      <c r="G734" s="17" t="s">
        <v>1941</v>
      </c>
      <c r="H734" s="17">
        <v>89550</v>
      </c>
      <c r="I734" t="s">
        <v>1951</v>
      </c>
    </row>
    <row r="735" spans="1:9" x14ac:dyDescent="0.3">
      <c r="A735" s="17" t="s">
        <v>1426</v>
      </c>
      <c r="B735" s="17" t="s">
        <v>5112</v>
      </c>
      <c r="C735" s="17" t="s">
        <v>5113</v>
      </c>
      <c r="D735" s="17" t="s">
        <v>5114</v>
      </c>
      <c r="E735" s="17" t="s">
        <v>5115</v>
      </c>
      <c r="F735" s="17" t="s">
        <v>2439</v>
      </c>
      <c r="G735" s="17" t="s">
        <v>1941</v>
      </c>
      <c r="H735" s="17">
        <v>35487</v>
      </c>
      <c r="I735" t="s">
        <v>1942</v>
      </c>
    </row>
    <row r="736" spans="1:9" x14ac:dyDescent="0.3">
      <c r="A736" s="17" t="s">
        <v>1428</v>
      </c>
      <c r="B736" s="17" t="s">
        <v>5116</v>
      </c>
      <c r="C736" s="17"/>
      <c r="D736" s="17" t="s">
        <v>5117</v>
      </c>
      <c r="E736" s="17" t="s">
        <v>5118</v>
      </c>
      <c r="F736" s="17" t="s">
        <v>5119</v>
      </c>
      <c r="G736" s="17" t="s">
        <v>1941</v>
      </c>
      <c r="H736" s="17">
        <v>92645</v>
      </c>
      <c r="I736" t="s">
        <v>1951</v>
      </c>
    </row>
    <row r="737" spans="1:9" x14ac:dyDescent="0.3">
      <c r="A737" s="17" t="s">
        <v>1430</v>
      </c>
      <c r="B737" s="17" t="s">
        <v>5120</v>
      </c>
      <c r="C737" s="17" t="s">
        <v>5121</v>
      </c>
      <c r="D737" s="17"/>
      <c r="E737" s="17" t="s">
        <v>5122</v>
      </c>
      <c r="F737" s="17" t="s">
        <v>2988</v>
      </c>
      <c r="G737" s="17" t="s">
        <v>1941</v>
      </c>
      <c r="H737" s="17">
        <v>66225</v>
      </c>
      <c r="I737" t="s">
        <v>1951</v>
      </c>
    </row>
    <row r="738" spans="1:9" x14ac:dyDescent="0.3">
      <c r="A738" s="17" t="s">
        <v>1432</v>
      </c>
      <c r="B738" s="17" t="s">
        <v>5123</v>
      </c>
      <c r="C738" s="17" t="s">
        <v>5124</v>
      </c>
      <c r="D738" s="17" t="s">
        <v>5125</v>
      </c>
      <c r="E738" s="17" t="s">
        <v>5126</v>
      </c>
      <c r="F738" s="17" t="s">
        <v>2600</v>
      </c>
      <c r="G738" s="17" t="s">
        <v>1949</v>
      </c>
      <c r="H738" s="17" t="s">
        <v>2545</v>
      </c>
      <c r="I738" t="s">
        <v>1942</v>
      </c>
    </row>
    <row r="739" spans="1:9" x14ac:dyDescent="0.3">
      <c r="A739" s="17" t="s">
        <v>1434</v>
      </c>
      <c r="B739" s="17" t="s">
        <v>5127</v>
      </c>
      <c r="C739" s="17" t="s">
        <v>5128</v>
      </c>
      <c r="D739" s="17" t="s">
        <v>5129</v>
      </c>
      <c r="E739" s="17" t="s">
        <v>5130</v>
      </c>
      <c r="F739" s="17" t="s">
        <v>3037</v>
      </c>
      <c r="G739" s="17" t="s">
        <v>1941</v>
      </c>
      <c r="H739" s="17">
        <v>45228</v>
      </c>
      <c r="I739" t="s">
        <v>1951</v>
      </c>
    </row>
    <row r="740" spans="1:9" x14ac:dyDescent="0.3">
      <c r="A740" s="17" t="s">
        <v>1436</v>
      </c>
      <c r="B740" s="17" t="s">
        <v>5131</v>
      </c>
      <c r="C740" s="17" t="s">
        <v>5132</v>
      </c>
      <c r="D740" s="17" t="s">
        <v>5133</v>
      </c>
      <c r="E740" s="17" t="s">
        <v>5134</v>
      </c>
      <c r="F740" s="17" t="s">
        <v>2912</v>
      </c>
      <c r="G740" s="17" t="s">
        <v>2116</v>
      </c>
      <c r="H740" s="17" t="s">
        <v>2913</v>
      </c>
      <c r="I740" t="s">
        <v>1951</v>
      </c>
    </row>
    <row r="741" spans="1:9" x14ac:dyDescent="0.3">
      <c r="A741" s="17" t="s">
        <v>5135</v>
      </c>
      <c r="B741" s="17" t="s">
        <v>5136</v>
      </c>
      <c r="C741" s="17"/>
      <c r="D741" s="17" t="s">
        <v>5137</v>
      </c>
      <c r="E741" s="17" t="s">
        <v>5138</v>
      </c>
      <c r="F741" s="17" t="s">
        <v>2022</v>
      </c>
      <c r="G741" s="17" t="s">
        <v>1941</v>
      </c>
      <c r="H741" s="17">
        <v>97296</v>
      </c>
      <c r="I741" t="s">
        <v>1942</v>
      </c>
    </row>
    <row r="742" spans="1:9" x14ac:dyDescent="0.3">
      <c r="A742" s="17" t="s">
        <v>1439</v>
      </c>
      <c r="B742" s="17" t="s">
        <v>5139</v>
      </c>
      <c r="C742" s="17" t="s">
        <v>5140</v>
      </c>
      <c r="D742" s="17" t="s">
        <v>5141</v>
      </c>
      <c r="E742" s="17" t="s">
        <v>5142</v>
      </c>
      <c r="F742" s="17" t="s">
        <v>5011</v>
      </c>
      <c r="G742" s="17" t="s">
        <v>1949</v>
      </c>
      <c r="H742" s="17" t="s">
        <v>3913</v>
      </c>
      <c r="I742" t="s">
        <v>1951</v>
      </c>
    </row>
    <row r="743" spans="1:9" x14ac:dyDescent="0.3">
      <c r="A743" s="17" t="s">
        <v>1441</v>
      </c>
      <c r="B743" s="17" t="s">
        <v>5143</v>
      </c>
      <c r="C743" s="17" t="s">
        <v>5144</v>
      </c>
      <c r="D743" s="17" t="s">
        <v>5145</v>
      </c>
      <c r="E743" s="17" t="s">
        <v>5146</v>
      </c>
      <c r="F743" s="17" t="s">
        <v>4811</v>
      </c>
      <c r="G743" s="17" t="s">
        <v>1941</v>
      </c>
      <c r="H743" s="17">
        <v>94089</v>
      </c>
      <c r="I743" t="s">
        <v>1951</v>
      </c>
    </row>
    <row r="744" spans="1:9" x14ac:dyDescent="0.3">
      <c r="A744" s="17" t="s">
        <v>1443</v>
      </c>
      <c r="B744" s="17" t="s">
        <v>5147</v>
      </c>
      <c r="C744" s="17" t="s">
        <v>5148</v>
      </c>
      <c r="D744" s="17" t="s">
        <v>5149</v>
      </c>
      <c r="E744" s="17" t="s">
        <v>5150</v>
      </c>
      <c r="F744" s="17" t="s">
        <v>2845</v>
      </c>
      <c r="G744" s="17" t="s">
        <v>1941</v>
      </c>
      <c r="H744" s="17">
        <v>38188</v>
      </c>
      <c r="I744" t="s">
        <v>1951</v>
      </c>
    </row>
    <row r="745" spans="1:9" x14ac:dyDescent="0.3">
      <c r="A745" s="17" t="s">
        <v>1445</v>
      </c>
      <c r="B745" s="17" t="s">
        <v>5151</v>
      </c>
      <c r="C745" s="17" t="s">
        <v>5152</v>
      </c>
      <c r="D745" s="17" t="s">
        <v>5153</v>
      </c>
      <c r="E745" s="17" t="s">
        <v>5154</v>
      </c>
      <c r="F745" s="17" t="s">
        <v>4401</v>
      </c>
      <c r="G745" s="17" t="s">
        <v>1941</v>
      </c>
      <c r="H745" s="17">
        <v>32868</v>
      </c>
      <c r="I745" t="s">
        <v>1951</v>
      </c>
    </row>
    <row r="746" spans="1:9" x14ac:dyDescent="0.3">
      <c r="A746" s="17" t="s">
        <v>1447</v>
      </c>
      <c r="B746" s="17" t="s">
        <v>5155</v>
      </c>
      <c r="C746" s="17"/>
      <c r="D746" s="17" t="s">
        <v>5156</v>
      </c>
      <c r="E746" s="17" t="s">
        <v>5157</v>
      </c>
      <c r="F746" s="17" t="s">
        <v>2821</v>
      </c>
      <c r="G746" s="17" t="s">
        <v>1941</v>
      </c>
      <c r="H746" s="17">
        <v>48232</v>
      </c>
      <c r="I746" t="s">
        <v>1942</v>
      </c>
    </row>
    <row r="747" spans="1:9" x14ac:dyDescent="0.3">
      <c r="A747" s="17" t="s">
        <v>1449</v>
      </c>
      <c r="B747" s="17" t="s">
        <v>5158</v>
      </c>
      <c r="C747" s="17" t="s">
        <v>5159</v>
      </c>
      <c r="D747" s="17" t="s">
        <v>5160</v>
      </c>
      <c r="E747" s="17" t="s">
        <v>5161</v>
      </c>
      <c r="F747" s="17" t="s">
        <v>5162</v>
      </c>
      <c r="G747" s="17" t="s">
        <v>1949</v>
      </c>
      <c r="H747" s="17" t="s">
        <v>5163</v>
      </c>
      <c r="I747" t="s">
        <v>1951</v>
      </c>
    </row>
    <row r="748" spans="1:9" x14ac:dyDescent="0.3">
      <c r="A748" s="17" t="s">
        <v>1451</v>
      </c>
      <c r="B748" s="17" t="s">
        <v>5164</v>
      </c>
      <c r="C748" s="17" t="s">
        <v>5165</v>
      </c>
      <c r="D748" s="17" t="s">
        <v>5166</v>
      </c>
      <c r="E748" s="17" t="s">
        <v>5167</v>
      </c>
      <c r="F748" s="17" t="s">
        <v>5168</v>
      </c>
      <c r="G748" s="17" t="s">
        <v>1949</v>
      </c>
      <c r="H748" s="17" t="s">
        <v>2726</v>
      </c>
      <c r="I748" t="s">
        <v>1951</v>
      </c>
    </row>
    <row r="749" spans="1:9" x14ac:dyDescent="0.3">
      <c r="A749" s="17" t="s">
        <v>1453</v>
      </c>
      <c r="B749" s="17" t="s">
        <v>5169</v>
      </c>
      <c r="C749" s="17" t="s">
        <v>5170</v>
      </c>
      <c r="D749" s="17" t="s">
        <v>5171</v>
      </c>
      <c r="E749" s="17" t="s">
        <v>5172</v>
      </c>
      <c r="F749" s="17" t="s">
        <v>5173</v>
      </c>
      <c r="G749" s="17" t="s">
        <v>1949</v>
      </c>
      <c r="H749" s="17" t="s">
        <v>5174</v>
      </c>
      <c r="I749" t="s">
        <v>1942</v>
      </c>
    </row>
    <row r="750" spans="1:9" x14ac:dyDescent="0.3">
      <c r="A750" s="17" t="s">
        <v>1455</v>
      </c>
      <c r="B750" s="17" t="s">
        <v>5175</v>
      </c>
      <c r="C750" s="17" t="s">
        <v>5176</v>
      </c>
      <c r="D750" s="17" t="s">
        <v>5177</v>
      </c>
      <c r="E750" s="17" t="s">
        <v>5178</v>
      </c>
      <c r="F750" s="17" t="s">
        <v>2004</v>
      </c>
      <c r="G750" s="17" t="s">
        <v>1941</v>
      </c>
      <c r="H750" s="17">
        <v>23203</v>
      </c>
      <c r="I750" t="s">
        <v>1951</v>
      </c>
    </row>
    <row r="751" spans="1:9" x14ac:dyDescent="0.3">
      <c r="A751" s="17" t="s">
        <v>1457</v>
      </c>
      <c r="B751" s="17" t="s">
        <v>5179</v>
      </c>
      <c r="C751" s="17" t="s">
        <v>5180</v>
      </c>
      <c r="D751" s="17" t="s">
        <v>5181</v>
      </c>
      <c r="E751" s="17" t="s">
        <v>5182</v>
      </c>
      <c r="F751" s="17" t="s">
        <v>5183</v>
      </c>
      <c r="G751" s="17" t="s">
        <v>1949</v>
      </c>
      <c r="H751" s="17" t="s">
        <v>2536</v>
      </c>
      <c r="I751" t="s">
        <v>1942</v>
      </c>
    </row>
    <row r="752" spans="1:9" x14ac:dyDescent="0.3">
      <c r="A752" s="17" t="s">
        <v>1459</v>
      </c>
      <c r="B752" s="17" t="s">
        <v>5184</v>
      </c>
      <c r="C752" s="17"/>
      <c r="D752" s="17" t="s">
        <v>5185</v>
      </c>
      <c r="E752" s="17" t="s">
        <v>5186</v>
      </c>
      <c r="F752" s="17" t="s">
        <v>2266</v>
      </c>
      <c r="G752" s="17" t="s">
        <v>1941</v>
      </c>
      <c r="H752" s="17">
        <v>76178</v>
      </c>
      <c r="I752" t="s">
        <v>1942</v>
      </c>
    </row>
    <row r="753" spans="1:9" x14ac:dyDescent="0.3">
      <c r="A753" s="17" t="s">
        <v>1461</v>
      </c>
      <c r="B753" s="17" t="s">
        <v>5187</v>
      </c>
      <c r="C753" s="17" t="s">
        <v>5188</v>
      </c>
      <c r="D753" s="17" t="s">
        <v>5189</v>
      </c>
      <c r="E753" s="17" t="s">
        <v>5190</v>
      </c>
      <c r="F753" s="17" t="s">
        <v>2776</v>
      </c>
      <c r="G753" s="17" t="s">
        <v>1941</v>
      </c>
      <c r="H753" s="17">
        <v>11254</v>
      </c>
      <c r="I753" t="s">
        <v>1951</v>
      </c>
    </row>
    <row r="754" spans="1:9" x14ac:dyDescent="0.3">
      <c r="A754" s="17" t="s">
        <v>1463</v>
      </c>
      <c r="B754" s="17" t="s">
        <v>5191</v>
      </c>
      <c r="C754" s="17" t="s">
        <v>5192</v>
      </c>
      <c r="D754" s="17" t="s">
        <v>5193</v>
      </c>
      <c r="E754" s="17" t="s">
        <v>5194</v>
      </c>
      <c r="F754" s="17" t="s">
        <v>2266</v>
      </c>
      <c r="G754" s="17" t="s">
        <v>1941</v>
      </c>
      <c r="H754" s="17">
        <v>76198</v>
      </c>
      <c r="I754" t="s">
        <v>1942</v>
      </c>
    </row>
    <row r="755" spans="1:9" x14ac:dyDescent="0.3">
      <c r="A755" s="17" t="s">
        <v>1465</v>
      </c>
      <c r="B755" s="17" t="s">
        <v>5195</v>
      </c>
      <c r="C755" s="17" t="s">
        <v>5196</v>
      </c>
      <c r="D755" s="17" t="s">
        <v>5197</v>
      </c>
      <c r="E755" s="17" t="s">
        <v>5198</v>
      </c>
      <c r="F755" s="17" t="s">
        <v>3099</v>
      </c>
      <c r="G755" s="17" t="s">
        <v>1941</v>
      </c>
      <c r="H755" s="17">
        <v>85053</v>
      </c>
      <c r="I755" t="s">
        <v>1951</v>
      </c>
    </row>
    <row r="756" spans="1:9" x14ac:dyDescent="0.3">
      <c r="A756" s="17" t="s">
        <v>5199</v>
      </c>
      <c r="B756" s="17" t="s">
        <v>5200</v>
      </c>
      <c r="C756" s="17" t="s">
        <v>5201</v>
      </c>
      <c r="D756" s="17"/>
      <c r="E756" s="17" t="s">
        <v>5202</v>
      </c>
      <c r="F756" s="17" t="s">
        <v>2186</v>
      </c>
      <c r="G756" s="17" t="s">
        <v>1941</v>
      </c>
      <c r="H756" s="17">
        <v>20470</v>
      </c>
      <c r="I756" t="s">
        <v>1951</v>
      </c>
    </row>
    <row r="757" spans="1:9" x14ac:dyDescent="0.3">
      <c r="A757" s="17" t="s">
        <v>1468</v>
      </c>
      <c r="B757" s="17" t="s">
        <v>5203</v>
      </c>
      <c r="C757" s="17" t="s">
        <v>5204</v>
      </c>
      <c r="D757" s="17" t="s">
        <v>5205</v>
      </c>
      <c r="E757" s="17" t="s">
        <v>5206</v>
      </c>
      <c r="F757" s="17" t="s">
        <v>2325</v>
      </c>
      <c r="G757" s="17" t="s">
        <v>1941</v>
      </c>
      <c r="H757" s="17">
        <v>75287</v>
      </c>
      <c r="I757" t="s">
        <v>1951</v>
      </c>
    </row>
    <row r="758" spans="1:9" x14ac:dyDescent="0.3">
      <c r="A758" s="17" t="s">
        <v>1470</v>
      </c>
      <c r="B758" s="17" t="s">
        <v>5207</v>
      </c>
      <c r="C758" s="17" t="s">
        <v>5208</v>
      </c>
      <c r="D758" s="17" t="s">
        <v>5209</v>
      </c>
      <c r="E758" s="17" t="s">
        <v>5210</v>
      </c>
      <c r="F758" s="17" t="s">
        <v>3687</v>
      </c>
      <c r="G758" s="17" t="s">
        <v>1941</v>
      </c>
      <c r="H758" s="17">
        <v>28805</v>
      </c>
      <c r="I758" t="s">
        <v>1942</v>
      </c>
    </row>
    <row r="759" spans="1:9" x14ac:dyDescent="0.3">
      <c r="A759" s="17" t="s">
        <v>1472</v>
      </c>
      <c r="B759" s="17" t="s">
        <v>5211</v>
      </c>
      <c r="C759" s="17" t="s">
        <v>5212</v>
      </c>
      <c r="D759" s="17" t="s">
        <v>5213</v>
      </c>
      <c r="E759" s="17" t="s">
        <v>5214</v>
      </c>
      <c r="F759" s="17" t="s">
        <v>5215</v>
      </c>
      <c r="G759" s="17" t="s">
        <v>1941</v>
      </c>
      <c r="H759" s="17">
        <v>59112</v>
      </c>
      <c r="I759" t="s">
        <v>1942</v>
      </c>
    </row>
    <row r="760" spans="1:9" x14ac:dyDescent="0.3">
      <c r="A760" s="17" t="s">
        <v>1474</v>
      </c>
      <c r="B760" s="17" t="s">
        <v>5216</v>
      </c>
      <c r="C760" s="17" t="s">
        <v>5217</v>
      </c>
      <c r="D760" s="17"/>
      <c r="E760" s="17" t="s">
        <v>5218</v>
      </c>
      <c r="F760" s="17" t="s">
        <v>2013</v>
      </c>
      <c r="G760" s="17" t="s">
        <v>1941</v>
      </c>
      <c r="H760" s="17">
        <v>63126</v>
      </c>
      <c r="I760" t="s">
        <v>1951</v>
      </c>
    </row>
    <row r="761" spans="1:9" x14ac:dyDescent="0.3">
      <c r="A761" s="17" t="s">
        <v>1476</v>
      </c>
      <c r="B761" s="17" t="s">
        <v>5219</v>
      </c>
      <c r="C761" s="17" t="s">
        <v>5220</v>
      </c>
      <c r="D761" s="17" t="s">
        <v>5221</v>
      </c>
      <c r="E761" s="17" t="s">
        <v>5222</v>
      </c>
      <c r="F761" s="17" t="s">
        <v>5223</v>
      </c>
      <c r="G761" s="17" t="s">
        <v>1941</v>
      </c>
      <c r="H761" s="17">
        <v>64054</v>
      </c>
      <c r="I761" t="s">
        <v>1942</v>
      </c>
    </row>
    <row r="762" spans="1:9" x14ac:dyDescent="0.3">
      <c r="A762" s="17" t="s">
        <v>1478</v>
      </c>
      <c r="B762" s="17" t="s">
        <v>5224</v>
      </c>
      <c r="C762" s="17" t="s">
        <v>5225</v>
      </c>
      <c r="D762" s="17"/>
      <c r="E762" s="17" t="s">
        <v>5226</v>
      </c>
      <c r="F762" s="17" t="s">
        <v>2694</v>
      </c>
      <c r="G762" s="17" t="s">
        <v>1941</v>
      </c>
      <c r="H762" s="17">
        <v>27404</v>
      </c>
      <c r="I762" t="s">
        <v>1951</v>
      </c>
    </row>
    <row r="763" spans="1:9" x14ac:dyDescent="0.3">
      <c r="A763" s="17" t="s">
        <v>1480</v>
      </c>
      <c r="B763" s="17" t="s">
        <v>5227</v>
      </c>
      <c r="C763" s="17" t="s">
        <v>5228</v>
      </c>
      <c r="D763" s="17"/>
      <c r="E763" s="17" t="s">
        <v>5229</v>
      </c>
      <c r="F763" s="17" t="s">
        <v>5230</v>
      </c>
      <c r="G763" s="17" t="s">
        <v>1941</v>
      </c>
      <c r="H763" s="17">
        <v>71213</v>
      </c>
      <c r="I763" t="s">
        <v>1942</v>
      </c>
    </row>
    <row r="764" spans="1:9" x14ac:dyDescent="0.3">
      <c r="A764" s="17" t="s">
        <v>1482</v>
      </c>
      <c r="B764" s="17" t="s">
        <v>5231</v>
      </c>
      <c r="C764" s="17" t="s">
        <v>5232</v>
      </c>
      <c r="D764" s="17" t="s">
        <v>5233</v>
      </c>
      <c r="E764" s="17" t="s">
        <v>5234</v>
      </c>
      <c r="F764" s="17" t="s">
        <v>4422</v>
      </c>
      <c r="G764" s="17" t="s">
        <v>2116</v>
      </c>
      <c r="H764" s="17" t="s">
        <v>4423</v>
      </c>
      <c r="I764" t="s">
        <v>1951</v>
      </c>
    </row>
    <row r="765" spans="1:9" x14ac:dyDescent="0.3">
      <c r="A765" s="17" t="s">
        <v>1484</v>
      </c>
      <c r="B765" s="17" t="s">
        <v>5235</v>
      </c>
      <c r="C765" s="17"/>
      <c r="D765" s="17" t="s">
        <v>5236</v>
      </c>
      <c r="E765" s="17" t="s">
        <v>5237</v>
      </c>
      <c r="F765" s="17" t="s">
        <v>2266</v>
      </c>
      <c r="G765" s="17" t="s">
        <v>1941</v>
      </c>
      <c r="H765" s="17">
        <v>76129</v>
      </c>
      <c r="I765" t="s">
        <v>1951</v>
      </c>
    </row>
    <row r="766" spans="1:9" x14ac:dyDescent="0.3">
      <c r="A766" s="17" t="s">
        <v>1486</v>
      </c>
      <c r="B766" s="17" t="s">
        <v>5238</v>
      </c>
      <c r="C766" s="17" t="s">
        <v>5239</v>
      </c>
      <c r="D766" s="17" t="s">
        <v>5240</v>
      </c>
      <c r="E766" s="17" t="s">
        <v>5241</v>
      </c>
      <c r="F766" s="17" t="s">
        <v>2550</v>
      </c>
      <c r="G766" s="17" t="s">
        <v>1941</v>
      </c>
      <c r="H766" s="17">
        <v>58122</v>
      </c>
      <c r="I766" t="s">
        <v>1942</v>
      </c>
    </row>
    <row r="767" spans="1:9" x14ac:dyDescent="0.3">
      <c r="A767" s="17" t="s">
        <v>1488</v>
      </c>
      <c r="B767" s="17" t="s">
        <v>5242</v>
      </c>
      <c r="C767" s="17" t="s">
        <v>5243</v>
      </c>
      <c r="D767" s="17" t="s">
        <v>5244</v>
      </c>
      <c r="E767" s="17" t="s">
        <v>5245</v>
      </c>
      <c r="F767" s="17" t="s">
        <v>2791</v>
      </c>
      <c r="G767" s="17" t="s">
        <v>1941</v>
      </c>
      <c r="H767" s="17">
        <v>75044</v>
      </c>
      <c r="I767" t="s">
        <v>1942</v>
      </c>
    </row>
    <row r="768" spans="1:9" x14ac:dyDescent="0.3">
      <c r="A768" s="17" t="s">
        <v>5246</v>
      </c>
      <c r="B768" s="17" t="s">
        <v>5247</v>
      </c>
      <c r="C768" s="17" t="s">
        <v>5248</v>
      </c>
      <c r="D768" s="17" t="s">
        <v>5249</v>
      </c>
      <c r="E768" s="17" t="s">
        <v>5250</v>
      </c>
      <c r="F768" s="17" t="s">
        <v>2287</v>
      </c>
      <c r="G768" s="17" t="s">
        <v>1941</v>
      </c>
      <c r="H768" s="17">
        <v>43231</v>
      </c>
      <c r="I768" t="s">
        <v>1951</v>
      </c>
    </row>
    <row r="769" spans="1:9" x14ac:dyDescent="0.3">
      <c r="A769" s="17" t="s">
        <v>5251</v>
      </c>
      <c r="B769" s="17" t="s">
        <v>5252</v>
      </c>
      <c r="C769" s="17" t="s">
        <v>5253</v>
      </c>
      <c r="D769" s="17" t="s">
        <v>5254</v>
      </c>
      <c r="E769" s="17" t="s">
        <v>5255</v>
      </c>
      <c r="F769" s="17" t="s">
        <v>2387</v>
      </c>
      <c r="G769" s="17" t="s">
        <v>1941</v>
      </c>
      <c r="H769" s="17">
        <v>78737</v>
      </c>
      <c r="I769" t="s">
        <v>1951</v>
      </c>
    </row>
    <row r="770" spans="1:9" x14ac:dyDescent="0.3">
      <c r="A770" s="17" t="s">
        <v>5256</v>
      </c>
      <c r="B770" s="17" t="s">
        <v>5257</v>
      </c>
      <c r="C770" s="17"/>
      <c r="D770" s="17" t="s">
        <v>5258</v>
      </c>
      <c r="E770" s="17" t="s">
        <v>5259</v>
      </c>
      <c r="F770" s="17" t="s">
        <v>2744</v>
      </c>
      <c r="G770" s="17" t="s">
        <v>1941</v>
      </c>
      <c r="H770" s="17">
        <v>36104</v>
      </c>
      <c r="I770" t="s">
        <v>1942</v>
      </c>
    </row>
    <row r="771" spans="1:9" x14ac:dyDescent="0.3">
      <c r="A771" s="17" t="s">
        <v>1492</v>
      </c>
      <c r="B771" s="17" t="s">
        <v>5260</v>
      </c>
      <c r="C771" s="17" t="s">
        <v>5261</v>
      </c>
      <c r="D771" s="17" t="s">
        <v>5262</v>
      </c>
      <c r="E771" s="17" t="s">
        <v>5263</v>
      </c>
      <c r="F771" s="17" t="s">
        <v>2172</v>
      </c>
      <c r="G771" s="17" t="s">
        <v>2116</v>
      </c>
      <c r="H771" s="17" t="s">
        <v>3927</v>
      </c>
      <c r="I771" t="s">
        <v>1951</v>
      </c>
    </row>
    <row r="772" spans="1:9" x14ac:dyDescent="0.3">
      <c r="A772" s="17" t="s">
        <v>1494</v>
      </c>
      <c r="B772" s="17" t="s">
        <v>5264</v>
      </c>
      <c r="C772" s="17" t="s">
        <v>5265</v>
      </c>
      <c r="D772" s="17"/>
      <c r="E772" s="17" t="s">
        <v>5266</v>
      </c>
      <c r="F772" s="17" t="s">
        <v>1962</v>
      </c>
      <c r="G772" s="17" t="s">
        <v>1941</v>
      </c>
      <c r="H772" s="17">
        <v>22156</v>
      </c>
      <c r="I772" t="s">
        <v>1951</v>
      </c>
    </row>
    <row r="773" spans="1:9" x14ac:dyDescent="0.3">
      <c r="A773" s="17" t="s">
        <v>1496</v>
      </c>
      <c r="B773" s="17" t="s">
        <v>5267</v>
      </c>
      <c r="C773" s="17" t="s">
        <v>5268</v>
      </c>
      <c r="D773" s="17" t="s">
        <v>5269</v>
      </c>
      <c r="E773" s="17" t="s">
        <v>5270</v>
      </c>
      <c r="F773" s="17" t="s">
        <v>5271</v>
      </c>
      <c r="G773" s="17" t="s">
        <v>1941</v>
      </c>
      <c r="H773" s="17">
        <v>80126</v>
      </c>
      <c r="I773" t="s">
        <v>1951</v>
      </c>
    </row>
    <row r="774" spans="1:9" x14ac:dyDescent="0.3">
      <c r="A774" s="17" t="s">
        <v>1498</v>
      </c>
      <c r="B774" s="17" t="s">
        <v>5272</v>
      </c>
      <c r="C774" s="17"/>
      <c r="D774" s="17" t="s">
        <v>5273</v>
      </c>
      <c r="E774" s="17" t="s">
        <v>5274</v>
      </c>
      <c r="F774" s="17" t="s">
        <v>3316</v>
      </c>
      <c r="G774" s="17" t="s">
        <v>1941</v>
      </c>
      <c r="H774" s="17">
        <v>21275</v>
      </c>
      <c r="I774" t="s">
        <v>1951</v>
      </c>
    </row>
    <row r="775" spans="1:9" x14ac:dyDescent="0.3">
      <c r="A775" s="17" t="s">
        <v>1500</v>
      </c>
      <c r="B775" s="17" t="s">
        <v>5275</v>
      </c>
      <c r="C775" s="17" t="s">
        <v>5276</v>
      </c>
      <c r="D775" s="17" t="s">
        <v>5277</v>
      </c>
      <c r="E775" s="17" t="s">
        <v>5278</v>
      </c>
      <c r="F775" s="17" t="s">
        <v>2314</v>
      </c>
      <c r="G775" s="17" t="s">
        <v>1949</v>
      </c>
      <c r="H775" s="17" t="s">
        <v>2315</v>
      </c>
      <c r="I775" t="s">
        <v>1951</v>
      </c>
    </row>
    <row r="776" spans="1:9" x14ac:dyDescent="0.3">
      <c r="A776" s="17" t="s">
        <v>1502</v>
      </c>
      <c r="B776" s="17" t="s">
        <v>5279</v>
      </c>
      <c r="C776" s="17"/>
      <c r="D776" s="17" t="s">
        <v>5280</v>
      </c>
      <c r="E776" s="17" t="s">
        <v>5281</v>
      </c>
      <c r="F776" s="17" t="s">
        <v>2191</v>
      </c>
      <c r="G776" s="17" t="s">
        <v>1941</v>
      </c>
      <c r="H776" s="17">
        <v>33345</v>
      </c>
      <c r="I776" t="s">
        <v>1942</v>
      </c>
    </row>
    <row r="777" spans="1:9" x14ac:dyDescent="0.3">
      <c r="A777" s="17" t="s">
        <v>1504</v>
      </c>
      <c r="B777" s="17" t="s">
        <v>5282</v>
      </c>
      <c r="C777" s="17" t="s">
        <v>5283</v>
      </c>
      <c r="D777" s="17" t="s">
        <v>5284</v>
      </c>
      <c r="E777" s="17" t="s">
        <v>5285</v>
      </c>
      <c r="F777" s="17" t="s">
        <v>3785</v>
      </c>
      <c r="G777" s="17" t="s">
        <v>1941</v>
      </c>
      <c r="H777" s="17">
        <v>92191</v>
      </c>
      <c r="I777" t="s">
        <v>1942</v>
      </c>
    </row>
    <row r="778" spans="1:9" x14ac:dyDescent="0.3">
      <c r="A778" s="17" t="s">
        <v>1506</v>
      </c>
      <c r="B778" s="17" t="s">
        <v>5286</v>
      </c>
      <c r="C778" s="17" t="s">
        <v>5287</v>
      </c>
      <c r="D778" s="17" t="s">
        <v>5288</v>
      </c>
      <c r="E778" s="17" t="s">
        <v>5289</v>
      </c>
      <c r="F778" s="17" t="s">
        <v>2325</v>
      </c>
      <c r="G778" s="17" t="s">
        <v>1941</v>
      </c>
      <c r="H778" s="17">
        <v>75216</v>
      </c>
      <c r="I778" t="s">
        <v>1951</v>
      </c>
    </row>
    <row r="779" spans="1:9" x14ac:dyDescent="0.3">
      <c r="A779" s="17" t="s">
        <v>1508</v>
      </c>
      <c r="B779" s="17" t="s">
        <v>5290</v>
      </c>
      <c r="C779" s="17" t="s">
        <v>5291</v>
      </c>
      <c r="D779" s="17"/>
      <c r="E779" s="17" t="s">
        <v>5292</v>
      </c>
      <c r="F779" s="17" t="s">
        <v>3325</v>
      </c>
      <c r="G779" s="17" t="s">
        <v>1941</v>
      </c>
      <c r="H779" s="17">
        <v>60435</v>
      </c>
      <c r="I779" t="s">
        <v>1951</v>
      </c>
    </row>
    <row r="780" spans="1:9" x14ac:dyDescent="0.3">
      <c r="A780" s="17" t="s">
        <v>5293</v>
      </c>
      <c r="B780" s="17" t="s">
        <v>5294</v>
      </c>
      <c r="C780" s="17" t="s">
        <v>5295</v>
      </c>
      <c r="D780" s="17" t="s">
        <v>5296</v>
      </c>
      <c r="E780" s="17" t="s">
        <v>5297</v>
      </c>
      <c r="F780" s="17" t="s">
        <v>2048</v>
      </c>
      <c r="G780" s="17" t="s">
        <v>1941</v>
      </c>
      <c r="H780" s="17">
        <v>49510</v>
      </c>
      <c r="I780" t="s">
        <v>1942</v>
      </c>
    </row>
    <row r="781" spans="1:9" x14ac:dyDescent="0.3">
      <c r="A781" s="17" t="s">
        <v>1512</v>
      </c>
      <c r="B781" s="17" t="s">
        <v>5298</v>
      </c>
      <c r="C781" s="17" t="s">
        <v>5299</v>
      </c>
      <c r="D781" s="17" t="s">
        <v>5300</v>
      </c>
      <c r="E781" s="17" t="s">
        <v>5301</v>
      </c>
      <c r="F781" s="17" t="s">
        <v>2713</v>
      </c>
      <c r="G781" s="17" t="s">
        <v>1941</v>
      </c>
      <c r="H781" s="17">
        <v>34620</v>
      </c>
      <c r="I781" t="s">
        <v>1942</v>
      </c>
    </row>
    <row r="782" spans="1:9" x14ac:dyDescent="0.3">
      <c r="A782" s="17" t="s">
        <v>1514</v>
      </c>
      <c r="B782" s="17" t="s">
        <v>5302</v>
      </c>
      <c r="C782" s="17"/>
      <c r="D782" s="17" t="s">
        <v>5303</v>
      </c>
      <c r="E782" s="17" t="s">
        <v>5304</v>
      </c>
      <c r="F782" s="17" t="s">
        <v>2137</v>
      </c>
      <c r="G782" s="17" t="s">
        <v>1941</v>
      </c>
      <c r="H782" s="17">
        <v>55441</v>
      </c>
      <c r="I782" t="s">
        <v>1951</v>
      </c>
    </row>
    <row r="783" spans="1:9" x14ac:dyDescent="0.3">
      <c r="A783" s="17" t="s">
        <v>1516</v>
      </c>
      <c r="B783" s="17" t="s">
        <v>5305</v>
      </c>
      <c r="C783" s="17" t="s">
        <v>5306</v>
      </c>
      <c r="D783" s="17" t="s">
        <v>5307</v>
      </c>
      <c r="E783" s="17" t="s">
        <v>5308</v>
      </c>
      <c r="F783" s="17" t="s">
        <v>3682</v>
      </c>
      <c r="G783" s="17" t="s">
        <v>1941</v>
      </c>
      <c r="H783" s="17">
        <v>30045</v>
      </c>
      <c r="I783" t="s">
        <v>1951</v>
      </c>
    </row>
    <row r="784" spans="1:9" x14ac:dyDescent="0.3">
      <c r="A784" s="17" t="s">
        <v>1518</v>
      </c>
      <c r="B784" s="17" t="s">
        <v>5309</v>
      </c>
      <c r="C784" s="17" t="s">
        <v>5310</v>
      </c>
      <c r="D784" s="17" t="s">
        <v>5311</v>
      </c>
      <c r="E784" s="17" t="s">
        <v>5312</v>
      </c>
      <c r="F784" s="17" t="s">
        <v>5313</v>
      </c>
      <c r="G784" s="17" t="s">
        <v>1949</v>
      </c>
      <c r="H784" s="17" t="s">
        <v>5314</v>
      </c>
      <c r="I784" t="s">
        <v>1951</v>
      </c>
    </row>
    <row r="785" spans="1:9" x14ac:dyDescent="0.3">
      <c r="A785" s="17" t="s">
        <v>1520</v>
      </c>
      <c r="B785" s="17" t="s">
        <v>5315</v>
      </c>
      <c r="C785" s="17" t="s">
        <v>5316</v>
      </c>
      <c r="D785" s="17" t="s">
        <v>5317</v>
      </c>
      <c r="E785" s="17" t="s">
        <v>5318</v>
      </c>
      <c r="F785" s="17" t="s">
        <v>2220</v>
      </c>
      <c r="G785" s="17" t="s">
        <v>1941</v>
      </c>
      <c r="H785" s="17">
        <v>33673</v>
      </c>
      <c r="I785" t="s">
        <v>1942</v>
      </c>
    </row>
    <row r="786" spans="1:9" x14ac:dyDescent="0.3">
      <c r="A786" s="17" t="s">
        <v>1522</v>
      </c>
      <c r="B786" s="17" t="s">
        <v>5319</v>
      </c>
      <c r="C786" s="17" t="s">
        <v>5320</v>
      </c>
      <c r="D786" s="17"/>
      <c r="E786" s="17" t="s">
        <v>5321</v>
      </c>
      <c r="F786" s="17" t="s">
        <v>2506</v>
      </c>
      <c r="G786" s="17" t="s">
        <v>1941</v>
      </c>
      <c r="H786" s="17">
        <v>37240</v>
      </c>
      <c r="I786" t="s">
        <v>1951</v>
      </c>
    </row>
    <row r="787" spans="1:9" x14ac:dyDescent="0.3">
      <c r="A787" s="17" t="s">
        <v>1524</v>
      </c>
      <c r="B787" s="17" t="s">
        <v>5322</v>
      </c>
      <c r="C787" s="17" t="s">
        <v>5323</v>
      </c>
      <c r="D787" s="17" t="s">
        <v>5324</v>
      </c>
      <c r="E787" s="17" t="s">
        <v>5325</v>
      </c>
      <c r="F787" s="17" t="s">
        <v>3581</v>
      </c>
      <c r="G787" s="17" t="s">
        <v>1941</v>
      </c>
      <c r="H787" s="17">
        <v>33175</v>
      </c>
      <c r="I787" t="s">
        <v>1951</v>
      </c>
    </row>
    <row r="788" spans="1:9" x14ac:dyDescent="0.3">
      <c r="A788" s="17" t="s">
        <v>1510</v>
      </c>
      <c r="B788" s="17" t="s">
        <v>5326</v>
      </c>
      <c r="C788" s="17" t="s">
        <v>5327</v>
      </c>
      <c r="D788" s="17" t="s">
        <v>5328</v>
      </c>
      <c r="E788" s="17" t="s">
        <v>5329</v>
      </c>
      <c r="F788" s="17" t="s">
        <v>1976</v>
      </c>
      <c r="G788" s="17" t="s">
        <v>1941</v>
      </c>
      <c r="H788" s="17">
        <v>45426</v>
      </c>
      <c r="I788" t="s">
        <v>1942</v>
      </c>
    </row>
    <row r="789" spans="1:9" x14ac:dyDescent="0.3">
      <c r="A789" s="17" t="s">
        <v>1527</v>
      </c>
      <c r="B789" s="17" t="s">
        <v>5330</v>
      </c>
      <c r="C789" s="17"/>
      <c r="D789" s="17" t="s">
        <v>5331</v>
      </c>
      <c r="E789" s="17" t="s">
        <v>5332</v>
      </c>
      <c r="F789" s="17" t="s">
        <v>2252</v>
      </c>
      <c r="G789" s="17" t="s">
        <v>1941</v>
      </c>
      <c r="H789" s="17">
        <v>60686</v>
      </c>
      <c r="I789" t="s">
        <v>1942</v>
      </c>
    </row>
    <row r="790" spans="1:9" x14ac:dyDescent="0.3">
      <c r="A790" s="17" t="s">
        <v>1529</v>
      </c>
      <c r="B790" s="17" t="s">
        <v>5333</v>
      </c>
      <c r="C790" s="17" t="s">
        <v>5334</v>
      </c>
      <c r="D790" s="17" t="s">
        <v>5335</v>
      </c>
      <c r="E790" s="17" t="s">
        <v>5336</v>
      </c>
      <c r="F790" s="17" t="s">
        <v>5337</v>
      </c>
      <c r="G790" s="17" t="s">
        <v>1949</v>
      </c>
      <c r="H790" s="17" t="s">
        <v>5338</v>
      </c>
      <c r="I790" t="s">
        <v>1942</v>
      </c>
    </row>
    <row r="791" spans="1:9" x14ac:dyDescent="0.3">
      <c r="A791" s="17" t="s">
        <v>1531</v>
      </c>
      <c r="B791" s="17" t="s">
        <v>5339</v>
      </c>
      <c r="C791" s="17" t="s">
        <v>5340</v>
      </c>
      <c r="D791" s="17" t="s">
        <v>5341</v>
      </c>
      <c r="E791" s="17" t="s">
        <v>5342</v>
      </c>
      <c r="F791" s="17" t="s">
        <v>2004</v>
      </c>
      <c r="G791" s="17" t="s">
        <v>1941</v>
      </c>
      <c r="H791" s="17">
        <v>94807</v>
      </c>
      <c r="I791" t="s">
        <v>1951</v>
      </c>
    </row>
    <row r="792" spans="1:9" x14ac:dyDescent="0.3">
      <c r="A792" s="17" t="s">
        <v>1533</v>
      </c>
      <c r="B792" s="17" t="s">
        <v>5343</v>
      </c>
      <c r="C792" s="17" t="s">
        <v>5344</v>
      </c>
      <c r="D792" s="17" t="s">
        <v>5345</v>
      </c>
      <c r="E792" s="17" t="s">
        <v>5346</v>
      </c>
      <c r="F792" s="17" t="s">
        <v>5347</v>
      </c>
      <c r="G792" s="17" t="s">
        <v>1941</v>
      </c>
      <c r="H792" s="17">
        <v>98506</v>
      </c>
      <c r="I792" t="s">
        <v>1951</v>
      </c>
    </row>
    <row r="793" spans="1:9" x14ac:dyDescent="0.3">
      <c r="A793" s="17" t="s">
        <v>1535</v>
      </c>
      <c r="B793" s="17" t="s">
        <v>5348</v>
      </c>
      <c r="C793" s="17" t="s">
        <v>5349</v>
      </c>
      <c r="D793" s="17" t="s">
        <v>5350</v>
      </c>
      <c r="E793" s="17" t="s">
        <v>5351</v>
      </c>
      <c r="F793" s="17" t="s">
        <v>2668</v>
      </c>
      <c r="G793" s="17" t="s">
        <v>1941</v>
      </c>
      <c r="H793" s="17">
        <v>76011</v>
      </c>
      <c r="I793" t="s">
        <v>1942</v>
      </c>
    </row>
    <row r="794" spans="1:9" x14ac:dyDescent="0.3">
      <c r="A794" s="17" t="s">
        <v>1537</v>
      </c>
      <c r="B794" s="17" t="s">
        <v>5352</v>
      </c>
      <c r="C794" s="17" t="s">
        <v>5353</v>
      </c>
      <c r="D794" s="17" t="s">
        <v>5354</v>
      </c>
      <c r="E794" s="17" t="s">
        <v>5355</v>
      </c>
      <c r="F794" s="17" t="s">
        <v>5356</v>
      </c>
      <c r="G794" s="17" t="s">
        <v>2116</v>
      </c>
      <c r="H794" s="17" t="s">
        <v>5357</v>
      </c>
      <c r="I794" t="s">
        <v>1942</v>
      </c>
    </row>
    <row r="795" spans="1:9" x14ac:dyDescent="0.3">
      <c r="A795" s="17" t="s">
        <v>1539</v>
      </c>
      <c r="B795" s="17" t="s">
        <v>5358</v>
      </c>
      <c r="C795" s="17" t="s">
        <v>5359</v>
      </c>
      <c r="D795" s="17" t="s">
        <v>5360</v>
      </c>
      <c r="E795" s="17" t="s">
        <v>5361</v>
      </c>
      <c r="F795" s="17" t="s">
        <v>2643</v>
      </c>
      <c r="G795" s="17" t="s">
        <v>1941</v>
      </c>
      <c r="H795" s="17">
        <v>24009</v>
      </c>
      <c r="I795" t="s">
        <v>1951</v>
      </c>
    </row>
    <row r="796" spans="1:9" x14ac:dyDescent="0.3">
      <c r="A796" s="17" t="s">
        <v>1541</v>
      </c>
      <c r="B796" s="17" t="s">
        <v>5362</v>
      </c>
      <c r="C796" s="17" t="s">
        <v>5363</v>
      </c>
      <c r="D796" s="17" t="s">
        <v>5364</v>
      </c>
      <c r="E796" s="17" t="s">
        <v>5365</v>
      </c>
      <c r="F796" s="17" t="s">
        <v>5366</v>
      </c>
      <c r="G796" s="17" t="s">
        <v>1941</v>
      </c>
      <c r="H796" s="17">
        <v>11044</v>
      </c>
      <c r="I796" t="s">
        <v>1951</v>
      </c>
    </row>
    <row r="797" spans="1:9" x14ac:dyDescent="0.3">
      <c r="A797" s="17" t="s">
        <v>1543</v>
      </c>
      <c r="B797" s="17" t="s">
        <v>5367</v>
      </c>
      <c r="C797" s="17" t="s">
        <v>5368</v>
      </c>
      <c r="D797" s="17" t="s">
        <v>5369</v>
      </c>
      <c r="E797" s="17" t="s">
        <v>5370</v>
      </c>
      <c r="F797" s="17" t="s">
        <v>3589</v>
      </c>
      <c r="G797" s="17" t="s">
        <v>1941</v>
      </c>
      <c r="H797" s="17">
        <v>92825</v>
      </c>
      <c r="I797" t="s">
        <v>1951</v>
      </c>
    </row>
    <row r="798" spans="1:9" x14ac:dyDescent="0.3">
      <c r="A798" s="17" t="s">
        <v>1545</v>
      </c>
      <c r="B798" s="17" t="s">
        <v>5371</v>
      </c>
      <c r="C798" s="17"/>
      <c r="D798" s="17" t="s">
        <v>5372</v>
      </c>
      <c r="E798" s="17" t="s">
        <v>5373</v>
      </c>
      <c r="F798" s="17" t="s">
        <v>3320</v>
      </c>
      <c r="G798" s="17" t="s">
        <v>1941</v>
      </c>
      <c r="H798" s="17">
        <v>40596</v>
      </c>
      <c r="I798" t="s">
        <v>1951</v>
      </c>
    </row>
    <row r="799" spans="1:9" x14ac:dyDescent="0.3">
      <c r="A799" s="17" t="s">
        <v>1547</v>
      </c>
      <c r="B799" s="17" t="s">
        <v>5374</v>
      </c>
      <c r="C799" s="17" t="s">
        <v>5375</v>
      </c>
      <c r="D799" s="17" t="s">
        <v>5376</v>
      </c>
      <c r="E799" s="17" t="s">
        <v>5377</v>
      </c>
      <c r="F799" s="17" t="s">
        <v>2220</v>
      </c>
      <c r="G799" s="17" t="s">
        <v>1941</v>
      </c>
      <c r="H799" s="17">
        <v>33673</v>
      </c>
      <c r="I799" t="s">
        <v>1951</v>
      </c>
    </row>
    <row r="800" spans="1:9" x14ac:dyDescent="0.3">
      <c r="A800" s="17" t="s">
        <v>1549</v>
      </c>
      <c r="B800" s="17" t="s">
        <v>5378</v>
      </c>
      <c r="C800" s="17" t="s">
        <v>5379</v>
      </c>
      <c r="D800" s="17" t="s">
        <v>5380</v>
      </c>
      <c r="E800" s="17" t="s">
        <v>5381</v>
      </c>
      <c r="F800" s="17" t="s">
        <v>1995</v>
      </c>
      <c r="G800" s="17" t="s">
        <v>1941</v>
      </c>
      <c r="H800" s="17">
        <v>95138</v>
      </c>
      <c r="I800" t="s">
        <v>1942</v>
      </c>
    </row>
    <row r="801" spans="1:9" x14ac:dyDescent="0.3">
      <c r="A801" s="17" t="s">
        <v>1551</v>
      </c>
      <c r="B801" s="17" t="s">
        <v>5382</v>
      </c>
      <c r="C801" s="17"/>
      <c r="D801" s="17"/>
      <c r="E801" s="17" t="s">
        <v>5383</v>
      </c>
      <c r="F801" s="17" t="s">
        <v>2186</v>
      </c>
      <c r="G801" s="17" t="s">
        <v>1941</v>
      </c>
      <c r="H801" s="17">
        <v>20470</v>
      </c>
      <c r="I801" t="s">
        <v>1942</v>
      </c>
    </row>
    <row r="802" spans="1:9" x14ac:dyDescent="0.3">
      <c r="A802" s="17" t="s">
        <v>1553</v>
      </c>
      <c r="B802" s="17" t="s">
        <v>5384</v>
      </c>
      <c r="C802" s="17" t="s">
        <v>5385</v>
      </c>
      <c r="D802" s="17" t="s">
        <v>5386</v>
      </c>
      <c r="E802" s="17" t="s">
        <v>5387</v>
      </c>
      <c r="F802" s="17" t="s">
        <v>4416</v>
      </c>
      <c r="G802" s="17" t="s">
        <v>1949</v>
      </c>
      <c r="H802" s="17" t="s">
        <v>4417</v>
      </c>
      <c r="I802" t="s">
        <v>1951</v>
      </c>
    </row>
    <row r="803" spans="1:9" x14ac:dyDescent="0.3">
      <c r="A803" s="17" t="s">
        <v>1555</v>
      </c>
      <c r="B803" s="17" t="s">
        <v>5388</v>
      </c>
      <c r="C803" s="17" t="s">
        <v>5389</v>
      </c>
      <c r="D803" s="17" t="s">
        <v>5390</v>
      </c>
      <c r="E803" s="17" t="s">
        <v>5391</v>
      </c>
      <c r="F803" s="17" t="s">
        <v>5347</v>
      </c>
      <c r="G803" s="17" t="s">
        <v>1941</v>
      </c>
      <c r="H803" s="17">
        <v>98506</v>
      </c>
      <c r="I803" t="s">
        <v>1942</v>
      </c>
    </row>
    <row r="804" spans="1:9" x14ac:dyDescent="0.3">
      <c r="A804" s="17" t="s">
        <v>1557</v>
      </c>
      <c r="B804" s="17" t="s">
        <v>5392</v>
      </c>
      <c r="C804" s="17" t="s">
        <v>5393</v>
      </c>
      <c r="D804" s="17" t="s">
        <v>5394</v>
      </c>
      <c r="E804" s="17" t="s">
        <v>5395</v>
      </c>
      <c r="F804" s="17" t="s">
        <v>5396</v>
      </c>
      <c r="G804" s="17" t="s">
        <v>1941</v>
      </c>
      <c r="H804" s="17">
        <v>75185</v>
      </c>
      <c r="I804" t="s">
        <v>1951</v>
      </c>
    </row>
    <row r="805" spans="1:9" x14ac:dyDescent="0.3">
      <c r="A805" s="17" t="s">
        <v>1559</v>
      </c>
      <c r="B805" s="17" t="s">
        <v>5397</v>
      </c>
      <c r="C805" s="17" t="s">
        <v>5398</v>
      </c>
      <c r="D805" s="17"/>
      <c r="E805" s="17" t="s">
        <v>5399</v>
      </c>
      <c r="F805" s="17" t="s">
        <v>2999</v>
      </c>
      <c r="G805" s="17" t="s">
        <v>1941</v>
      </c>
      <c r="H805" s="17">
        <v>94207</v>
      </c>
      <c r="I805" t="s">
        <v>1951</v>
      </c>
    </row>
    <row r="806" spans="1:9" x14ac:dyDescent="0.3">
      <c r="A806" s="17" t="s">
        <v>1561</v>
      </c>
      <c r="B806" s="17" t="s">
        <v>5400</v>
      </c>
      <c r="C806" s="17"/>
      <c r="D806" s="17" t="s">
        <v>5401</v>
      </c>
      <c r="E806" s="17" t="s">
        <v>5402</v>
      </c>
      <c r="F806" s="17" t="s">
        <v>3164</v>
      </c>
      <c r="G806" s="17" t="s">
        <v>2116</v>
      </c>
      <c r="H806" s="17" t="s">
        <v>3165</v>
      </c>
      <c r="I806" t="s">
        <v>1951</v>
      </c>
    </row>
    <row r="807" spans="1:9" x14ac:dyDescent="0.3">
      <c r="A807" s="17" t="s">
        <v>1563</v>
      </c>
      <c r="B807" s="17" t="s">
        <v>5403</v>
      </c>
      <c r="C807" s="17"/>
      <c r="D807" s="17" t="s">
        <v>5404</v>
      </c>
      <c r="E807" s="17" t="s">
        <v>5405</v>
      </c>
      <c r="F807" s="17" t="s">
        <v>5406</v>
      </c>
      <c r="G807" s="17" t="s">
        <v>1941</v>
      </c>
      <c r="H807" s="17">
        <v>55590</v>
      </c>
      <c r="I807" t="s">
        <v>1951</v>
      </c>
    </row>
    <row r="808" spans="1:9" x14ac:dyDescent="0.3">
      <c r="A808" s="17" t="s">
        <v>1565</v>
      </c>
      <c r="B808" s="17" t="s">
        <v>5407</v>
      </c>
      <c r="C808" s="17"/>
      <c r="D808" s="17"/>
      <c r="E808" s="17" t="s">
        <v>5408</v>
      </c>
      <c r="F808" s="17" t="s">
        <v>2199</v>
      </c>
      <c r="G808" s="17" t="s">
        <v>2116</v>
      </c>
      <c r="H808" s="17" t="s">
        <v>2200</v>
      </c>
      <c r="I808" t="s">
        <v>1942</v>
      </c>
    </row>
    <row r="809" spans="1:9" x14ac:dyDescent="0.3">
      <c r="A809" s="17" t="s">
        <v>1567</v>
      </c>
      <c r="B809" s="17" t="s">
        <v>5409</v>
      </c>
      <c r="C809" s="17" t="s">
        <v>5410</v>
      </c>
      <c r="D809" s="17" t="s">
        <v>5411</v>
      </c>
      <c r="E809" s="17" t="s">
        <v>5412</v>
      </c>
      <c r="F809" s="17" t="s">
        <v>3763</v>
      </c>
      <c r="G809" s="17" t="s">
        <v>1949</v>
      </c>
      <c r="H809" s="17" t="s">
        <v>3764</v>
      </c>
      <c r="I809" t="s">
        <v>1951</v>
      </c>
    </row>
    <row r="810" spans="1:9" x14ac:dyDescent="0.3">
      <c r="A810" s="17" t="s">
        <v>5413</v>
      </c>
      <c r="B810" s="17" t="s">
        <v>5414</v>
      </c>
      <c r="C810" s="17" t="s">
        <v>5415</v>
      </c>
      <c r="D810" s="17" t="s">
        <v>5416</v>
      </c>
      <c r="E810" s="17" t="s">
        <v>5417</v>
      </c>
      <c r="F810" s="17" t="s">
        <v>2099</v>
      </c>
      <c r="G810" s="17" t="s">
        <v>1941</v>
      </c>
      <c r="H810" s="17">
        <v>11499</v>
      </c>
      <c r="I810" t="s">
        <v>1942</v>
      </c>
    </row>
    <row r="811" spans="1:9" x14ac:dyDescent="0.3">
      <c r="A811" s="17" t="s">
        <v>1571</v>
      </c>
      <c r="B811" s="17" t="s">
        <v>5418</v>
      </c>
      <c r="C811" s="17"/>
      <c r="D811" s="17" t="s">
        <v>5419</v>
      </c>
      <c r="E811" s="17" t="s">
        <v>5420</v>
      </c>
      <c r="F811" s="17" t="s">
        <v>2448</v>
      </c>
      <c r="G811" s="17" t="s">
        <v>1941</v>
      </c>
      <c r="H811" s="17">
        <v>79934</v>
      </c>
      <c r="I811" t="s">
        <v>1942</v>
      </c>
    </row>
    <row r="812" spans="1:9" x14ac:dyDescent="0.3">
      <c r="A812" s="17" t="s">
        <v>1573</v>
      </c>
      <c r="B812" s="17" t="s">
        <v>5421</v>
      </c>
      <c r="C812" s="17" t="s">
        <v>5422</v>
      </c>
      <c r="D812" s="17" t="s">
        <v>5423</v>
      </c>
      <c r="E812" s="17" t="s">
        <v>5424</v>
      </c>
      <c r="F812" s="17" t="s">
        <v>5425</v>
      </c>
      <c r="G812" s="17" t="s">
        <v>1941</v>
      </c>
      <c r="H812" s="17">
        <v>34643</v>
      </c>
      <c r="I812" t="s">
        <v>1951</v>
      </c>
    </row>
    <row r="813" spans="1:9" x14ac:dyDescent="0.3">
      <c r="A813" s="17" t="s">
        <v>1575</v>
      </c>
      <c r="B813" s="17" t="s">
        <v>5426</v>
      </c>
      <c r="C813" s="17" t="s">
        <v>5427</v>
      </c>
      <c r="D813" s="17" t="s">
        <v>5428</v>
      </c>
      <c r="E813" s="17" t="s">
        <v>5429</v>
      </c>
      <c r="F813" s="17" t="s">
        <v>5430</v>
      </c>
      <c r="G813" s="17" t="s">
        <v>1949</v>
      </c>
      <c r="H813" s="17" t="s">
        <v>2083</v>
      </c>
      <c r="I813" t="s">
        <v>1942</v>
      </c>
    </row>
    <row r="814" spans="1:9" x14ac:dyDescent="0.3">
      <c r="A814" s="17" t="s">
        <v>5431</v>
      </c>
      <c r="B814" s="17" t="s">
        <v>5432</v>
      </c>
      <c r="C814" s="17" t="s">
        <v>5433</v>
      </c>
      <c r="D814" s="17" t="s">
        <v>5434</v>
      </c>
      <c r="E814" s="17" t="s">
        <v>5435</v>
      </c>
      <c r="F814" s="17" t="s">
        <v>5436</v>
      </c>
      <c r="G814" s="17" t="s">
        <v>2116</v>
      </c>
      <c r="H814" s="17" t="s">
        <v>5437</v>
      </c>
      <c r="I814" t="s">
        <v>1942</v>
      </c>
    </row>
    <row r="815" spans="1:9" x14ac:dyDescent="0.3">
      <c r="A815" s="17" t="s">
        <v>1577</v>
      </c>
      <c r="B815" s="17" t="s">
        <v>5438</v>
      </c>
      <c r="C815" s="17" t="s">
        <v>5439</v>
      </c>
      <c r="D815" s="17" t="s">
        <v>5440</v>
      </c>
      <c r="E815" s="17" t="s">
        <v>5441</v>
      </c>
      <c r="F815" s="17" t="s">
        <v>2362</v>
      </c>
      <c r="G815" s="17" t="s">
        <v>1941</v>
      </c>
      <c r="H815" s="17">
        <v>73179</v>
      </c>
      <c r="I815" t="s">
        <v>1942</v>
      </c>
    </row>
    <row r="816" spans="1:9" x14ac:dyDescent="0.3">
      <c r="A816" s="17" t="s">
        <v>1579</v>
      </c>
      <c r="B816" s="17" t="s">
        <v>5442</v>
      </c>
      <c r="C816" s="17" t="s">
        <v>5443</v>
      </c>
      <c r="D816" s="17" t="s">
        <v>5444</v>
      </c>
      <c r="E816" s="17" t="s">
        <v>5445</v>
      </c>
      <c r="F816" s="17" t="s">
        <v>2186</v>
      </c>
      <c r="G816" s="17" t="s">
        <v>1941</v>
      </c>
      <c r="H816" s="17">
        <v>20051</v>
      </c>
      <c r="I816" t="s">
        <v>1951</v>
      </c>
    </row>
    <row r="817" spans="1:9" x14ac:dyDescent="0.3">
      <c r="A817" s="17" t="s">
        <v>1581</v>
      </c>
      <c r="B817" s="17" t="s">
        <v>5446</v>
      </c>
      <c r="C817" s="17" t="s">
        <v>5447</v>
      </c>
      <c r="D817" s="17" t="s">
        <v>5448</v>
      </c>
      <c r="E817" s="17" t="s">
        <v>5449</v>
      </c>
      <c r="F817" s="17" t="s">
        <v>3049</v>
      </c>
      <c r="G817" s="17" t="s">
        <v>1941</v>
      </c>
      <c r="H817" s="17">
        <v>30351</v>
      </c>
      <c r="I817" t="s">
        <v>1951</v>
      </c>
    </row>
    <row r="818" spans="1:9" x14ac:dyDescent="0.3">
      <c r="A818" s="17" t="s">
        <v>1583</v>
      </c>
      <c r="B818" s="17" t="s">
        <v>5450</v>
      </c>
      <c r="C818" s="17" t="s">
        <v>5451</v>
      </c>
      <c r="D818" s="17" t="s">
        <v>5452</v>
      </c>
      <c r="E818" s="17" t="s">
        <v>5453</v>
      </c>
      <c r="F818" s="17" t="s">
        <v>2704</v>
      </c>
      <c r="G818" s="17" t="s">
        <v>1949</v>
      </c>
      <c r="H818" s="17" t="s">
        <v>2705</v>
      </c>
      <c r="I818" t="s">
        <v>1951</v>
      </c>
    </row>
    <row r="819" spans="1:9" x14ac:dyDescent="0.3">
      <c r="A819" s="17" t="s">
        <v>1585</v>
      </c>
      <c r="B819" s="17" t="s">
        <v>5454</v>
      </c>
      <c r="C819" s="17" t="s">
        <v>5455</v>
      </c>
      <c r="D819" s="17"/>
      <c r="E819" s="17" t="s">
        <v>5456</v>
      </c>
      <c r="F819" s="17" t="s">
        <v>2350</v>
      </c>
      <c r="G819" s="17" t="s">
        <v>1941</v>
      </c>
      <c r="H819" s="17">
        <v>14276</v>
      </c>
      <c r="I819" t="s">
        <v>1951</v>
      </c>
    </row>
    <row r="820" spans="1:9" x14ac:dyDescent="0.3">
      <c r="A820" s="17" t="s">
        <v>1569</v>
      </c>
      <c r="B820" s="17" t="s">
        <v>5457</v>
      </c>
      <c r="C820" s="17"/>
      <c r="D820" s="17" t="s">
        <v>5458</v>
      </c>
      <c r="E820" s="17" t="s">
        <v>5459</v>
      </c>
      <c r="F820" s="17" t="s">
        <v>2027</v>
      </c>
      <c r="G820" s="17" t="s">
        <v>1941</v>
      </c>
      <c r="H820" s="17">
        <v>77260</v>
      </c>
      <c r="I820" t="s">
        <v>1951</v>
      </c>
    </row>
    <row r="821" spans="1:9" x14ac:dyDescent="0.3">
      <c r="A821" s="17" t="s">
        <v>1588</v>
      </c>
      <c r="B821" s="17" t="s">
        <v>5460</v>
      </c>
      <c r="C821" s="17" t="s">
        <v>5461</v>
      </c>
      <c r="D821" s="17" t="s">
        <v>5462</v>
      </c>
      <c r="E821" s="17" t="s">
        <v>5463</v>
      </c>
      <c r="F821" s="17" t="s">
        <v>2186</v>
      </c>
      <c r="G821" s="17" t="s">
        <v>1941</v>
      </c>
      <c r="H821" s="17">
        <v>20470</v>
      </c>
      <c r="I821" t="s">
        <v>1942</v>
      </c>
    </row>
    <row r="822" spans="1:9" x14ac:dyDescent="0.3">
      <c r="A822" s="17" t="s">
        <v>1590</v>
      </c>
      <c r="B822" s="17" t="s">
        <v>5464</v>
      </c>
      <c r="C822" s="17" t="s">
        <v>5465</v>
      </c>
      <c r="D822" s="17" t="s">
        <v>5466</v>
      </c>
      <c r="E822" s="17" t="s">
        <v>5467</v>
      </c>
      <c r="F822" s="17" t="s">
        <v>2387</v>
      </c>
      <c r="G822" s="17" t="s">
        <v>1941</v>
      </c>
      <c r="H822" s="17">
        <v>78764</v>
      </c>
      <c r="I822" t="s">
        <v>1942</v>
      </c>
    </row>
    <row r="823" spans="1:9" x14ac:dyDescent="0.3">
      <c r="A823" s="17" t="s">
        <v>1592</v>
      </c>
      <c r="B823" s="17" t="s">
        <v>5468</v>
      </c>
      <c r="C823" s="17" t="s">
        <v>5469</v>
      </c>
      <c r="D823" s="17" t="s">
        <v>5470</v>
      </c>
      <c r="E823" s="17" t="s">
        <v>5471</v>
      </c>
      <c r="F823" s="17" t="s">
        <v>2835</v>
      </c>
      <c r="G823" s="17" t="s">
        <v>1941</v>
      </c>
      <c r="H823" s="17">
        <v>85205</v>
      </c>
      <c r="I823" t="s">
        <v>1951</v>
      </c>
    </row>
    <row r="824" spans="1:9" x14ac:dyDescent="0.3">
      <c r="A824" s="17" t="s">
        <v>1594</v>
      </c>
      <c r="B824" s="17" t="s">
        <v>5472</v>
      </c>
      <c r="C824" s="17" t="s">
        <v>5473</v>
      </c>
      <c r="D824" s="17" t="s">
        <v>5474</v>
      </c>
      <c r="E824" s="17" t="s">
        <v>5475</v>
      </c>
      <c r="F824" s="17" t="s">
        <v>5476</v>
      </c>
      <c r="G824" s="17" t="s">
        <v>1941</v>
      </c>
      <c r="H824" s="17">
        <v>31416</v>
      </c>
      <c r="I824" t="s">
        <v>1951</v>
      </c>
    </row>
    <row r="825" spans="1:9" x14ac:dyDescent="0.3">
      <c r="A825" s="17" t="s">
        <v>1596</v>
      </c>
      <c r="B825" s="17" t="s">
        <v>5477</v>
      </c>
      <c r="C825" s="17" t="s">
        <v>5478</v>
      </c>
      <c r="D825" s="17" t="s">
        <v>5479</v>
      </c>
      <c r="E825" s="17" t="s">
        <v>5480</v>
      </c>
      <c r="F825" s="17" t="s">
        <v>5481</v>
      </c>
      <c r="G825" s="17" t="s">
        <v>1941</v>
      </c>
      <c r="H825" s="17">
        <v>87140</v>
      </c>
      <c r="I825" t="s">
        <v>1942</v>
      </c>
    </row>
    <row r="826" spans="1:9" x14ac:dyDescent="0.3">
      <c r="A826" s="17" t="s">
        <v>1598</v>
      </c>
      <c r="B826" s="17" t="s">
        <v>5482</v>
      </c>
      <c r="C826" s="17" t="s">
        <v>5483</v>
      </c>
      <c r="D826" s="17"/>
      <c r="E826" s="17" t="s">
        <v>5484</v>
      </c>
      <c r="F826" s="17" t="s">
        <v>2300</v>
      </c>
      <c r="G826" s="17" t="s">
        <v>1941</v>
      </c>
      <c r="H826" s="17">
        <v>28299</v>
      </c>
      <c r="I826" t="s">
        <v>1942</v>
      </c>
    </row>
    <row r="827" spans="1:9" x14ac:dyDescent="0.3">
      <c r="A827" s="17" t="s">
        <v>5485</v>
      </c>
      <c r="B827" s="17" t="s">
        <v>5486</v>
      </c>
      <c r="C827" s="17" t="s">
        <v>5487</v>
      </c>
      <c r="D827" s="17" t="s">
        <v>5488</v>
      </c>
      <c r="E827" s="17" t="s">
        <v>5489</v>
      </c>
      <c r="F827" s="17" t="s">
        <v>3785</v>
      </c>
      <c r="G827" s="17" t="s">
        <v>1941</v>
      </c>
      <c r="H827" s="17">
        <v>92191</v>
      </c>
      <c r="I827" t="s">
        <v>1942</v>
      </c>
    </row>
    <row r="828" spans="1:9" x14ac:dyDescent="0.3">
      <c r="A828" s="17" t="s">
        <v>1602</v>
      </c>
      <c r="B828" s="17" t="s">
        <v>5490</v>
      </c>
      <c r="C828" s="17" t="s">
        <v>5491</v>
      </c>
      <c r="D828" s="17" t="s">
        <v>5492</v>
      </c>
      <c r="E828" s="17" t="s">
        <v>5493</v>
      </c>
      <c r="F828" s="17" t="s">
        <v>2225</v>
      </c>
      <c r="G828" s="17" t="s">
        <v>1941</v>
      </c>
      <c r="H828" s="17">
        <v>32575</v>
      </c>
      <c r="I828" t="s">
        <v>1942</v>
      </c>
    </row>
    <row r="829" spans="1:9" x14ac:dyDescent="0.3">
      <c r="A829" s="17" t="s">
        <v>1604</v>
      </c>
      <c r="B829" s="17" t="s">
        <v>5494</v>
      </c>
      <c r="C829" s="17" t="s">
        <v>5495</v>
      </c>
      <c r="D829" s="17" t="s">
        <v>5496</v>
      </c>
      <c r="E829" s="17" t="s">
        <v>5497</v>
      </c>
      <c r="F829" s="17" t="s">
        <v>2186</v>
      </c>
      <c r="G829" s="17" t="s">
        <v>1941</v>
      </c>
      <c r="H829" s="17">
        <v>20470</v>
      </c>
      <c r="I829" t="s">
        <v>1951</v>
      </c>
    </row>
    <row r="830" spans="1:9" x14ac:dyDescent="0.3">
      <c r="A830" s="17" t="s">
        <v>1606</v>
      </c>
      <c r="B830" s="17" t="s">
        <v>5498</v>
      </c>
      <c r="C830" s="17" t="s">
        <v>5499</v>
      </c>
      <c r="D830" s="17" t="s">
        <v>5500</v>
      </c>
      <c r="E830" s="17" t="s">
        <v>5501</v>
      </c>
      <c r="F830" s="17" t="s">
        <v>5502</v>
      </c>
      <c r="G830" s="17" t="s">
        <v>1941</v>
      </c>
      <c r="H830" s="17">
        <v>34985</v>
      </c>
      <c r="I830" t="s">
        <v>1942</v>
      </c>
    </row>
    <row r="831" spans="1:9" x14ac:dyDescent="0.3">
      <c r="A831" s="17" t="s">
        <v>1608</v>
      </c>
      <c r="B831" s="17" t="s">
        <v>5503</v>
      </c>
      <c r="C831" s="17" t="s">
        <v>5504</v>
      </c>
      <c r="D831" s="17" t="s">
        <v>5505</v>
      </c>
      <c r="E831" s="17" t="s">
        <v>5506</v>
      </c>
      <c r="F831" s="17" t="s">
        <v>2481</v>
      </c>
      <c r="G831" s="17" t="s">
        <v>1941</v>
      </c>
      <c r="H831" s="17">
        <v>25705</v>
      </c>
      <c r="I831" t="s">
        <v>1951</v>
      </c>
    </row>
    <row r="832" spans="1:9" x14ac:dyDescent="0.3">
      <c r="A832" s="17" t="s">
        <v>1610</v>
      </c>
      <c r="B832" s="17" t="s">
        <v>5507</v>
      </c>
      <c r="C832" s="17" t="s">
        <v>5508</v>
      </c>
      <c r="D832" s="17" t="s">
        <v>5509</v>
      </c>
      <c r="E832" s="17" t="s">
        <v>5510</v>
      </c>
      <c r="F832" s="17" t="s">
        <v>2017</v>
      </c>
      <c r="G832" s="17" t="s">
        <v>1941</v>
      </c>
      <c r="H832" s="17">
        <v>19172</v>
      </c>
      <c r="I832" t="s">
        <v>1951</v>
      </c>
    </row>
    <row r="833" spans="1:9" x14ac:dyDescent="0.3">
      <c r="A833" s="17" t="s">
        <v>1600</v>
      </c>
      <c r="B833" s="17" t="s">
        <v>5511</v>
      </c>
      <c r="C833" s="17" t="s">
        <v>5512</v>
      </c>
      <c r="D833" s="17" t="s">
        <v>5513</v>
      </c>
      <c r="E833" s="17" t="s">
        <v>5514</v>
      </c>
      <c r="F833" s="17" t="s">
        <v>2362</v>
      </c>
      <c r="G833" s="17" t="s">
        <v>1941</v>
      </c>
      <c r="H833" s="17">
        <v>73167</v>
      </c>
      <c r="I833" t="s">
        <v>1942</v>
      </c>
    </row>
    <row r="834" spans="1:9" x14ac:dyDescent="0.3">
      <c r="A834" s="17" t="s">
        <v>1612</v>
      </c>
      <c r="B834" s="17" t="s">
        <v>5515</v>
      </c>
      <c r="C834" s="17" t="s">
        <v>5516</v>
      </c>
      <c r="D834" s="17" t="s">
        <v>5517</v>
      </c>
      <c r="E834" s="17" t="s">
        <v>5518</v>
      </c>
      <c r="F834" s="17" t="s">
        <v>2247</v>
      </c>
      <c r="G834" s="17" t="s">
        <v>1941</v>
      </c>
      <c r="H834" s="17">
        <v>34114</v>
      </c>
      <c r="I834" t="s">
        <v>1951</v>
      </c>
    </row>
    <row r="835" spans="1:9" x14ac:dyDescent="0.3">
      <c r="A835" s="17" t="s">
        <v>1614</v>
      </c>
      <c r="B835" s="17" t="s">
        <v>5519</v>
      </c>
      <c r="C835" s="17" t="s">
        <v>5520</v>
      </c>
      <c r="D835" s="17" t="s">
        <v>5521</v>
      </c>
      <c r="E835" s="17" t="s">
        <v>5522</v>
      </c>
      <c r="F835" s="17" t="s">
        <v>2266</v>
      </c>
      <c r="G835" s="17" t="s">
        <v>1941</v>
      </c>
      <c r="H835" s="17">
        <v>76105</v>
      </c>
      <c r="I835" t="s">
        <v>1942</v>
      </c>
    </row>
    <row r="836" spans="1:9" x14ac:dyDescent="0.3">
      <c r="A836" s="17" t="s">
        <v>1616</v>
      </c>
      <c r="B836" s="17" t="s">
        <v>5523</v>
      </c>
      <c r="C836" s="17" t="s">
        <v>5524</v>
      </c>
      <c r="D836" s="17" t="s">
        <v>5525</v>
      </c>
      <c r="E836" s="17" t="s">
        <v>5526</v>
      </c>
      <c r="F836" s="17" t="s">
        <v>5527</v>
      </c>
      <c r="G836" s="17" t="s">
        <v>1941</v>
      </c>
      <c r="H836" s="17">
        <v>68117</v>
      </c>
      <c r="I836" t="s">
        <v>1951</v>
      </c>
    </row>
    <row r="837" spans="1:9" x14ac:dyDescent="0.3">
      <c r="A837" s="17" t="s">
        <v>1618</v>
      </c>
      <c r="B837" s="17" t="s">
        <v>5528</v>
      </c>
      <c r="C837" s="17" t="s">
        <v>5529</v>
      </c>
      <c r="D837" s="17"/>
      <c r="E837" s="17" t="s">
        <v>5530</v>
      </c>
      <c r="F837" s="17" t="s">
        <v>2140</v>
      </c>
      <c r="G837" s="17" t="s">
        <v>1941</v>
      </c>
      <c r="H837" s="17">
        <v>85732</v>
      </c>
      <c r="I837" t="s">
        <v>1942</v>
      </c>
    </row>
    <row r="838" spans="1:9" x14ac:dyDescent="0.3">
      <c r="A838" s="17" t="s">
        <v>1620</v>
      </c>
      <c r="B838" s="17" t="s">
        <v>5531</v>
      </c>
      <c r="C838" s="17" t="s">
        <v>5532</v>
      </c>
      <c r="D838" s="17" t="s">
        <v>5533</v>
      </c>
      <c r="E838" s="17" t="s">
        <v>5534</v>
      </c>
      <c r="F838" s="17" t="s">
        <v>2748</v>
      </c>
      <c r="G838" s="17" t="s">
        <v>1941</v>
      </c>
      <c r="H838" s="17">
        <v>89436</v>
      </c>
      <c r="I838" t="s">
        <v>1951</v>
      </c>
    </row>
    <row r="839" spans="1:9" x14ac:dyDescent="0.3">
      <c r="A839" s="17" t="s">
        <v>5535</v>
      </c>
      <c r="B839" s="17" t="s">
        <v>5536</v>
      </c>
      <c r="C839" s="17" t="s">
        <v>5537</v>
      </c>
      <c r="D839" s="17" t="s">
        <v>5538</v>
      </c>
      <c r="E839" s="17" t="s">
        <v>5539</v>
      </c>
      <c r="F839" s="17" t="s">
        <v>4401</v>
      </c>
      <c r="G839" s="17" t="s">
        <v>1941</v>
      </c>
      <c r="H839" s="17">
        <v>32835</v>
      </c>
      <c r="I839" t="s">
        <v>1942</v>
      </c>
    </row>
    <row r="840" spans="1:9" x14ac:dyDescent="0.3">
      <c r="A840" s="17" t="s">
        <v>1623</v>
      </c>
      <c r="B840" s="17" t="s">
        <v>5540</v>
      </c>
      <c r="C840" s="17" t="s">
        <v>5541</v>
      </c>
      <c r="D840" s="17" t="s">
        <v>5542</v>
      </c>
      <c r="E840" s="17" t="s">
        <v>5543</v>
      </c>
      <c r="F840" s="17" t="s">
        <v>2186</v>
      </c>
      <c r="G840" s="17" t="s">
        <v>1941</v>
      </c>
      <c r="H840" s="17">
        <v>20067</v>
      </c>
      <c r="I840" t="s">
        <v>1951</v>
      </c>
    </row>
    <row r="841" spans="1:9" x14ac:dyDescent="0.3">
      <c r="A841" s="17" t="s">
        <v>1625</v>
      </c>
      <c r="B841" s="17" t="s">
        <v>5544</v>
      </c>
      <c r="C841" s="17" t="s">
        <v>5545</v>
      </c>
      <c r="D841" s="17" t="s">
        <v>5546</v>
      </c>
      <c r="E841" s="17" t="s">
        <v>5547</v>
      </c>
      <c r="F841" s="17" t="s">
        <v>5548</v>
      </c>
      <c r="G841" s="17" t="s">
        <v>1941</v>
      </c>
      <c r="H841" s="17">
        <v>93907</v>
      </c>
      <c r="I841" t="s">
        <v>1951</v>
      </c>
    </row>
    <row r="842" spans="1:9" x14ac:dyDescent="0.3">
      <c r="A842" s="17" t="s">
        <v>1627</v>
      </c>
      <c r="B842" s="17" t="s">
        <v>5549</v>
      </c>
      <c r="C842" s="17" t="s">
        <v>5550</v>
      </c>
      <c r="D842" s="17" t="s">
        <v>5551</v>
      </c>
      <c r="E842" s="17" t="s">
        <v>5552</v>
      </c>
      <c r="F842" s="17" t="s">
        <v>2191</v>
      </c>
      <c r="G842" s="17" t="s">
        <v>1941</v>
      </c>
      <c r="H842" s="17">
        <v>33345</v>
      </c>
      <c r="I842" t="s">
        <v>1942</v>
      </c>
    </row>
    <row r="843" spans="1:9" x14ac:dyDescent="0.3">
      <c r="A843" s="17" t="s">
        <v>1629</v>
      </c>
      <c r="B843" s="17" t="s">
        <v>5553</v>
      </c>
      <c r="C843" s="17" t="s">
        <v>5554</v>
      </c>
      <c r="D843" s="17"/>
      <c r="E843" s="17" t="s">
        <v>5555</v>
      </c>
      <c r="F843" s="17" t="s">
        <v>2448</v>
      </c>
      <c r="G843" s="17" t="s">
        <v>1941</v>
      </c>
      <c r="H843" s="17">
        <v>88553</v>
      </c>
      <c r="I843" t="s">
        <v>1951</v>
      </c>
    </row>
    <row r="844" spans="1:9" x14ac:dyDescent="0.3">
      <c r="A844" s="17" t="s">
        <v>5556</v>
      </c>
      <c r="B844" s="17" t="s">
        <v>5557</v>
      </c>
      <c r="C844" s="17" t="s">
        <v>5558</v>
      </c>
      <c r="D844" s="17"/>
      <c r="E844" s="17" t="s">
        <v>5559</v>
      </c>
      <c r="F844" s="17" t="s">
        <v>5560</v>
      </c>
      <c r="G844" s="17" t="s">
        <v>1941</v>
      </c>
      <c r="H844" s="17">
        <v>91210</v>
      </c>
      <c r="I844" t="s">
        <v>1942</v>
      </c>
    </row>
    <row r="845" spans="1:9" x14ac:dyDescent="0.3">
      <c r="A845" s="17" t="s">
        <v>1632</v>
      </c>
      <c r="B845" s="17" t="s">
        <v>5561</v>
      </c>
      <c r="C845" s="17" t="s">
        <v>5562</v>
      </c>
      <c r="D845" s="17" t="s">
        <v>5563</v>
      </c>
      <c r="E845" s="17" t="s">
        <v>5564</v>
      </c>
      <c r="F845" s="17" t="s">
        <v>2699</v>
      </c>
      <c r="G845" s="17" t="s">
        <v>1941</v>
      </c>
      <c r="H845" s="17">
        <v>22313</v>
      </c>
      <c r="I845" t="s">
        <v>1942</v>
      </c>
    </row>
    <row r="846" spans="1:9" x14ac:dyDescent="0.3">
      <c r="A846" s="17" t="s">
        <v>1634</v>
      </c>
      <c r="B846" s="17" t="s">
        <v>5565</v>
      </c>
      <c r="C846" s="17" t="s">
        <v>5566</v>
      </c>
      <c r="D846" s="17" t="s">
        <v>5567</v>
      </c>
      <c r="E846" s="17" t="s">
        <v>5568</v>
      </c>
      <c r="F846" s="17" t="s">
        <v>3316</v>
      </c>
      <c r="G846" s="17" t="s">
        <v>1941</v>
      </c>
      <c r="H846" s="17">
        <v>21290</v>
      </c>
      <c r="I846" t="s">
        <v>1942</v>
      </c>
    </row>
    <row r="847" spans="1:9" x14ac:dyDescent="0.3">
      <c r="A847" s="17" t="s">
        <v>1636</v>
      </c>
      <c r="B847" s="17" t="s">
        <v>5569</v>
      </c>
      <c r="C847" s="17" t="s">
        <v>5570</v>
      </c>
      <c r="D847" s="17"/>
      <c r="E847" s="17" t="s">
        <v>5571</v>
      </c>
      <c r="F847" s="17" t="s">
        <v>2555</v>
      </c>
      <c r="G847" s="17" t="s">
        <v>1941</v>
      </c>
      <c r="H847" s="17">
        <v>47732</v>
      </c>
      <c r="I847" t="s">
        <v>1951</v>
      </c>
    </row>
    <row r="848" spans="1:9" x14ac:dyDescent="0.3">
      <c r="A848" s="17" t="s">
        <v>1638</v>
      </c>
      <c r="B848" s="17" t="s">
        <v>5572</v>
      </c>
      <c r="C848" s="17"/>
      <c r="D848" s="17" t="s">
        <v>5573</v>
      </c>
      <c r="E848" s="17" t="s">
        <v>5574</v>
      </c>
      <c r="F848" s="17" t="s">
        <v>3682</v>
      </c>
      <c r="G848" s="17" t="s">
        <v>1941</v>
      </c>
      <c r="H848" s="17">
        <v>30045</v>
      </c>
      <c r="I848" t="s">
        <v>1942</v>
      </c>
    </row>
    <row r="849" spans="1:9" x14ac:dyDescent="0.3">
      <c r="A849" s="17" t="s">
        <v>1640</v>
      </c>
      <c r="B849" s="17" t="s">
        <v>5575</v>
      </c>
      <c r="C849" s="17" t="s">
        <v>5576</v>
      </c>
      <c r="D849" s="17"/>
      <c r="E849" s="17" t="s">
        <v>5577</v>
      </c>
      <c r="F849" s="17" t="s">
        <v>5578</v>
      </c>
      <c r="G849" s="17" t="s">
        <v>1941</v>
      </c>
      <c r="H849" s="17">
        <v>36670</v>
      </c>
      <c r="I849" t="s">
        <v>1942</v>
      </c>
    </row>
    <row r="850" spans="1:9" x14ac:dyDescent="0.3">
      <c r="A850" s="17" t="s">
        <v>1642</v>
      </c>
      <c r="B850" s="17" t="s">
        <v>5579</v>
      </c>
      <c r="C850" s="17"/>
      <c r="D850" s="17" t="s">
        <v>5580</v>
      </c>
      <c r="E850" s="17" t="s">
        <v>5581</v>
      </c>
      <c r="F850" s="17" t="s">
        <v>2320</v>
      </c>
      <c r="G850" s="17" t="s">
        <v>1941</v>
      </c>
      <c r="H850" s="17">
        <v>79705</v>
      </c>
      <c r="I850" t="s">
        <v>1951</v>
      </c>
    </row>
    <row r="851" spans="1:9" x14ac:dyDescent="0.3">
      <c r="A851" s="17" t="s">
        <v>1644</v>
      </c>
      <c r="B851" s="17" t="s">
        <v>5582</v>
      </c>
      <c r="C851" s="17" t="s">
        <v>5583</v>
      </c>
      <c r="D851" s="17" t="s">
        <v>5584</v>
      </c>
      <c r="E851" s="17" t="s">
        <v>5585</v>
      </c>
      <c r="F851" s="17" t="s">
        <v>5586</v>
      </c>
      <c r="G851" s="17" t="s">
        <v>1941</v>
      </c>
      <c r="H851" s="17">
        <v>33023</v>
      </c>
      <c r="I851" t="s">
        <v>1942</v>
      </c>
    </row>
    <row r="852" spans="1:9" x14ac:dyDescent="0.3">
      <c r="A852" s="17" t="s">
        <v>5587</v>
      </c>
      <c r="B852" s="17" t="s">
        <v>5588</v>
      </c>
      <c r="C852" s="17" t="s">
        <v>5589</v>
      </c>
      <c r="D852" s="17" t="s">
        <v>5590</v>
      </c>
      <c r="E852" s="17" t="s">
        <v>5591</v>
      </c>
      <c r="F852" s="17" t="s">
        <v>3510</v>
      </c>
      <c r="G852" s="17" t="s">
        <v>1941</v>
      </c>
      <c r="H852" s="17">
        <v>66611</v>
      </c>
      <c r="I852" t="s">
        <v>1942</v>
      </c>
    </row>
    <row r="853" spans="1:9" x14ac:dyDescent="0.3">
      <c r="A853" s="17" t="s">
        <v>1646</v>
      </c>
      <c r="B853" s="17" t="s">
        <v>5592</v>
      </c>
      <c r="C853" s="17" t="s">
        <v>5593</v>
      </c>
      <c r="D853" s="17" t="s">
        <v>5594</v>
      </c>
      <c r="E853" s="17" t="s">
        <v>5595</v>
      </c>
      <c r="F853" s="17" t="s">
        <v>3755</v>
      </c>
      <c r="G853" s="17" t="s">
        <v>1941</v>
      </c>
      <c r="H853" s="17">
        <v>95973</v>
      </c>
      <c r="I853" t="s">
        <v>1942</v>
      </c>
    </row>
    <row r="854" spans="1:9" x14ac:dyDescent="0.3">
      <c r="A854" s="17" t="s">
        <v>1648</v>
      </c>
      <c r="B854" s="17" t="s">
        <v>5596</v>
      </c>
      <c r="C854" s="17" t="s">
        <v>5597</v>
      </c>
      <c r="D854" s="17"/>
      <c r="E854" s="17" t="s">
        <v>5598</v>
      </c>
      <c r="F854" s="17" t="s">
        <v>2387</v>
      </c>
      <c r="G854" s="17" t="s">
        <v>1941</v>
      </c>
      <c r="H854" s="17">
        <v>78737</v>
      </c>
      <c r="I854" t="s">
        <v>1942</v>
      </c>
    </row>
    <row r="855" spans="1:9" x14ac:dyDescent="0.3">
      <c r="A855" s="17" t="s">
        <v>1650</v>
      </c>
      <c r="B855" s="17" t="s">
        <v>5599</v>
      </c>
      <c r="C855" s="17" t="s">
        <v>5600</v>
      </c>
      <c r="D855" s="17"/>
      <c r="E855" s="17" t="s">
        <v>5601</v>
      </c>
      <c r="F855" s="17" t="s">
        <v>2448</v>
      </c>
      <c r="G855" s="17" t="s">
        <v>1941</v>
      </c>
      <c r="H855" s="17">
        <v>88546</v>
      </c>
      <c r="I855" t="s">
        <v>1951</v>
      </c>
    </row>
    <row r="856" spans="1:9" x14ac:dyDescent="0.3">
      <c r="A856" s="17" t="s">
        <v>1652</v>
      </c>
      <c r="B856" s="17" t="s">
        <v>5602</v>
      </c>
      <c r="C856" s="17" t="s">
        <v>5603</v>
      </c>
      <c r="D856" s="17" t="s">
        <v>5604</v>
      </c>
      <c r="E856" s="17" t="s">
        <v>5605</v>
      </c>
      <c r="F856" s="17" t="s">
        <v>2122</v>
      </c>
      <c r="G856" s="17" t="s">
        <v>1941</v>
      </c>
      <c r="H856" s="17">
        <v>25326</v>
      </c>
      <c r="I856" t="s">
        <v>1942</v>
      </c>
    </row>
    <row r="857" spans="1:9" x14ac:dyDescent="0.3">
      <c r="A857" s="17" t="s">
        <v>1654</v>
      </c>
      <c r="B857" s="17" t="s">
        <v>5606</v>
      </c>
      <c r="C857" s="17" t="s">
        <v>5607</v>
      </c>
      <c r="D857" s="17" t="s">
        <v>5608</v>
      </c>
      <c r="E857" s="17" t="s">
        <v>5609</v>
      </c>
      <c r="F857" s="17" t="s">
        <v>4886</v>
      </c>
      <c r="G857" s="17" t="s">
        <v>1941</v>
      </c>
      <c r="H857" s="17">
        <v>18105</v>
      </c>
      <c r="I857" t="s">
        <v>1951</v>
      </c>
    </row>
    <row r="858" spans="1:9" x14ac:dyDescent="0.3">
      <c r="A858" s="17" t="s">
        <v>5610</v>
      </c>
      <c r="B858" s="17" t="s">
        <v>5611</v>
      </c>
      <c r="C858" s="17" t="s">
        <v>5612</v>
      </c>
      <c r="D858" s="17" t="s">
        <v>5613</v>
      </c>
      <c r="E858" s="17" t="s">
        <v>5614</v>
      </c>
      <c r="F858" s="17" t="s">
        <v>4485</v>
      </c>
      <c r="G858" s="17" t="s">
        <v>2116</v>
      </c>
      <c r="H858" s="17" t="s">
        <v>5615</v>
      </c>
      <c r="I858" t="s">
        <v>1942</v>
      </c>
    </row>
    <row r="859" spans="1:9" x14ac:dyDescent="0.3">
      <c r="A859" s="17" t="s">
        <v>1657</v>
      </c>
      <c r="B859" s="17" t="s">
        <v>5616</v>
      </c>
      <c r="C859" s="17" t="s">
        <v>5617</v>
      </c>
      <c r="D859" s="17" t="s">
        <v>5618</v>
      </c>
      <c r="E859" s="17" t="s">
        <v>5619</v>
      </c>
      <c r="F859" s="17" t="s">
        <v>5425</v>
      </c>
      <c r="G859" s="17" t="s">
        <v>1941</v>
      </c>
      <c r="H859" s="17">
        <v>34643</v>
      </c>
      <c r="I859" t="s">
        <v>1951</v>
      </c>
    </row>
    <row r="860" spans="1:9" x14ac:dyDescent="0.3">
      <c r="A860" s="17" t="s">
        <v>1659</v>
      </c>
      <c r="B860" s="17" t="s">
        <v>5620</v>
      </c>
      <c r="C860" s="17" t="s">
        <v>5621</v>
      </c>
      <c r="D860" s="17" t="s">
        <v>5622</v>
      </c>
      <c r="E860" s="17" t="s">
        <v>5623</v>
      </c>
      <c r="F860" s="17" t="s">
        <v>2550</v>
      </c>
      <c r="G860" s="17" t="s">
        <v>1941</v>
      </c>
      <c r="H860" s="17">
        <v>58122</v>
      </c>
      <c r="I860" t="s">
        <v>1951</v>
      </c>
    </row>
    <row r="861" spans="1:9" x14ac:dyDescent="0.3">
      <c r="A861" s="17" t="s">
        <v>1661</v>
      </c>
      <c r="B861" s="17" t="s">
        <v>5624</v>
      </c>
      <c r="C861" s="17" t="s">
        <v>5625</v>
      </c>
      <c r="D861" s="17" t="s">
        <v>5626</v>
      </c>
      <c r="E861" s="17" t="s">
        <v>5627</v>
      </c>
      <c r="F861" s="17" t="s">
        <v>5028</v>
      </c>
      <c r="G861" s="17" t="s">
        <v>1941</v>
      </c>
      <c r="H861" s="17">
        <v>72905</v>
      </c>
      <c r="I861" t="s">
        <v>1951</v>
      </c>
    </row>
    <row r="862" spans="1:9" x14ac:dyDescent="0.3">
      <c r="A862" s="17" t="s">
        <v>1663</v>
      </c>
      <c r="B862" s="17" t="s">
        <v>5628</v>
      </c>
      <c r="C862" s="17"/>
      <c r="D862" s="17" t="s">
        <v>5629</v>
      </c>
      <c r="E862" s="17" t="s">
        <v>5630</v>
      </c>
      <c r="F862" s="17" t="s">
        <v>4237</v>
      </c>
      <c r="G862" s="17" t="s">
        <v>1941</v>
      </c>
      <c r="H862" s="17">
        <v>33811</v>
      </c>
      <c r="I862" t="s">
        <v>1951</v>
      </c>
    </row>
    <row r="863" spans="1:9" x14ac:dyDescent="0.3">
      <c r="A863" s="17" t="s">
        <v>1665</v>
      </c>
      <c r="B863" s="17" t="s">
        <v>5631</v>
      </c>
      <c r="C863" s="17" t="s">
        <v>5632</v>
      </c>
      <c r="D863" s="17" t="s">
        <v>5633</v>
      </c>
      <c r="E863" s="17" t="s">
        <v>5634</v>
      </c>
      <c r="F863" s="17" t="s">
        <v>3412</v>
      </c>
      <c r="G863" s="17" t="s">
        <v>1941</v>
      </c>
      <c r="H863" s="17">
        <v>37924</v>
      </c>
      <c r="I863" t="s">
        <v>1942</v>
      </c>
    </row>
    <row r="864" spans="1:9" x14ac:dyDescent="0.3">
      <c r="A864" s="17" t="s">
        <v>1667</v>
      </c>
      <c r="B864" s="17" t="s">
        <v>5635</v>
      </c>
      <c r="C864" s="17" t="s">
        <v>5636</v>
      </c>
      <c r="D864" s="17" t="s">
        <v>5637</v>
      </c>
      <c r="E864" s="17" t="s">
        <v>5638</v>
      </c>
      <c r="F864" s="17" t="s">
        <v>1986</v>
      </c>
      <c r="G864" s="17" t="s">
        <v>1941</v>
      </c>
      <c r="H864" s="17">
        <v>90030</v>
      </c>
      <c r="I864" t="s">
        <v>1942</v>
      </c>
    </row>
    <row r="865" spans="1:9" x14ac:dyDescent="0.3">
      <c r="A865" s="17" t="s">
        <v>1669</v>
      </c>
      <c r="B865" s="17" t="s">
        <v>5639</v>
      </c>
      <c r="C865" s="17" t="s">
        <v>5640</v>
      </c>
      <c r="D865" s="17" t="s">
        <v>5641</v>
      </c>
      <c r="E865" s="17" t="s">
        <v>5642</v>
      </c>
      <c r="F865" s="17" t="s">
        <v>3581</v>
      </c>
      <c r="G865" s="17" t="s">
        <v>1941</v>
      </c>
      <c r="H865" s="17">
        <v>33169</v>
      </c>
      <c r="I865" t="s">
        <v>1942</v>
      </c>
    </row>
    <row r="866" spans="1:9" x14ac:dyDescent="0.3">
      <c r="A866" s="17" t="s">
        <v>1671</v>
      </c>
      <c r="B866" s="17" t="s">
        <v>5643</v>
      </c>
      <c r="C866" s="17" t="s">
        <v>5644</v>
      </c>
      <c r="D866" s="17" t="s">
        <v>5645</v>
      </c>
      <c r="E866" s="17" t="s">
        <v>5646</v>
      </c>
      <c r="F866" s="17" t="s">
        <v>5162</v>
      </c>
      <c r="G866" s="17" t="s">
        <v>1949</v>
      </c>
      <c r="H866" s="17" t="s">
        <v>5163</v>
      </c>
      <c r="I866" t="s">
        <v>1951</v>
      </c>
    </row>
    <row r="867" spans="1:9" x14ac:dyDescent="0.3">
      <c r="A867" s="17" t="s">
        <v>5647</v>
      </c>
      <c r="B867" s="17" t="s">
        <v>5648</v>
      </c>
      <c r="C867" s="17"/>
      <c r="D867" s="17" t="s">
        <v>5649</v>
      </c>
      <c r="E867" s="17" t="s">
        <v>5650</v>
      </c>
      <c r="F867" s="17" t="s">
        <v>2252</v>
      </c>
      <c r="G867" s="17" t="s">
        <v>1941</v>
      </c>
      <c r="H867" s="17">
        <v>60604</v>
      </c>
      <c r="I867" t="s">
        <v>1942</v>
      </c>
    </row>
    <row r="868" spans="1:9" x14ac:dyDescent="0.3">
      <c r="A868" s="17" t="s">
        <v>1675</v>
      </c>
      <c r="B868" s="17" t="s">
        <v>5651</v>
      </c>
      <c r="C868" s="17" t="s">
        <v>5652</v>
      </c>
      <c r="D868" s="17" t="s">
        <v>5653</v>
      </c>
      <c r="E868" s="17" t="s">
        <v>5654</v>
      </c>
      <c r="F868" s="17" t="s">
        <v>5655</v>
      </c>
      <c r="G868" s="17" t="s">
        <v>1949</v>
      </c>
      <c r="H868" s="17" t="s">
        <v>2397</v>
      </c>
      <c r="I868" t="s">
        <v>1951</v>
      </c>
    </row>
    <row r="869" spans="1:9" x14ac:dyDescent="0.3">
      <c r="A869" s="17" t="s">
        <v>1677</v>
      </c>
      <c r="B869" s="17" t="s">
        <v>5656</v>
      </c>
      <c r="C869" s="17" t="s">
        <v>5657</v>
      </c>
      <c r="D869" s="17"/>
      <c r="E869" s="17" t="s">
        <v>5658</v>
      </c>
      <c r="F869" s="17" t="s">
        <v>5659</v>
      </c>
      <c r="G869" s="17" t="s">
        <v>1949</v>
      </c>
      <c r="H869" s="17" t="s">
        <v>5660</v>
      </c>
      <c r="I869" t="s">
        <v>1942</v>
      </c>
    </row>
    <row r="870" spans="1:9" x14ac:dyDescent="0.3">
      <c r="A870" s="17" t="s">
        <v>1679</v>
      </c>
      <c r="B870" s="17" t="s">
        <v>5661</v>
      </c>
      <c r="C870" s="17" t="s">
        <v>5662</v>
      </c>
      <c r="D870" s="17" t="s">
        <v>5663</v>
      </c>
      <c r="E870" s="17" t="s">
        <v>5664</v>
      </c>
      <c r="F870" s="17" t="s">
        <v>2861</v>
      </c>
      <c r="G870" s="17" t="s">
        <v>1941</v>
      </c>
      <c r="H870" s="17">
        <v>33064</v>
      </c>
      <c r="I870" t="s">
        <v>1942</v>
      </c>
    </row>
    <row r="871" spans="1:9" x14ac:dyDescent="0.3">
      <c r="A871" s="17" t="s">
        <v>1681</v>
      </c>
      <c r="B871" s="17" t="s">
        <v>5665</v>
      </c>
      <c r="C871" s="17"/>
      <c r="D871" s="17" t="s">
        <v>5666</v>
      </c>
      <c r="E871" s="17" t="s">
        <v>5667</v>
      </c>
      <c r="F871" s="17" t="s">
        <v>2999</v>
      </c>
      <c r="G871" s="17" t="s">
        <v>1941</v>
      </c>
      <c r="H871" s="17">
        <v>94297</v>
      </c>
      <c r="I871" t="s">
        <v>1942</v>
      </c>
    </row>
    <row r="872" spans="1:9" x14ac:dyDescent="0.3">
      <c r="A872" s="17" t="s">
        <v>1683</v>
      </c>
      <c r="B872" s="17" t="s">
        <v>5668</v>
      </c>
      <c r="C872" s="17" t="s">
        <v>5669</v>
      </c>
      <c r="D872" s="17" t="s">
        <v>5670</v>
      </c>
      <c r="E872" s="17" t="s">
        <v>5671</v>
      </c>
      <c r="F872" s="17" t="s">
        <v>2082</v>
      </c>
      <c r="G872" s="17" t="s">
        <v>1949</v>
      </c>
      <c r="H872" s="17" t="s">
        <v>2083</v>
      </c>
      <c r="I872" t="s">
        <v>1942</v>
      </c>
    </row>
    <row r="873" spans="1:9" x14ac:dyDescent="0.3">
      <c r="A873" s="17" t="s">
        <v>1685</v>
      </c>
      <c r="B873" s="17" t="s">
        <v>5672</v>
      </c>
      <c r="C873" s="17" t="s">
        <v>5673</v>
      </c>
      <c r="D873" s="17" t="s">
        <v>5674</v>
      </c>
      <c r="E873" s="17" t="s">
        <v>5675</v>
      </c>
      <c r="F873" s="17" t="s">
        <v>5676</v>
      </c>
      <c r="G873" s="17" t="s">
        <v>2116</v>
      </c>
      <c r="H873" s="17" t="s">
        <v>5677</v>
      </c>
      <c r="I873" t="s">
        <v>1942</v>
      </c>
    </row>
    <row r="874" spans="1:9" x14ac:dyDescent="0.3">
      <c r="A874" s="17" t="s">
        <v>1687</v>
      </c>
      <c r="B874" s="17" t="s">
        <v>5678</v>
      </c>
      <c r="C874" s="17" t="s">
        <v>5679</v>
      </c>
      <c r="D874" s="17" t="s">
        <v>5680</v>
      </c>
      <c r="E874" s="17" t="s">
        <v>5681</v>
      </c>
      <c r="F874" s="17" t="s">
        <v>3687</v>
      </c>
      <c r="G874" s="17" t="s">
        <v>1941</v>
      </c>
      <c r="H874" s="17">
        <v>28805</v>
      </c>
      <c r="I874" t="s">
        <v>1951</v>
      </c>
    </row>
    <row r="875" spans="1:9" x14ac:dyDescent="0.3">
      <c r="A875" s="17" t="s">
        <v>1673</v>
      </c>
      <c r="B875" s="17" t="s">
        <v>5682</v>
      </c>
      <c r="C875" s="17" t="s">
        <v>5683</v>
      </c>
      <c r="D875" s="17" t="s">
        <v>5684</v>
      </c>
      <c r="E875" s="17" t="s">
        <v>5685</v>
      </c>
      <c r="F875" s="17" t="s">
        <v>2122</v>
      </c>
      <c r="G875" s="17" t="s">
        <v>1941</v>
      </c>
      <c r="H875" s="17">
        <v>25362</v>
      </c>
      <c r="I875" t="s">
        <v>1942</v>
      </c>
    </row>
    <row r="876" spans="1:9" x14ac:dyDescent="0.3">
      <c r="A876" s="17" t="s">
        <v>1690</v>
      </c>
      <c r="B876" s="17" t="s">
        <v>5686</v>
      </c>
      <c r="C876" s="17" t="s">
        <v>5687</v>
      </c>
      <c r="D876" s="17" t="s">
        <v>5688</v>
      </c>
      <c r="E876" s="17" t="s">
        <v>5689</v>
      </c>
      <c r="F876" s="17" t="s">
        <v>2027</v>
      </c>
      <c r="G876" s="17" t="s">
        <v>1941</v>
      </c>
      <c r="H876" s="17">
        <v>77281</v>
      </c>
      <c r="I876" t="s">
        <v>1951</v>
      </c>
    </row>
    <row r="877" spans="1:9" x14ac:dyDescent="0.3">
      <c r="A877" s="17" t="s">
        <v>1692</v>
      </c>
      <c r="B877" s="17" t="s">
        <v>5690</v>
      </c>
      <c r="C877" s="17" t="s">
        <v>5691</v>
      </c>
      <c r="D877" s="17" t="s">
        <v>5692</v>
      </c>
      <c r="E877" s="17" t="s">
        <v>5693</v>
      </c>
      <c r="F877" s="17" t="s">
        <v>2411</v>
      </c>
      <c r="G877" s="17" t="s">
        <v>1949</v>
      </c>
      <c r="H877" s="17" t="s">
        <v>2412</v>
      </c>
      <c r="I877" t="s">
        <v>1951</v>
      </c>
    </row>
    <row r="878" spans="1:9" x14ac:dyDescent="0.3">
      <c r="A878" s="17" t="s">
        <v>5694</v>
      </c>
      <c r="B878" s="17" t="s">
        <v>5695</v>
      </c>
      <c r="C878" s="17" t="s">
        <v>5696</v>
      </c>
      <c r="D878" s="17" t="s">
        <v>5697</v>
      </c>
      <c r="E878" s="17" t="s">
        <v>5698</v>
      </c>
      <c r="F878" s="17" t="s">
        <v>2186</v>
      </c>
      <c r="G878" s="17" t="s">
        <v>1941</v>
      </c>
      <c r="H878" s="17">
        <v>20575</v>
      </c>
      <c r="I878" t="s">
        <v>1942</v>
      </c>
    </row>
    <row r="879" spans="1:9" x14ac:dyDescent="0.3">
      <c r="A879" s="17" t="s">
        <v>1694</v>
      </c>
      <c r="B879" s="17" t="s">
        <v>5699</v>
      </c>
      <c r="C879" s="17" t="s">
        <v>5700</v>
      </c>
      <c r="D879" s="17" t="s">
        <v>5701</v>
      </c>
      <c r="E879" s="17" t="s">
        <v>5702</v>
      </c>
      <c r="F879" s="17" t="s">
        <v>2256</v>
      </c>
      <c r="G879" s="17" t="s">
        <v>1941</v>
      </c>
      <c r="H879" s="17">
        <v>7195</v>
      </c>
      <c r="I879" t="s">
        <v>1951</v>
      </c>
    </row>
    <row r="880" spans="1:9" x14ac:dyDescent="0.3">
      <c r="A880" s="17" t="s">
        <v>1696</v>
      </c>
      <c r="B880" s="17" t="s">
        <v>5703</v>
      </c>
      <c r="C880" s="17"/>
      <c r="D880" s="17" t="s">
        <v>5704</v>
      </c>
      <c r="E880" s="17" t="s">
        <v>5705</v>
      </c>
      <c r="F880" s="17" t="s">
        <v>3492</v>
      </c>
      <c r="G880" s="17" t="s">
        <v>1941</v>
      </c>
      <c r="H880" s="17">
        <v>98195</v>
      </c>
      <c r="I880" t="s">
        <v>1942</v>
      </c>
    </row>
    <row r="881" spans="1:9" x14ac:dyDescent="0.3">
      <c r="A881" s="17" t="s">
        <v>1698</v>
      </c>
      <c r="B881" s="17" t="s">
        <v>5706</v>
      </c>
      <c r="C881" s="17"/>
      <c r="D881" s="17" t="s">
        <v>5707</v>
      </c>
      <c r="E881" s="17" t="s">
        <v>5708</v>
      </c>
      <c r="F881" s="17" t="s">
        <v>2063</v>
      </c>
      <c r="G881" s="17" t="s">
        <v>1941</v>
      </c>
      <c r="H881" s="17">
        <v>80150</v>
      </c>
      <c r="I881" t="s">
        <v>1951</v>
      </c>
    </row>
    <row r="882" spans="1:9" x14ac:dyDescent="0.3">
      <c r="A882" s="17" t="s">
        <v>1700</v>
      </c>
      <c r="B882" s="17" t="s">
        <v>5709</v>
      </c>
      <c r="C882" s="17" t="s">
        <v>5710</v>
      </c>
      <c r="D882" s="17" t="s">
        <v>5711</v>
      </c>
      <c r="E882" s="17" t="s">
        <v>5712</v>
      </c>
      <c r="F882" s="17" t="s">
        <v>5713</v>
      </c>
      <c r="G882" s="17" t="s">
        <v>1941</v>
      </c>
      <c r="H882" s="17">
        <v>61105</v>
      </c>
      <c r="I882" t="s">
        <v>1951</v>
      </c>
    </row>
    <row r="883" spans="1:9" x14ac:dyDescent="0.3">
      <c r="A883" s="17" t="s">
        <v>1702</v>
      </c>
      <c r="B883" s="17" t="s">
        <v>5714</v>
      </c>
      <c r="C883" s="17"/>
      <c r="D883" s="17" t="s">
        <v>5715</v>
      </c>
      <c r="E883" s="17" t="s">
        <v>5716</v>
      </c>
      <c r="F883" s="17" t="s">
        <v>5215</v>
      </c>
      <c r="G883" s="17" t="s">
        <v>1941</v>
      </c>
      <c r="H883" s="17">
        <v>59112</v>
      </c>
      <c r="I883" t="s">
        <v>1942</v>
      </c>
    </row>
    <row r="884" spans="1:9" x14ac:dyDescent="0.3">
      <c r="A884" s="17" t="s">
        <v>5717</v>
      </c>
      <c r="B884" s="17" t="s">
        <v>5718</v>
      </c>
      <c r="C884" s="17" t="s">
        <v>5719</v>
      </c>
      <c r="D884" s="17" t="s">
        <v>5720</v>
      </c>
      <c r="E884" s="17" t="s">
        <v>5721</v>
      </c>
      <c r="F884" s="17" t="s">
        <v>3049</v>
      </c>
      <c r="G884" s="17" t="s">
        <v>1941</v>
      </c>
      <c r="H884" s="17">
        <v>31165</v>
      </c>
      <c r="I884" t="s">
        <v>1951</v>
      </c>
    </row>
    <row r="885" spans="1:9" x14ac:dyDescent="0.3">
      <c r="A885" s="17" t="s">
        <v>1706</v>
      </c>
      <c r="B885" s="17" t="s">
        <v>5722</v>
      </c>
      <c r="C885" s="17" t="s">
        <v>5723</v>
      </c>
      <c r="D885" s="17" t="s">
        <v>5724</v>
      </c>
      <c r="E885" s="17" t="s">
        <v>5725</v>
      </c>
      <c r="F885" s="17" t="s">
        <v>2816</v>
      </c>
      <c r="G885" s="17" t="s">
        <v>1941</v>
      </c>
      <c r="H885" s="17">
        <v>74108</v>
      </c>
      <c r="I885" t="s">
        <v>1942</v>
      </c>
    </row>
    <row r="886" spans="1:9" x14ac:dyDescent="0.3">
      <c r="A886" s="17" t="s">
        <v>1708</v>
      </c>
      <c r="B886" s="17" t="s">
        <v>5726</v>
      </c>
      <c r="C886" s="17" t="s">
        <v>5727</v>
      </c>
      <c r="D886" s="17" t="s">
        <v>5728</v>
      </c>
      <c r="E886" s="17" t="s">
        <v>5729</v>
      </c>
      <c r="F886" s="17" t="s">
        <v>2355</v>
      </c>
      <c r="G886" s="17" t="s">
        <v>1941</v>
      </c>
      <c r="H886" s="17">
        <v>93704</v>
      </c>
      <c r="I886" t="s">
        <v>1942</v>
      </c>
    </row>
    <row r="887" spans="1:9" x14ac:dyDescent="0.3">
      <c r="A887" s="17" t="s">
        <v>1710</v>
      </c>
      <c r="B887" s="17" t="s">
        <v>5730</v>
      </c>
      <c r="C887" s="17" t="s">
        <v>5731</v>
      </c>
      <c r="D887" s="17" t="s">
        <v>5732</v>
      </c>
      <c r="E887" s="17" t="s">
        <v>5733</v>
      </c>
      <c r="F887" s="17" t="s">
        <v>5734</v>
      </c>
      <c r="G887" s="17" t="s">
        <v>1949</v>
      </c>
      <c r="H887" s="17" t="s">
        <v>2310</v>
      </c>
      <c r="I887" t="s">
        <v>1951</v>
      </c>
    </row>
    <row r="888" spans="1:9" x14ac:dyDescent="0.3">
      <c r="A888" s="17" t="s">
        <v>1712</v>
      </c>
      <c r="B888" s="17" t="s">
        <v>5735</v>
      </c>
      <c r="C888" s="17" t="s">
        <v>5736</v>
      </c>
      <c r="D888" s="17" t="s">
        <v>5737</v>
      </c>
      <c r="E888" s="17" t="s">
        <v>5738</v>
      </c>
      <c r="F888" s="17" t="s">
        <v>3090</v>
      </c>
      <c r="G888" s="17" t="s">
        <v>1941</v>
      </c>
      <c r="H888" s="17">
        <v>94154</v>
      </c>
      <c r="I888" t="s">
        <v>1951</v>
      </c>
    </row>
    <row r="889" spans="1:9" x14ac:dyDescent="0.3">
      <c r="A889" s="17" t="s">
        <v>1714</v>
      </c>
      <c r="B889" s="17" t="s">
        <v>5739</v>
      </c>
      <c r="C889" s="17" t="s">
        <v>5740</v>
      </c>
      <c r="D889" s="17" t="s">
        <v>5741</v>
      </c>
      <c r="E889" s="17" t="s">
        <v>5742</v>
      </c>
      <c r="F889" s="17" t="s">
        <v>5578</v>
      </c>
      <c r="G889" s="17" t="s">
        <v>1941</v>
      </c>
      <c r="H889" s="17">
        <v>36689</v>
      </c>
      <c r="I889" t="s">
        <v>1951</v>
      </c>
    </row>
    <row r="890" spans="1:9" x14ac:dyDescent="0.3">
      <c r="A890" s="17" t="s">
        <v>1716</v>
      </c>
      <c r="B890" s="17" t="s">
        <v>5743</v>
      </c>
      <c r="C890" s="17" t="s">
        <v>5744</v>
      </c>
      <c r="D890" s="17" t="s">
        <v>5745</v>
      </c>
      <c r="E890" s="17" t="s">
        <v>5746</v>
      </c>
      <c r="F890" s="17" t="s">
        <v>3090</v>
      </c>
      <c r="G890" s="17" t="s">
        <v>1941</v>
      </c>
      <c r="H890" s="17">
        <v>94110</v>
      </c>
      <c r="I890" t="s">
        <v>1942</v>
      </c>
    </row>
    <row r="891" spans="1:9" x14ac:dyDescent="0.3">
      <c r="A891" s="17" t="s">
        <v>1718</v>
      </c>
      <c r="B891" s="17" t="s">
        <v>5747</v>
      </c>
      <c r="C891" s="17" t="s">
        <v>5748</v>
      </c>
      <c r="D891" s="17" t="s">
        <v>5749</v>
      </c>
      <c r="E891" s="17" t="s">
        <v>5750</v>
      </c>
      <c r="F891" s="17" t="s">
        <v>2099</v>
      </c>
      <c r="G891" s="17" t="s">
        <v>1941</v>
      </c>
      <c r="H891" s="17">
        <v>11470</v>
      </c>
      <c r="I891" t="s">
        <v>1942</v>
      </c>
    </row>
    <row r="892" spans="1:9" x14ac:dyDescent="0.3">
      <c r="A892" s="17" t="s">
        <v>1704</v>
      </c>
      <c r="B892" s="17" t="s">
        <v>5751</v>
      </c>
      <c r="C892" s="17" t="s">
        <v>5752</v>
      </c>
      <c r="D892" s="17" t="s">
        <v>5753</v>
      </c>
      <c r="E892" s="17" t="s">
        <v>5754</v>
      </c>
      <c r="F892" s="17" t="s">
        <v>2132</v>
      </c>
      <c r="G892" s="17" t="s">
        <v>1941</v>
      </c>
      <c r="H892" s="17">
        <v>80243</v>
      </c>
      <c r="I892" t="s">
        <v>1942</v>
      </c>
    </row>
    <row r="893" spans="1:9" x14ac:dyDescent="0.3">
      <c r="A893" s="17" t="s">
        <v>1721</v>
      </c>
      <c r="B893" s="17" t="s">
        <v>5755</v>
      </c>
      <c r="C893" s="17" t="s">
        <v>5756</v>
      </c>
      <c r="D893" s="17" t="s">
        <v>5757</v>
      </c>
      <c r="E893" s="17" t="s">
        <v>5758</v>
      </c>
      <c r="F893" s="17" t="s">
        <v>3785</v>
      </c>
      <c r="G893" s="17" t="s">
        <v>1941</v>
      </c>
      <c r="H893" s="17">
        <v>92165</v>
      </c>
      <c r="I893" t="s">
        <v>1942</v>
      </c>
    </row>
    <row r="894" spans="1:9" x14ac:dyDescent="0.3">
      <c r="A894" s="17" t="s">
        <v>1723</v>
      </c>
      <c r="B894" s="17" t="s">
        <v>5759</v>
      </c>
      <c r="C894" s="17" t="s">
        <v>5760</v>
      </c>
      <c r="D894" s="17" t="s">
        <v>5761</v>
      </c>
      <c r="E894" s="17" t="s">
        <v>5762</v>
      </c>
      <c r="F894" s="17" t="s">
        <v>3727</v>
      </c>
      <c r="G894" s="17" t="s">
        <v>2116</v>
      </c>
      <c r="H894" s="17" t="s">
        <v>3728</v>
      </c>
      <c r="I894" t="s">
        <v>1951</v>
      </c>
    </row>
    <row r="895" spans="1:9" x14ac:dyDescent="0.3">
      <c r="A895" s="17" t="s">
        <v>1725</v>
      </c>
      <c r="B895" s="17" t="s">
        <v>5763</v>
      </c>
      <c r="C895" s="17" t="s">
        <v>5764</v>
      </c>
      <c r="D895" s="17"/>
      <c r="E895" s="17" t="s">
        <v>5765</v>
      </c>
      <c r="F895" s="17" t="s">
        <v>4595</v>
      </c>
      <c r="G895" s="17" t="s">
        <v>1941</v>
      </c>
      <c r="H895" s="17">
        <v>15250</v>
      </c>
      <c r="I895" t="s">
        <v>1942</v>
      </c>
    </row>
    <row r="896" spans="1:9" x14ac:dyDescent="0.3">
      <c r="A896" s="17" t="s">
        <v>1727</v>
      </c>
      <c r="B896" s="17" t="s">
        <v>5766</v>
      </c>
      <c r="C896" s="17"/>
      <c r="D896" s="17" t="s">
        <v>5767</v>
      </c>
      <c r="E896" s="17" t="s">
        <v>5768</v>
      </c>
      <c r="F896" s="17" t="s">
        <v>5769</v>
      </c>
      <c r="G896" s="17" t="s">
        <v>1949</v>
      </c>
      <c r="H896" s="17" t="s">
        <v>2674</v>
      </c>
      <c r="I896" t="s">
        <v>1942</v>
      </c>
    </row>
    <row r="897" spans="1:9" x14ac:dyDescent="0.3">
      <c r="A897" s="17" t="s">
        <v>1729</v>
      </c>
      <c r="B897" s="17" t="s">
        <v>5770</v>
      </c>
      <c r="C897" s="17"/>
      <c r="D897" s="17" t="s">
        <v>5771</v>
      </c>
      <c r="E897" s="17" t="s">
        <v>5772</v>
      </c>
      <c r="F897" s="17" t="s">
        <v>2037</v>
      </c>
      <c r="G897" s="17" t="s">
        <v>1941</v>
      </c>
      <c r="H897" s="17">
        <v>10004</v>
      </c>
      <c r="I897" t="s">
        <v>1951</v>
      </c>
    </row>
    <row r="898" spans="1:9" x14ac:dyDescent="0.3">
      <c r="A898" s="17" t="s">
        <v>1731</v>
      </c>
      <c r="B898" s="17" t="s">
        <v>5773</v>
      </c>
      <c r="C898" s="17" t="s">
        <v>5774</v>
      </c>
      <c r="D898" s="17" t="s">
        <v>5775</v>
      </c>
      <c r="E898" s="17" t="s">
        <v>5776</v>
      </c>
      <c r="F898" s="17" t="s">
        <v>3492</v>
      </c>
      <c r="G898" s="17" t="s">
        <v>1941</v>
      </c>
      <c r="H898" s="17">
        <v>98148</v>
      </c>
      <c r="I898" t="s">
        <v>1942</v>
      </c>
    </row>
    <row r="899" spans="1:9" x14ac:dyDescent="0.3">
      <c r="A899" s="17" t="s">
        <v>1733</v>
      </c>
      <c r="B899" s="17" t="s">
        <v>5777</v>
      </c>
      <c r="C899" s="17" t="s">
        <v>5778</v>
      </c>
      <c r="D899" s="17" t="s">
        <v>5779</v>
      </c>
      <c r="E899" s="17" t="s">
        <v>5780</v>
      </c>
      <c r="F899" s="17" t="s">
        <v>2172</v>
      </c>
      <c r="G899" s="17" t="s">
        <v>2116</v>
      </c>
      <c r="H899" s="17" t="s">
        <v>2486</v>
      </c>
      <c r="I899" t="s">
        <v>1951</v>
      </c>
    </row>
    <row r="900" spans="1:9" x14ac:dyDescent="0.3">
      <c r="A900" s="17" t="s">
        <v>1735</v>
      </c>
      <c r="B900" s="17" t="s">
        <v>5781</v>
      </c>
      <c r="C900" s="17"/>
      <c r="D900" s="17" t="s">
        <v>5782</v>
      </c>
      <c r="E900" s="17" t="s">
        <v>5783</v>
      </c>
      <c r="F900" s="17" t="s">
        <v>5784</v>
      </c>
      <c r="G900" s="17" t="s">
        <v>1941</v>
      </c>
      <c r="H900" s="17">
        <v>49018</v>
      </c>
      <c r="I900" t="s">
        <v>1951</v>
      </c>
    </row>
    <row r="901" spans="1:9" x14ac:dyDescent="0.3">
      <c r="A901" s="17" t="s">
        <v>5785</v>
      </c>
      <c r="B901" s="17" t="s">
        <v>5786</v>
      </c>
      <c r="C901" s="17" t="s">
        <v>5787</v>
      </c>
      <c r="D901" s="17"/>
      <c r="E901" s="17" t="s">
        <v>5788</v>
      </c>
      <c r="F901" s="17" t="s">
        <v>2424</v>
      </c>
      <c r="G901" s="17" t="s">
        <v>1949</v>
      </c>
      <c r="H901" s="17" t="s">
        <v>2425</v>
      </c>
      <c r="I901" t="s">
        <v>1942</v>
      </c>
    </row>
    <row r="902" spans="1:9" x14ac:dyDescent="0.3">
      <c r="A902" s="17" t="s">
        <v>1738</v>
      </c>
      <c r="B902" s="17" t="s">
        <v>5789</v>
      </c>
      <c r="C902" s="17"/>
      <c r="D902" s="17" t="s">
        <v>5790</v>
      </c>
      <c r="E902" s="17" t="s">
        <v>5791</v>
      </c>
      <c r="F902" s="17" t="s">
        <v>5792</v>
      </c>
      <c r="G902" s="17" t="s">
        <v>1949</v>
      </c>
      <c r="H902" s="17" t="s">
        <v>2536</v>
      </c>
      <c r="I902" t="s">
        <v>1951</v>
      </c>
    </row>
    <row r="903" spans="1:9" x14ac:dyDescent="0.3">
      <c r="A903" s="17" t="s">
        <v>1740</v>
      </c>
      <c r="B903" s="17" t="s">
        <v>5793</v>
      </c>
      <c r="C903" s="17" t="s">
        <v>5794</v>
      </c>
      <c r="D903" s="17" t="s">
        <v>5795</v>
      </c>
      <c r="E903" s="17" t="s">
        <v>5796</v>
      </c>
      <c r="F903" s="17" t="s">
        <v>2027</v>
      </c>
      <c r="G903" s="17" t="s">
        <v>1941</v>
      </c>
      <c r="H903" s="17">
        <v>77070</v>
      </c>
      <c r="I903" t="s">
        <v>1942</v>
      </c>
    </row>
    <row r="904" spans="1:9" x14ac:dyDescent="0.3">
      <c r="A904" s="17" t="s">
        <v>1742</v>
      </c>
      <c r="B904" s="17" t="s">
        <v>5797</v>
      </c>
      <c r="C904" s="17" t="s">
        <v>5798</v>
      </c>
      <c r="D904" s="17" t="s">
        <v>5799</v>
      </c>
      <c r="E904" s="17" t="s">
        <v>5800</v>
      </c>
      <c r="F904" s="17" t="s">
        <v>3037</v>
      </c>
      <c r="G904" s="17" t="s">
        <v>1941</v>
      </c>
      <c r="H904" s="17">
        <v>45249</v>
      </c>
      <c r="I904" t="s">
        <v>1951</v>
      </c>
    </row>
    <row r="905" spans="1:9" x14ac:dyDescent="0.3">
      <c r="A905" s="17" t="s">
        <v>1744</v>
      </c>
      <c r="B905" s="17" t="s">
        <v>5801</v>
      </c>
      <c r="C905" s="17" t="s">
        <v>5802</v>
      </c>
      <c r="D905" s="17" t="s">
        <v>5803</v>
      </c>
      <c r="E905" s="17" t="s">
        <v>5804</v>
      </c>
      <c r="F905" s="17" t="s">
        <v>2355</v>
      </c>
      <c r="G905" s="17" t="s">
        <v>1941</v>
      </c>
      <c r="H905" s="17">
        <v>93704</v>
      </c>
      <c r="I905" t="s">
        <v>1951</v>
      </c>
    </row>
    <row r="906" spans="1:9" x14ac:dyDescent="0.3">
      <c r="A906" s="17" t="s">
        <v>1746</v>
      </c>
      <c r="B906" s="17" t="s">
        <v>5805</v>
      </c>
      <c r="C906" s="17" t="s">
        <v>5806</v>
      </c>
      <c r="D906" s="17" t="s">
        <v>5807</v>
      </c>
      <c r="E906" s="17" t="s">
        <v>5808</v>
      </c>
      <c r="F906" s="17" t="s">
        <v>2233</v>
      </c>
      <c r="G906" s="17" t="s">
        <v>1941</v>
      </c>
      <c r="H906" s="17">
        <v>55123</v>
      </c>
      <c r="I906" t="s">
        <v>1951</v>
      </c>
    </row>
    <row r="907" spans="1:9" x14ac:dyDescent="0.3">
      <c r="A907" s="17" t="s">
        <v>1748</v>
      </c>
      <c r="B907" s="17" t="s">
        <v>5809</v>
      </c>
      <c r="C907" s="17"/>
      <c r="D907" s="17" t="s">
        <v>5810</v>
      </c>
      <c r="E907" s="17" t="s">
        <v>5811</v>
      </c>
      <c r="F907" s="17" t="s">
        <v>2448</v>
      </c>
      <c r="G907" s="17" t="s">
        <v>1941</v>
      </c>
      <c r="H907" s="17">
        <v>88519</v>
      </c>
      <c r="I907" t="s">
        <v>1942</v>
      </c>
    </row>
    <row r="908" spans="1:9" x14ac:dyDescent="0.3">
      <c r="A908" s="17" t="s">
        <v>1750</v>
      </c>
      <c r="B908" s="17" t="s">
        <v>5812</v>
      </c>
      <c r="C908" s="17" t="s">
        <v>5813</v>
      </c>
      <c r="D908" s="17" t="s">
        <v>5814</v>
      </c>
      <c r="E908" s="17" t="s">
        <v>5815</v>
      </c>
      <c r="F908" s="17" t="s">
        <v>2647</v>
      </c>
      <c r="G908" s="17" t="s">
        <v>1941</v>
      </c>
      <c r="H908" s="17">
        <v>50981</v>
      </c>
      <c r="I908" t="s">
        <v>1942</v>
      </c>
    </row>
    <row r="909" spans="1:9" x14ac:dyDescent="0.3">
      <c r="A909" s="17" t="s">
        <v>1752</v>
      </c>
      <c r="B909" s="17" t="s">
        <v>5816</v>
      </c>
      <c r="C909" s="17" t="s">
        <v>5817</v>
      </c>
      <c r="D909" s="17" t="s">
        <v>5818</v>
      </c>
      <c r="E909" s="17" t="s">
        <v>5819</v>
      </c>
      <c r="F909" s="17" t="s">
        <v>2022</v>
      </c>
      <c r="G909" s="17" t="s">
        <v>1941</v>
      </c>
      <c r="H909" s="17">
        <v>97240</v>
      </c>
      <c r="I909" t="s">
        <v>1951</v>
      </c>
    </row>
    <row r="910" spans="1:9" x14ac:dyDescent="0.3">
      <c r="A910" s="17" t="s">
        <v>1754</v>
      </c>
      <c r="B910" s="17" t="s">
        <v>5820</v>
      </c>
      <c r="C910" s="17" t="s">
        <v>5821</v>
      </c>
      <c r="D910" s="17" t="s">
        <v>5822</v>
      </c>
      <c r="E910" s="17" t="s">
        <v>5823</v>
      </c>
      <c r="F910" s="17" t="s">
        <v>2027</v>
      </c>
      <c r="G910" s="17" t="s">
        <v>1941</v>
      </c>
      <c r="H910" s="17">
        <v>77070</v>
      </c>
      <c r="I910" t="s">
        <v>1951</v>
      </c>
    </row>
    <row r="911" spans="1:9" x14ac:dyDescent="0.3">
      <c r="A911" s="17" t="s">
        <v>1756</v>
      </c>
      <c r="B911" s="17" t="s">
        <v>5824</v>
      </c>
      <c r="C911" s="17"/>
      <c r="D911" s="17" t="s">
        <v>5825</v>
      </c>
      <c r="E911" s="17" t="s">
        <v>5826</v>
      </c>
      <c r="F911" s="17" t="s">
        <v>4481</v>
      </c>
      <c r="G911" s="17" t="s">
        <v>1941</v>
      </c>
      <c r="H911" s="17">
        <v>27705</v>
      </c>
      <c r="I911" t="s">
        <v>1951</v>
      </c>
    </row>
    <row r="912" spans="1:9" x14ac:dyDescent="0.3">
      <c r="A912" s="17" t="s">
        <v>1758</v>
      </c>
      <c r="B912" s="17" t="s">
        <v>5827</v>
      </c>
      <c r="C912" s="17" t="s">
        <v>5828</v>
      </c>
      <c r="D912" s="17" t="s">
        <v>5829</v>
      </c>
      <c r="E912" s="17" t="s">
        <v>5830</v>
      </c>
      <c r="F912" s="17" t="s">
        <v>2158</v>
      </c>
      <c r="G912" s="17" t="s">
        <v>1941</v>
      </c>
      <c r="H912" s="17">
        <v>2298</v>
      </c>
      <c r="I912" t="s">
        <v>1951</v>
      </c>
    </row>
    <row r="913" spans="1:9" x14ac:dyDescent="0.3">
      <c r="A913" s="17" t="s">
        <v>1760</v>
      </c>
      <c r="B913" s="17" t="s">
        <v>5831</v>
      </c>
      <c r="C913" s="17" t="s">
        <v>5832</v>
      </c>
      <c r="D913" s="17" t="s">
        <v>5833</v>
      </c>
      <c r="E913" s="17" t="s">
        <v>5834</v>
      </c>
      <c r="F913" s="17" t="s">
        <v>2186</v>
      </c>
      <c r="G913" s="17" t="s">
        <v>1941</v>
      </c>
      <c r="H913" s="17">
        <v>20226</v>
      </c>
      <c r="I913" t="s">
        <v>1942</v>
      </c>
    </row>
    <row r="914" spans="1:9" x14ac:dyDescent="0.3">
      <c r="A914" s="17" t="s">
        <v>1762</v>
      </c>
      <c r="B914" s="17" t="s">
        <v>5835</v>
      </c>
      <c r="C914" s="17"/>
      <c r="D914" s="17" t="s">
        <v>5836</v>
      </c>
      <c r="E914" s="17" t="s">
        <v>5837</v>
      </c>
      <c r="F914" s="17" t="s">
        <v>2881</v>
      </c>
      <c r="G914" s="17" t="s">
        <v>1941</v>
      </c>
      <c r="H914" s="17">
        <v>12205</v>
      </c>
      <c r="I914" t="s">
        <v>1942</v>
      </c>
    </row>
    <row r="915" spans="1:9" x14ac:dyDescent="0.3">
      <c r="A915" s="17" t="s">
        <v>1764</v>
      </c>
      <c r="B915" s="17" t="s">
        <v>5838</v>
      </c>
      <c r="C915" s="17" t="s">
        <v>5839</v>
      </c>
      <c r="D915" s="17" t="s">
        <v>5840</v>
      </c>
      <c r="E915" s="17" t="s">
        <v>5841</v>
      </c>
      <c r="F915" s="17" t="s">
        <v>2140</v>
      </c>
      <c r="G915" s="17" t="s">
        <v>1941</v>
      </c>
      <c r="H915" s="17">
        <v>85732</v>
      </c>
      <c r="I915" t="s">
        <v>1951</v>
      </c>
    </row>
    <row r="916" spans="1:9" x14ac:dyDescent="0.3">
      <c r="A916" s="17" t="s">
        <v>1766</v>
      </c>
      <c r="B916" s="17" t="s">
        <v>5842</v>
      </c>
      <c r="C916" s="17" t="s">
        <v>5843</v>
      </c>
      <c r="D916" s="17" t="s">
        <v>5844</v>
      </c>
      <c r="E916" s="17" t="s">
        <v>5845</v>
      </c>
      <c r="F916" s="17" t="s">
        <v>2744</v>
      </c>
      <c r="G916" s="17" t="s">
        <v>1941</v>
      </c>
      <c r="H916" s="17">
        <v>36195</v>
      </c>
      <c r="I916" t="s">
        <v>1951</v>
      </c>
    </row>
    <row r="917" spans="1:9" x14ac:dyDescent="0.3">
      <c r="A917" s="17" t="s">
        <v>1768</v>
      </c>
      <c r="B917" s="17" t="s">
        <v>5846</v>
      </c>
      <c r="C917" s="17" t="s">
        <v>5847</v>
      </c>
      <c r="D917" s="17" t="s">
        <v>5848</v>
      </c>
      <c r="E917" s="17" t="s">
        <v>5849</v>
      </c>
      <c r="F917" s="17" t="s">
        <v>5850</v>
      </c>
      <c r="G917" s="17" t="s">
        <v>1941</v>
      </c>
      <c r="H917" s="17">
        <v>99709</v>
      </c>
      <c r="I917" t="s">
        <v>1942</v>
      </c>
    </row>
    <row r="918" spans="1:9" x14ac:dyDescent="0.3">
      <c r="A918" s="17" t="s">
        <v>1770</v>
      </c>
      <c r="B918" s="17" t="s">
        <v>5851</v>
      </c>
      <c r="C918" s="17"/>
      <c r="D918" s="17"/>
      <c r="E918" s="17" t="s">
        <v>5852</v>
      </c>
      <c r="F918" s="17" t="s">
        <v>3918</v>
      </c>
      <c r="G918" s="17" t="s">
        <v>1949</v>
      </c>
      <c r="H918" s="17" t="s">
        <v>3919</v>
      </c>
      <c r="I918" t="s">
        <v>1942</v>
      </c>
    </row>
    <row r="919" spans="1:9" x14ac:dyDescent="0.3">
      <c r="A919" s="17" t="s">
        <v>1772</v>
      </c>
      <c r="B919" s="17" t="s">
        <v>5853</v>
      </c>
      <c r="C919" s="17" t="s">
        <v>5854</v>
      </c>
      <c r="D919" s="17" t="s">
        <v>5855</v>
      </c>
      <c r="E919" s="17" t="s">
        <v>5856</v>
      </c>
      <c r="F919" s="17" t="s">
        <v>3238</v>
      </c>
      <c r="G919" s="17" t="s">
        <v>2116</v>
      </c>
      <c r="H919" s="17" t="s">
        <v>5857</v>
      </c>
      <c r="I919" t="s">
        <v>1951</v>
      </c>
    </row>
    <row r="920" spans="1:9" x14ac:dyDescent="0.3">
      <c r="A920" s="17" t="s">
        <v>5858</v>
      </c>
      <c r="B920" s="17" t="s">
        <v>5859</v>
      </c>
      <c r="C920" s="17" t="s">
        <v>5860</v>
      </c>
      <c r="D920" s="17" t="s">
        <v>5861</v>
      </c>
      <c r="E920" s="17" t="s">
        <v>5862</v>
      </c>
      <c r="F920" s="17" t="s">
        <v>2713</v>
      </c>
      <c r="G920" s="17" t="s">
        <v>1941</v>
      </c>
      <c r="H920" s="17">
        <v>34615</v>
      </c>
      <c r="I920" t="s">
        <v>1951</v>
      </c>
    </row>
    <row r="921" spans="1:9" x14ac:dyDescent="0.3">
      <c r="A921" s="17" t="s">
        <v>1774</v>
      </c>
      <c r="B921" s="17" t="s">
        <v>5863</v>
      </c>
      <c r="C921" s="17" t="s">
        <v>5864</v>
      </c>
      <c r="D921" s="17" t="s">
        <v>5865</v>
      </c>
      <c r="E921" s="17" t="s">
        <v>5866</v>
      </c>
      <c r="F921" s="17" t="s">
        <v>3320</v>
      </c>
      <c r="G921" s="17" t="s">
        <v>1941</v>
      </c>
      <c r="H921" s="17">
        <v>40515</v>
      </c>
      <c r="I921" t="s">
        <v>1942</v>
      </c>
    </row>
    <row r="922" spans="1:9" x14ac:dyDescent="0.3">
      <c r="A922" s="17" t="s">
        <v>1776</v>
      </c>
      <c r="B922" s="17" t="s">
        <v>5867</v>
      </c>
      <c r="C922" s="17" t="s">
        <v>5868</v>
      </c>
      <c r="D922" s="17" t="s">
        <v>5869</v>
      </c>
      <c r="E922" s="17" t="s">
        <v>5870</v>
      </c>
      <c r="F922" s="17" t="s">
        <v>2048</v>
      </c>
      <c r="G922" s="17" t="s">
        <v>1941</v>
      </c>
      <c r="H922" s="17">
        <v>49560</v>
      </c>
      <c r="I922" t="s">
        <v>1951</v>
      </c>
    </row>
    <row r="923" spans="1:9" x14ac:dyDescent="0.3">
      <c r="A923" s="17" t="s">
        <v>1778</v>
      </c>
      <c r="B923" s="17" t="s">
        <v>5871</v>
      </c>
      <c r="C923" s="17" t="s">
        <v>5872</v>
      </c>
      <c r="D923" s="17" t="s">
        <v>5873</v>
      </c>
      <c r="E923" s="17" t="s">
        <v>5874</v>
      </c>
      <c r="F923" s="17" t="s">
        <v>2647</v>
      </c>
      <c r="G923" s="17" t="s">
        <v>1941</v>
      </c>
      <c r="H923" s="17">
        <v>50369</v>
      </c>
      <c r="I923" t="s">
        <v>1951</v>
      </c>
    </row>
    <row r="924" spans="1:9" x14ac:dyDescent="0.3">
      <c r="A924" s="17" t="s">
        <v>1780</v>
      </c>
      <c r="B924" s="17" t="s">
        <v>5875</v>
      </c>
      <c r="C924" s="17"/>
      <c r="D924" s="17"/>
      <c r="E924" s="17" t="s">
        <v>5876</v>
      </c>
      <c r="F924" s="17" t="s">
        <v>5107</v>
      </c>
      <c r="G924" s="17" t="s">
        <v>1941</v>
      </c>
      <c r="H924" s="17">
        <v>19810</v>
      </c>
      <c r="I924" t="s">
        <v>1942</v>
      </c>
    </row>
    <row r="925" spans="1:9" x14ac:dyDescent="0.3">
      <c r="A925" s="17" t="s">
        <v>1782</v>
      </c>
      <c r="B925" s="17" t="s">
        <v>5877</v>
      </c>
      <c r="C925" s="17" t="s">
        <v>5878</v>
      </c>
      <c r="D925" s="17" t="s">
        <v>5879</v>
      </c>
      <c r="E925" s="17" t="s">
        <v>5880</v>
      </c>
      <c r="F925" s="17" t="s">
        <v>2387</v>
      </c>
      <c r="G925" s="17" t="s">
        <v>1941</v>
      </c>
      <c r="H925" s="17">
        <v>78726</v>
      </c>
      <c r="I925" t="s">
        <v>1951</v>
      </c>
    </row>
    <row r="926" spans="1:9" x14ac:dyDescent="0.3">
      <c r="A926" s="17" t="s">
        <v>1784</v>
      </c>
      <c r="B926" s="17" t="s">
        <v>5881</v>
      </c>
      <c r="C926" s="17" t="s">
        <v>5882</v>
      </c>
      <c r="D926" s="17"/>
      <c r="E926" s="17" t="s">
        <v>5883</v>
      </c>
      <c r="F926" s="17" t="s">
        <v>4401</v>
      </c>
      <c r="G926" s="17" t="s">
        <v>1941</v>
      </c>
      <c r="H926" s="17">
        <v>32835</v>
      </c>
      <c r="I926" t="s">
        <v>1951</v>
      </c>
    </row>
    <row r="927" spans="1:9" x14ac:dyDescent="0.3">
      <c r="A927" s="17" t="s">
        <v>5884</v>
      </c>
      <c r="B927" s="17" t="s">
        <v>5885</v>
      </c>
      <c r="C927" s="17"/>
      <c r="D927" s="17" t="s">
        <v>5886</v>
      </c>
      <c r="E927" s="17" t="s">
        <v>5887</v>
      </c>
      <c r="F927" s="17" t="s">
        <v>2947</v>
      </c>
      <c r="G927" s="17" t="s">
        <v>1941</v>
      </c>
      <c r="H927" s="17">
        <v>91199</v>
      </c>
      <c r="I927" t="s">
        <v>1942</v>
      </c>
    </row>
    <row r="928" spans="1:9" x14ac:dyDescent="0.3">
      <c r="A928" s="17" t="s">
        <v>1787</v>
      </c>
      <c r="B928" s="17" t="s">
        <v>5888</v>
      </c>
      <c r="C928" s="17" t="s">
        <v>5889</v>
      </c>
      <c r="D928" s="17" t="s">
        <v>5890</v>
      </c>
      <c r="E928" s="17" t="s">
        <v>5891</v>
      </c>
      <c r="F928" s="17" t="s">
        <v>2186</v>
      </c>
      <c r="G928" s="17" t="s">
        <v>1941</v>
      </c>
      <c r="H928" s="17">
        <v>20238</v>
      </c>
      <c r="I928" t="s">
        <v>1942</v>
      </c>
    </row>
    <row r="929" spans="1:9" x14ac:dyDescent="0.3">
      <c r="A929" s="17" t="s">
        <v>1789</v>
      </c>
      <c r="B929" s="17" t="s">
        <v>5892</v>
      </c>
      <c r="C929" s="17" t="s">
        <v>5893</v>
      </c>
      <c r="D929" s="17" t="s">
        <v>5894</v>
      </c>
      <c r="E929" s="17" t="s">
        <v>5895</v>
      </c>
      <c r="F929" s="17" t="s">
        <v>2022</v>
      </c>
      <c r="G929" s="17" t="s">
        <v>1941</v>
      </c>
      <c r="H929" s="17">
        <v>97271</v>
      </c>
      <c r="I929" t="s">
        <v>1951</v>
      </c>
    </row>
    <row r="930" spans="1:9" x14ac:dyDescent="0.3">
      <c r="A930" s="17" t="s">
        <v>1791</v>
      </c>
      <c r="B930" s="17" t="s">
        <v>5896</v>
      </c>
      <c r="C930" s="17" t="s">
        <v>5897</v>
      </c>
      <c r="D930" s="17"/>
      <c r="E930" s="17" t="s">
        <v>5898</v>
      </c>
      <c r="F930" s="17" t="s">
        <v>2037</v>
      </c>
      <c r="G930" s="17" t="s">
        <v>1941</v>
      </c>
      <c r="H930" s="17">
        <v>10004</v>
      </c>
      <c r="I930" t="s">
        <v>1942</v>
      </c>
    </row>
    <row r="931" spans="1:9" x14ac:dyDescent="0.3">
      <c r="A931" s="17" t="s">
        <v>1793</v>
      </c>
      <c r="B931" s="17" t="s">
        <v>5899</v>
      </c>
      <c r="C931" s="17" t="s">
        <v>5900</v>
      </c>
      <c r="D931" s="17" t="s">
        <v>5901</v>
      </c>
      <c r="E931" s="17" t="s">
        <v>5902</v>
      </c>
      <c r="F931" s="17" t="s">
        <v>2186</v>
      </c>
      <c r="G931" s="17" t="s">
        <v>1941</v>
      </c>
      <c r="H931" s="17">
        <v>20404</v>
      </c>
      <c r="I931" t="s">
        <v>1942</v>
      </c>
    </row>
    <row r="932" spans="1:9" x14ac:dyDescent="0.3">
      <c r="A932" s="17" t="s">
        <v>1795</v>
      </c>
      <c r="B932" s="17" t="s">
        <v>5903</v>
      </c>
      <c r="C932" s="17" t="s">
        <v>5904</v>
      </c>
      <c r="D932" s="17"/>
      <c r="E932" s="17" t="s">
        <v>5905</v>
      </c>
      <c r="F932" s="17" t="s">
        <v>2186</v>
      </c>
      <c r="G932" s="17" t="s">
        <v>1941</v>
      </c>
      <c r="H932" s="17">
        <v>20067</v>
      </c>
      <c r="I932" t="s">
        <v>1942</v>
      </c>
    </row>
    <row r="933" spans="1:9" x14ac:dyDescent="0.3">
      <c r="A933" s="17" t="s">
        <v>1797</v>
      </c>
      <c r="B933" s="17" t="s">
        <v>5906</v>
      </c>
      <c r="C933" s="17"/>
      <c r="D933" s="17"/>
      <c r="E933" s="17" t="s">
        <v>5907</v>
      </c>
      <c r="F933" s="17" t="s">
        <v>4886</v>
      </c>
      <c r="G933" s="17" t="s">
        <v>1941</v>
      </c>
      <c r="H933" s="17">
        <v>18105</v>
      </c>
      <c r="I933" t="s">
        <v>1942</v>
      </c>
    </row>
    <row r="934" spans="1:9" x14ac:dyDescent="0.3">
      <c r="A934" s="17" t="s">
        <v>1799</v>
      </c>
      <c r="B934" s="17" t="s">
        <v>5908</v>
      </c>
      <c r="C934" s="17" t="s">
        <v>5909</v>
      </c>
      <c r="D934" s="17" t="s">
        <v>5910</v>
      </c>
      <c r="E934" s="17" t="s">
        <v>5911</v>
      </c>
      <c r="F934" s="17" t="s">
        <v>3581</v>
      </c>
      <c r="G934" s="17" t="s">
        <v>1941</v>
      </c>
      <c r="H934" s="17">
        <v>33169</v>
      </c>
      <c r="I934" t="s">
        <v>1951</v>
      </c>
    </row>
    <row r="935" spans="1:9" x14ac:dyDescent="0.3">
      <c r="A935" s="17" t="s">
        <v>1801</v>
      </c>
      <c r="B935" s="17" t="s">
        <v>5912</v>
      </c>
      <c r="C935" s="17"/>
      <c r="D935" s="17" t="s">
        <v>5913</v>
      </c>
      <c r="E935" s="17" t="s">
        <v>5914</v>
      </c>
      <c r="F935" s="17" t="s">
        <v>2362</v>
      </c>
      <c r="G935" s="17" t="s">
        <v>1941</v>
      </c>
      <c r="H935" s="17">
        <v>73129</v>
      </c>
      <c r="I935" t="s">
        <v>1942</v>
      </c>
    </row>
    <row r="936" spans="1:9" x14ac:dyDescent="0.3">
      <c r="A936" s="17" t="s">
        <v>1803</v>
      </c>
      <c r="B936" s="17" t="s">
        <v>5915</v>
      </c>
      <c r="C936" s="17" t="s">
        <v>5916</v>
      </c>
      <c r="D936" s="17" t="s">
        <v>5917</v>
      </c>
      <c r="E936" s="17" t="s">
        <v>5918</v>
      </c>
      <c r="F936" s="17" t="s">
        <v>5713</v>
      </c>
      <c r="G936" s="17" t="s">
        <v>1941</v>
      </c>
      <c r="H936" s="17">
        <v>61105</v>
      </c>
      <c r="I936" t="s">
        <v>1951</v>
      </c>
    </row>
    <row r="937" spans="1:9" x14ac:dyDescent="0.3">
      <c r="A937" s="17" t="s">
        <v>1805</v>
      </c>
      <c r="B937" s="17" t="s">
        <v>5919</v>
      </c>
      <c r="C937" s="17" t="s">
        <v>5920</v>
      </c>
      <c r="D937" s="17" t="s">
        <v>5921</v>
      </c>
      <c r="E937" s="17" t="s">
        <v>5922</v>
      </c>
      <c r="F937" s="17" t="s">
        <v>2744</v>
      </c>
      <c r="G937" s="17" t="s">
        <v>1941</v>
      </c>
      <c r="H937" s="17">
        <v>36177</v>
      </c>
      <c r="I937" t="s">
        <v>1942</v>
      </c>
    </row>
    <row r="938" spans="1:9" x14ac:dyDescent="0.3">
      <c r="A938" s="17" t="s">
        <v>1807</v>
      </c>
      <c r="B938" s="17" t="s">
        <v>5923</v>
      </c>
      <c r="C938" s="17" t="s">
        <v>5924</v>
      </c>
      <c r="D938" s="17" t="s">
        <v>5925</v>
      </c>
      <c r="E938" s="17" t="s">
        <v>5926</v>
      </c>
      <c r="F938" s="17" t="s">
        <v>2947</v>
      </c>
      <c r="G938" s="17" t="s">
        <v>1941</v>
      </c>
      <c r="H938" s="17">
        <v>91117</v>
      </c>
      <c r="I938" t="s">
        <v>1942</v>
      </c>
    </row>
    <row r="939" spans="1:9" x14ac:dyDescent="0.3">
      <c r="A939" s="17" t="s">
        <v>5927</v>
      </c>
      <c r="B939" s="17" t="s">
        <v>5928</v>
      </c>
      <c r="C939" s="17" t="s">
        <v>5929</v>
      </c>
      <c r="D939" s="17" t="s">
        <v>5930</v>
      </c>
      <c r="E939" s="17" t="s">
        <v>5931</v>
      </c>
      <c r="F939" s="17" t="s">
        <v>2252</v>
      </c>
      <c r="G939" s="17" t="s">
        <v>1941</v>
      </c>
      <c r="H939" s="17">
        <v>60624</v>
      </c>
      <c r="I939" t="s">
        <v>1951</v>
      </c>
    </row>
    <row r="940" spans="1:9" x14ac:dyDescent="0.3">
      <c r="A940" s="17" t="s">
        <v>1809</v>
      </c>
      <c r="B940" s="17" t="s">
        <v>5932</v>
      </c>
      <c r="C940" s="17" t="s">
        <v>5933</v>
      </c>
      <c r="D940" s="17" t="s">
        <v>5934</v>
      </c>
      <c r="E940" s="17" t="s">
        <v>5935</v>
      </c>
      <c r="F940" s="17" t="s">
        <v>2027</v>
      </c>
      <c r="G940" s="17" t="s">
        <v>1941</v>
      </c>
      <c r="H940" s="17">
        <v>77293</v>
      </c>
      <c r="I940" t="s">
        <v>1942</v>
      </c>
    </row>
    <row r="941" spans="1:9" x14ac:dyDescent="0.3">
      <c r="A941" s="17" t="s">
        <v>1811</v>
      </c>
      <c r="B941" s="17" t="s">
        <v>5936</v>
      </c>
      <c r="C941" s="17" t="s">
        <v>5937</v>
      </c>
      <c r="D941" s="17" t="s">
        <v>5938</v>
      </c>
      <c r="E941" s="17" t="s">
        <v>5939</v>
      </c>
      <c r="F941" s="17" t="s">
        <v>5940</v>
      </c>
      <c r="G941" s="17" t="s">
        <v>1941</v>
      </c>
      <c r="H941" s="17">
        <v>49444</v>
      </c>
      <c r="I941" t="s">
        <v>1951</v>
      </c>
    </row>
    <row r="942" spans="1:9" x14ac:dyDescent="0.3">
      <c r="A942" s="17" t="s">
        <v>1813</v>
      </c>
      <c r="B942" s="17" t="s">
        <v>5941</v>
      </c>
      <c r="C942" s="17" t="s">
        <v>5942</v>
      </c>
      <c r="D942" s="17" t="s">
        <v>5943</v>
      </c>
      <c r="E942" s="17" t="s">
        <v>5944</v>
      </c>
      <c r="F942" s="17" t="s">
        <v>2186</v>
      </c>
      <c r="G942" s="17" t="s">
        <v>1941</v>
      </c>
      <c r="H942" s="17">
        <v>20380</v>
      </c>
      <c r="I942" t="s">
        <v>1942</v>
      </c>
    </row>
    <row r="943" spans="1:9" x14ac:dyDescent="0.3">
      <c r="A943" s="17" t="s">
        <v>1815</v>
      </c>
      <c r="B943" s="17" t="s">
        <v>5945</v>
      </c>
      <c r="C943" s="17" t="s">
        <v>5946</v>
      </c>
      <c r="D943" s="17" t="s">
        <v>5947</v>
      </c>
      <c r="E943" s="17" t="s">
        <v>5948</v>
      </c>
      <c r="F943" s="17" t="s">
        <v>5949</v>
      </c>
      <c r="G943" s="17" t="s">
        <v>1949</v>
      </c>
      <c r="H943" s="17" t="s">
        <v>5950</v>
      </c>
      <c r="I943" t="s">
        <v>1942</v>
      </c>
    </row>
    <row r="944" spans="1:9" x14ac:dyDescent="0.3">
      <c r="A944" s="17" t="s">
        <v>1817</v>
      </c>
      <c r="B944" s="17" t="s">
        <v>5951</v>
      </c>
      <c r="C944" s="17" t="s">
        <v>5952</v>
      </c>
      <c r="D944" s="17" t="s">
        <v>5953</v>
      </c>
      <c r="E944" s="17" t="s">
        <v>5954</v>
      </c>
      <c r="F944" s="17" t="s">
        <v>2753</v>
      </c>
      <c r="G944" s="17" t="s">
        <v>1941</v>
      </c>
      <c r="H944" s="17">
        <v>31205</v>
      </c>
      <c r="I944" t="s">
        <v>1951</v>
      </c>
    </row>
    <row r="945" spans="1:9" x14ac:dyDescent="0.3">
      <c r="A945" s="17" t="s">
        <v>1819</v>
      </c>
      <c r="B945" s="17" t="s">
        <v>5955</v>
      </c>
      <c r="C945" s="17" t="s">
        <v>5956</v>
      </c>
      <c r="D945" s="17" t="s">
        <v>5957</v>
      </c>
      <c r="E945" s="17" t="s">
        <v>5958</v>
      </c>
      <c r="F945" s="17" t="s">
        <v>3524</v>
      </c>
      <c r="G945" s="17" t="s">
        <v>1941</v>
      </c>
      <c r="H945" s="17">
        <v>71105</v>
      </c>
      <c r="I945" t="s">
        <v>1951</v>
      </c>
    </row>
    <row r="946" spans="1:9" x14ac:dyDescent="0.3">
      <c r="A946" s="17" t="s">
        <v>1821</v>
      </c>
      <c r="B946" s="17" t="s">
        <v>5959</v>
      </c>
      <c r="C946" s="17" t="s">
        <v>5960</v>
      </c>
      <c r="D946" s="17" t="s">
        <v>5961</v>
      </c>
      <c r="E946" s="17" t="s">
        <v>5962</v>
      </c>
      <c r="F946" s="17" t="s">
        <v>3148</v>
      </c>
      <c r="G946" s="17" t="s">
        <v>1941</v>
      </c>
      <c r="H946" s="17">
        <v>98405</v>
      </c>
      <c r="I946" t="s">
        <v>1951</v>
      </c>
    </row>
    <row r="947" spans="1:9" x14ac:dyDescent="0.3">
      <c r="A947" s="17" t="s">
        <v>1823</v>
      </c>
      <c r="B947" s="17" t="s">
        <v>5963</v>
      </c>
      <c r="C947" s="17"/>
      <c r="D947" s="17" t="s">
        <v>5964</v>
      </c>
      <c r="E947" s="17" t="s">
        <v>5965</v>
      </c>
      <c r="F947" s="17" t="s">
        <v>2448</v>
      </c>
      <c r="G947" s="17" t="s">
        <v>1941</v>
      </c>
      <c r="H947" s="17">
        <v>79934</v>
      </c>
      <c r="I947" t="s">
        <v>1951</v>
      </c>
    </row>
    <row r="948" spans="1:9" x14ac:dyDescent="0.3">
      <c r="A948" s="17" t="s">
        <v>1825</v>
      </c>
      <c r="B948" s="17" t="s">
        <v>5966</v>
      </c>
      <c r="C948" s="17"/>
      <c r="D948" s="17" t="s">
        <v>5967</v>
      </c>
      <c r="E948" s="17" t="s">
        <v>5968</v>
      </c>
      <c r="F948" s="17" t="s">
        <v>2172</v>
      </c>
      <c r="G948" s="17" t="s">
        <v>1941</v>
      </c>
      <c r="H948" s="17">
        <v>35263</v>
      </c>
      <c r="I948" t="s">
        <v>1951</v>
      </c>
    </row>
    <row r="949" spans="1:9" x14ac:dyDescent="0.3">
      <c r="A949" s="17" t="s">
        <v>1827</v>
      </c>
      <c r="B949" s="17" t="s">
        <v>5969</v>
      </c>
      <c r="C949" s="17" t="s">
        <v>5970</v>
      </c>
      <c r="D949" s="17"/>
      <c r="E949" s="17" t="s">
        <v>5971</v>
      </c>
      <c r="F949" s="17" t="s">
        <v>2607</v>
      </c>
      <c r="G949" s="17" t="s">
        <v>1949</v>
      </c>
      <c r="H949" s="17" t="s">
        <v>2310</v>
      </c>
      <c r="I949" t="s">
        <v>1951</v>
      </c>
    </row>
    <row r="950" spans="1:9" x14ac:dyDescent="0.3">
      <c r="A950" s="17" t="s">
        <v>1829</v>
      </c>
      <c r="B950" s="17" t="s">
        <v>5972</v>
      </c>
      <c r="C950" s="17" t="s">
        <v>5973</v>
      </c>
      <c r="D950" s="17" t="s">
        <v>5974</v>
      </c>
      <c r="E950" s="17" t="s">
        <v>5975</v>
      </c>
      <c r="F950" s="17" t="s">
        <v>4485</v>
      </c>
      <c r="G950" s="17" t="s">
        <v>2116</v>
      </c>
      <c r="H950" s="17" t="s">
        <v>5976</v>
      </c>
      <c r="I950" t="s">
        <v>1942</v>
      </c>
    </row>
    <row r="951" spans="1:9" x14ac:dyDescent="0.3">
      <c r="A951" s="17" t="s">
        <v>1831</v>
      </c>
      <c r="B951" s="17" t="s">
        <v>5977</v>
      </c>
      <c r="C951" s="17" t="s">
        <v>5978</v>
      </c>
      <c r="D951" s="17" t="s">
        <v>5979</v>
      </c>
      <c r="E951" s="17" t="s">
        <v>5980</v>
      </c>
      <c r="F951" s="17" t="s">
        <v>5981</v>
      </c>
      <c r="G951" s="17" t="s">
        <v>1949</v>
      </c>
      <c r="H951" s="17" t="s">
        <v>5982</v>
      </c>
      <c r="I951" t="s">
        <v>1951</v>
      </c>
    </row>
    <row r="952" spans="1:9" x14ac:dyDescent="0.3">
      <c r="A952" s="17" t="s">
        <v>1833</v>
      </c>
      <c r="B952" s="17" t="s">
        <v>5983</v>
      </c>
      <c r="C952" s="17"/>
      <c r="D952" s="17" t="s">
        <v>5984</v>
      </c>
      <c r="E952" s="17" t="s">
        <v>5985</v>
      </c>
      <c r="F952" s="17" t="s">
        <v>5107</v>
      </c>
      <c r="G952" s="17" t="s">
        <v>1941</v>
      </c>
      <c r="H952" s="17">
        <v>19810</v>
      </c>
      <c r="I952" t="s">
        <v>1942</v>
      </c>
    </row>
    <row r="953" spans="1:9" x14ac:dyDescent="0.3">
      <c r="A953" s="17" t="s">
        <v>1835</v>
      </c>
      <c r="B953" s="17" t="s">
        <v>5986</v>
      </c>
      <c r="C953" s="17" t="s">
        <v>5987</v>
      </c>
      <c r="D953" s="17" t="s">
        <v>5988</v>
      </c>
      <c r="E953" s="17" t="s">
        <v>5989</v>
      </c>
      <c r="F953" s="17" t="s">
        <v>3662</v>
      </c>
      <c r="G953" s="17" t="s">
        <v>1941</v>
      </c>
      <c r="H953" s="17">
        <v>17121</v>
      </c>
      <c r="I953" t="s">
        <v>1951</v>
      </c>
    </row>
    <row r="954" spans="1:9" x14ac:dyDescent="0.3">
      <c r="A954" s="17" t="s">
        <v>1837</v>
      </c>
      <c r="B954" s="17" t="s">
        <v>5990</v>
      </c>
      <c r="C954" s="17" t="s">
        <v>5991</v>
      </c>
      <c r="D954" s="17" t="s">
        <v>5992</v>
      </c>
      <c r="E954" s="17" t="s">
        <v>5993</v>
      </c>
      <c r="F954" s="17" t="s">
        <v>5949</v>
      </c>
      <c r="G954" s="17" t="s">
        <v>1949</v>
      </c>
      <c r="H954" s="17" t="s">
        <v>5950</v>
      </c>
      <c r="I954" t="s">
        <v>1942</v>
      </c>
    </row>
    <row r="955" spans="1:9" x14ac:dyDescent="0.3">
      <c r="A955" s="17" t="s">
        <v>5994</v>
      </c>
      <c r="B955" s="17" t="s">
        <v>5995</v>
      </c>
      <c r="C955" s="17" t="s">
        <v>5996</v>
      </c>
      <c r="D955" s="17" t="s">
        <v>5997</v>
      </c>
      <c r="E955" s="17" t="s">
        <v>5998</v>
      </c>
      <c r="F955" s="17" t="s">
        <v>2448</v>
      </c>
      <c r="G955" s="17" t="s">
        <v>1941</v>
      </c>
      <c r="H955" s="17">
        <v>79940</v>
      </c>
      <c r="I955" t="s">
        <v>1942</v>
      </c>
    </row>
    <row r="956" spans="1:9" x14ac:dyDescent="0.3">
      <c r="A956" s="17" t="s">
        <v>5999</v>
      </c>
      <c r="B956" s="17" t="s">
        <v>6000</v>
      </c>
      <c r="C956" s="17" t="s">
        <v>6001</v>
      </c>
      <c r="D956" s="17" t="s">
        <v>6002</v>
      </c>
      <c r="E956" s="17" t="s">
        <v>6003</v>
      </c>
      <c r="F956" s="17" t="s">
        <v>2013</v>
      </c>
      <c r="G956" s="17" t="s">
        <v>1941</v>
      </c>
      <c r="H956" s="17">
        <v>63136</v>
      </c>
      <c r="I956" t="s">
        <v>1942</v>
      </c>
    </row>
    <row r="957" spans="1:9" x14ac:dyDescent="0.3">
      <c r="A957" s="17" t="s">
        <v>6004</v>
      </c>
      <c r="B957" s="17" t="s">
        <v>6005</v>
      </c>
      <c r="C957" s="17" t="s">
        <v>6006</v>
      </c>
      <c r="D957" s="17" t="s">
        <v>6007</v>
      </c>
      <c r="E957" s="17" t="s">
        <v>6008</v>
      </c>
      <c r="F957" s="17" t="s">
        <v>5028</v>
      </c>
      <c r="G957" s="17" t="s">
        <v>1941</v>
      </c>
      <c r="H957" s="17">
        <v>72905</v>
      </c>
      <c r="I957" t="s">
        <v>1942</v>
      </c>
    </row>
    <row r="958" spans="1:9" x14ac:dyDescent="0.3">
      <c r="A958" s="17" t="s">
        <v>6009</v>
      </c>
      <c r="B958" s="17" t="s">
        <v>6010</v>
      </c>
      <c r="C958" s="17" t="s">
        <v>6011</v>
      </c>
      <c r="D958" s="17" t="s">
        <v>6012</v>
      </c>
      <c r="E958" s="17" t="s">
        <v>6013</v>
      </c>
      <c r="F958" s="17" t="s">
        <v>2506</v>
      </c>
      <c r="G958" s="17" t="s">
        <v>1941</v>
      </c>
      <c r="H958" s="17">
        <v>37245</v>
      </c>
      <c r="I958" t="s">
        <v>1951</v>
      </c>
    </row>
    <row r="959" spans="1:9" x14ac:dyDescent="0.3">
      <c r="A959" s="17" t="s">
        <v>6014</v>
      </c>
      <c r="B959" s="17" t="s">
        <v>6015</v>
      </c>
      <c r="C959" s="17" t="s">
        <v>6016</v>
      </c>
      <c r="D959" s="17" t="s">
        <v>6017</v>
      </c>
      <c r="E959" s="17" t="s">
        <v>6018</v>
      </c>
      <c r="F959" s="17" t="s">
        <v>2186</v>
      </c>
      <c r="G959" s="17" t="s">
        <v>1941</v>
      </c>
      <c r="H959" s="17">
        <v>20088</v>
      </c>
      <c r="I959" t="s">
        <v>1942</v>
      </c>
    </row>
    <row r="960" spans="1:9" x14ac:dyDescent="0.3">
      <c r="A960" s="17" t="s">
        <v>6019</v>
      </c>
      <c r="B960" s="17" t="s">
        <v>6020</v>
      </c>
      <c r="C960" s="17" t="s">
        <v>6021</v>
      </c>
      <c r="D960" s="17"/>
      <c r="E960" s="17" t="s">
        <v>6022</v>
      </c>
      <c r="F960" s="17" t="s">
        <v>6023</v>
      </c>
      <c r="G960" s="17" t="s">
        <v>1941</v>
      </c>
      <c r="H960" s="17">
        <v>90305</v>
      </c>
      <c r="I960" t="s">
        <v>1942</v>
      </c>
    </row>
    <row r="961" spans="1:9" x14ac:dyDescent="0.3">
      <c r="A961" s="17" t="s">
        <v>1842</v>
      </c>
      <c r="B961" s="17" t="s">
        <v>6024</v>
      </c>
      <c r="C961" s="17" t="s">
        <v>6025</v>
      </c>
      <c r="D961" s="17"/>
      <c r="E961" s="17" t="s">
        <v>6026</v>
      </c>
      <c r="F961" s="17" t="s">
        <v>2127</v>
      </c>
      <c r="G961" s="17" t="s">
        <v>1941</v>
      </c>
      <c r="H961" s="17">
        <v>72215</v>
      </c>
      <c r="I961" t="s">
        <v>1942</v>
      </c>
    </row>
    <row r="962" spans="1:9" x14ac:dyDescent="0.3">
      <c r="A962" s="17" t="s">
        <v>1844</v>
      </c>
      <c r="B962" s="17" t="s">
        <v>6027</v>
      </c>
      <c r="C962" s="17" t="s">
        <v>6028</v>
      </c>
      <c r="D962" s="17" t="s">
        <v>6029</v>
      </c>
      <c r="E962" s="17" t="s">
        <v>6030</v>
      </c>
      <c r="F962" s="17" t="s">
        <v>3703</v>
      </c>
      <c r="G962" s="17" t="s">
        <v>1941</v>
      </c>
      <c r="H962" s="17">
        <v>21747</v>
      </c>
      <c r="I962" t="s">
        <v>1942</v>
      </c>
    </row>
    <row r="963" spans="1:9" x14ac:dyDescent="0.3">
      <c r="A963" s="17" t="s">
        <v>1846</v>
      </c>
      <c r="B963" s="17" t="s">
        <v>6031</v>
      </c>
      <c r="C963" s="17"/>
      <c r="D963" s="17" t="s">
        <v>6032</v>
      </c>
      <c r="E963" s="17" t="s">
        <v>6033</v>
      </c>
      <c r="F963" s="17" t="s">
        <v>2881</v>
      </c>
      <c r="G963" s="17" t="s">
        <v>1941</v>
      </c>
      <c r="H963" s="17">
        <v>12205</v>
      </c>
      <c r="I963" t="s">
        <v>1942</v>
      </c>
    </row>
    <row r="964" spans="1:9" x14ac:dyDescent="0.3">
      <c r="A964" s="17" t="s">
        <v>1848</v>
      </c>
      <c r="B964" s="17" t="s">
        <v>6034</v>
      </c>
      <c r="C964" s="17" t="s">
        <v>6035</v>
      </c>
      <c r="D964" s="17" t="s">
        <v>6036</v>
      </c>
      <c r="E964" s="17" t="s">
        <v>6037</v>
      </c>
      <c r="F964" s="17" t="s">
        <v>6038</v>
      </c>
      <c r="G964" s="17" t="s">
        <v>1949</v>
      </c>
      <c r="H964" s="17" t="s">
        <v>3194</v>
      </c>
      <c r="I964" t="s">
        <v>1942</v>
      </c>
    </row>
    <row r="965" spans="1:9" x14ac:dyDescent="0.3">
      <c r="A965" s="17" t="s">
        <v>1850</v>
      </c>
      <c r="B965" s="17" t="s">
        <v>6039</v>
      </c>
      <c r="C965" s="17" t="s">
        <v>6040</v>
      </c>
      <c r="D965" s="17" t="s">
        <v>6041</v>
      </c>
      <c r="E965" s="17" t="s">
        <v>6042</v>
      </c>
      <c r="F965" s="17" t="s">
        <v>3320</v>
      </c>
      <c r="G965" s="17" t="s">
        <v>1941</v>
      </c>
      <c r="H965" s="17">
        <v>40510</v>
      </c>
      <c r="I965" t="s">
        <v>1942</v>
      </c>
    </row>
    <row r="966" spans="1:9" x14ac:dyDescent="0.3">
      <c r="A966" s="17" t="s">
        <v>1852</v>
      </c>
      <c r="B966" s="17" t="s">
        <v>6043</v>
      </c>
      <c r="C966" s="17" t="s">
        <v>6044</v>
      </c>
      <c r="D966" s="17" t="s">
        <v>6045</v>
      </c>
      <c r="E966" s="17" t="s">
        <v>6046</v>
      </c>
      <c r="F966" s="17" t="s">
        <v>3785</v>
      </c>
      <c r="G966" s="17" t="s">
        <v>1941</v>
      </c>
      <c r="H966" s="17">
        <v>92165</v>
      </c>
      <c r="I966" t="s">
        <v>1951</v>
      </c>
    </row>
    <row r="967" spans="1:9" x14ac:dyDescent="0.3">
      <c r="A967" s="17" t="s">
        <v>1854</v>
      </c>
      <c r="B967" s="17" t="s">
        <v>6047</v>
      </c>
      <c r="C967" s="17" t="s">
        <v>6048</v>
      </c>
      <c r="D967" s="17"/>
      <c r="E967" s="17" t="s">
        <v>6049</v>
      </c>
      <c r="F967" s="17" t="s">
        <v>1986</v>
      </c>
      <c r="G967" s="17" t="s">
        <v>1941</v>
      </c>
      <c r="H967" s="17">
        <v>90040</v>
      </c>
      <c r="I967" t="s">
        <v>1942</v>
      </c>
    </row>
    <row r="968" spans="1:9" x14ac:dyDescent="0.3">
      <c r="A968" s="17" t="s">
        <v>1856</v>
      </c>
      <c r="B968" s="17" t="s">
        <v>6050</v>
      </c>
      <c r="C968" s="17" t="s">
        <v>6051</v>
      </c>
      <c r="D968" s="17" t="s">
        <v>6052</v>
      </c>
      <c r="E968" s="17" t="s">
        <v>6053</v>
      </c>
      <c r="F968" s="17" t="s">
        <v>2776</v>
      </c>
      <c r="G968" s="17" t="s">
        <v>1941</v>
      </c>
      <c r="H968" s="17">
        <v>11210</v>
      </c>
      <c r="I968" t="s">
        <v>1942</v>
      </c>
    </row>
    <row r="969" spans="1:9" x14ac:dyDescent="0.3">
      <c r="A969" s="17" t="s">
        <v>1858</v>
      </c>
      <c r="B969" s="17" t="s">
        <v>6054</v>
      </c>
      <c r="C969" s="17" t="s">
        <v>6055</v>
      </c>
      <c r="D969" s="17" t="s">
        <v>6056</v>
      </c>
      <c r="E969" s="17" t="s">
        <v>6057</v>
      </c>
      <c r="F969" s="17" t="s">
        <v>6058</v>
      </c>
      <c r="G969" s="17" t="s">
        <v>1949</v>
      </c>
      <c r="H969" s="17" t="s">
        <v>2083</v>
      </c>
      <c r="I969" t="s">
        <v>1942</v>
      </c>
    </row>
    <row r="970" spans="1:9" x14ac:dyDescent="0.3">
      <c r="A970" s="17" t="s">
        <v>1860</v>
      </c>
      <c r="B970" s="17" t="s">
        <v>6059</v>
      </c>
      <c r="C970" s="17" t="s">
        <v>6060</v>
      </c>
      <c r="D970" s="17" t="s">
        <v>6061</v>
      </c>
      <c r="E970" s="17" t="s">
        <v>6062</v>
      </c>
      <c r="F970" s="17" t="s">
        <v>6063</v>
      </c>
      <c r="G970" s="17" t="s">
        <v>1941</v>
      </c>
      <c r="H970" s="17">
        <v>32627</v>
      </c>
      <c r="I970" t="s">
        <v>1951</v>
      </c>
    </row>
    <row r="971" spans="1:9" x14ac:dyDescent="0.3">
      <c r="A971" s="17" t="s">
        <v>1862</v>
      </c>
      <c r="B971" s="17" t="s">
        <v>6064</v>
      </c>
      <c r="C971" s="17" t="s">
        <v>6065</v>
      </c>
      <c r="D971" s="17" t="s">
        <v>6066</v>
      </c>
      <c r="E971" s="17" t="s">
        <v>6067</v>
      </c>
      <c r="F971" s="17" t="s">
        <v>2713</v>
      </c>
      <c r="G971" s="17" t="s">
        <v>1941</v>
      </c>
      <c r="H971" s="17">
        <v>34620</v>
      </c>
      <c r="I971" t="s">
        <v>1942</v>
      </c>
    </row>
    <row r="972" spans="1:9" x14ac:dyDescent="0.3">
      <c r="A972" s="17" t="s">
        <v>1864</v>
      </c>
      <c r="B972" s="17" t="s">
        <v>6068</v>
      </c>
      <c r="C972" s="17"/>
      <c r="D972" s="17" t="s">
        <v>6069</v>
      </c>
      <c r="E972" s="17" t="s">
        <v>6070</v>
      </c>
      <c r="F972" s="17" t="s">
        <v>4412</v>
      </c>
      <c r="G972" s="17" t="s">
        <v>1941</v>
      </c>
      <c r="H972" s="17">
        <v>79165</v>
      </c>
      <c r="I972" t="s">
        <v>1951</v>
      </c>
    </row>
    <row r="973" spans="1:9" x14ac:dyDescent="0.3">
      <c r="A973" s="17" t="s">
        <v>1866</v>
      </c>
      <c r="B973" s="17" t="s">
        <v>6071</v>
      </c>
      <c r="C973" s="17" t="s">
        <v>6072</v>
      </c>
      <c r="D973" s="17" t="s">
        <v>6073</v>
      </c>
      <c r="E973" s="17" t="s">
        <v>6074</v>
      </c>
      <c r="F973" s="17" t="s">
        <v>2266</v>
      </c>
      <c r="G973" s="17" t="s">
        <v>1941</v>
      </c>
      <c r="H973" s="17">
        <v>76121</v>
      </c>
      <c r="I973" t="s">
        <v>1951</v>
      </c>
    </row>
    <row r="974" spans="1:9" x14ac:dyDescent="0.3">
      <c r="A974" s="17" t="s">
        <v>1868</v>
      </c>
      <c r="B974" s="17" t="s">
        <v>6075</v>
      </c>
      <c r="C974" s="17"/>
      <c r="D974" s="17" t="s">
        <v>6076</v>
      </c>
      <c r="E974" s="17" t="s">
        <v>6077</v>
      </c>
      <c r="F974" s="17" t="s">
        <v>5090</v>
      </c>
      <c r="G974" s="17" t="s">
        <v>1949</v>
      </c>
      <c r="H974" s="17" t="s">
        <v>5091</v>
      </c>
      <c r="I974" t="s">
        <v>1942</v>
      </c>
    </row>
    <row r="975" spans="1:9" x14ac:dyDescent="0.3">
      <c r="A975" s="17" t="s">
        <v>1870</v>
      </c>
      <c r="B975" s="17" t="s">
        <v>6078</v>
      </c>
      <c r="C975" s="17" t="s">
        <v>6079</v>
      </c>
      <c r="D975" s="17" t="s">
        <v>6080</v>
      </c>
      <c r="E975" s="17" t="s">
        <v>6081</v>
      </c>
      <c r="F975" s="17" t="s">
        <v>2225</v>
      </c>
      <c r="G975" s="17" t="s">
        <v>1941</v>
      </c>
      <c r="H975" s="17">
        <v>32575</v>
      </c>
      <c r="I975" t="s">
        <v>1951</v>
      </c>
    </row>
    <row r="976" spans="1:9" x14ac:dyDescent="0.3">
      <c r="A976" s="17" t="s">
        <v>1872</v>
      </c>
      <c r="B976" s="17" t="s">
        <v>6082</v>
      </c>
      <c r="C976" s="17" t="s">
        <v>6083</v>
      </c>
      <c r="D976" s="17" t="s">
        <v>6084</v>
      </c>
      <c r="E976" s="17" t="s">
        <v>6085</v>
      </c>
      <c r="F976" s="17" t="s">
        <v>3148</v>
      </c>
      <c r="G976" s="17" t="s">
        <v>1941</v>
      </c>
      <c r="H976" s="17">
        <v>98405</v>
      </c>
      <c r="I976" t="s">
        <v>1942</v>
      </c>
    </row>
    <row r="977" spans="1:9" x14ac:dyDescent="0.3">
      <c r="A977" s="17" t="s">
        <v>1874</v>
      </c>
      <c r="B977" s="17" t="s">
        <v>6086</v>
      </c>
      <c r="C977" s="17" t="s">
        <v>6087</v>
      </c>
      <c r="D977" s="17" t="s">
        <v>6088</v>
      </c>
      <c r="E977" s="17" t="s">
        <v>6089</v>
      </c>
      <c r="F977" s="17" t="s">
        <v>6090</v>
      </c>
      <c r="G977" s="17" t="s">
        <v>1949</v>
      </c>
      <c r="H977" s="17" t="s">
        <v>3183</v>
      </c>
      <c r="I977" t="s">
        <v>1942</v>
      </c>
    </row>
    <row r="978" spans="1:9" x14ac:dyDescent="0.3">
      <c r="A978" s="17" t="s">
        <v>1876</v>
      </c>
      <c r="B978" s="17" t="s">
        <v>6091</v>
      </c>
      <c r="C978" s="17" t="s">
        <v>6092</v>
      </c>
      <c r="D978" s="17" t="s">
        <v>6093</v>
      </c>
      <c r="E978" s="17" t="s">
        <v>6094</v>
      </c>
      <c r="F978" s="17" t="s">
        <v>2238</v>
      </c>
      <c r="G978" s="17" t="s">
        <v>1941</v>
      </c>
      <c r="H978" s="17">
        <v>46896</v>
      </c>
      <c r="I978" t="s">
        <v>1942</v>
      </c>
    </row>
    <row r="979" spans="1:9" x14ac:dyDescent="0.3">
      <c r="A979" s="17" t="s">
        <v>1878</v>
      </c>
      <c r="B979" s="17" t="s">
        <v>6095</v>
      </c>
      <c r="C979" s="17" t="s">
        <v>6096</v>
      </c>
      <c r="D979" s="17" t="s">
        <v>6097</v>
      </c>
      <c r="E979" s="17" t="s">
        <v>6098</v>
      </c>
      <c r="F979" s="17" t="s">
        <v>4412</v>
      </c>
      <c r="G979" s="17" t="s">
        <v>1941</v>
      </c>
      <c r="H979" s="17">
        <v>79105</v>
      </c>
      <c r="I979" t="s">
        <v>1951</v>
      </c>
    </row>
    <row r="980" spans="1:9" x14ac:dyDescent="0.3">
      <c r="A980" s="17" t="s">
        <v>6099</v>
      </c>
      <c r="B980" s="17" t="s">
        <v>6100</v>
      </c>
      <c r="C980" s="17" t="s">
        <v>6101</v>
      </c>
      <c r="D980" s="17" t="s">
        <v>6102</v>
      </c>
      <c r="E980" s="17" t="s">
        <v>6103</v>
      </c>
      <c r="F980" s="17" t="s">
        <v>2186</v>
      </c>
      <c r="G980" s="17" t="s">
        <v>1941</v>
      </c>
      <c r="H980" s="17">
        <v>20436</v>
      </c>
      <c r="I980" t="s">
        <v>1942</v>
      </c>
    </row>
    <row r="981" spans="1:9" x14ac:dyDescent="0.3">
      <c r="A981" s="17" t="s">
        <v>1881</v>
      </c>
      <c r="B981" s="17" t="s">
        <v>6104</v>
      </c>
      <c r="C981" s="17"/>
      <c r="D981" s="17" t="s">
        <v>6105</v>
      </c>
      <c r="E981" s="17" t="s">
        <v>6106</v>
      </c>
      <c r="F981" s="17" t="s">
        <v>6107</v>
      </c>
      <c r="G981" s="17" t="s">
        <v>1941</v>
      </c>
      <c r="H981" s="17">
        <v>20910</v>
      </c>
      <c r="I981" t="s">
        <v>1951</v>
      </c>
    </row>
    <row r="982" spans="1:9" x14ac:dyDescent="0.3">
      <c r="A982" s="17" t="s">
        <v>1883</v>
      </c>
      <c r="B982" s="17" t="s">
        <v>6108</v>
      </c>
      <c r="C982" s="17"/>
      <c r="D982" s="17" t="s">
        <v>6109</v>
      </c>
      <c r="E982" s="17" t="s">
        <v>6110</v>
      </c>
      <c r="F982" s="17" t="s">
        <v>3823</v>
      </c>
      <c r="G982" s="17" t="s">
        <v>1941</v>
      </c>
      <c r="H982" s="17">
        <v>53726</v>
      </c>
      <c r="I982" t="s">
        <v>1942</v>
      </c>
    </row>
    <row r="983" spans="1:9" x14ac:dyDescent="0.3">
      <c r="A983" s="17" t="s">
        <v>1885</v>
      </c>
      <c r="B983" s="17" t="s">
        <v>6111</v>
      </c>
      <c r="C983" s="17" t="s">
        <v>6112</v>
      </c>
      <c r="D983" s="17" t="s">
        <v>6113</v>
      </c>
      <c r="E983" s="17" t="s">
        <v>6114</v>
      </c>
      <c r="F983" s="17" t="s">
        <v>6115</v>
      </c>
      <c r="G983" s="17" t="s">
        <v>1941</v>
      </c>
      <c r="H983" s="17">
        <v>77305</v>
      </c>
      <c r="I983" t="s">
        <v>1942</v>
      </c>
    </row>
    <row r="984" spans="1:9" x14ac:dyDescent="0.3">
      <c r="A984" s="17" t="s">
        <v>1887</v>
      </c>
      <c r="B984" s="17" t="s">
        <v>6116</v>
      </c>
      <c r="C984" s="17" t="s">
        <v>6117</v>
      </c>
      <c r="D984" s="17" t="s">
        <v>6118</v>
      </c>
      <c r="E984" s="17" t="s">
        <v>6119</v>
      </c>
      <c r="F984" s="17" t="s">
        <v>3179</v>
      </c>
      <c r="G984" s="17" t="s">
        <v>1941</v>
      </c>
      <c r="H984" s="17">
        <v>76205</v>
      </c>
      <c r="I984" t="s">
        <v>1942</v>
      </c>
    </row>
    <row r="985" spans="1:9" x14ac:dyDescent="0.3">
      <c r="A985" s="17" t="s">
        <v>1889</v>
      </c>
      <c r="B985" s="17" t="s">
        <v>6120</v>
      </c>
      <c r="C985" s="17" t="s">
        <v>6121</v>
      </c>
      <c r="D985" s="17" t="s">
        <v>6122</v>
      </c>
      <c r="E985" s="17" t="s">
        <v>6123</v>
      </c>
      <c r="F985" s="17" t="s">
        <v>2287</v>
      </c>
      <c r="G985" s="17" t="s">
        <v>1941</v>
      </c>
      <c r="H985" s="17">
        <v>43231</v>
      </c>
      <c r="I985" t="s">
        <v>1942</v>
      </c>
    </row>
    <row r="986" spans="1:9" x14ac:dyDescent="0.3">
      <c r="A986" s="17" t="s">
        <v>1891</v>
      </c>
      <c r="B986" s="17" t="s">
        <v>6124</v>
      </c>
      <c r="C986" s="17" t="s">
        <v>6125</v>
      </c>
      <c r="D986" s="17"/>
      <c r="E986" s="17" t="s">
        <v>6126</v>
      </c>
      <c r="F986" s="17" t="s">
        <v>6127</v>
      </c>
      <c r="G986" s="17" t="s">
        <v>1949</v>
      </c>
      <c r="H986" s="17" t="s">
        <v>3263</v>
      </c>
      <c r="I986" t="s">
        <v>1942</v>
      </c>
    </row>
    <row r="987" spans="1:9" x14ac:dyDescent="0.3">
      <c r="A987" s="17" t="s">
        <v>1893</v>
      </c>
      <c r="B987" s="17" t="s">
        <v>6128</v>
      </c>
      <c r="C987" s="17" t="s">
        <v>6129</v>
      </c>
      <c r="D987" s="17" t="s">
        <v>6130</v>
      </c>
      <c r="E987" s="17" t="s">
        <v>6131</v>
      </c>
      <c r="F987" s="17" t="s">
        <v>2093</v>
      </c>
      <c r="G987" s="17" t="s">
        <v>1941</v>
      </c>
      <c r="H987" s="17">
        <v>80045</v>
      </c>
      <c r="I987" t="s">
        <v>1951</v>
      </c>
    </row>
    <row r="988" spans="1:9" x14ac:dyDescent="0.3">
      <c r="A988" s="17" t="s">
        <v>1895</v>
      </c>
      <c r="B988" s="17" t="s">
        <v>6132</v>
      </c>
      <c r="C988" s="17" t="s">
        <v>6133</v>
      </c>
      <c r="D988" s="17" t="s">
        <v>6134</v>
      </c>
      <c r="E988" s="17" t="s">
        <v>6135</v>
      </c>
      <c r="F988" s="17" t="s">
        <v>6136</v>
      </c>
      <c r="G988" s="17" t="s">
        <v>1941</v>
      </c>
      <c r="H988" s="17">
        <v>32128</v>
      </c>
      <c r="I988" t="s">
        <v>1951</v>
      </c>
    </row>
    <row r="989" spans="1:9" x14ac:dyDescent="0.3">
      <c r="A989" s="17" t="s">
        <v>1897</v>
      </c>
      <c r="B989" s="17" t="s">
        <v>6137</v>
      </c>
      <c r="C989" s="17" t="s">
        <v>6138</v>
      </c>
      <c r="D989" s="17" t="s">
        <v>6139</v>
      </c>
      <c r="E989" s="17" t="s">
        <v>6140</v>
      </c>
      <c r="F989" s="17" t="s">
        <v>4084</v>
      </c>
      <c r="G989" s="17" t="s">
        <v>2116</v>
      </c>
      <c r="H989" s="17" t="s">
        <v>2393</v>
      </c>
      <c r="I989" t="s">
        <v>1942</v>
      </c>
    </row>
    <row r="990" spans="1:9" x14ac:dyDescent="0.3">
      <c r="A990" s="17" t="s">
        <v>1899</v>
      </c>
      <c r="B990" s="17" t="s">
        <v>6141</v>
      </c>
      <c r="C990" s="17"/>
      <c r="D990" s="17" t="s">
        <v>6142</v>
      </c>
      <c r="E990" s="17" t="s">
        <v>6143</v>
      </c>
      <c r="F990" s="17" t="s">
        <v>6144</v>
      </c>
      <c r="G990" s="17" t="s">
        <v>2116</v>
      </c>
      <c r="H990" s="17" t="s">
        <v>6145</v>
      </c>
      <c r="I990" t="s">
        <v>1942</v>
      </c>
    </row>
    <row r="991" spans="1:9" x14ac:dyDescent="0.3">
      <c r="A991" s="17" t="s">
        <v>1901</v>
      </c>
      <c r="B991" s="17" t="s">
        <v>6146</v>
      </c>
      <c r="C991" s="17"/>
      <c r="D991" s="17" t="s">
        <v>6147</v>
      </c>
      <c r="E991" s="17" t="s">
        <v>6148</v>
      </c>
      <c r="F991" s="17" t="s">
        <v>2013</v>
      </c>
      <c r="G991" s="17" t="s">
        <v>1941</v>
      </c>
      <c r="H991" s="17">
        <v>63131</v>
      </c>
      <c r="I991" t="s">
        <v>1942</v>
      </c>
    </row>
    <row r="992" spans="1:9" x14ac:dyDescent="0.3">
      <c r="A992" s="17" t="s">
        <v>6149</v>
      </c>
      <c r="B992" s="17" t="s">
        <v>6150</v>
      </c>
      <c r="C992" s="17" t="s">
        <v>6151</v>
      </c>
      <c r="D992" s="17" t="s">
        <v>6152</v>
      </c>
      <c r="E992" s="17" t="s">
        <v>6153</v>
      </c>
      <c r="F992" s="17" t="s">
        <v>6154</v>
      </c>
      <c r="G992" s="17" t="s">
        <v>1941</v>
      </c>
      <c r="H992" s="17">
        <v>92056</v>
      </c>
      <c r="I992" t="s">
        <v>1951</v>
      </c>
    </row>
    <row r="993" spans="1:9" x14ac:dyDescent="0.3">
      <c r="A993" s="17" t="s">
        <v>6155</v>
      </c>
      <c r="B993" s="17" t="s">
        <v>6156</v>
      </c>
      <c r="C993" s="17"/>
      <c r="D993" s="17" t="s">
        <v>6157</v>
      </c>
      <c r="E993" s="17" t="s">
        <v>6158</v>
      </c>
      <c r="F993" s="17" t="s">
        <v>2678</v>
      </c>
      <c r="G993" s="17" t="s">
        <v>1941</v>
      </c>
      <c r="H993" s="17">
        <v>37416</v>
      </c>
      <c r="I993" t="s">
        <v>1942</v>
      </c>
    </row>
    <row r="994" spans="1:9" x14ac:dyDescent="0.3">
      <c r="A994" s="17" t="s">
        <v>1905</v>
      </c>
      <c r="B994" s="17" t="s">
        <v>6159</v>
      </c>
      <c r="C994" s="17"/>
      <c r="D994" s="17" t="s">
        <v>6160</v>
      </c>
      <c r="E994" s="17" t="s">
        <v>6161</v>
      </c>
      <c r="F994" s="17" t="s">
        <v>3967</v>
      </c>
      <c r="G994" s="17" t="s">
        <v>1949</v>
      </c>
      <c r="H994" s="17" t="s">
        <v>2771</v>
      </c>
      <c r="I994" t="s">
        <v>1951</v>
      </c>
    </row>
    <row r="995" spans="1:9" x14ac:dyDescent="0.3">
      <c r="A995" s="17" t="s">
        <v>1907</v>
      </c>
      <c r="B995" s="17" t="s">
        <v>6162</v>
      </c>
      <c r="C995" s="17"/>
      <c r="D995" s="17" t="s">
        <v>6163</v>
      </c>
      <c r="E995" s="17" t="s">
        <v>6164</v>
      </c>
      <c r="F995" s="17" t="s">
        <v>2017</v>
      </c>
      <c r="G995" s="17" t="s">
        <v>1941</v>
      </c>
      <c r="H995" s="17">
        <v>19125</v>
      </c>
      <c r="I995" t="s">
        <v>1951</v>
      </c>
    </row>
    <row r="996" spans="1:9" x14ac:dyDescent="0.3">
      <c r="A996" s="17" t="s">
        <v>1909</v>
      </c>
      <c r="B996" s="17" t="s">
        <v>6165</v>
      </c>
      <c r="C996" s="17"/>
      <c r="D996" s="17" t="s">
        <v>6166</v>
      </c>
      <c r="E996" s="17" t="s">
        <v>6167</v>
      </c>
      <c r="F996" s="17" t="s">
        <v>3912</v>
      </c>
      <c r="G996" s="17" t="s">
        <v>1949</v>
      </c>
      <c r="H996" s="17" t="s">
        <v>3913</v>
      </c>
      <c r="I996" t="s">
        <v>1951</v>
      </c>
    </row>
    <row r="997" spans="1:9" x14ac:dyDescent="0.3">
      <c r="A997" s="17" t="s">
        <v>1911</v>
      </c>
      <c r="B997" s="17" t="s">
        <v>6168</v>
      </c>
      <c r="C997" s="17" t="s">
        <v>6169</v>
      </c>
      <c r="D997" s="17" t="s">
        <v>6170</v>
      </c>
      <c r="E997" s="17" t="s">
        <v>6171</v>
      </c>
      <c r="F997" s="17" t="s">
        <v>2325</v>
      </c>
      <c r="G997" s="17" t="s">
        <v>1941</v>
      </c>
      <c r="H997" s="17">
        <v>75210</v>
      </c>
      <c r="I997" t="s">
        <v>1951</v>
      </c>
    </row>
    <row r="998" spans="1:9" x14ac:dyDescent="0.3">
      <c r="A998" s="17" t="s">
        <v>1903</v>
      </c>
      <c r="B998" s="17" t="s">
        <v>6172</v>
      </c>
      <c r="C998" s="17"/>
      <c r="D998" s="17" t="s">
        <v>6173</v>
      </c>
      <c r="E998" s="17" t="s">
        <v>6174</v>
      </c>
      <c r="F998" s="17" t="s">
        <v>5028</v>
      </c>
      <c r="G998" s="17" t="s">
        <v>1941</v>
      </c>
      <c r="H998" s="17">
        <v>72905</v>
      </c>
      <c r="I998" t="s">
        <v>1951</v>
      </c>
    </row>
    <row r="999" spans="1:9" x14ac:dyDescent="0.3">
      <c r="A999" s="17" t="s">
        <v>6175</v>
      </c>
      <c r="B999" s="17" t="s">
        <v>6176</v>
      </c>
      <c r="C999" s="17"/>
      <c r="D999" s="17" t="s">
        <v>6177</v>
      </c>
      <c r="E999" s="17" t="s">
        <v>6178</v>
      </c>
      <c r="F999" s="17" t="s">
        <v>2340</v>
      </c>
      <c r="G999" s="17" t="s">
        <v>1941</v>
      </c>
      <c r="H999" s="17">
        <v>80920</v>
      </c>
      <c r="I999" t="s">
        <v>1942</v>
      </c>
    </row>
    <row r="1000" spans="1:9" x14ac:dyDescent="0.3">
      <c r="A1000" s="17" t="s">
        <v>1915</v>
      </c>
      <c r="B1000" s="17" t="s">
        <v>6179</v>
      </c>
      <c r="C1000" s="17" t="s">
        <v>6180</v>
      </c>
      <c r="D1000" s="17" t="s">
        <v>6181</v>
      </c>
      <c r="E1000" s="17" t="s">
        <v>6182</v>
      </c>
      <c r="F1000" s="17" t="s">
        <v>2758</v>
      </c>
      <c r="G1000" s="17" t="s">
        <v>1941</v>
      </c>
      <c r="H1000" s="17">
        <v>90610</v>
      </c>
      <c r="I1000" t="s">
        <v>1951</v>
      </c>
    </row>
    <row r="1001" spans="1:9" x14ac:dyDescent="0.3">
      <c r="A1001" s="17" t="s">
        <v>1917</v>
      </c>
      <c r="B1001" s="17" t="s">
        <v>6183</v>
      </c>
      <c r="C1001" s="17"/>
      <c r="D1001" s="17" t="s">
        <v>6184</v>
      </c>
      <c r="E1001" s="17" t="s">
        <v>6185</v>
      </c>
      <c r="F1001" s="17" t="s">
        <v>4485</v>
      </c>
      <c r="G1001" s="17" t="s">
        <v>2116</v>
      </c>
      <c r="H1001" s="17" t="s">
        <v>6186</v>
      </c>
      <c r="I1001" t="s">
        <v>1942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A2FD4-F74D-4AB3-9BD4-F9FFAAF2E26E}">
  <dimension ref="A1:G49"/>
  <sheetViews>
    <sheetView workbookViewId="0">
      <selection activeCell="M17" sqref="M17"/>
    </sheetView>
  </sheetViews>
  <sheetFormatPr defaultRowHeight="14.4" x14ac:dyDescent="0.3"/>
  <cols>
    <col min="2" max="2" width="10.6640625" bestFit="1" customWidth="1"/>
    <col min="3" max="3" width="9.88671875" bestFit="1" customWidth="1"/>
  </cols>
  <sheetData>
    <row r="1" spans="1:7" x14ac:dyDescent="0.3">
      <c r="A1" s="13" t="s">
        <v>1921</v>
      </c>
      <c r="B1" s="14" t="s">
        <v>1926</v>
      </c>
      <c r="C1" s="15" t="s">
        <v>1927</v>
      </c>
      <c r="D1" s="15" t="s">
        <v>1928</v>
      </c>
      <c r="E1" s="15" t="s">
        <v>1929</v>
      </c>
      <c r="F1" s="16" t="s">
        <v>6187</v>
      </c>
      <c r="G1" s="15" t="s">
        <v>6188</v>
      </c>
    </row>
    <row r="2" spans="1:7" x14ac:dyDescent="0.3">
      <c r="A2" t="s">
        <v>115</v>
      </c>
      <c r="B2" t="s">
        <v>6196</v>
      </c>
      <c r="C2" t="s">
        <v>6200</v>
      </c>
      <c r="D2" s="18">
        <v>0.2</v>
      </c>
      <c r="E2">
        <v>3.8849999999999998</v>
      </c>
      <c r="F2">
        <v>1.9424999999999999</v>
      </c>
      <c r="G2">
        <v>0.34964999999999996</v>
      </c>
    </row>
    <row r="3" spans="1:7" x14ac:dyDescent="0.3">
      <c r="A3" t="s">
        <v>192</v>
      </c>
      <c r="B3" t="s">
        <v>6196</v>
      </c>
      <c r="C3" t="s">
        <v>6200</v>
      </c>
      <c r="D3" s="18">
        <v>0.5</v>
      </c>
      <c r="E3">
        <v>7.77</v>
      </c>
      <c r="F3">
        <v>1.5539999999999998</v>
      </c>
      <c r="G3">
        <v>0.69929999999999992</v>
      </c>
    </row>
    <row r="4" spans="1:7" x14ac:dyDescent="0.3">
      <c r="A4" t="s">
        <v>6</v>
      </c>
      <c r="B4" t="s">
        <v>6196</v>
      </c>
      <c r="C4" t="s">
        <v>6200</v>
      </c>
      <c r="D4" s="18">
        <v>1</v>
      </c>
      <c r="E4">
        <v>12.95</v>
      </c>
      <c r="F4">
        <v>1.2949999999999999</v>
      </c>
      <c r="G4">
        <v>1.1655</v>
      </c>
    </row>
    <row r="5" spans="1:7" x14ac:dyDescent="0.3">
      <c r="A5" t="s">
        <v>204</v>
      </c>
      <c r="B5" t="s">
        <v>6196</v>
      </c>
      <c r="C5" t="s">
        <v>6200</v>
      </c>
      <c r="D5" s="18">
        <v>2.5</v>
      </c>
      <c r="E5">
        <v>29.784999999999997</v>
      </c>
      <c r="F5">
        <v>1.1913999999999998</v>
      </c>
      <c r="G5">
        <v>2.6806499999999995</v>
      </c>
    </row>
    <row r="6" spans="1:7" x14ac:dyDescent="0.3">
      <c r="A6" t="s">
        <v>44</v>
      </c>
      <c r="B6" t="s">
        <v>6196</v>
      </c>
      <c r="C6" t="s">
        <v>6201</v>
      </c>
      <c r="D6" s="18">
        <v>0.2</v>
      </c>
      <c r="E6">
        <v>3.375</v>
      </c>
      <c r="F6">
        <v>1.6875</v>
      </c>
      <c r="G6">
        <v>0.30374999999999996</v>
      </c>
    </row>
    <row r="7" spans="1:7" x14ac:dyDescent="0.3">
      <c r="A7" t="s">
        <v>67</v>
      </c>
      <c r="B7" t="s">
        <v>6196</v>
      </c>
      <c r="C7" t="s">
        <v>6201</v>
      </c>
      <c r="D7" s="18">
        <v>0.5</v>
      </c>
      <c r="E7">
        <v>6.75</v>
      </c>
      <c r="F7">
        <v>1.35</v>
      </c>
      <c r="G7">
        <v>0.60749999999999993</v>
      </c>
    </row>
    <row r="8" spans="1:7" x14ac:dyDescent="0.3">
      <c r="A8" t="s">
        <v>61</v>
      </c>
      <c r="B8" t="s">
        <v>6196</v>
      </c>
      <c r="C8" t="s">
        <v>6201</v>
      </c>
      <c r="D8" s="18">
        <v>1</v>
      </c>
      <c r="E8">
        <v>11.25</v>
      </c>
      <c r="F8">
        <v>1.125</v>
      </c>
      <c r="G8">
        <v>1.0125</v>
      </c>
    </row>
    <row r="9" spans="1:7" x14ac:dyDescent="0.3">
      <c r="A9" t="s">
        <v>171</v>
      </c>
      <c r="B9" t="s">
        <v>6196</v>
      </c>
      <c r="C9" t="s">
        <v>6201</v>
      </c>
      <c r="D9" s="18">
        <v>2.5</v>
      </c>
      <c r="E9">
        <v>25.874999999999996</v>
      </c>
      <c r="F9">
        <v>1.0349999999999999</v>
      </c>
      <c r="G9">
        <v>2.3287499999999994</v>
      </c>
    </row>
    <row r="10" spans="1:7" x14ac:dyDescent="0.3">
      <c r="A10" t="s">
        <v>54</v>
      </c>
      <c r="B10" t="s">
        <v>6196</v>
      </c>
      <c r="C10" t="s">
        <v>6202</v>
      </c>
      <c r="D10" s="18">
        <v>0.2</v>
      </c>
      <c r="E10">
        <v>2.9849999999999999</v>
      </c>
      <c r="F10">
        <v>1.4924999999999999</v>
      </c>
      <c r="G10">
        <v>0.26865</v>
      </c>
    </row>
    <row r="11" spans="1:7" x14ac:dyDescent="0.3">
      <c r="A11" t="s">
        <v>72</v>
      </c>
      <c r="B11" t="s">
        <v>6196</v>
      </c>
      <c r="C11" t="s">
        <v>6202</v>
      </c>
      <c r="D11" s="18">
        <v>0.5</v>
      </c>
      <c r="E11">
        <v>5.97</v>
      </c>
      <c r="F11">
        <v>1.194</v>
      </c>
      <c r="G11">
        <v>0.5373</v>
      </c>
    </row>
    <row r="12" spans="1:7" x14ac:dyDescent="0.3">
      <c r="A12" t="s">
        <v>27</v>
      </c>
      <c r="B12" t="s">
        <v>6196</v>
      </c>
      <c r="C12" t="s">
        <v>6202</v>
      </c>
      <c r="D12" s="18">
        <v>1</v>
      </c>
      <c r="E12">
        <v>9.9499999999999993</v>
      </c>
      <c r="F12">
        <v>0.99499999999999988</v>
      </c>
      <c r="G12">
        <v>0.89549999999999985</v>
      </c>
    </row>
    <row r="13" spans="1:7" x14ac:dyDescent="0.3">
      <c r="A13" t="s">
        <v>118</v>
      </c>
      <c r="B13" t="s">
        <v>6196</v>
      </c>
      <c r="C13" t="s">
        <v>6202</v>
      </c>
      <c r="D13" s="18">
        <v>2.5</v>
      </c>
      <c r="E13">
        <v>22.884999999999998</v>
      </c>
      <c r="F13">
        <v>0.91539999999999988</v>
      </c>
      <c r="G13">
        <v>2.0596499999999995</v>
      </c>
    </row>
    <row r="14" spans="1:7" x14ac:dyDescent="0.3">
      <c r="A14" t="s">
        <v>182</v>
      </c>
      <c r="B14" t="s">
        <v>6197</v>
      </c>
      <c r="C14" t="s">
        <v>6200</v>
      </c>
      <c r="D14" s="18">
        <v>0.2</v>
      </c>
      <c r="E14">
        <v>3.5849999999999995</v>
      </c>
      <c r="F14">
        <v>1.7924999999999998</v>
      </c>
      <c r="G14">
        <v>0.21509999999999996</v>
      </c>
    </row>
    <row r="15" spans="1:7" x14ac:dyDescent="0.3">
      <c r="A15" t="s">
        <v>157</v>
      </c>
      <c r="B15" t="s">
        <v>6197</v>
      </c>
      <c r="C15" t="s">
        <v>6200</v>
      </c>
      <c r="D15" s="18">
        <v>0.5</v>
      </c>
      <c r="E15">
        <v>7.169999999999999</v>
      </c>
      <c r="F15">
        <v>1.4339999999999997</v>
      </c>
      <c r="G15">
        <v>0.43019999999999992</v>
      </c>
    </row>
    <row r="16" spans="1:7" x14ac:dyDescent="0.3">
      <c r="A16" t="s">
        <v>189</v>
      </c>
      <c r="B16" t="s">
        <v>6197</v>
      </c>
      <c r="C16" t="s">
        <v>6200</v>
      </c>
      <c r="D16" s="18">
        <v>1</v>
      </c>
      <c r="E16">
        <v>11.95</v>
      </c>
      <c r="F16">
        <v>1.1949999999999998</v>
      </c>
      <c r="G16">
        <v>0.71699999999999997</v>
      </c>
    </row>
    <row r="17" spans="1:7" x14ac:dyDescent="0.3">
      <c r="A17" t="s">
        <v>10</v>
      </c>
      <c r="B17" t="s">
        <v>6197</v>
      </c>
      <c r="C17" t="s">
        <v>6200</v>
      </c>
      <c r="D17" s="18">
        <v>2.5</v>
      </c>
      <c r="E17">
        <v>27.484999999999996</v>
      </c>
      <c r="F17">
        <v>1.0993999999999999</v>
      </c>
      <c r="G17">
        <v>1.6490999999999998</v>
      </c>
    </row>
    <row r="18" spans="1:7" x14ac:dyDescent="0.3">
      <c r="A18" t="s">
        <v>162</v>
      </c>
      <c r="B18" t="s">
        <v>6197</v>
      </c>
      <c r="C18" t="s">
        <v>6201</v>
      </c>
      <c r="D18" s="18">
        <v>0.2</v>
      </c>
      <c r="E18">
        <v>2.9849999999999999</v>
      </c>
      <c r="F18">
        <v>1.4924999999999999</v>
      </c>
      <c r="G18">
        <v>0.17909999999999998</v>
      </c>
    </row>
    <row r="19" spans="1:7" x14ac:dyDescent="0.3">
      <c r="A19" t="s">
        <v>22</v>
      </c>
      <c r="B19" t="s">
        <v>6197</v>
      </c>
      <c r="C19" t="s">
        <v>6201</v>
      </c>
      <c r="D19" s="18">
        <v>0.5</v>
      </c>
      <c r="E19">
        <v>5.97</v>
      </c>
      <c r="F19">
        <v>1.194</v>
      </c>
      <c r="G19">
        <v>0.35819999999999996</v>
      </c>
    </row>
    <row r="20" spans="1:7" x14ac:dyDescent="0.3">
      <c r="A20" t="s">
        <v>2</v>
      </c>
      <c r="B20" t="s">
        <v>6197</v>
      </c>
      <c r="C20" t="s">
        <v>6201</v>
      </c>
      <c r="D20" s="18">
        <v>1</v>
      </c>
      <c r="E20">
        <v>9.9499999999999993</v>
      </c>
      <c r="F20">
        <v>0.99499999999999988</v>
      </c>
      <c r="G20">
        <v>0.59699999999999998</v>
      </c>
    </row>
    <row r="21" spans="1:7" x14ac:dyDescent="0.3">
      <c r="A21" t="s">
        <v>41</v>
      </c>
      <c r="B21" t="s">
        <v>6197</v>
      </c>
      <c r="C21" t="s">
        <v>6201</v>
      </c>
      <c r="D21" s="18">
        <v>2.5</v>
      </c>
      <c r="E21">
        <v>22.884999999999998</v>
      </c>
      <c r="F21">
        <v>0.91539999999999988</v>
      </c>
      <c r="G21">
        <v>1.3730999999999998</v>
      </c>
    </row>
    <row r="22" spans="1:7" x14ac:dyDescent="0.3">
      <c r="A22" t="s">
        <v>101</v>
      </c>
      <c r="B22" t="s">
        <v>6197</v>
      </c>
      <c r="C22" t="s">
        <v>6202</v>
      </c>
      <c r="D22" s="18">
        <v>0.2</v>
      </c>
      <c r="E22">
        <v>2.6849999999999996</v>
      </c>
      <c r="F22">
        <v>1.3424999999999998</v>
      </c>
      <c r="G22">
        <v>0.16109999999999997</v>
      </c>
    </row>
    <row r="23" spans="1:7" x14ac:dyDescent="0.3">
      <c r="A23" t="s">
        <v>146</v>
      </c>
      <c r="B23" t="s">
        <v>6197</v>
      </c>
      <c r="C23" t="s">
        <v>6202</v>
      </c>
      <c r="D23" s="18">
        <v>0.5</v>
      </c>
      <c r="E23">
        <v>5.3699999999999992</v>
      </c>
      <c r="F23">
        <v>1.0739999999999998</v>
      </c>
      <c r="G23">
        <v>0.32219999999999993</v>
      </c>
    </row>
    <row r="24" spans="1:7" x14ac:dyDescent="0.3">
      <c r="A24" t="s">
        <v>179</v>
      </c>
      <c r="B24" t="s">
        <v>6197</v>
      </c>
      <c r="C24" t="s">
        <v>6202</v>
      </c>
      <c r="D24" s="18">
        <v>1</v>
      </c>
      <c r="E24">
        <v>8.9499999999999993</v>
      </c>
      <c r="F24">
        <v>0.89499999999999991</v>
      </c>
      <c r="G24">
        <v>0.53699999999999992</v>
      </c>
    </row>
    <row r="25" spans="1:7" x14ac:dyDescent="0.3">
      <c r="A25" t="s">
        <v>35</v>
      </c>
      <c r="B25" t="s">
        <v>6197</v>
      </c>
      <c r="C25" t="s">
        <v>6202</v>
      </c>
      <c r="D25" s="18">
        <v>2.5</v>
      </c>
      <c r="E25">
        <v>20.584999999999997</v>
      </c>
      <c r="F25">
        <v>0.82339999999999991</v>
      </c>
      <c r="G25">
        <v>1.2350999999999999</v>
      </c>
    </row>
    <row r="26" spans="1:7" x14ac:dyDescent="0.3">
      <c r="A26" t="s">
        <v>19</v>
      </c>
      <c r="B26" t="s">
        <v>6198</v>
      </c>
      <c r="C26" t="s">
        <v>6200</v>
      </c>
      <c r="D26" s="18">
        <v>0.2</v>
      </c>
      <c r="E26">
        <v>4.7549999999999999</v>
      </c>
      <c r="F26">
        <v>2.3774999999999999</v>
      </c>
      <c r="G26">
        <v>0.61814999999999998</v>
      </c>
    </row>
    <row r="27" spans="1:7" x14ac:dyDescent="0.3">
      <c r="A27" t="s">
        <v>83</v>
      </c>
      <c r="B27" t="s">
        <v>6198</v>
      </c>
      <c r="C27" t="s">
        <v>6200</v>
      </c>
      <c r="D27" s="18">
        <v>0.5</v>
      </c>
      <c r="E27">
        <v>9.51</v>
      </c>
      <c r="F27">
        <v>1.9019999999999999</v>
      </c>
      <c r="G27">
        <v>1.2363</v>
      </c>
    </row>
    <row r="28" spans="1:7" x14ac:dyDescent="0.3">
      <c r="A28" t="s">
        <v>132</v>
      </c>
      <c r="B28" t="s">
        <v>6198</v>
      </c>
      <c r="C28" t="s">
        <v>6200</v>
      </c>
      <c r="D28" s="18">
        <v>1</v>
      </c>
      <c r="E28">
        <v>15.85</v>
      </c>
      <c r="F28">
        <v>1.585</v>
      </c>
      <c r="G28">
        <v>2.0605000000000002</v>
      </c>
    </row>
    <row r="29" spans="1:7" x14ac:dyDescent="0.3">
      <c r="A29" t="s">
        <v>104</v>
      </c>
      <c r="B29" t="s">
        <v>6198</v>
      </c>
      <c r="C29" t="s">
        <v>6200</v>
      </c>
      <c r="D29" s="18">
        <v>2.5</v>
      </c>
      <c r="E29">
        <v>36.454999999999998</v>
      </c>
      <c r="F29">
        <v>1.4581999999999999</v>
      </c>
      <c r="G29">
        <v>4.7391499999999995</v>
      </c>
    </row>
    <row r="30" spans="1:7" x14ac:dyDescent="0.3">
      <c r="A30" t="s">
        <v>77</v>
      </c>
      <c r="B30" t="s">
        <v>6198</v>
      </c>
      <c r="C30" t="s">
        <v>6201</v>
      </c>
      <c r="D30" s="18">
        <v>0.2</v>
      </c>
      <c r="E30">
        <v>4.3650000000000002</v>
      </c>
      <c r="F30">
        <v>2.1825000000000001</v>
      </c>
      <c r="G30">
        <v>0.56745000000000001</v>
      </c>
    </row>
    <row r="31" spans="1:7" x14ac:dyDescent="0.3">
      <c r="A31" t="s">
        <v>78</v>
      </c>
      <c r="B31" t="s">
        <v>6198</v>
      </c>
      <c r="C31" t="s">
        <v>6201</v>
      </c>
      <c r="D31" s="18">
        <v>0.5</v>
      </c>
      <c r="E31">
        <v>8.73</v>
      </c>
      <c r="F31">
        <v>1.746</v>
      </c>
      <c r="G31">
        <v>1.1349</v>
      </c>
    </row>
    <row r="32" spans="1:7" x14ac:dyDescent="0.3">
      <c r="A32" t="s">
        <v>96</v>
      </c>
      <c r="B32" t="s">
        <v>6198</v>
      </c>
      <c r="C32" t="s">
        <v>6201</v>
      </c>
      <c r="D32" s="18">
        <v>1</v>
      </c>
      <c r="E32">
        <v>14.55</v>
      </c>
      <c r="F32">
        <v>1.4550000000000001</v>
      </c>
      <c r="G32">
        <v>1.8915000000000002</v>
      </c>
    </row>
    <row r="33" spans="1:7" x14ac:dyDescent="0.3">
      <c r="A33" t="s">
        <v>197</v>
      </c>
      <c r="B33" t="s">
        <v>6198</v>
      </c>
      <c r="C33" t="s">
        <v>6201</v>
      </c>
      <c r="D33" s="18">
        <v>2.5</v>
      </c>
      <c r="E33">
        <v>33.464999999999996</v>
      </c>
      <c r="F33">
        <v>1.3385999999999998</v>
      </c>
      <c r="G33">
        <v>4.3504499999999995</v>
      </c>
    </row>
    <row r="34" spans="1:7" x14ac:dyDescent="0.3">
      <c r="A34" t="s">
        <v>38</v>
      </c>
      <c r="B34" t="s">
        <v>6198</v>
      </c>
      <c r="C34" t="s">
        <v>6202</v>
      </c>
      <c r="D34" s="18">
        <v>0.2</v>
      </c>
      <c r="E34">
        <v>3.8849999999999998</v>
      </c>
      <c r="F34">
        <v>1.9424999999999999</v>
      </c>
      <c r="G34">
        <v>0.50505</v>
      </c>
    </row>
    <row r="35" spans="1:7" x14ac:dyDescent="0.3">
      <c r="A35" t="s">
        <v>123</v>
      </c>
      <c r="B35" t="s">
        <v>6198</v>
      </c>
      <c r="C35" t="s">
        <v>6202</v>
      </c>
      <c r="D35" s="18">
        <v>0.5</v>
      </c>
      <c r="E35">
        <v>7.77</v>
      </c>
      <c r="F35">
        <v>1.5539999999999998</v>
      </c>
      <c r="G35">
        <v>1.0101</v>
      </c>
    </row>
    <row r="36" spans="1:7" x14ac:dyDescent="0.3">
      <c r="A36" t="s">
        <v>13</v>
      </c>
      <c r="B36" t="s">
        <v>6198</v>
      </c>
      <c r="C36" t="s">
        <v>6202</v>
      </c>
      <c r="D36" s="18">
        <v>1</v>
      </c>
      <c r="E36">
        <v>12.95</v>
      </c>
      <c r="F36">
        <v>1.2949999999999999</v>
      </c>
      <c r="G36">
        <v>1.6835</v>
      </c>
    </row>
    <row r="37" spans="1:7" x14ac:dyDescent="0.3">
      <c r="A37" t="s">
        <v>109</v>
      </c>
      <c r="B37" t="s">
        <v>6198</v>
      </c>
      <c r="C37" t="s">
        <v>6202</v>
      </c>
      <c r="D37" s="18">
        <v>2.5</v>
      </c>
      <c r="E37">
        <v>29.784999999999997</v>
      </c>
      <c r="F37">
        <v>1.1913999999999998</v>
      </c>
      <c r="G37">
        <v>3.8720499999999998</v>
      </c>
    </row>
    <row r="38" spans="1:7" x14ac:dyDescent="0.3">
      <c r="A38" t="s">
        <v>254</v>
      </c>
      <c r="B38" t="s">
        <v>6199</v>
      </c>
      <c r="C38" t="s">
        <v>6200</v>
      </c>
      <c r="D38" s="18">
        <v>0.2</v>
      </c>
      <c r="E38">
        <v>4.4550000000000001</v>
      </c>
      <c r="F38">
        <v>2.2275</v>
      </c>
      <c r="G38">
        <v>0.49004999999999999</v>
      </c>
    </row>
    <row r="39" spans="1:7" x14ac:dyDescent="0.3">
      <c r="A39" t="s">
        <v>176</v>
      </c>
      <c r="B39" t="s">
        <v>6199</v>
      </c>
      <c r="C39" t="s">
        <v>6200</v>
      </c>
      <c r="D39" s="18">
        <v>0.5</v>
      </c>
      <c r="E39">
        <v>8.91</v>
      </c>
      <c r="F39">
        <v>1.782</v>
      </c>
      <c r="G39">
        <v>0.98009999999999997</v>
      </c>
    </row>
    <row r="40" spans="1:7" x14ac:dyDescent="0.3">
      <c r="A40" t="s">
        <v>137</v>
      </c>
      <c r="B40" t="s">
        <v>6199</v>
      </c>
      <c r="C40" t="s">
        <v>6200</v>
      </c>
      <c r="D40" s="18">
        <v>1</v>
      </c>
      <c r="E40">
        <v>14.85</v>
      </c>
      <c r="F40">
        <v>1.4849999999999999</v>
      </c>
      <c r="G40">
        <v>1.6335</v>
      </c>
    </row>
    <row r="41" spans="1:7" x14ac:dyDescent="0.3">
      <c r="A41" t="s">
        <v>30</v>
      </c>
      <c r="B41" t="s">
        <v>6199</v>
      </c>
      <c r="C41" t="s">
        <v>6200</v>
      </c>
      <c r="D41" s="18">
        <v>2.5</v>
      </c>
      <c r="E41">
        <v>34.154999999999994</v>
      </c>
      <c r="F41">
        <v>1.3661999999999999</v>
      </c>
      <c r="G41">
        <v>3.7570499999999996</v>
      </c>
    </row>
    <row r="42" spans="1:7" x14ac:dyDescent="0.3">
      <c r="A42" t="s">
        <v>64</v>
      </c>
      <c r="B42" t="s">
        <v>6199</v>
      </c>
      <c r="C42" t="s">
        <v>6201</v>
      </c>
      <c r="D42" s="18">
        <v>0.2</v>
      </c>
      <c r="E42">
        <v>4.125</v>
      </c>
      <c r="F42">
        <v>2.0625</v>
      </c>
      <c r="G42">
        <v>0.45374999999999999</v>
      </c>
    </row>
    <row r="43" spans="1:7" x14ac:dyDescent="0.3">
      <c r="A43" t="s">
        <v>3</v>
      </c>
      <c r="B43" t="s">
        <v>6199</v>
      </c>
      <c r="C43" t="s">
        <v>6201</v>
      </c>
      <c r="D43" s="18">
        <v>0.5</v>
      </c>
      <c r="E43">
        <v>8.25</v>
      </c>
      <c r="F43">
        <v>1.65</v>
      </c>
      <c r="G43">
        <v>0.90749999999999997</v>
      </c>
    </row>
    <row r="44" spans="1:7" x14ac:dyDescent="0.3">
      <c r="A44" t="s">
        <v>9</v>
      </c>
      <c r="B44" t="s">
        <v>6199</v>
      </c>
      <c r="C44" t="s">
        <v>6201</v>
      </c>
      <c r="D44" s="18">
        <v>1</v>
      </c>
      <c r="E44">
        <v>13.75</v>
      </c>
      <c r="F44">
        <v>1.375</v>
      </c>
      <c r="G44">
        <v>1.5125</v>
      </c>
    </row>
    <row r="45" spans="1:7" x14ac:dyDescent="0.3">
      <c r="A45" t="s">
        <v>112</v>
      </c>
      <c r="B45" t="s">
        <v>6199</v>
      </c>
      <c r="C45" t="s">
        <v>6201</v>
      </c>
      <c r="D45" s="18">
        <v>2.5</v>
      </c>
      <c r="E45">
        <v>31.624999999999996</v>
      </c>
      <c r="F45">
        <v>1.2649999999999999</v>
      </c>
      <c r="G45">
        <v>3.4787499999999998</v>
      </c>
    </row>
    <row r="46" spans="1:7" x14ac:dyDescent="0.3">
      <c r="A46" t="s">
        <v>51</v>
      </c>
      <c r="B46" t="s">
        <v>6199</v>
      </c>
      <c r="C46" t="s">
        <v>6202</v>
      </c>
      <c r="D46" s="18">
        <v>0.2</v>
      </c>
      <c r="E46">
        <v>3.645</v>
      </c>
      <c r="F46">
        <v>1.8225</v>
      </c>
      <c r="G46">
        <v>0.40095000000000003</v>
      </c>
    </row>
    <row r="47" spans="1:7" x14ac:dyDescent="0.3">
      <c r="A47" t="s">
        <v>16</v>
      </c>
      <c r="B47" t="s">
        <v>6199</v>
      </c>
      <c r="C47" t="s">
        <v>6202</v>
      </c>
      <c r="D47" s="18">
        <v>0.5</v>
      </c>
      <c r="E47">
        <v>7.29</v>
      </c>
      <c r="F47">
        <v>1.458</v>
      </c>
      <c r="G47">
        <v>0.80190000000000006</v>
      </c>
    </row>
    <row r="48" spans="1:7" x14ac:dyDescent="0.3">
      <c r="A48" t="s">
        <v>245</v>
      </c>
      <c r="B48" t="s">
        <v>6199</v>
      </c>
      <c r="C48" t="s">
        <v>6202</v>
      </c>
      <c r="D48" s="18">
        <v>1</v>
      </c>
      <c r="E48">
        <v>12.15</v>
      </c>
      <c r="F48">
        <v>1.2150000000000001</v>
      </c>
      <c r="G48">
        <v>1.3365</v>
      </c>
    </row>
    <row r="49" spans="1:7" x14ac:dyDescent="0.3">
      <c r="A49" t="s">
        <v>530</v>
      </c>
      <c r="B49" t="s">
        <v>6199</v>
      </c>
      <c r="C49" t="s">
        <v>6202</v>
      </c>
      <c r="D49" s="18">
        <v>2.5</v>
      </c>
      <c r="E49">
        <v>27.945</v>
      </c>
      <c r="F49">
        <v>1.1177999999999999</v>
      </c>
      <c r="G49">
        <v>3.07395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66F7C-7EFB-47A2-8E49-152ABDD31675}">
  <dimension ref="A3:P111"/>
  <sheetViews>
    <sheetView tabSelected="1" topLeftCell="E58" workbookViewId="0">
      <selection activeCell="E3" sqref="E3"/>
    </sheetView>
  </sheetViews>
  <sheetFormatPr defaultRowHeight="14.4" x14ac:dyDescent="0.3"/>
  <cols>
    <col min="1" max="1" width="12.5546875" bestFit="1" customWidth="1"/>
    <col min="2" max="2" width="15.5546875" bestFit="1" customWidth="1"/>
    <col min="3" max="3" width="10" bestFit="1" customWidth="1"/>
    <col min="4" max="5" width="9" bestFit="1" customWidth="1"/>
    <col min="6" max="6" width="7" bestFit="1" customWidth="1"/>
    <col min="7" max="7" width="10.77734375" bestFit="1" customWidth="1"/>
    <col min="8" max="8" width="9" bestFit="1" customWidth="1"/>
    <col min="9" max="9" width="7.109375" bestFit="1" customWidth="1"/>
    <col min="10" max="10" width="10.88671875" bestFit="1" customWidth="1"/>
    <col min="11" max="11" width="8.109375" bestFit="1" customWidth="1"/>
    <col min="12" max="12" width="24.5546875" bestFit="1" customWidth="1"/>
    <col min="13" max="14" width="11.6640625" bestFit="1" customWidth="1"/>
    <col min="15" max="15" width="14.88671875" bestFit="1" customWidth="1"/>
    <col min="16" max="16" width="12.6640625" bestFit="1" customWidth="1"/>
    <col min="17" max="17" width="10" bestFit="1" customWidth="1"/>
    <col min="18" max="18" width="5.33203125" bestFit="1" customWidth="1"/>
    <col min="19" max="19" width="8.5546875" bestFit="1" customWidth="1"/>
    <col min="20" max="20" width="13.109375" bestFit="1" customWidth="1"/>
    <col min="21" max="21" width="9.109375" bestFit="1" customWidth="1"/>
    <col min="22" max="22" width="12.109375" bestFit="1" customWidth="1"/>
    <col min="23" max="23" width="11.33203125" bestFit="1" customWidth="1"/>
    <col min="24" max="26" width="25.5546875" bestFit="1" customWidth="1"/>
    <col min="27" max="27" width="25.109375" bestFit="1" customWidth="1"/>
    <col min="28" max="28" width="30.5546875" bestFit="1" customWidth="1"/>
    <col min="29" max="29" width="7" bestFit="1" customWidth="1"/>
    <col min="30" max="31" width="6" bestFit="1" customWidth="1"/>
    <col min="32" max="32" width="7" bestFit="1" customWidth="1"/>
    <col min="33" max="33" width="6" bestFit="1" customWidth="1"/>
    <col min="34" max="36" width="7" bestFit="1" customWidth="1"/>
    <col min="37" max="37" width="5" bestFit="1" customWidth="1"/>
    <col min="38" max="38" width="6" bestFit="1" customWidth="1"/>
    <col min="39" max="39" width="7" bestFit="1" customWidth="1"/>
    <col min="40" max="43" width="6" bestFit="1" customWidth="1"/>
    <col min="44" max="44" width="7" bestFit="1" customWidth="1"/>
    <col min="45" max="47" width="6" bestFit="1" customWidth="1"/>
    <col min="48" max="48" width="5" bestFit="1" customWidth="1"/>
    <col min="49" max="49" width="7" bestFit="1" customWidth="1"/>
    <col min="50" max="51" width="6" bestFit="1" customWidth="1"/>
    <col min="52" max="52" width="5" bestFit="1" customWidth="1"/>
    <col min="53" max="53" width="6" bestFit="1" customWidth="1"/>
    <col min="54" max="55" width="7" bestFit="1" customWidth="1"/>
    <col min="56" max="56" width="6" bestFit="1" customWidth="1"/>
    <col min="57" max="57" width="7" bestFit="1" customWidth="1"/>
    <col min="58" max="58" width="5" bestFit="1" customWidth="1"/>
    <col min="59" max="59" width="6" bestFit="1" customWidth="1"/>
    <col min="60" max="61" width="7" bestFit="1" customWidth="1"/>
    <col min="62" max="63" width="6" bestFit="1" customWidth="1"/>
    <col min="64" max="64" width="7" bestFit="1" customWidth="1"/>
    <col min="65" max="65" width="6" bestFit="1" customWidth="1"/>
    <col min="66" max="66" width="7" bestFit="1" customWidth="1"/>
    <col min="67" max="67" width="5" bestFit="1" customWidth="1"/>
    <col min="68" max="68" width="7" bestFit="1" customWidth="1"/>
    <col min="69" max="69" width="6" bestFit="1" customWidth="1"/>
    <col min="70" max="70" width="7" bestFit="1" customWidth="1"/>
    <col min="71" max="71" width="6" bestFit="1" customWidth="1"/>
    <col min="72" max="73" width="5" bestFit="1" customWidth="1"/>
    <col min="74" max="74" width="6" bestFit="1" customWidth="1"/>
    <col min="75" max="75" width="7" bestFit="1" customWidth="1"/>
    <col min="76" max="76" width="5" bestFit="1" customWidth="1"/>
    <col min="77" max="80" width="6" bestFit="1" customWidth="1"/>
    <col min="81" max="81" width="3" bestFit="1" customWidth="1"/>
    <col min="82" max="82" width="7" bestFit="1" customWidth="1"/>
    <col min="83" max="83" width="5" bestFit="1" customWidth="1"/>
    <col min="84" max="84" width="7" bestFit="1" customWidth="1"/>
    <col min="85" max="86" width="6" bestFit="1" customWidth="1"/>
    <col min="87" max="87" width="5" bestFit="1" customWidth="1"/>
    <col min="88" max="88" width="6" bestFit="1" customWidth="1"/>
    <col min="89" max="89" width="5" bestFit="1" customWidth="1"/>
    <col min="90" max="90" width="7" bestFit="1" customWidth="1"/>
    <col min="91" max="92" width="6" bestFit="1" customWidth="1"/>
    <col min="93" max="93" width="7" bestFit="1" customWidth="1"/>
    <col min="94" max="94" width="5" bestFit="1" customWidth="1"/>
    <col min="95" max="95" width="6" bestFit="1" customWidth="1"/>
    <col min="96" max="96" width="3" bestFit="1" customWidth="1"/>
    <col min="97" max="97" width="7" bestFit="1" customWidth="1"/>
    <col min="98" max="98" width="6" bestFit="1" customWidth="1"/>
    <col min="99" max="99" width="7" bestFit="1" customWidth="1"/>
    <col min="100" max="101" width="6" bestFit="1" customWidth="1"/>
    <col min="102" max="102" width="5" bestFit="1" customWidth="1"/>
    <col min="103" max="105" width="6" bestFit="1" customWidth="1"/>
    <col min="106" max="106" width="7" bestFit="1" customWidth="1"/>
    <col min="107" max="108" width="6" bestFit="1" customWidth="1"/>
    <col min="109" max="110" width="5" bestFit="1" customWidth="1"/>
    <col min="111" max="117" width="6" bestFit="1" customWidth="1"/>
    <col min="118" max="118" width="3" bestFit="1" customWidth="1"/>
    <col min="119" max="121" width="6" bestFit="1" customWidth="1"/>
    <col min="122" max="124" width="5" bestFit="1" customWidth="1"/>
    <col min="125" max="126" width="6" bestFit="1" customWidth="1"/>
    <col min="127" max="127" width="5" bestFit="1" customWidth="1"/>
    <col min="128" max="129" width="6" bestFit="1" customWidth="1"/>
    <col min="130" max="130" width="5" bestFit="1" customWidth="1"/>
    <col min="131" max="131" width="6" bestFit="1" customWidth="1"/>
    <col min="132" max="132" width="3" bestFit="1" customWidth="1"/>
    <col min="133" max="135" width="6" bestFit="1" customWidth="1"/>
    <col min="136" max="137" width="5" bestFit="1" customWidth="1"/>
    <col min="138" max="138" width="6" bestFit="1" customWidth="1"/>
    <col min="139" max="139" width="5" bestFit="1" customWidth="1"/>
    <col min="140" max="141" width="6" bestFit="1" customWidth="1"/>
    <col min="142" max="142" width="7" bestFit="1" customWidth="1"/>
    <col min="143" max="143" width="6" bestFit="1" customWidth="1"/>
    <col min="144" max="144" width="5" bestFit="1" customWidth="1"/>
    <col min="145" max="146" width="6" bestFit="1" customWidth="1"/>
    <col min="147" max="147" width="5" bestFit="1" customWidth="1"/>
    <col min="148" max="148" width="6" bestFit="1" customWidth="1"/>
    <col min="149" max="149" width="7" bestFit="1" customWidth="1"/>
    <col min="150" max="150" width="6" bestFit="1" customWidth="1"/>
    <col min="151" max="151" width="5" bestFit="1" customWidth="1"/>
    <col min="152" max="152" width="6" bestFit="1" customWidth="1"/>
    <col min="153" max="153" width="5" bestFit="1" customWidth="1"/>
    <col min="154" max="155" width="6" bestFit="1" customWidth="1"/>
    <col min="156" max="156" width="7" bestFit="1" customWidth="1"/>
    <col min="157" max="157" width="5" bestFit="1" customWidth="1"/>
    <col min="158" max="159" width="6" bestFit="1" customWidth="1"/>
    <col min="160" max="160" width="7" bestFit="1" customWidth="1"/>
    <col min="161" max="161" width="5" bestFit="1" customWidth="1"/>
    <col min="162" max="162" width="7" bestFit="1" customWidth="1"/>
    <col min="163" max="164" width="5" bestFit="1" customWidth="1"/>
    <col min="165" max="165" width="7" bestFit="1" customWidth="1"/>
    <col min="166" max="166" width="6" bestFit="1" customWidth="1"/>
    <col min="167" max="167" width="7" bestFit="1" customWidth="1"/>
    <col min="168" max="168" width="5" bestFit="1" customWidth="1"/>
    <col min="169" max="171" width="8" bestFit="1" customWidth="1"/>
    <col min="172" max="172" width="6" bestFit="1" customWidth="1"/>
    <col min="173" max="173" width="8" bestFit="1" customWidth="1"/>
    <col min="174" max="175" width="7" bestFit="1" customWidth="1"/>
    <col min="176" max="176" width="8" bestFit="1" customWidth="1"/>
    <col min="177" max="178" width="7" bestFit="1" customWidth="1"/>
    <col min="179" max="179" width="6" bestFit="1" customWidth="1"/>
    <col min="180" max="180" width="8" bestFit="1" customWidth="1"/>
    <col min="181" max="183" width="7" bestFit="1" customWidth="1"/>
    <col min="184" max="185" width="8" bestFit="1" customWidth="1"/>
    <col min="186" max="186" width="7" bestFit="1" customWidth="1"/>
    <col min="187" max="187" width="8" bestFit="1" customWidth="1"/>
    <col min="188" max="188" width="7" bestFit="1" customWidth="1"/>
    <col min="189" max="189" width="8" bestFit="1" customWidth="1"/>
    <col min="190" max="191" width="7" bestFit="1" customWidth="1"/>
    <col min="192" max="192" width="8" bestFit="1" customWidth="1"/>
    <col min="193" max="193" width="7" bestFit="1" customWidth="1"/>
    <col min="194" max="194" width="8" bestFit="1" customWidth="1"/>
    <col min="195" max="198" width="7" bestFit="1" customWidth="1"/>
    <col min="199" max="199" width="7.33203125" bestFit="1" customWidth="1"/>
    <col min="200" max="200" width="11.33203125" bestFit="1" customWidth="1"/>
  </cols>
  <sheetData>
    <row r="3" spans="1:7" x14ac:dyDescent="0.3">
      <c r="A3" s="23" t="s">
        <v>6221</v>
      </c>
      <c r="B3" s="23" t="s">
        <v>6219</v>
      </c>
    </row>
    <row r="4" spans="1:7" x14ac:dyDescent="0.3">
      <c r="A4" s="23" t="s">
        <v>6217</v>
      </c>
      <c r="B4" t="s">
        <v>6222</v>
      </c>
      <c r="C4" t="s">
        <v>6224</v>
      </c>
      <c r="D4" t="s">
        <v>6225</v>
      </c>
      <c r="E4" t="s">
        <v>6226</v>
      </c>
      <c r="F4" t="s">
        <v>6240</v>
      </c>
      <c r="G4" t="s">
        <v>6218</v>
      </c>
    </row>
    <row r="5" spans="1:7" x14ac:dyDescent="0.3">
      <c r="A5" s="24" t="s">
        <v>6196</v>
      </c>
      <c r="B5" s="27">
        <v>2926.63</v>
      </c>
      <c r="C5" s="27">
        <v>3356.415</v>
      </c>
      <c r="D5" s="27">
        <v>4045.6299999999992</v>
      </c>
      <c r="E5" s="27">
        <v>1439.82</v>
      </c>
      <c r="F5" s="27"/>
      <c r="G5" s="27">
        <v>11768.494999999999</v>
      </c>
    </row>
    <row r="6" spans="1:7" x14ac:dyDescent="0.3">
      <c r="A6" s="24" t="s">
        <v>6199</v>
      </c>
      <c r="B6" s="27">
        <v>3481.46</v>
      </c>
      <c r="C6" s="27">
        <v>3663.4100000000008</v>
      </c>
      <c r="D6" s="27">
        <v>3469.6399999999994</v>
      </c>
      <c r="E6" s="27">
        <v>1691.9299999999996</v>
      </c>
      <c r="F6" s="27"/>
      <c r="G6" s="27">
        <v>12306.44</v>
      </c>
    </row>
    <row r="7" spans="1:7" x14ac:dyDescent="0.3">
      <c r="A7" s="24" t="s">
        <v>6198</v>
      </c>
      <c r="B7" s="27">
        <v>3378.0049999999987</v>
      </c>
      <c r="C7" s="27">
        <v>2604.4550000000004</v>
      </c>
      <c r="D7" s="27">
        <v>3836.6950000000011</v>
      </c>
      <c r="E7" s="27">
        <v>2234.92</v>
      </c>
      <c r="F7" s="27"/>
      <c r="G7" s="27">
        <v>12054.075000000001</v>
      </c>
    </row>
    <row r="8" spans="1:7" x14ac:dyDescent="0.3">
      <c r="A8" s="24" t="s">
        <v>6197</v>
      </c>
      <c r="B8" s="27">
        <v>2401.0700000000006</v>
      </c>
      <c r="C8" s="27">
        <v>2493.2649999999994</v>
      </c>
      <c r="D8" s="27">
        <v>2414.1449999999995</v>
      </c>
      <c r="E8" s="27">
        <v>1696.7650000000001</v>
      </c>
      <c r="F8" s="27"/>
      <c r="G8" s="27">
        <v>9005.244999999999</v>
      </c>
    </row>
    <row r="9" spans="1:7" x14ac:dyDescent="0.3">
      <c r="A9" s="24" t="s">
        <v>6240</v>
      </c>
      <c r="B9" s="27"/>
      <c r="C9" s="27"/>
      <c r="D9" s="27"/>
      <c r="E9" s="27"/>
      <c r="F9" s="27"/>
      <c r="G9" s="27"/>
    </row>
    <row r="10" spans="1:7" x14ac:dyDescent="0.3">
      <c r="A10" s="24" t="s">
        <v>6218</v>
      </c>
      <c r="B10" s="27">
        <v>12187.165000000001</v>
      </c>
      <c r="C10" s="27">
        <v>12117.545</v>
      </c>
      <c r="D10" s="27">
        <v>13766.11</v>
      </c>
      <c r="E10" s="27">
        <v>7063.4350000000004</v>
      </c>
      <c r="F10" s="27"/>
      <c r="G10" s="27">
        <v>45134.25499999999</v>
      </c>
    </row>
    <row r="12" spans="1:7" ht="14.25" customHeight="1" x14ac:dyDescent="0.3"/>
    <row r="13" spans="1:7" x14ac:dyDescent="0.3">
      <c r="A13" s="23" t="s">
        <v>6221</v>
      </c>
      <c r="B13" s="23" t="s">
        <v>6219</v>
      </c>
    </row>
    <row r="14" spans="1:7" x14ac:dyDescent="0.3">
      <c r="A14" s="23" t="s">
        <v>6217</v>
      </c>
      <c r="B14" t="s">
        <v>6222</v>
      </c>
      <c r="C14" t="s">
        <v>6224</v>
      </c>
      <c r="D14" t="s">
        <v>6225</v>
      </c>
      <c r="E14" t="s">
        <v>6226</v>
      </c>
      <c r="F14" t="s">
        <v>6218</v>
      </c>
    </row>
    <row r="15" spans="1:7" x14ac:dyDescent="0.3">
      <c r="A15" s="24" t="s">
        <v>1949</v>
      </c>
      <c r="B15">
        <v>1781.0750000000003</v>
      </c>
      <c r="C15">
        <v>1674.8649999999996</v>
      </c>
      <c r="D15">
        <v>2032.4549999999995</v>
      </c>
      <c r="E15">
        <v>1208.47</v>
      </c>
      <c r="F15">
        <v>6696.8649999999989</v>
      </c>
    </row>
    <row r="16" spans="1:7" x14ac:dyDescent="0.3">
      <c r="A16" s="24" t="s">
        <v>2116</v>
      </c>
      <c r="B16">
        <v>951.28</v>
      </c>
      <c r="C16">
        <v>1074.32</v>
      </c>
      <c r="D16">
        <v>643.04499999999996</v>
      </c>
      <c r="E16">
        <v>129.85999999999999</v>
      </c>
      <c r="F16">
        <v>2798.5050000000001</v>
      </c>
    </row>
    <row r="17" spans="1:14" x14ac:dyDescent="0.3">
      <c r="A17" s="24" t="s">
        <v>1941</v>
      </c>
      <c r="B17">
        <v>9454.8099999999977</v>
      </c>
      <c r="C17">
        <v>9368.3599999999988</v>
      </c>
      <c r="D17">
        <v>11090.61</v>
      </c>
      <c r="E17">
        <v>5725.1050000000041</v>
      </c>
      <c r="F17">
        <v>35638.885000000002</v>
      </c>
    </row>
    <row r="18" spans="1:14" x14ac:dyDescent="0.3">
      <c r="A18" s="24" t="s">
        <v>6218</v>
      </c>
      <c r="B18">
        <v>12187.164999999997</v>
      </c>
      <c r="C18">
        <v>12117.544999999998</v>
      </c>
      <c r="D18">
        <v>13766.11</v>
      </c>
      <c r="E18">
        <v>7063.435000000004</v>
      </c>
      <c r="F18">
        <v>45134.255000000005</v>
      </c>
    </row>
    <row r="24" spans="1:14" x14ac:dyDescent="0.3">
      <c r="A24" s="23" t="s">
        <v>6217</v>
      </c>
      <c r="B24" t="s">
        <v>6221</v>
      </c>
    </row>
    <row r="25" spans="1:14" x14ac:dyDescent="0.3">
      <c r="A25" s="24" t="s">
        <v>2881</v>
      </c>
      <c r="B25" s="27">
        <v>399.23999999999995</v>
      </c>
    </row>
    <row r="26" spans="1:14" x14ac:dyDescent="0.3">
      <c r="A26" s="24" t="s">
        <v>2600</v>
      </c>
      <c r="B26" s="27">
        <v>389.26499999999987</v>
      </c>
    </row>
    <row r="27" spans="1:14" x14ac:dyDescent="0.3">
      <c r="A27" s="24" t="s">
        <v>2172</v>
      </c>
      <c r="B27" s="27">
        <v>509.11</v>
      </c>
    </row>
    <row r="28" spans="1:14" x14ac:dyDescent="0.3">
      <c r="A28" s="24" t="s">
        <v>2325</v>
      </c>
      <c r="B28" s="27">
        <v>505.92499999999995</v>
      </c>
    </row>
    <row r="29" spans="1:14" x14ac:dyDescent="0.3">
      <c r="A29" s="24" t="s">
        <v>2448</v>
      </c>
      <c r="B29" s="27">
        <v>404.70000000000005</v>
      </c>
    </row>
    <row r="30" spans="1:14" x14ac:dyDescent="0.3">
      <c r="A30" s="24" t="s">
        <v>2266</v>
      </c>
      <c r="B30" s="27">
        <v>396.51</v>
      </c>
      <c r="M30" s="23" t="s">
        <v>6217</v>
      </c>
      <c r="N30" t="s">
        <v>6221</v>
      </c>
    </row>
    <row r="31" spans="1:14" x14ac:dyDescent="0.3">
      <c r="A31" s="24" t="s">
        <v>2027</v>
      </c>
      <c r="B31" s="27">
        <v>819.77</v>
      </c>
      <c r="M31" s="24" t="s">
        <v>6202</v>
      </c>
      <c r="N31" s="27">
        <v>13179.315000000013</v>
      </c>
    </row>
    <row r="32" spans="1:14" x14ac:dyDescent="0.3">
      <c r="A32" s="24" t="s">
        <v>2037</v>
      </c>
      <c r="B32" s="27">
        <v>772.7349999999999</v>
      </c>
      <c r="M32" s="24" t="s">
        <v>6200</v>
      </c>
      <c r="N32" s="27">
        <v>17354.464999999993</v>
      </c>
    </row>
    <row r="33" spans="1:14" x14ac:dyDescent="0.3">
      <c r="A33" s="24" t="s">
        <v>2362</v>
      </c>
      <c r="B33" s="27">
        <v>475.1699999999999</v>
      </c>
      <c r="M33" s="24" t="s">
        <v>6201</v>
      </c>
      <c r="N33" s="27">
        <v>14600.474999999995</v>
      </c>
    </row>
    <row r="34" spans="1:14" x14ac:dyDescent="0.3">
      <c r="A34" s="24" t="s">
        <v>2017</v>
      </c>
      <c r="B34" s="27">
        <v>511.23499999999996</v>
      </c>
      <c r="M34" s="24" t="s">
        <v>6218</v>
      </c>
      <c r="N34" s="27">
        <v>45134.255000000005</v>
      </c>
    </row>
    <row r="35" spans="1:14" x14ac:dyDescent="0.3">
      <c r="A35" s="24" t="s">
        <v>2022</v>
      </c>
      <c r="B35" s="27">
        <v>580.26</v>
      </c>
    </row>
    <row r="36" spans="1:14" x14ac:dyDescent="0.3">
      <c r="A36" s="24" t="s">
        <v>2004</v>
      </c>
      <c r="B36" s="27">
        <v>407.58999999999992</v>
      </c>
    </row>
    <row r="37" spans="1:14" x14ac:dyDescent="0.3">
      <c r="A37" s="24" t="s">
        <v>2999</v>
      </c>
      <c r="B37" s="27">
        <v>627.74999999999989</v>
      </c>
    </row>
    <row r="38" spans="1:14" x14ac:dyDescent="0.3">
      <c r="A38" s="24" t="s">
        <v>2211</v>
      </c>
      <c r="B38" s="27">
        <v>774.18499999999995</v>
      </c>
    </row>
    <row r="39" spans="1:14" x14ac:dyDescent="0.3">
      <c r="A39" s="24" t="s">
        <v>2186</v>
      </c>
      <c r="B39" s="27">
        <v>1066.92</v>
      </c>
      <c r="D39" s="23" t="s">
        <v>6217</v>
      </c>
      <c r="E39" t="s">
        <v>6227</v>
      </c>
    </row>
    <row r="40" spans="1:14" x14ac:dyDescent="0.3">
      <c r="A40" s="24" t="s">
        <v>6218</v>
      </c>
      <c r="B40" s="27">
        <v>8640.3649999999998</v>
      </c>
      <c r="D40" s="24" t="s">
        <v>6222</v>
      </c>
      <c r="E40" s="27">
        <v>259</v>
      </c>
    </row>
    <row r="41" spans="1:14" x14ac:dyDescent="0.3">
      <c r="D41" s="24" t="s">
        <v>6224</v>
      </c>
      <c r="E41" s="27">
        <v>263</v>
      </c>
    </row>
    <row r="42" spans="1:14" x14ac:dyDescent="0.3">
      <c r="D42" s="24" t="s">
        <v>6225</v>
      </c>
      <c r="E42" s="27">
        <v>312</v>
      </c>
    </row>
    <row r="43" spans="1:14" x14ac:dyDescent="0.3">
      <c r="A43" s="23" t="s">
        <v>6217</v>
      </c>
      <c r="B43" t="s">
        <v>6227</v>
      </c>
      <c r="D43" s="24" t="s">
        <v>6226</v>
      </c>
      <c r="E43" s="27">
        <v>166</v>
      </c>
    </row>
    <row r="44" spans="1:14" x14ac:dyDescent="0.3">
      <c r="A44" s="24" t="s">
        <v>1949</v>
      </c>
      <c r="B44" s="27">
        <v>153</v>
      </c>
      <c r="D44" s="24" t="s">
        <v>6218</v>
      </c>
      <c r="E44" s="27">
        <v>1000</v>
      </c>
    </row>
    <row r="45" spans="1:14" x14ac:dyDescent="0.3">
      <c r="A45" s="24" t="s">
        <v>2116</v>
      </c>
      <c r="B45" s="27">
        <v>73</v>
      </c>
    </row>
    <row r="46" spans="1:14" x14ac:dyDescent="0.3">
      <c r="A46" s="24" t="s">
        <v>1941</v>
      </c>
      <c r="B46" s="27">
        <v>774</v>
      </c>
    </row>
    <row r="47" spans="1:14" x14ac:dyDescent="0.3">
      <c r="A47" s="24" t="s">
        <v>6240</v>
      </c>
      <c r="B47" s="27"/>
    </row>
    <row r="48" spans="1:14" x14ac:dyDescent="0.3">
      <c r="A48" s="24" t="s">
        <v>6218</v>
      </c>
      <c r="B48" s="27">
        <v>1000</v>
      </c>
    </row>
    <row r="49" spans="1:5" x14ac:dyDescent="0.3">
      <c r="A49" s="23" t="s">
        <v>6217</v>
      </c>
      <c r="B49" t="s">
        <v>6227</v>
      </c>
      <c r="D49" s="23" t="s">
        <v>6217</v>
      </c>
      <c r="E49" t="s">
        <v>6220</v>
      </c>
    </row>
    <row r="50" spans="1:5" x14ac:dyDescent="0.3">
      <c r="A50" s="24" t="s">
        <v>2172</v>
      </c>
      <c r="B50" s="27">
        <v>13</v>
      </c>
      <c r="D50" s="24" t="s">
        <v>4065</v>
      </c>
      <c r="E50">
        <v>19</v>
      </c>
    </row>
    <row r="51" spans="1:5" x14ac:dyDescent="0.3">
      <c r="A51" s="24" t="s">
        <v>2325</v>
      </c>
      <c r="B51" s="27">
        <v>11</v>
      </c>
      <c r="D51" s="24" t="s">
        <v>4975</v>
      </c>
      <c r="E51">
        <v>23</v>
      </c>
    </row>
    <row r="52" spans="1:5" x14ac:dyDescent="0.3">
      <c r="A52" s="24" t="s">
        <v>2448</v>
      </c>
      <c r="B52" s="27">
        <v>11</v>
      </c>
      <c r="D52" s="24" t="s">
        <v>6172</v>
      </c>
      <c r="E52">
        <v>17</v>
      </c>
    </row>
    <row r="53" spans="1:5" x14ac:dyDescent="0.3">
      <c r="A53" s="24" t="s">
        <v>2355</v>
      </c>
      <c r="B53" s="27">
        <v>9</v>
      </c>
      <c r="D53" s="24" t="s">
        <v>4200</v>
      </c>
      <c r="E53">
        <v>19</v>
      </c>
    </row>
    <row r="54" spans="1:5" x14ac:dyDescent="0.3">
      <c r="A54" s="24" t="s">
        <v>2027</v>
      </c>
      <c r="B54" s="27">
        <v>15</v>
      </c>
      <c r="D54" s="24" t="s">
        <v>2846</v>
      </c>
      <c r="E54">
        <v>18</v>
      </c>
    </row>
    <row r="55" spans="1:5" x14ac:dyDescent="0.3">
      <c r="A55" s="24" t="s">
        <v>1986</v>
      </c>
      <c r="B55" s="27">
        <v>11</v>
      </c>
      <c r="D55" s="24" t="s">
        <v>6218</v>
      </c>
      <c r="E55">
        <v>96</v>
      </c>
    </row>
    <row r="56" spans="1:5" x14ac:dyDescent="0.3">
      <c r="A56" s="24" t="s">
        <v>2037</v>
      </c>
      <c r="B56" s="27">
        <v>17</v>
      </c>
    </row>
    <row r="57" spans="1:5" x14ac:dyDescent="0.3">
      <c r="A57" s="24" t="s">
        <v>2362</v>
      </c>
      <c r="B57" s="27">
        <v>15</v>
      </c>
    </row>
    <row r="58" spans="1:5" x14ac:dyDescent="0.3">
      <c r="A58" s="24" t="s">
        <v>2017</v>
      </c>
      <c r="B58" s="27">
        <v>9</v>
      </c>
    </row>
    <row r="59" spans="1:5" x14ac:dyDescent="0.3">
      <c r="A59" s="24" t="s">
        <v>2999</v>
      </c>
      <c r="B59" s="27">
        <v>9</v>
      </c>
      <c r="D59" s="23" t="s">
        <v>6217</v>
      </c>
      <c r="E59" t="s">
        <v>6221</v>
      </c>
    </row>
    <row r="60" spans="1:5" x14ac:dyDescent="0.3">
      <c r="A60" s="24" t="s">
        <v>2013</v>
      </c>
      <c r="B60" s="27">
        <v>10</v>
      </c>
      <c r="D60" s="24" t="s">
        <v>6229</v>
      </c>
      <c r="E60" s="27">
        <v>3503.0350000000008</v>
      </c>
    </row>
    <row r="61" spans="1:5" x14ac:dyDescent="0.3">
      <c r="A61" s="24" t="s">
        <v>3090</v>
      </c>
      <c r="B61" s="27">
        <v>9</v>
      </c>
      <c r="D61" s="24" t="s">
        <v>6230</v>
      </c>
      <c r="E61" s="27">
        <v>4138.2050000000008</v>
      </c>
    </row>
    <row r="62" spans="1:5" x14ac:dyDescent="0.3">
      <c r="A62" s="24" t="s">
        <v>2211</v>
      </c>
      <c r="B62" s="27">
        <v>9</v>
      </c>
      <c r="D62" s="24" t="s">
        <v>6231</v>
      </c>
      <c r="E62" s="27">
        <v>4795.7750000000015</v>
      </c>
    </row>
    <row r="63" spans="1:5" x14ac:dyDescent="0.3">
      <c r="A63" s="24" t="s">
        <v>2186</v>
      </c>
      <c r="B63" s="27">
        <v>26</v>
      </c>
      <c r="D63" s="24" t="s">
        <v>6232</v>
      </c>
      <c r="E63" s="27">
        <v>4224.5949999999993</v>
      </c>
    </row>
    <row r="64" spans="1:5" x14ac:dyDescent="0.3">
      <c r="A64" s="24" t="s">
        <v>6218</v>
      </c>
      <c r="B64" s="27">
        <v>174</v>
      </c>
      <c r="D64" s="24" t="s">
        <v>6223</v>
      </c>
      <c r="E64" s="27">
        <v>3247.98</v>
      </c>
    </row>
    <row r="65" spans="1:14" x14ac:dyDescent="0.3">
      <c r="D65" s="24" t="s">
        <v>6233</v>
      </c>
      <c r="E65" s="27">
        <v>4843.04</v>
      </c>
    </row>
    <row r="66" spans="1:14" x14ac:dyDescent="0.3">
      <c r="D66" s="24" t="s">
        <v>6234</v>
      </c>
      <c r="E66" s="27">
        <v>3982.915</v>
      </c>
    </row>
    <row r="67" spans="1:14" x14ac:dyDescent="0.3">
      <c r="D67" s="24" t="s">
        <v>6235</v>
      </c>
      <c r="E67" s="27">
        <v>2326.9</v>
      </c>
    </row>
    <row r="68" spans="1:14" x14ac:dyDescent="0.3">
      <c r="D68" s="24" t="s">
        <v>6236</v>
      </c>
      <c r="E68" s="27">
        <v>3633.6449999999991</v>
      </c>
    </row>
    <row r="69" spans="1:14" x14ac:dyDescent="0.3">
      <c r="D69" s="24" t="s">
        <v>6237</v>
      </c>
      <c r="E69" s="27">
        <v>3800.0750000000007</v>
      </c>
    </row>
    <row r="70" spans="1:14" x14ac:dyDescent="0.3">
      <c r="D70" s="24" t="s">
        <v>6238</v>
      </c>
      <c r="E70" s="27">
        <v>3548.4299999999994</v>
      </c>
    </row>
    <row r="71" spans="1:14" x14ac:dyDescent="0.3">
      <c r="D71" s="24" t="s">
        <v>6239</v>
      </c>
      <c r="E71" s="27">
        <v>3089.6600000000003</v>
      </c>
    </row>
    <row r="72" spans="1:14" x14ac:dyDescent="0.3">
      <c r="D72" s="24" t="s">
        <v>6218</v>
      </c>
      <c r="E72" s="27">
        <v>45134.255000000012</v>
      </c>
    </row>
    <row r="75" spans="1:14" x14ac:dyDescent="0.3">
      <c r="A75" s="23" t="s">
        <v>6221</v>
      </c>
      <c r="B75" s="23" t="s">
        <v>6219</v>
      </c>
    </row>
    <row r="76" spans="1:14" x14ac:dyDescent="0.3">
      <c r="A76" s="23" t="s">
        <v>6217</v>
      </c>
      <c r="B76" t="s">
        <v>6229</v>
      </c>
      <c r="C76" t="s">
        <v>6230</v>
      </c>
      <c r="D76" t="s">
        <v>6231</v>
      </c>
      <c r="E76" t="s">
        <v>6232</v>
      </c>
      <c r="F76" t="s">
        <v>6223</v>
      </c>
      <c r="G76" t="s">
        <v>6233</v>
      </c>
      <c r="H76" t="s">
        <v>6234</v>
      </c>
      <c r="I76" t="s">
        <v>6235</v>
      </c>
      <c r="J76" t="s">
        <v>6236</v>
      </c>
      <c r="K76" t="s">
        <v>6237</v>
      </c>
      <c r="L76" t="s">
        <v>6238</v>
      </c>
      <c r="M76" t="s">
        <v>6239</v>
      </c>
      <c r="N76" t="s">
        <v>6218</v>
      </c>
    </row>
    <row r="77" spans="1:14" x14ac:dyDescent="0.3">
      <c r="A77" s="24" t="s">
        <v>6199</v>
      </c>
      <c r="B77">
        <v>677.71999999999991</v>
      </c>
      <c r="C77">
        <v>976.41</v>
      </c>
      <c r="D77">
        <v>1264.1399999999996</v>
      </c>
      <c r="E77">
        <v>1560.23</v>
      </c>
      <c r="F77">
        <v>970.33</v>
      </c>
      <c r="G77">
        <v>1598.1949999999997</v>
      </c>
      <c r="H77">
        <v>1141.5549999999998</v>
      </c>
      <c r="I77">
        <v>478.58999999999992</v>
      </c>
      <c r="J77">
        <v>771.08500000000004</v>
      </c>
      <c r="K77">
        <v>937.32999999999993</v>
      </c>
      <c r="L77">
        <v>771.38</v>
      </c>
      <c r="M77">
        <v>1159.4749999999999</v>
      </c>
      <c r="N77">
        <v>12306.44</v>
      </c>
    </row>
    <row r="78" spans="1:14" x14ac:dyDescent="0.3">
      <c r="A78" s="24" t="s">
        <v>6218</v>
      </c>
      <c r="B78">
        <v>677.71999999999991</v>
      </c>
      <c r="C78">
        <v>976.41</v>
      </c>
      <c r="D78">
        <v>1264.1399999999996</v>
      </c>
      <c r="E78">
        <v>1560.23</v>
      </c>
      <c r="F78">
        <v>970.33</v>
      </c>
      <c r="G78">
        <v>1598.1949999999997</v>
      </c>
      <c r="H78">
        <v>1141.5549999999998</v>
      </c>
      <c r="I78">
        <v>478.58999999999992</v>
      </c>
      <c r="J78">
        <v>771.08500000000004</v>
      </c>
      <c r="K78">
        <v>937.32999999999993</v>
      </c>
      <c r="L78">
        <v>771.38</v>
      </c>
      <c r="M78">
        <v>1159.4749999999999</v>
      </c>
      <c r="N78">
        <v>12306.44</v>
      </c>
    </row>
    <row r="83" spans="1:14" x14ac:dyDescent="0.3">
      <c r="A83" s="23" t="s">
        <v>6217</v>
      </c>
      <c r="B83" t="s">
        <v>6228</v>
      </c>
    </row>
    <row r="84" spans="1:14" x14ac:dyDescent="0.3">
      <c r="A84" s="24" t="s">
        <v>6229</v>
      </c>
      <c r="B84">
        <v>91</v>
      </c>
      <c r="D84" s="23" t="s">
        <v>6217</v>
      </c>
      <c r="E84" t="s">
        <v>6221</v>
      </c>
    </row>
    <row r="85" spans="1:14" x14ac:dyDescent="0.3">
      <c r="A85" s="24" t="s">
        <v>6230</v>
      </c>
      <c r="B85">
        <v>95</v>
      </c>
      <c r="D85" s="24" t="s">
        <v>6222</v>
      </c>
      <c r="E85" s="27">
        <v>12187.165000000001</v>
      </c>
    </row>
    <row r="86" spans="1:14" x14ac:dyDescent="0.3">
      <c r="A86" s="24" t="s">
        <v>6231</v>
      </c>
      <c r="B86">
        <v>109</v>
      </c>
      <c r="D86" s="24" t="s">
        <v>6224</v>
      </c>
      <c r="E86" s="27">
        <v>12117.545</v>
      </c>
    </row>
    <row r="87" spans="1:14" x14ac:dyDescent="0.3">
      <c r="A87" s="24" t="s">
        <v>6232</v>
      </c>
      <c r="B87">
        <v>86</v>
      </c>
      <c r="D87" s="24" t="s">
        <v>6225</v>
      </c>
      <c r="E87" s="27">
        <v>13766.109999999999</v>
      </c>
    </row>
    <row r="88" spans="1:14" x14ac:dyDescent="0.3">
      <c r="A88" s="24" t="s">
        <v>6223</v>
      </c>
      <c r="B88">
        <v>79</v>
      </c>
      <c r="D88" s="24" t="s">
        <v>6226</v>
      </c>
      <c r="E88" s="27">
        <v>7063.435000000004</v>
      </c>
    </row>
    <row r="89" spans="1:14" x14ac:dyDescent="0.3">
      <c r="A89" s="24" t="s">
        <v>6233</v>
      </c>
      <c r="B89">
        <v>88</v>
      </c>
      <c r="D89" s="24" t="s">
        <v>6218</v>
      </c>
      <c r="E89" s="27">
        <v>45134.255000000005</v>
      </c>
    </row>
    <row r="90" spans="1:14" x14ac:dyDescent="0.3">
      <c r="A90" s="24" t="s">
        <v>6234</v>
      </c>
      <c r="B90">
        <v>91</v>
      </c>
    </row>
    <row r="91" spans="1:14" x14ac:dyDescent="0.3">
      <c r="A91" s="24" t="s">
        <v>6235</v>
      </c>
      <c r="B91">
        <v>64</v>
      </c>
      <c r="M91" t="s">
        <v>6221</v>
      </c>
    </row>
    <row r="92" spans="1:14" x14ac:dyDescent="0.3">
      <c r="A92" s="24" t="s">
        <v>6236</v>
      </c>
      <c r="B92">
        <v>73</v>
      </c>
      <c r="M92" s="27">
        <v>45134.254999999997</v>
      </c>
      <c r="N92">
        <f>GETPIVOTDATA("Sales",$M$91)</f>
        <v>45134.254999999997</v>
      </c>
    </row>
    <row r="93" spans="1:14" x14ac:dyDescent="0.3">
      <c r="A93" s="24" t="s">
        <v>6237</v>
      </c>
      <c r="B93">
        <v>85</v>
      </c>
      <c r="D93" s="23" t="s">
        <v>6221</v>
      </c>
      <c r="E93" s="23" t="s">
        <v>6219</v>
      </c>
    </row>
    <row r="94" spans="1:14" x14ac:dyDescent="0.3">
      <c r="A94" s="24" t="s">
        <v>6238</v>
      </c>
      <c r="B94">
        <v>68</v>
      </c>
      <c r="D94" s="23" t="s">
        <v>6217</v>
      </c>
      <c r="E94" t="s">
        <v>6222</v>
      </c>
      <c r="F94" t="s">
        <v>6224</v>
      </c>
      <c r="G94" t="s">
        <v>6225</v>
      </c>
      <c r="H94" t="s">
        <v>6226</v>
      </c>
      <c r="I94" t="s">
        <v>6218</v>
      </c>
    </row>
    <row r="95" spans="1:14" x14ac:dyDescent="0.3">
      <c r="A95" s="24" t="s">
        <v>6239</v>
      </c>
      <c r="B95">
        <v>71</v>
      </c>
      <c r="D95" s="24" t="s">
        <v>6196</v>
      </c>
      <c r="E95">
        <v>2926.63</v>
      </c>
      <c r="F95">
        <v>3356.4149999999995</v>
      </c>
      <c r="G95">
        <v>4045.63</v>
      </c>
      <c r="H95">
        <v>1439.8199999999997</v>
      </c>
      <c r="I95">
        <v>11768.494999999999</v>
      </c>
    </row>
    <row r="96" spans="1:14" x14ac:dyDescent="0.3">
      <c r="A96" s="24" t="s">
        <v>6240</v>
      </c>
      <c r="D96" s="25" t="s">
        <v>6202</v>
      </c>
      <c r="E96">
        <v>462.67499999999995</v>
      </c>
      <c r="F96">
        <v>907.43999999999994</v>
      </c>
      <c r="G96">
        <v>1290.5150000000001</v>
      </c>
      <c r="H96">
        <v>387.05499999999995</v>
      </c>
      <c r="I96">
        <v>3047.6849999999999</v>
      </c>
    </row>
    <row r="97" spans="1:16" x14ac:dyDescent="0.3">
      <c r="A97" s="24" t="s">
        <v>6218</v>
      </c>
      <c r="B97">
        <v>1000</v>
      </c>
      <c r="D97" s="25" t="s">
        <v>6200</v>
      </c>
      <c r="E97">
        <v>1261.33</v>
      </c>
      <c r="F97">
        <v>1010.0999999999997</v>
      </c>
      <c r="G97">
        <v>1388.24</v>
      </c>
      <c r="H97">
        <v>572.38999999999987</v>
      </c>
      <c r="I97">
        <v>4232.0599999999995</v>
      </c>
    </row>
    <row r="98" spans="1:16" x14ac:dyDescent="0.3">
      <c r="D98" s="25" t="s">
        <v>6201</v>
      </c>
      <c r="E98">
        <v>1202.625</v>
      </c>
      <c r="F98">
        <v>1438.875</v>
      </c>
      <c r="G98">
        <v>1366.875</v>
      </c>
      <c r="H98">
        <v>480.375</v>
      </c>
      <c r="I98">
        <v>4488.75</v>
      </c>
    </row>
    <row r="99" spans="1:16" x14ac:dyDescent="0.3">
      <c r="D99" s="24" t="s">
        <v>6199</v>
      </c>
      <c r="E99">
        <v>3481.46</v>
      </c>
      <c r="F99">
        <v>3663.4100000000003</v>
      </c>
      <c r="G99">
        <v>3469.64</v>
      </c>
      <c r="H99">
        <v>1691.9299999999998</v>
      </c>
      <c r="I99">
        <v>12306.439999999999</v>
      </c>
    </row>
    <row r="100" spans="1:16" x14ac:dyDescent="0.3">
      <c r="D100" s="25" t="s">
        <v>6202</v>
      </c>
      <c r="E100">
        <v>578.34</v>
      </c>
      <c r="F100">
        <v>1329.2100000000003</v>
      </c>
      <c r="G100">
        <v>1194.3449999999998</v>
      </c>
      <c r="H100">
        <v>325.62000000000006</v>
      </c>
      <c r="I100">
        <v>3427.5149999999999</v>
      </c>
    </row>
    <row r="101" spans="1:16" x14ac:dyDescent="0.3">
      <c r="D101" s="25" t="s">
        <v>6200</v>
      </c>
      <c r="E101">
        <v>2104.2449999999999</v>
      </c>
      <c r="F101">
        <v>1069.2</v>
      </c>
      <c r="G101">
        <v>812.29500000000007</v>
      </c>
      <c r="H101">
        <v>810.80999999999983</v>
      </c>
      <c r="I101">
        <v>4796.5499999999993</v>
      </c>
    </row>
    <row r="102" spans="1:16" x14ac:dyDescent="0.3">
      <c r="D102" s="25" t="s">
        <v>6201</v>
      </c>
      <c r="E102">
        <v>798.875</v>
      </c>
      <c r="F102">
        <v>1265</v>
      </c>
      <c r="G102">
        <v>1463</v>
      </c>
      <c r="H102">
        <v>555.5</v>
      </c>
      <c r="I102">
        <v>4082.375</v>
      </c>
      <c r="O102" t="s">
        <v>6241</v>
      </c>
    </row>
    <row r="103" spans="1:16" x14ac:dyDescent="0.3">
      <c r="D103" s="24" t="s">
        <v>6198</v>
      </c>
      <c r="E103">
        <v>3378.0049999999992</v>
      </c>
      <c r="F103">
        <v>2604.4549999999995</v>
      </c>
      <c r="G103">
        <v>3836.6949999999988</v>
      </c>
      <c r="H103">
        <v>2234.9199999999996</v>
      </c>
      <c r="I103">
        <v>12054.074999999997</v>
      </c>
      <c r="O103" s="27">
        <v>1301.3750500000017</v>
      </c>
      <c r="P103">
        <f>GETPIVOTDATA("PROFIT",$O$102)</f>
        <v>1301.3750500000017</v>
      </c>
    </row>
    <row r="104" spans="1:16" x14ac:dyDescent="0.3">
      <c r="D104" s="25" t="s">
        <v>6202</v>
      </c>
      <c r="E104">
        <v>994.55999999999983</v>
      </c>
      <c r="F104">
        <v>1146.0749999999998</v>
      </c>
      <c r="G104">
        <v>1329.9649999999992</v>
      </c>
      <c r="H104">
        <v>625.4849999999999</v>
      </c>
      <c r="I104">
        <v>4096.0849999999991</v>
      </c>
    </row>
    <row r="105" spans="1:16" x14ac:dyDescent="0.3">
      <c r="D105" s="25" t="s">
        <v>6200</v>
      </c>
      <c r="E105">
        <v>1367.8549999999996</v>
      </c>
      <c r="F105">
        <v>963.67999999999984</v>
      </c>
      <c r="G105">
        <v>1363.1</v>
      </c>
      <c r="H105">
        <v>871.74999999999989</v>
      </c>
      <c r="I105">
        <v>4566.3849999999993</v>
      </c>
      <c r="L105" t="s">
        <v>6228</v>
      </c>
    </row>
    <row r="106" spans="1:16" x14ac:dyDescent="0.3">
      <c r="D106" s="25" t="s">
        <v>6201</v>
      </c>
      <c r="E106">
        <v>1015.5899999999999</v>
      </c>
      <c r="F106">
        <v>494.7</v>
      </c>
      <c r="G106">
        <v>1143.6299999999999</v>
      </c>
      <c r="H106">
        <v>737.68500000000006</v>
      </c>
      <c r="I106">
        <v>3391.605</v>
      </c>
      <c r="L106" s="27">
        <v>1000</v>
      </c>
      <c r="M106">
        <f>GETPIVOTDATA("CUSTOMER NAME",$L$105)</f>
        <v>1000</v>
      </c>
    </row>
    <row r="107" spans="1:16" x14ac:dyDescent="0.3">
      <c r="D107" s="24" t="s">
        <v>6197</v>
      </c>
      <c r="E107">
        <v>2401.0699999999997</v>
      </c>
      <c r="F107">
        <v>2493.2649999999994</v>
      </c>
      <c r="G107">
        <v>2414.145</v>
      </c>
      <c r="H107">
        <v>1696.7649999999999</v>
      </c>
      <c r="I107">
        <v>9005.2450000000008</v>
      </c>
    </row>
    <row r="108" spans="1:16" x14ac:dyDescent="0.3">
      <c r="D108" s="25" t="s">
        <v>6202</v>
      </c>
      <c r="E108">
        <v>737.4799999999999</v>
      </c>
      <c r="F108">
        <v>604.125</v>
      </c>
      <c r="G108">
        <v>622.02499999999998</v>
      </c>
      <c r="H108">
        <v>644.40000000000009</v>
      </c>
      <c r="I108">
        <v>2608.0300000000002</v>
      </c>
    </row>
    <row r="109" spans="1:16" x14ac:dyDescent="0.3">
      <c r="D109" s="25" t="s">
        <v>6200</v>
      </c>
      <c r="E109">
        <v>891.46999999999969</v>
      </c>
      <c r="F109">
        <v>1228.4599999999996</v>
      </c>
      <c r="G109">
        <v>1100.595</v>
      </c>
      <c r="H109">
        <v>538.94499999999994</v>
      </c>
      <c r="I109">
        <v>3759.4699999999993</v>
      </c>
    </row>
    <row r="110" spans="1:16" x14ac:dyDescent="0.3">
      <c r="D110" s="25" t="s">
        <v>6201</v>
      </c>
      <c r="E110">
        <v>772.12000000000023</v>
      </c>
      <c r="F110">
        <v>660.68000000000006</v>
      </c>
      <c r="G110">
        <v>691.52499999999998</v>
      </c>
      <c r="H110">
        <v>513.41999999999996</v>
      </c>
      <c r="I110">
        <v>2637.7450000000003</v>
      </c>
      <c r="O110" t="s">
        <v>6220</v>
      </c>
    </row>
    <row r="111" spans="1:16" x14ac:dyDescent="0.3">
      <c r="D111" s="24" t="s">
        <v>6218</v>
      </c>
      <c r="E111">
        <v>12187.164999999999</v>
      </c>
      <c r="F111">
        <v>12117.545</v>
      </c>
      <c r="G111">
        <v>13766.109999999999</v>
      </c>
      <c r="H111">
        <v>7063.4349999999995</v>
      </c>
      <c r="I111">
        <v>45134.254999999997</v>
      </c>
      <c r="O111" s="27">
        <v>3551</v>
      </c>
      <c r="P111">
        <f>GETPIVOTDATA("Quantity",$O$110)</f>
        <v>3551</v>
      </c>
    </row>
  </sheetData>
  <pageMargins left="0.7" right="0.7" top="0.75" bottom="0.75" header="0.3" footer="0.3"/>
  <pageSetup orientation="portrait" verticalDpi="0" r:id="rId18"/>
  <drawing r:id="rId19"/>
  <extLst>
    <ext xmlns:x14="http://schemas.microsoft.com/office/spreadsheetml/2009/9/main" uri="{A8765BA9-456A-4dab-B4F3-ACF838C121DE}">
      <x14:slicerList>
        <x14:slicer r:id="rId20"/>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D57F4-68F9-49BC-9420-D8A7A97C25AB}">
  <dimension ref="A1"/>
  <sheetViews>
    <sheetView showGridLines="0" workbookViewId="0">
      <selection activeCell="B10" sqref="B10"/>
    </sheetView>
  </sheetViews>
  <sheetFormatPr defaultColWidth="9.109375" defaultRowHeight="14.4" x14ac:dyDescent="0.3"/>
  <cols>
    <col min="1" max="16384" width="9.109375" style="2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FC716-6562-48C4-BB3F-AA7EE0E3E0F6}">
  <dimension ref="A1:V1001"/>
  <sheetViews>
    <sheetView topLeftCell="M1" workbookViewId="0">
      <selection activeCell="R2" sqref="R2"/>
    </sheetView>
  </sheetViews>
  <sheetFormatPr defaultRowHeight="14.4" x14ac:dyDescent="0.3"/>
  <cols>
    <col min="1" max="1" width="15.109375" bestFit="1" customWidth="1"/>
    <col min="2" max="2" width="12.109375" bestFit="1" customWidth="1"/>
    <col min="3" max="5" width="12.109375" customWidth="1"/>
    <col min="6" max="6" width="15.88671875" bestFit="1" customWidth="1"/>
    <col min="7" max="7" width="19" customWidth="1"/>
    <col min="8" max="8" width="28.109375" customWidth="1"/>
    <col min="9" max="12" width="19" customWidth="1"/>
    <col min="13" max="13" width="9.6640625" bestFit="1" customWidth="1"/>
    <col min="14" max="16" width="13.33203125" customWidth="1"/>
    <col min="17" max="17" width="8.109375" bestFit="1" customWidth="1"/>
    <col min="18" max="18" width="6.6640625" bestFit="1" customWidth="1"/>
    <col min="19" max="19" width="8.88671875" bestFit="1" customWidth="1"/>
    <col min="20" max="20" width="7.44140625" bestFit="1" customWidth="1"/>
    <col min="21" max="21" width="13.88671875" customWidth="1"/>
    <col min="22" max="22" width="16.88671875" customWidth="1"/>
  </cols>
  <sheetData>
    <row r="1" spans="1:22" s="20" customFormat="1" x14ac:dyDescent="0.3">
      <c r="A1" s="13" t="s">
        <v>1918</v>
      </c>
      <c r="B1" s="14" t="s">
        <v>1919</v>
      </c>
      <c r="C1" s="14" t="s">
        <v>6205</v>
      </c>
      <c r="D1" s="14" t="s">
        <v>6204</v>
      </c>
      <c r="E1" s="14" t="s">
        <v>6203</v>
      </c>
      <c r="F1" s="15" t="s">
        <v>1920</v>
      </c>
      <c r="G1" s="15" t="s">
        <v>6206</v>
      </c>
      <c r="H1" s="15" t="s">
        <v>6207</v>
      </c>
      <c r="I1" s="15" t="s">
        <v>6208</v>
      </c>
      <c r="J1" s="15" t="s">
        <v>6209</v>
      </c>
      <c r="K1" s="15" t="s">
        <v>6210</v>
      </c>
      <c r="L1" s="15" t="s">
        <v>6211</v>
      </c>
      <c r="M1" s="15" t="s">
        <v>1921</v>
      </c>
      <c r="N1" s="15" t="s">
        <v>6212</v>
      </c>
      <c r="O1" s="15" t="s">
        <v>6213</v>
      </c>
      <c r="P1" s="15" t="s">
        <v>6214</v>
      </c>
      <c r="Q1" s="15" t="s">
        <v>1922</v>
      </c>
      <c r="R1" s="16" t="s">
        <v>1928</v>
      </c>
      <c r="S1" s="15" t="s">
        <v>1929</v>
      </c>
      <c r="T1" s="15" t="s">
        <v>1930</v>
      </c>
      <c r="U1" s="21" t="s">
        <v>6215</v>
      </c>
      <c r="V1" s="21" t="s">
        <v>6216</v>
      </c>
    </row>
    <row r="2" spans="1:22" x14ac:dyDescent="0.3">
      <c r="A2" s="1" t="s">
        <v>0</v>
      </c>
      <c r="B2" s="2">
        <v>43713</v>
      </c>
      <c r="C2" s="2" t="str">
        <f>TEXT(B2,"dddd")</f>
        <v>Thursday</v>
      </c>
      <c r="D2" s="2" t="str">
        <f>TEXT(B2,"MMMM")</f>
        <v>September</v>
      </c>
      <c r="E2" s="2" t="str">
        <f>TEXT(B2,"YYYY")</f>
        <v>2019</v>
      </c>
      <c r="F2" s="3" t="s">
        <v>1</v>
      </c>
      <c r="G2" s="3" t="str">
        <f>VLOOKUP(F3,'Customers (2)'!A:I,2,0)</f>
        <v>Aloisia Allner</v>
      </c>
      <c r="H2" s="3" t="str">
        <f>VLOOKUP(F2,'Customers (2)'!A:I,3,0)</f>
        <v>aallner0@lulu.com</v>
      </c>
      <c r="I2" s="3" t="str">
        <f>VLOOKUP(F2,'Customers (2)'!A:I,4,0)</f>
        <v>+1 (862) 817-0124</v>
      </c>
      <c r="J2" s="3" t="str">
        <f>VLOOKUP(F2,'Customers (2)'!A:I,6,0)</f>
        <v>Paterson</v>
      </c>
      <c r="K2" s="3" t="str">
        <f>VLOOKUP(F2,'Customers (2)'!A:I,7,0)</f>
        <v>United States</v>
      </c>
      <c r="L2" s="3" t="str">
        <f>VLOOKUP(F2,'Customers (2)'!A:I,9,0)</f>
        <v>Yes</v>
      </c>
      <c r="M2" s="4" t="s">
        <v>2</v>
      </c>
      <c r="N2" s="4" t="str">
        <f>VLOOKUP(M2,'Products (2)'!A:G,2,0)</f>
        <v>Robusta</v>
      </c>
      <c r="O2" s="4" t="str">
        <f>VLOOKUP(M2,'Products (2)'!A:G,3,0)</f>
        <v>Medium</v>
      </c>
      <c r="P2" s="4">
        <f>VLOOKUP(M2,'Products (2)'!A:G,7,0)</f>
        <v>0.59699999999999998</v>
      </c>
      <c r="Q2" s="3">
        <v>2</v>
      </c>
      <c r="R2" s="5">
        <f>INDEX([1]products!$A$1:$G$49,MATCH([1]orders!$D2,[1]products!$A$1:$A$49,0),MATCH([1]orders!K$1,[1]products!$A$1:$G$1,0))</f>
        <v>1</v>
      </c>
      <c r="S2" s="6">
        <f>INDEX([1]products!$A$1:$G$49,MATCH([1]orders!$D2,[1]products!$A$1:$A$49,0),MATCH([1]orders!L$1,[1]products!$A$1:$G$1,0))</f>
        <v>9.9499999999999993</v>
      </c>
      <c r="T2" s="6">
        <f t="shared" ref="T2:T65" si="0">Q2*S2</f>
        <v>19.899999999999999</v>
      </c>
      <c r="U2" s="22">
        <f>Q2*P2</f>
        <v>1.194</v>
      </c>
      <c r="V2" s="22">
        <f>U2/T2*100</f>
        <v>6.0000000000000009</v>
      </c>
    </row>
    <row r="3" spans="1:22" x14ac:dyDescent="0.3">
      <c r="A3" s="1" t="s">
        <v>0</v>
      </c>
      <c r="B3" s="2">
        <v>43713</v>
      </c>
      <c r="C3" s="2" t="str">
        <f t="shared" ref="C3:C66" si="1">TEXT(B3,"dddd")</f>
        <v>Thursday</v>
      </c>
      <c r="D3" s="2" t="str">
        <f t="shared" ref="D3:D66" si="2">TEXT(B3,"MMMM")</f>
        <v>September</v>
      </c>
      <c r="E3" s="2" t="str">
        <f t="shared" ref="E3:E66" si="3">TEXT(B3,"YYYY")</f>
        <v>2019</v>
      </c>
      <c r="F3" s="3" t="s">
        <v>1</v>
      </c>
      <c r="G3" s="3" t="str">
        <f>VLOOKUP(F4,'Customers (2)'!A:I,2,0)</f>
        <v>Jami Redholes</v>
      </c>
      <c r="H3" s="3" t="str">
        <f>VLOOKUP(F3,'Customers (2)'!A:I,3,0)</f>
        <v>aallner0@lulu.com</v>
      </c>
      <c r="I3" s="3" t="str">
        <f>VLOOKUP(F3,'Customers (2)'!A:I,4,0)</f>
        <v>+1 (862) 817-0124</v>
      </c>
      <c r="J3" s="3" t="str">
        <f>VLOOKUP(F3,'Customers (2)'!A:I,6,0)</f>
        <v>Paterson</v>
      </c>
      <c r="K3" s="3" t="str">
        <f>VLOOKUP(F3,'Customers (2)'!A:I,7,0)</f>
        <v>United States</v>
      </c>
      <c r="L3" s="3" t="str">
        <f>VLOOKUP(F3,'Customers (2)'!A:I,9,0)</f>
        <v>Yes</v>
      </c>
      <c r="M3" s="4" t="s">
        <v>3</v>
      </c>
      <c r="N3" s="4" t="str">
        <f>VLOOKUP(M3,'Products (2)'!A:G,2,0)</f>
        <v>Excelsa</v>
      </c>
      <c r="O3" s="4" t="str">
        <f>VLOOKUP(M3,'Products (2)'!A:G,3,0)</f>
        <v>Medium</v>
      </c>
      <c r="P3" s="4">
        <f>VLOOKUP(M3,'Products (2)'!A:G,7,0)</f>
        <v>0.90749999999999997</v>
      </c>
      <c r="Q3" s="3">
        <v>5</v>
      </c>
      <c r="R3" s="5">
        <f>INDEX([1]products!$A$1:$G$49,MATCH([1]orders!$D3,[1]products!$A$1:$A$49,0),MATCH([1]orders!K$1,[1]products!$A$1:$G$1,0))</f>
        <v>0.5</v>
      </c>
      <c r="S3" s="6">
        <f>INDEX([1]products!$A$1:$G$49,MATCH([1]orders!$D3,[1]products!$A$1:$A$49,0),MATCH([1]orders!L$1,[1]products!$A$1:$G$1,0))</f>
        <v>8.25</v>
      </c>
      <c r="T3" s="6">
        <f t="shared" si="0"/>
        <v>41.25</v>
      </c>
      <c r="U3" s="22">
        <f t="shared" ref="U3:U66" si="4">Q3*P3</f>
        <v>4.5374999999999996</v>
      </c>
      <c r="V3" s="22">
        <f t="shared" ref="V3:V66" si="5">U3/T3*100</f>
        <v>10.999999999999998</v>
      </c>
    </row>
    <row r="4" spans="1:22" x14ac:dyDescent="0.3">
      <c r="A4" s="1" t="s">
        <v>4</v>
      </c>
      <c r="B4" s="2">
        <v>44364</v>
      </c>
      <c r="C4" s="2" t="str">
        <f t="shared" si="1"/>
        <v>Thursday</v>
      </c>
      <c r="D4" s="2" t="str">
        <f t="shared" si="2"/>
        <v>June</v>
      </c>
      <c r="E4" s="2" t="str">
        <f t="shared" si="3"/>
        <v>2021</v>
      </c>
      <c r="F4" s="3" t="s">
        <v>5</v>
      </c>
      <c r="G4" s="3" t="str">
        <f>VLOOKUP(F5,'Customers (2)'!A:I,2,0)</f>
        <v>Christoffer O' Shea</v>
      </c>
      <c r="H4" s="3" t="str">
        <f>VLOOKUP(F4,'Customers (2)'!A:I,3,0)</f>
        <v>jredholes2@tmall.com</v>
      </c>
      <c r="I4" s="3" t="str">
        <f>VLOOKUP(F4,'Customers (2)'!A:I,4,0)</f>
        <v>+1 (210) 986-6806</v>
      </c>
      <c r="J4" s="3" t="str">
        <f>VLOOKUP(F4,'Customers (2)'!A:I,6,0)</f>
        <v>San Antonio</v>
      </c>
      <c r="K4" s="3" t="str">
        <f>VLOOKUP(F4,'Customers (2)'!A:I,7,0)</f>
        <v>United States</v>
      </c>
      <c r="L4" s="3" t="str">
        <f>VLOOKUP(F4,'Customers (2)'!A:I,9,0)</f>
        <v>Yes</v>
      </c>
      <c r="M4" s="4" t="s">
        <v>6</v>
      </c>
      <c r="N4" s="4" t="str">
        <f>VLOOKUP(M4,'Products (2)'!A:G,2,0)</f>
        <v>Arabica</v>
      </c>
      <c r="O4" s="4" t="str">
        <f>VLOOKUP(M4,'Products (2)'!A:G,3,0)</f>
        <v>Light</v>
      </c>
      <c r="P4" s="4">
        <f>VLOOKUP(M4,'Products (2)'!A:G,7,0)</f>
        <v>1.1655</v>
      </c>
      <c r="Q4" s="3">
        <v>1</v>
      </c>
      <c r="R4" s="5">
        <f>INDEX([1]products!$A$1:$G$49,MATCH([1]orders!$D4,[1]products!$A$1:$A$49,0),MATCH([1]orders!K$1,[1]products!$A$1:$G$1,0))</f>
        <v>1</v>
      </c>
      <c r="S4" s="6">
        <f>INDEX([1]products!$A$1:$G$49,MATCH([1]orders!$D4,[1]products!$A$1:$A$49,0),MATCH([1]orders!L$1,[1]products!$A$1:$G$1,0))</f>
        <v>12.95</v>
      </c>
      <c r="T4" s="6">
        <f t="shared" si="0"/>
        <v>12.95</v>
      </c>
      <c r="U4" s="22">
        <f t="shared" si="4"/>
        <v>1.1655</v>
      </c>
      <c r="V4" s="22">
        <f t="shared" si="5"/>
        <v>9</v>
      </c>
    </row>
    <row r="5" spans="1:22" x14ac:dyDescent="0.3">
      <c r="A5" s="1" t="s">
        <v>7</v>
      </c>
      <c r="B5" s="2">
        <v>44392</v>
      </c>
      <c r="C5" s="2" t="str">
        <f t="shared" si="1"/>
        <v>Thursday</v>
      </c>
      <c r="D5" s="2" t="str">
        <f t="shared" si="2"/>
        <v>July</v>
      </c>
      <c r="E5" s="2" t="str">
        <f t="shared" si="3"/>
        <v>2021</v>
      </c>
      <c r="F5" s="3" t="s">
        <v>8</v>
      </c>
      <c r="G5" s="3" t="str">
        <f>VLOOKUP(F6,'Customers (2)'!A:I,2,0)</f>
        <v>Christoffer O' Shea</v>
      </c>
      <c r="H5" s="3">
        <f>VLOOKUP(F5,'Customers (2)'!A:I,3,0)</f>
        <v>0</v>
      </c>
      <c r="I5" s="3" t="str">
        <f>VLOOKUP(F5,'Customers (2)'!A:I,4,0)</f>
        <v>+353 (698) 362-9201</v>
      </c>
      <c r="J5" s="3" t="str">
        <f>VLOOKUP(F5,'Customers (2)'!A:I,6,0)</f>
        <v>Cill Airne</v>
      </c>
      <c r="K5" s="3" t="str">
        <f>VLOOKUP(F5,'Customers (2)'!A:I,7,0)</f>
        <v>Ireland</v>
      </c>
      <c r="L5" s="3" t="str">
        <f>VLOOKUP(F5,'Customers (2)'!A:I,9,0)</f>
        <v>No</v>
      </c>
      <c r="M5" s="4" t="s">
        <v>9</v>
      </c>
      <c r="N5" s="4" t="str">
        <f>VLOOKUP(M5,'Products (2)'!A:G,2,0)</f>
        <v>Excelsa</v>
      </c>
      <c r="O5" s="4" t="str">
        <f>VLOOKUP(M5,'Products (2)'!A:G,3,0)</f>
        <v>Medium</v>
      </c>
      <c r="P5" s="4">
        <f>VLOOKUP(M5,'Products (2)'!A:G,7,0)</f>
        <v>1.5125</v>
      </c>
      <c r="Q5" s="3">
        <v>2</v>
      </c>
      <c r="R5" s="5">
        <f>INDEX([1]products!$A$1:$G$49,MATCH([1]orders!$D5,[1]products!$A$1:$A$49,0),MATCH([1]orders!K$1,[1]products!$A$1:$G$1,0))</f>
        <v>1</v>
      </c>
      <c r="S5" s="6">
        <f>INDEX([1]products!$A$1:$G$49,MATCH([1]orders!$D5,[1]products!$A$1:$A$49,0),MATCH([1]orders!L$1,[1]products!$A$1:$G$1,0))</f>
        <v>13.75</v>
      </c>
      <c r="T5" s="6">
        <f t="shared" si="0"/>
        <v>27.5</v>
      </c>
      <c r="U5" s="22">
        <f t="shared" si="4"/>
        <v>3.0249999999999999</v>
      </c>
      <c r="V5" s="22">
        <f t="shared" si="5"/>
        <v>11</v>
      </c>
    </row>
    <row r="6" spans="1:22" x14ac:dyDescent="0.3">
      <c r="A6" s="1" t="s">
        <v>7</v>
      </c>
      <c r="B6" s="2">
        <v>44392</v>
      </c>
      <c r="C6" s="2" t="str">
        <f t="shared" si="1"/>
        <v>Thursday</v>
      </c>
      <c r="D6" s="2" t="str">
        <f t="shared" si="2"/>
        <v>July</v>
      </c>
      <c r="E6" s="2" t="str">
        <f t="shared" si="3"/>
        <v>2021</v>
      </c>
      <c r="F6" s="3" t="s">
        <v>8</v>
      </c>
      <c r="G6" s="3" t="str">
        <f>VLOOKUP(F7,'Customers (2)'!A:I,2,0)</f>
        <v>Beryle Cottier</v>
      </c>
      <c r="H6" s="3">
        <f>VLOOKUP(F6,'Customers (2)'!A:I,3,0)</f>
        <v>0</v>
      </c>
      <c r="I6" s="3" t="str">
        <f>VLOOKUP(F6,'Customers (2)'!A:I,4,0)</f>
        <v>+353 (698) 362-9201</v>
      </c>
      <c r="J6" s="3" t="str">
        <f>VLOOKUP(F6,'Customers (2)'!A:I,6,0)</f>
        <v>Cill Airne</v>
      </c>
      <c r="K6" s="3" t="str">
        <f>VLOOKUP(F6,'Customers (2)'!A:I,7,0)</f>
        <v>Ireland</v>
      </c>
      <c r="L6" s="3" t="str">
        <f>VLOOKUP(F6,'Customers (2)'!A:I,9,0)</f>
        <v>No</v>
      </c>
      <c r="M6" s="4" t="s">
        <v>10</v>
      </c>
      <c r="N6" s="4" t="str">
        <f>VLOOKUP(M6,'Products (2)'!A:G,2,0)</f>
        <v>Robusta</v>
      </c>
      <c r="O6" s="4" t="str">
        <f>VLOOKUP(M6,'Products (2)'!A:G,3,0)</f>
        <v>Light</v>
      </c>
      <c r="P6" s="4">
        <f>VLOOKUP(M6,'Products (2)'!A:G,7,0)</f>
        <v>1.6490999999999998</v>
      </c>
      <c r="Q6" s="3">
        <v>2</v>
      </c>
      <c r="R6" s="5">
        <f>INDEX([1]products!$A$1:$G$49,MATCH([1]orders!$D6,[1]products!$A$1:$A$49,0),MATCH([1]orders!K$1,[1]products!$A$1:$G$1,0))</f>
        <v>2.5</v>
      </c>
      <c r="S6" s="6">
        <f>INDEX([1]products!$A$1:$G$49,MATCH([1]orders!$D6,[1]products!$A$1:$A$49,0),MATCH([1]orders!L$1,[1]products!$A$1:$G$1,0))</f>
        <v>27.484999999999996</v>
      </c>
      <c r="T6" s="6">
        <f t="shared" si="0"/>
        <v>54.969999999999992</v>
      </c>
      <c r="U6" s="22">
        <f t="shared" si="4"/>
        <v>3.2981999999999996</v>
      </c>
      <c r="V6" s="22">
        <f t="shared" si="5"/>
        <v>6.0000000000000009</v>
      </c>
    </row>
    <row r="7" spans="1:22" x14ac:dyDescent="0.3">
      <c r="A7" s="1" t="s">
        <v>11</v>
      </c>
      <c r="B7" s="2">
        <v>44412</v>
      </c>
      <c r="C7" s="2" t="str">
        <f t="shared" si="1"/>
        <v>Wednesday</v>
      </c>
      <c r="D7" s="2" t="str">
        <f t="shared" si="2"/>
        <v>August</v>
      </c>
      <c r="E7" s="2" t="str">
        <f t="shared" si="3"/>
        <v>2021</v>
      </c>
      <c r="F7" s="3" t="s">
        <v>12</v>
      </c>
      <c r="G7" s="3" t="str">
        <f>VLOOKUP(F8,'Customers (2)'!A:I,2,0)</f>
        <v>Shaylynn Lobe</v>
      </c>
      <c r="H7" s="3">
        <f>VLOOKUP(F7,'Customers (2)'!A:I,3,0)</f>
        <v>0</v>
      </c>
      <c r="I7" s="3" t="str">
        <f>VLOOKUP(F7,'Customers (2)'!A:I,4,0)</f>
        <v>+1 (570) 289-7473</v>
      </c>
      <c r="J7" s="3" t="str">
        <f>VLOOKUP(F7,'Customers (2)'!A:I,6,0)</f>
        <v>Scranton</v>
      </c>
      <c r="K7" s="3" t="str">
        <f>VLOOKUP(F7,'Customers (2)'!A:I,7,0)</f>
        <v>United States</v>
      </c>
      <c r="L7" s="3" t="str">
        <f>VLOOKUP(F7,'Customers (2)'!A:I,9,0)</f>
        <v>No</v>
      </c>
      <c r="M7" s="4" t="s">
        <v>13</v>
      </c>
      <c r="N7" s="4" t="str">
        <f>VLOOKUP(M7,'Products (2)'!A:G,2,0)</f>
        <v>Liberica</v>
      </c>
      <c r="O7" s="4" t="str">
        <f>VLOOKUP(M7,'Products (2)'!A:G,3,0)</f>
        <v>Dark</v>
      </c>
      <c r="P7" s="4">
        <f>VLOOKUP(M7,'Products (2)'!A:G,7,0)</f>
        <v>1.6835</v>
      </c>
      <c r="Q7" s="3">
        <v>3</v>
      </c>
      <c r="R7" s="5">
        <f>INDEX([1]products!$A$1:$G$49,MATCH([1]orders!$D7,[1]products!$A$1:$A$49,0),MATCH([1]orders!K$1,[1]products!$A$1:$G$1,0))</f>
        <v>1</v>
      </c>
      <c r="S7" s="6">
        <f>INDEX([1]products!$A$1:$G$49,MATCH([1]orders!$D7,[1]products!$A$1:$A$49,0),MATCH([1]orders!L$1,[1]products!$A$1:$G$1,0))</f>
        <v>12.95</v>
      </c>
      <c r="T7" s="6">
        <f t="shared" si="0"/>
        <v>38.849999999999994</v>
      </c>
      <c r="U7" s="22">
        <f t="shared" si="4"/>
        <v>5.0504999999999995</v>
      </c>
      <c r="V7" s="22">
        <f t="shared" si="5"/>
        <v>13</v>
      </c>
    </row>
    <row r="8" spans="1:22" x14ac:dyDescent="0.3">
      <c r="A8" s="1" t="s">
        <v>14</v>
      </c>
      <c r="B8" s="2">
        <v>44582</v>
      </c>
      <c r="C8" s="2" t="str">
        <f t="shared" si="1"/>
        <v>Friday</v>
      </c>
      <c r="D8" s="2" t="str">
        <f t="shared" si="2"/>
        <v>January</v>
      </c>
      <c r="E8" s="2" t="str">
        <f t="shared" si="3"/>
        <v>2022</v>
      </c>
      <c r="F8" s="3" t="s">
        <v>15</v>
      </c>
      <c r="G8" s="3" t="str">
        <f>VLOOKUP(F9,'Customers (2)'!A:I,2,0)</f>
        <v>Melvin Wharfe</v>
      </c>
      <c r="H8" s="3" t="str">
        <f>VLOOKUP(F8,'Customers (2)'!A:I,3,0)</f>
        <v>slobe6@nifty.com</v>
      </c>
      <c r="I8" s="3" t="str">
        <f>VLOOKUP(F8,'Customers (2)'!A:I,4,0)</f>
        <v>+1 (937) 954-4541</v>
      </c>
      <c r="J8" s="3" t="str">
        <f>VLOOKUP(F8,'Customers (2)'!A:I,6,0)</f>
        <v>Dayton</v>
      </c>
      <c r="K8" s="3" t="str">
        <f>VLOOKUP(F8,'Customers (2)'!A:I,7,0)</f>
        <v>United States</v>
      </c>
      <c r="L8" s="3" t="str">
        <f>VLOOKUP(F8,'Customers (2)'!A:I,9,0)</f>
        <v>Yes</v>
      </c>
      <c r="M8" s="4" t="s">
        <v>16</v>
      </c>
      <c r="N8" s="4" t="str">
        <f>VLOOKUP(M8,'Products (2)'!A:G,2,0)</f>
        <v>Excelsa</v>
      </c>
      <c r="O8" s="4" t="str">
        <f>VLOOKUP(M8,'Products (2)'!A:G,3,0)</f>
        <v>Dark</v>
      </c>
      <c r="P8" s="4">
        <f>VLOOKUP(M8,'Products (2)'!A:G,7,0)</f>
        <v>0.80190000000000006</v>
      </c>
      <c r="Q8" s="3">
        <v>3</v>
      </c>
      <c r="R8" s="5">
        <f>INDEX([1]products!$A$1:$G$49,MATCH([1]orders!$D8,[1]products!$A$1:$A$49,0),MATCH([1]orders!K$1,[1]products!$A$1:$G$1,0))</f>
        <v>0.5</v>
      </c>
      <c r="S8" s="6">
        <f>INDEX([1]products!$A$1:$G$49,MATCH([1]orders!$D8,[1]products!$A$1:$A$49,0),MATCH([1]orders!L$1,[1]products!$A$1:$G$1,0))</f>
        <v>7.29</v>
      </c>
      <c r="T8" s="6">
        <f t="shared" si="0"/>
        <v>21.87</v>
      </c>
      <c r="U8" s="22">
        <f t="shared" si="4"/>
        <v>2.4057000000000004</v>
      </c>
      <c r="V8" s="22">
        <f t="shared" si="5"/>
        <v>11.000000000000002</v>
      </c>
    </row>
    <row r="9" spans="1:22" x14ac:dyDescent="0.3">
      <c r="A9" s="1" t="s">
        <v>17</v>
      </c>
      <c r="B9" s="2">
        <v>44701</v>
      </c>
      <c r="C9" s="2" t="str">
        <f t="shared" si="1"/>
        <v>Friday</v>
      </c>
      <c r="D9" s="2" t="str">
        <f t="shared" si="2"/>
        <v>May</v>
      </c>
      <c r="E9" s="2" t="str">
        <f t="shared" si="3"/>
        <v>2022</v>
      </c>
      <c r="F9" s="3" t="s">
        <v>18</v>
      </c>
      <c r="G9" s="3" t="str">
        <f>VLOOKUP(F10,'Customers (2)'!A:I,2,0)</f>
        <v>Guthrey Petracci</v>
      </c>
      <c r="H9" s="3">
        <f>VLOOKUP(F9,'Customers (2)'!A:I,3,0)</f>
        <v>0</v>
      </c>
      <c r="I9" s="3" t="str">
        <f>VLOOKUP(F9,'Customers (2)'!A:I,4,0)</f>
        <v>+353 (507) 574-3034</v>
      </c>
      <c r="J9" s="3" t="str">
        <f>VLOOKUP(F9,'Customers (2)'!A:I,6,0)</f>
        <v>Kill</v>
      </c>
      <c r="K9" s="3" t="str">
        <f>VLOOKUP(F9,'Customers (2)'!A:I,7,0)</f>
        <v>Ireland</v>
      </c>
      <c r="L9" s="3" t="str">
        <f>VLOOKUP(F9,'Customers (2)'!A:I,9,0)</f>
        <v>Yes</v>
      </c>
      <c r="M9" s="4" t="s">
        <v>19</v>
      </c>
      <c r="N9" s="4" t="str">
        <f>VLOOKUP(M9,'Products (2)'!A:G,2,0)</f>
        <v>Liberica</v>
      </c>
      <c r="O9" s="4" t="str">
        <f>VLOOKUP(M9,'Products (2)'!A:G,3,0)</f>
        <v>Light</v>
      </c>
      <c r="P9" s="4">
        <f>VLOOKUP(M9,'Products (2)'!A:G,7,0)</f>
        <v>0.61814999999999998</v>
      </c>
      <c r="Q9" s="3">
        <v>1</v>
      </c>
      <c r="R9" s="5">
        <f>INDEX([1]products!$A$1:$G$49,MATCH([1]orders!$D9,[1]products!$A$1:$A$49,0),MATCH([1]orders!K$1,[1]products!$A$1:$G$1,0))</f>
        <v>0.2</v>
      </c>
      <c r="S9" s="6">
        <f>INDEX([1]products!$A$1:$G$49,MATCH([1]orders!$D9,[1]products!$A$1:$A$49,0),MATCH([1]orders!L$1,[1]products!$A$1:$G$1,0))</f>
        <v>4.7549999999999999</v>
      </c>
      <c r="T9" s="6">
        <f t="shared" si="0"/>
        <v>4.7549999999999999</v>
      </c>
      <c r="U9" s="22">
        <f t="shared" si="4"/>
        <v>0.61814999999999998</v>
      </c>
      <c r="V9" s="22">
        <f t="shared" si="5"/>
        <v>13</v>
      </c>
    </row>
    <row r="10" spans="1:22" x14ac:dyDescent="0.3">
      <c r="A10" s="1" t="s">
        <v>20</v>
      </c>
      <c r="B10" s="2">
        <v>43467</v>
      </c>
      <c r="C10" s="2" t="str">
        <f t="shared" si="1"/>
        <v>Wednesday</v>
      </c>
      <c r="D10" s="2" t="str">
        <f t="shared" si="2"/>
        <v>January</v>
      </c>
      <c r="E10" s="2" t="str">
        <f t="shared" si="3"/>
        <v>2019</v>
      </c>
      <c r="F10" s="3" t="s">
        <v>21</v>
      </c>
      <c r="G10" s="3" t="str">
        <f>VLOOKUP(F11,'Customers (2)'!A:I,2,0)</f>
        <v>Rodger Raven</v>
      </c>
      <c r="H10" s="3" t="str">
        <f>VLOOKUP(F10,'Customers (2)'!A:I,3,0)</f>
        <v>gpetracci8@livejournal.com</v>
      </c>
      <c r="I10" s="3" t="str">
        <f>VLOOKUP(F10,'Customers (2)'!A:I,4,0)</f>
        <v>+1 (310) 868-1842</v>
      </c>
      <c r="J10" s="3" t="str">
        <f>VLOOKUP(F10,'Customers (2)'!A:I,6,0)</f>
        <v>Los Angeles</v>
      </c>
      <c r="K10" s="3" t="str">
        <f>VLOOKUP(F10,'Customers (2)'!A:I,7,0)</f>
        <v>United States</v>
      </c>
      <c r="L10" s="3" t="str">
        <f>VLOOKUP(F10,'Customers (2)'!A:I,9,0)</f>
        <v>No</v>
      </c>
      <c r="M10" s="4" t="s">
        <v>22</v>
      </c>
      <c r="N10" s="4" t="str">
        <f>VLOOKUP(M10,'Products (2)'!A:G,2,0)</f>
        <v>Robusta</v>
      </c>
      <c r="O10" s="4" t="str">
        <f>VLOOKUP(M10,'Products (2)'!A:G,3,0)</f>
        <v>Medium</v>
      </c>
      <c r="P10" s="4">
        <f>VLOOKUP(M10,'Products (2)'!A:G,7,0)</f>
        <v>0.35819999999999996</v>
      </c>
      <c r="Q10" s="3">
        <v>3</v>
      </c>
      <c r="R10" s="5">
        <f>INDEX([1]products!$A$1:$G$49,MATCH([1]orders!$D10,[1]products!$A$1:$A$49,0),MATCH([1]orders!K$1,[1]products!$A$1:$G$1,0))</f>
        <v>0.5</v>
      </c>
      <c r="S10" s="6">
        <f>INDEX([1]products!$A$1:$G$49,MATCH([1]orders!$D10,[1]products!$A$1:$A$49,0),MATCH([1]orders!L$1,[1]products!$A$1:$G$1,0))</f>
        <v>5.97</v>
      </c>
      <c r="T10" s="6">
        <f t="shared" si="0"/>
        <v>17.91</v>
      </c>
      <c r="U10" s="22">
        <f t="shared" si="4"/>
        <v>1.0745999999999998</v>
      </c>
      <c r="V10" s="22">
        <f t="shared" si="5"/>
        <v>5.9999999999999982</v>
      </c>
    </row>
    <row r="11" spans="1:22" x14ac:dyDescent="0.3">
      <c r="A11" s="1" t="s">
        <v>23</v>
      </c>
      <c r="B11" s="2">
        <v>43713</v>
      </c>
      <c r="C11" s="2" t="str">
        <f t="shared" si="1"/>
        <v>Thursday</v>
      </c>
      <c r="D11" s="2" t="str">
        <f t="shared" si="2"/>
        <v>September</v>
      </c>
      <c r="E11" s="2" t="str">
        <f t="shared" si="3"/>
        <v>2019</v>
      </c>
      <c r="F11" s="3" t="s">
        <v>24</v>
      </c>
      <c r="G11" s="3" t="str">
        <f>VLOOKUP(F12,'Customers (2)'!A:I,2,0)</f>
        <v>Ferrell Ferber</v>
      </c>
      <c r="H11" s="3" t="str">
        <f>VLOOKUP(F11,'Customers (2)'!A:I,3,0)</f>
        <v>rraven9@ed.gov</v>
      </c>
      <c r="I11" s="3" t="str">
        <f>VLOOKUP(F11,'Customers (2)'!A:I,4,0)</f>
        <v>+1 (213) 263-0288</v>
      </c>
      <c r="J11" s="3" t="str">
        <f>VLOOKUP(F11,'Customers (2)'!A:I,6,0)</f>
        <v>Los Angeles</v>
      </c>
      <c r="K11" s="3" t="str">
        <f>VLOOKUP(F11,'Customers (2)'!A:I,7,0)</f>
        <v>United States</v>
      </c>
      <c r="L11" s="3" t="str">
        <f>VLOOKUP(F11,'Customers (2)'!A:I,9,0)</f>
        <v>No</v>
      </c>
      <c r="M11" s="4" t="s">
        <v>22</v>
      </c>
      <c r="N11" s="4" t="str">
        <f>VLOOKUP(M11,'Products (2)'!A:G,2,0)</f>
        <v>Robusta</v>
      </c>
      <c r="O11" s="4" t="str">
        <f>VLOOKUP(M11,'Products (2)'!A:G,3,0)</f>
        <v>Medium</v>
      </c>
      <c r="P11" s="4">
        <f>VLOOKUP(M11,'Products (2)'!A:G,7,0)</f>
        <v>0.35819999999999996</v>
      </c>
      <c r="Q11" s="3">
        <v>1</v>
      </c>
      <c r="R11" s="5">
        <f>INDEX([1]products!$A$1:$G$49,MATCH([1]orders!$D11,[1]products!$A$1:$A$49,0),MATCH([1]orders!K$1,[1]products!$A$1:$G$1,0))</f>
        <v>0.5</v>
      </c>
      <c r="S11" s="6">
        <f>INDEX([1]products!$A$1:$G$49,MATCH([1]orders!$D11,[1]products!$A$1:$A$49,0),MATCH([1]orders!L$1,[1]products!$A$1:$G$1,0))</f>
        <v>5.97</v>
      </c>
      <c r="T11" s="6">
        <f t="shared" si="0"/>
        <v>5.97</v>
      </c>
      <c r="U11" s="22">
        <f t="shared" si="4"/>
        <v>0.35819999999999996</v>
      </c>
      <c r="V11" s="22">
        <f t="shared" si="5"/>
        <v>6</v>
      </c>
    </row>
    <row r="12" spans="1:22" x14ac:dyDescent="0.3">
      <c r="A12" s="1" t="s">
        <v>25</v>
      </c>
      <c r="B12" s="2">
        <v>44263</v>
      </c>
      <c r="C12" s="2" t="str">
        <f t="shared" si="1"/>
        <v>Monday</v>
      </c>
      <c r="D12" s="2" t="str">
        <f t="shared" si="2"/>
        <v>March</v>
      </c>
      <c r="E12" s="2" t="str">
        <f t="shared" si="3"/>
        <v>2021</v>
      </c>
      <c r="F12" s="3" t="s">
        <v>26</v>
      </c>
      <c r="G12" s="3" t="str">
        <f>VLOOKUP(F13,'Customers (2)'!A:I,2,0)</f>
        <v>Duky Phizackerly</v>
      </c>
      <c r="H12" s="3" t="str">
        <f>VLOOKUP(F12,'Customers (2)'!A:I,3,0)</f>
        <v>fferbera@businesswire.com</v>
      </c>
      <c r="I12" s="3" t="str">
        <f>VLOOKUP(F12,'Customers (2)'!A:I,4,0)</f>
        <v>+1 (408) 383-5302</v>
      </c>
      <c r="J12" s="3" t="str">
        <f>VLOOKUP(F12,'Customers (2)'!A:I,6,0)</f>
        <v>San Jose</v>
      </c>
      <c r="K12" s="3" t="str">
        <f>VLOOKUP(F12,'Customers (2)'!A:I,7,0)</f>
        <v>United States</v>
      </c>
      <c r="L12" s="3" t="str">
        <f>VLOOKUP(F12,'Customers (2)'!A:I,9,0)</f>
        <v>No</v>
      </c>
      <c r="M12" s="4" t="s">
        <v>27</v>
      </c>
      <c r="N12" s="4" t="str">
        <f>VLOOKUP(M12,'Products (2)'!A:G,2,0)</f>
        <v>Arabica</v>
      </c>
      <c r="O12" s="4" t="str">
        <f>VLOOKUP(M12,'Products (2)'!A:G,3,0)</f>
        <v>Dark</v>
      </c>
      <c r="P12" s="4">
        <f>VLOOKUP(M12,'Products (2)'!A:G,7,0)</f>
        <v>0.89549999999999985</v>
      </c>
      <c r="Q12" s="3">
        <v>4</v>
      </c>
      <c r="R12" s="5">
        <f>INDEX([1]products!$A$1:$G$49,MATCH([1]orders!$D12,[1]products!$A$1:$A$49,0),MATCH([1]orders!K$1,[1]products!$A$1:$G$1,0))</f>
        <v>1</v>
      </c>
      <c r="S12" s="6">
        <f>INDEX([1]products!$A$1:$G$49,MATCH([1]orders!$D12,[1]products!$A$1:$A$49,0),MATCH([1]orders!L$1,[1]products!$A$1:$G$1,0))</f>
        <v>9.9499999999999993</v>
      </c>
      <c r="T12" s="6">
        <f t="shared" si="0"/>
        <v>39.799999999999997</v>
      </c>
      <c r="U12" s="22">
        <f t="shared" si="4"/>
        <v>3.5819999999999994</v>
      </c>
      <c r="V12" s="22">
        <f t="shared" si="5"/>
        <v>9</v>
      </c>
    </row>
    <row r="13" spans="1:22" x14ac:dyDescent="0.3">
      <c r="A13" s="1" t="s">
        <v>28</v>
      </c>
      <c r="B13" s="2">
        <v>44132</v>
      </c>
      <c r="C13" s="2" t="str">
        <f t="shared" si="1"/>
        <v>Wednesday</v>
      </c>
      <c r="D13" s="2" t="str">
        <f t="shared" si="2"/>
        <v>October</v>
      </c>
      <c r="E13" s="2" t="str">
        <f t="shared" si="3"/>
        <v>2020</v>
      </c>
      <c r="F13" s="3" t="s">
        <v>29</v>
      </c>
      <c r="G13" s="3" t="str">
        <f>VLOOKUP(F14,'Customers (2)'!A:I,2,0)</f>
        <v>Rosaleen Scholar</v>
      </c>
      <c r="H13" s="3" t="str">
        <f>VLOOKUP(F13,'Customers (2)'!A:I,3,0)</f>
        <v>dphizackerlyb@utexas.edu</v>
      </c>
      <c r="I13" s="3" t="str">
        <f>VLOOKUP(F13,'Customers (2)'!A:I,4,0)</f>
        <v>+1 (408) 533-6012</v>
      </c>
      <c r="J13" s="3" t="str">
        <f>VLOOKUP(F13,'Customers (2)'!A:I,6,0)</f>
        <v>San Jose</v>
      </c>
      <c r="K13" s="3" t="str">
        <f>VLOOKUP(F13,'Customers (2)'!A:I,7,0)</f>
        <v>United States</v>
      </c>
      <c r="L13" s="3" t="str">
        <f>VLOOKUP(F13,'Customers (2)'!A:I,9,0)</f>
        <v>Yes</v>
      </c>
      <c r="M13" s="4" t="s">
        <v>30</v>
      </c>
      <c r="N13" s="4" t="str">
        <f>VLOOKUP(M13,'Products (2)'!A:G,2,0)</f>
        <v>Excelsa</v>
      </c>
      <c r="O13" s="4" t="str">
        <f>VLOOKUP(M13,'Products (2)'!A:G,3,0)</f>
        <v>Light</v>
      </c>
      <c r="P13" s="4">
        <f>VLOOKUP(M13,'Products (2)'!A:G,7,0)</f>
        <v>3.7570499999999996</v>
      </c>
      <c r="Q13" s="3">
        <v>5</v>
      </c>
      <c r="R13" s="5">
        <f>INDEX([1]products!$A$1:$G$49,MATCH([1]orders!$D13,[1]products!$A$1:$A$49,0),MATCH([1]orders!K$1,[1]products!$A$1:$G$1,0))</f>
        <v>2.5</v>
      </c>
      <c r="S13" s="6">
        <f>INDEX([1]products!$A$1:$G$49,MATCH([1]orders!$D13,[1]products!$A$1:$A$49,0),MATCH([1]orders!L$1,[1]products!$A$1:$G$1,0))</f>
        <v>34.154999999999994</v>
      </c>
      <c r="T13" s="6">
        <f t="shared" si="0"/>
        <v>170.77499999999998</v>
      </c>
      <c r="U13" s="22">
        <f t="shared" si="4"/>
        <v>18.785249999999998</v>
      </c>
      <c r="V13" s="22">
        <f t="shared" si="5"/>
        <v>11</v>
      </c>
    </row>
    <row r="14" spans="1:22" x14ac:dyDescent="0.3">
      <c r="A14" s="1" t="s">
        <v>31</v>
      </c>
      <c r="B14" s="2">
        <v>44744</v>
      </c>
      <c r="C14" s="2" t="str">
        <f t="shared" si="1"/>
        <v>Saturday</v>
      </c>
      <c r="D14" s="2" t="str">
        <f t="shared" si="2"/>
        <v>July</v>
      </c>
      <c r="E14" s="2" t="str">
        <f t="shared" si="3"/>
        <v>2022</v>
      </c>
      <c r="F14" s="3" t="s">
        <v>32</v>
      </c>
      <c r="G14" s="3" t="str">
        <f>VLOOKUP(F15,'Customers (2)'!A:I,2,0)</f>
        <v>Terence Vanyutin</v>
      </c>
      <c r="H14" s="3" t="str">
        <f>VLOOKUP(F14,'Customers (2)'!A:I,3,0)</f>
        <v>rscholarc@nyu.edu</v>
      </c>
      <c r="I14" s="3" t="str">
        <f>VLOOKUP(F14,'Customers (2)'!A:I,4,0)</f>
        <v>+1 (804) 420-0420</v>
      </c>
      <c r="J14" s="3" t="str">
        <f>VLOOKUP(F14,'Customers (2)'!A:I,6,0)</f>
        <v>Richmond</v>
      </c>
      <c r="K14" s="3" t="str">
        <f>VLOOKUP(F14,'Customers (2)'!A:I,7,0)</f>
        <v>United States</v>
      </c>
      <c r="L14" s="3" t="str">
        <f>VLOOKUP(F14,'Customers (2)'!A:I,9,0)</f>
        <v>No</v>
      </c>
      <c r="M14" s="4" t="s">
        <v>2</v>
      </c>
      <c r="N14" s="4" t="str">
        <f>VLOOKUP(M14,'Products (2)'!A:G,2,0)</f>
        <v>Robusta</v>
      </c>
      <c r="O14" s="4" t="str">
        <f>VLOOKUP(M14,'Products (2)'!A:G,3,0)</f>
        <v>Medium</v>
      </c>
      <c r="P14" s="4">
        <f>VLOOKUP(M14,'Products (2)'!A:G,7,0)</f>
        <v>0.59699999999999998</v>
      </c>
      <c r="Q14" s="3">
        <v>5</v>
      </c>
      <c r="R14" s="5">
        <f>INDEX([1]products!$A$1:$G$49,MATCH([1]orders!$D14,[1]products!$A$1:$A$49,0),MATCH([1]orders!K$1,[1]products!$A$1:$G$1,0))</f>
        <v>1</v>
      </c>
      <c r="S14" s="6">
        <f>INDEX([1]products!$A$1:$G$49,MATCH([1]orders!$D14,[1]products!$A$1:$A$49,0),MATCH([1]orders!L$1,[1]products!$A$1:$G$1,0))</f>
        <v>9.9499999999999993</v>
      </c>
      <c r="T14" s="6">
        <f t="shared" si="0"/>
        <v>49.75</v>
      </c>
      <c r="U14" s="22">
        <f t="shared" si="4"/>
        <v>2.9849999999999999</v>
      </c>
      <c r="V14" s="22">
        <f t="shared" si="5"/>
        <v>6</v>
      </c>
    </row>
    <row r="15" spans="1:22" x14ac:dyDescent="0.3">
      <c r="A15" s="1" t="s">
        <v>33</v>
      </c>
      <c r="B15" s="2">
        <v>43973</v>
      </c>
      <c r="C15" s="2" t="str">
        <f t="shared" si="1"/>
        <v>Friday</v>
      </c>
      <c r="D15" s="2" t="str">
        <f t="shared" si="2"/>
        <v>May</v>
      </c>
      <c r="E15" s="2" t="str">
        <f t="shared" si="3"/>
        <v>2020</v>
      </c>
      <c r="F15" s="3" t="s">
        <v>34</v>
      </c>
      <c r="G15" s="3" t="str">
        <f>VLOOKUP(F16,'Customers (2)'!A:I,2,0)</f>
        <v>Patrice Trobe</v>
      </c>
      <c r="H15" s="3" t="str">
        <f>VLOOKUP(F15,'Customers (2)'!A:I,3,0)</f>
        <v>tvanyutind@wix.com</v>
      </c>
      <c r="I15" s="3">
        <f>VLOOKUP(F15,'Customers (2)'!A:I,4,0)</f>
        <v>0</v>
      </c>
      <c r="J15" s="3" t="str">
        <f>VLOOKUP(F15,'Customers (2)'!A:I,6,0)</f>
        <v>Migrate</v>
      </c>
      <c r="K15" s="3" t="str">
        <f>VLOOKUP(F15,'Customers (2)'!A:I,7,0)</f>
        <v>United States</v>
      </c>
      <c r="L15" s="3" t="str">
        <f>VLOOKUP(F15,'Customers (2)'!A:I,9,0)</f>
        <v>No</v>
      </c>
      <c r="M15" s="4" t="s">
        <v>35</v>
      </c>
      <c r="N15" s="4" t="str">
        <f>VLOOKUP(M15,'Products (2)'!A:G,2,0)</f>
        <v>Robusta</v>
      </c>
      <c r="O15" s="4" t="str">
        <f>VLOOKUP(M15,'Products (2)'!A:G,3,0)</f>
        <v>Dark</v>
      </c>
      <c r="P15" s="4">
        <f>VLOOKUP(M15,'Products (2)'!A:G,7,0)</f>
        <v>1.2350999999999999</v>
      </c>
      <c r="Q15" s="3">
        <v>2</v>
      </c>
      <c r="R15" s="5">
        <f>INDEX([1]products!$A$1:$G$49,MATCH([1]orders!$D15,[1]products!$A$1:$A$49,0),MATCH([1]orders!K$1,[1]products!$A$1:$G$1,0))</f>
        <v>2.5</v>
      </c>
      <c r="S15" s="6">
        <f>INDEX([1]products!$A$1:$G$49,MATCH([1]orders!$D15,[1]products!$A$1:$A$49,0),MATCH([1]orders!L$1,[1]products!$A$1:$G$1,0))</f>
        <v>20.584999999999997</v>
      </c>
      <c r="T15" s="6">
        <f t="shared" si="0"/>
        <v>41.169999999999995</v>
      </c>
      <c r="U15" s="22">
        <f t="shared" si="4"/>
        <v>2.4701999999999997</v>
      </c>
      <c r="V15" s="22">
        <f t="shared" si="5"/>
        <v>6.0000000000000009</v>
      </c>
    </row>
    <row r="16" spans="1:22" x14ac:dyDescent="0.3">
      <c r="A16" s="1" t="s">
        <v>36</v>
      </c>
      <c r="B16" s="2">
        <v>44656</v>
      </c>
      <c r="C16" s="2" t="str">
        <f t="shared" si="1"/>
        <v>Tuesday</v>
      </c>
      <c r="D16" s="2" t="str">
        <f t="shared" si="2"/>
        <v>April</v>
      </c>
      <c r="E16" s="2" t="str">
        <f t="shared" si="3"/>
        <v>2022</v>
      </c>
      <c r="F16" s="3" t="s">
        <v>37</v>
      </c>
      <c r="G16" s="3" t="str">
        <f>VLOOKUP(F17,'Customers (2)'!A:I,2,0)</f>
        <v>Llywellyn Oscroft</v>
      </c>
      <c r="H16" s="3" t="str">
        <f>VLOOKUP(F16,'Customers (2)'!A:I,3,0)</f>
        <v>ptrobee@wunderground.com</v>
      </c>
      <c r="I16" s="3" t="str">
        <f>VLOOKUP(F16,'Customers (2)'!A:I,4,0)</f>
        <v>+1 (314) 240-7896</v>
      </c>
      <c r="J16" s="3" t="str">
        <f>VLOOKUP(F16,'Customers (2)'!A:I,6,0)</f>
        <v>Saint Louis</v>
      </c>
      <c r="K16" s="3" t="str">
        <f>VLOOKUP(F16,'Customers (2)'!A:I,7,0)</f>
        <v>United States</v>
      </c>
      <c r="L16" s="3" t="str">
        <f>VLOOKUP(F16,'Customers (2)'!A:I,9,0)</f>
        <v>Yes</v>
      </c>
      <c r="M16" s="4" t="s">
        <v>38</v>
      </c>
      <c r="N16" s="4" t="str">
        <f>VLOOKUP(M16,'Products (2)'!A:G,2,0)</f>
        <v>Liberica</v>
      </c>
      <c r="O16" s="4" t="str">
        <f>VLOOKUP(M16,'Products (2)'!A:G,3,0)</f>
        <v>Dark</v>
      </c>
      <c r="P16" s="4">
        <f>VLOOKUP(M16,'Products (2)'!A:G,7,0)</f>
        <v>0.50505</v>
      </c>
      <c r="Q16" s="3">
        <v>3</v>
      </c>
      <c r="R16" s="5">
        <f>INDEX([1]products!$A$1:$G$49,MATCH([1]orders!$D16,[1]products!$A$1:$A$49,0),MATCH([1]orders!K$1,[1]products!$A$1:$G$1,0))</f>
        <v>0.2</v>
      </c>
      <c r="S16" s="6">
        <f>INDEX([1]products!$A$1:$G$49,MATCH([1]orders!$D16,[1]products!$A$1:$A$49,0),MATCH([1]orders!L$1,[1]products!$A$1:$G$1,0))</f>
        <v>3.8849999999999998</v>
      </c>
      <c r="T16" s="6">
        <f t="shared" si="0"/>
        <v>11.654999999999999</v>
      </c>
      <c r="U16" s="22">
        <f t="shared" si="4"/>
        <v>1.51515</v>
      </c>
      <c r="V16" s="22">
        <f t="shared" si="5"/>
        <v>13</v>
      </c>
    </row>
    <row r="17" spans="1:22" x14ac:dyDescent="0.3">
      <c r="A17" s="1" t="s">
        <v>39</v>
      </c>
      <c r="B17" s="2">
        <v>44719</v>
      </c>
      <c r="C17" s="2" t="str">
        <f t="shared" si="1"/>
        <v>Tuesday</v>
      </c>
      <c r="D17" s="2" t="str">
        <f t="shared" si="2"/>
        <v>June</v>
      </c>
      <c r="E17" s="2" t="str">
        <f t="shared" si="3"/>
        <v>2022</v>
      </c>
      <c r="F17" s="3" t="s">
        <v>40</v>
      </c>
      <c r="G17" s="3" t="str">
        <f>VLOOKUP(F18,'Customers (2)'!A:I,2,0)</f>
        <v>Minni Alabaster</v>
      </c>
      <c r="H17" s="3" t="str">
        <f>VLOOKUP(F17,'Customers (2)'!A:I,3,0)</f>
        <v>loscroftf@ebay.co.uk</v>
      </c>
      <c r="I17" s="3">
        <f>VLOOKUP(F17,'Customers (2)'!A:I,4,0)</f>
        <v>0</v>
      </c>
      <c r="J17" s="3" t="str">
        <f>VLOOKUP(F17,'Customers (2)'!A:I,6,0)</f>
        <v>Philadelphia</v>
      </c>
      <c r="K17" s="3" t="str">
        <f>VLOOKUP(F17,'Customers (2)'!A:I,7,0)</f>
        <v>United States</v>
      </c>
      <c r="L17" s="3" t="str">
        <f>VLOOKUP(F17,'Customers (2)'!A:I,9,0)</f>
        <v>No</v>
      </c>
      <c r="M17" s="4" t="s">
        <v>41</v>
      </c>
      <c r="N17" s="4" t="str">
        <f>VLOOKUP(M17,'Products (2)'!A:G,2,0)</f>
        <v>Robusta</v>
      </c>
      <c r="O17" s="4" t="str">
        <f>VLOOKUP(M17,'Products (2)'!A:G,3,0)</f>
        <v>Medium</v>
      </c>
      <c r="P17" s="4">
        <f>VLOOKUP(M17,'Products (2)'!A:G,7,0)</f>
        <v>1.3730999999999998</v>
      </c>
      <c r="Q17" s="3">
        <v>5</v>
      </c>
      <c r="R17" s="5">
        <f>INDEX([1]products!$A$1:$G$49,MATCH([1]orders!$D17,[1]products!$A$1:$A$49,0),MATCH([1]orders!K$1,[1]products!$A$1:$G$1,0))</f>
        <v>2.5</v>
      </c>
      <c r="S17" s="6">
        <f>INDEX([1]products!$A$1:$G$49,MATCH([1]orders!$D17,[1]products!$A$1:$A$49,0),MATCH([1]orders!L$1,[1]products!$A$1:$G$1,0))</f>
        <v>22.884999999999998</v>
      </c>
      <c r="T17" s="6">
        <f t="shared" si="0"/>
        <v>114.42499999999998</v>
      </c>
      <c r="U17" s="22">
        <f t="shared" si="4"/>
        <v>6.865499999999999</v>
      </c>
      <c r="V17" s="22">
        <f t="shared" si="5"/>
        <v>6</v>
      </c>
    </row>
    <row r="18" spans="1:22" x14ac:dyDescent="0.3">
      <c r="A18" s="1" t="s">
        <v>42</v>
      </c>
      <c r="B18" s="2">
        <v>43544</v>
      </c>
      <c r="C18" s="2" t="str">
        <f t="shared" si="1"/>
        <v>Wednesday</v>
      </c>
      <c r="D18" s="2" t="str">
        <f t="shared" si="2"/>
        <v>March</v>
      </c>
      <c r="E18" s="2" t="str">
        <f t="shared" si="3"/>
        <v>2019</v>
      </c>
      <c r="F18" s="3" t="s">
        <v>43</v>
      </c>
      <c r="G18" s="3" t="str">
        <f>VLOOKUP(F19,'Customers (2)'!A:I,2,0)</f>
        <v>Rhianon Broxup</v>
      </c>
      <c r="H18" s="3" t="str">
        <f>VLOOKUP(F18,'Customers (2)'!A:I,3,0)</f>
        <v>malabasterg@hexun.com</v>
      </c>
      <c r="I18" s="3" t="str">
        <f>VLOOKUP(F18,'Customers (2)'!A:I,4,0)</f>
        <v>+1 (971) 483-6255</v>
      </c>
      <c r="J18" s="3" t="str">
        <f>VLOOKUP(F18,'Customers (2)'!A:I,6,0)</f>
        <v>Portland</v>
      </c>
      <c r="K18" s="3" t="str">
        <f>VLOOKUP(F18,'Customers (2)'!A:I,7,0)</f>
        <v>United States</v>
      </c>
      <c r="L18" s="3" t="str">
        <f>VLOOKUP(F18,'Customers (2)'!A:I,9,0)</f>
        <v>No</v>
      </c>
      <c r="M18" s="4" t="s">
        <v>44</v>
      </c>
      <c r="N18" s="4" t="str">
        <f>VLOOKUP(M18,'Products (2)'!A:G,2,0)</f>
        <v>Arabica</v>
      </c>
      <c r="O18" s="4" t="str">
        <f>VLOOKUP(M18,'Products (2)'!A:G,3,0)</f>
        <v>Medium</v>
      </c>
      <c r="P18" s="4">
        <f>VLOOKUP(M18,'Products (2)'!A:G,7,0)</f>
        <v>0.30374999999999996</v>
      </c>
      <c r="Q18" s="3">
        <v>6</v>
      </c>
      <c r="R18" s="5">
        <f>INDEX([1]products!$A$1:$G$49,MATCH([1]orders!$D18,[1]products!$A$1:$A$49,0),MATCH([1]orders!K$1,[1]products!$A$1:$G$1,0))</f>
        <v>0.2</v>
      </c>
      <c r="S18" s="6">
        <f>INDEX([1]products!$A$1:$G$49,MATCH([1]orders!$D18,[1]products!$A$1:$A$49,0),MATCH([1]orders!L$1,[1]products!$A$1:$G$1,0))</f>
        <v>3.375</v>
      </c>
      <c r="T18" s="6">
        <f t="shared" si="0"/>
        <v>20.25</v>
      </c>
      <c r="U18" s="22">
        <f t="shared" si="4"/>
        <v>1.8224999999999998</v>
      </c>
      <c r="V18" s="22">
        <f t="shared" si="5"/>
        <v>8.9999999999999982</v>
      </c>
    </row>
    <row r="19" spans="1:22" x14ac:dyDescent="0.3">
      <c r="A19" s="1" t="s">
        <v>45</v>
      </c>
      <c r="B19" s="2">
        <v>43757</v>
      </c>
      <c r="C19" s="2" t="str">
        <f t="shared" si="1"/>
        <v>Saturday</v>
      </c>
      <c r="D19" s="2" t="str">
        <f t="shared" si="2"/>
        <v>October</v>
      </c>
      <c r="E19" s="2" t="str">
        <f t="shared" si="3"/>
        <v>2019</v>
      </c>
      <c r="F19" s="3" t="s">
        <v>46</v>
      </c>
      <c r="G19" s="3" t="str">
        <f>VLOOKUP(F20,'Customers (2)'!A:I,2,0)</f>
        <v>Pall Redford</v>
      </c>
      <c r="H19" s="3" t="str">
        <f>VLOOKUP(F19,'Customers (2)'!A:I,3,0)</f>
        <v>rbroxuph@jimdo.com</v>
      </c>
      <c r="I19" s="3" t="str">
        <f>VLOOKUP(F19,'Customers (2)'!A:I,4,0)</f>
        <v>+1 (713) 663-1338</v>
      </c>
      <c r="J19" s="3" t="str">
        <f>VLOOKUP(F19,'Customers (2)'!A:I,6,0)</f>
        <v>Houston</v>
      </c>
      <c r="K19" s="3" t="str">
        <f>VLOOKUP(F19,'Customers (2)'!A:I,7,0)</f>
        <v>United States</v>
      </c>
      <c r="L19" s="3" t="str">
        <f>VLOOKUP(F19,'Customers (2)'!A:I,9,0)</f>
        <v>No</v>
      </c>
      <c r="M19" s="4" t="s">
        <v>6</v>
      </c>
      <c r="N19" s="4" t="str">
        <f>VLOOKUP(M19,'Products (2)'!A:G,2,0)</f>
        <v>Arabica</v>
      </c>
      <c r="O19" s="4" t="str">
        <f>VLOOKUP(M19,'Products (2)'!A:G,3,0)</f>
        <v>Light</v>
      </c>
      <c r="P19" s="4">
        <f>VLOOKUP(M19,'Products (2)'!A:G,7,0)</f>
        <v>1.1655</v>
      </c>
      <c r="Q19" s="3">
        <v>6</v>
      </c>
      <c r="R19" s="5">
        <f>INDEX([1]products!$A$1:$G$49,MATCH([1]orders!$D19,[1]products!$A$1:$A$49,0),MATCH([1]orders!K$1,[1]products!$A$1:$G$1,0))</f>
        <v>1</v>
      </c>
      <c r="S19" s="6">
        <f>INDEX([1]products!$A$1:$G$49,MATCH([1]orders!$D19,[1]products!$A$1:$A$49,0),MATCH([1]orders!L$1,[1]products!$A$1:$G$1,0))</f>
        <v>12.95</v>
      </c>
      <c r="T19" s="6">
        <f t="shared" si="0"/>
        <v>77.699999999999989</v>
      </c>
      <c r="U19" s="22">
        <f t="shared" si="4"/>
        <v>6.9930000000000003</v>
      </c>
      <c r="V19" s="22">
        <f t="shared" si="5"/>
        <v>9.0000000000000018</v>
      </c>
    </row>
    <row r="20" spans="1:22" x14ac:dyDescent="0.3">
      <c r="A20" s="1" t="s">
        <v>47</v>
      </c>
      <c r="B20" s="2">
        <v>43629</v>
      </c>
      <c r="C20" s="2" t="str">
        <f t="shared" si="1"/>
        <v>Thursday</v>
      </c>
      <c r="D20" s="2" t="str">
        <f t="shared" si="2"/>
        <v>June</v>
      </c>
      <c r="E20" s="2" t="str">
        <f t="shared" si="3"/>
        <v>2019</v>
      </c>
      <c r="F20" s="3" t="s">
        <v>48</v>
      </c>
      <c r="G20" s="3" t="str">
        <f>VLOOKUP(F21,'Customers (2)'!A:I,2,0)</f>
        <v>Aurea Corradino</v>
      </c>
      <c r="H20" s="3" t="str">
        <f>VLOOKUP(F20,'Customers (2)'!A:I,3,0)</f>
        <v>predfordi@ow.ly</v>
      </c>
      <c r="I20" s="3">
        <f>VLOOKUP(F20,'Customers (2)'!A:I,4,0)</f>
        <v>0</v>
      </c>
      <c r="J20" s="3" t="str">
        <f>VLOOKUP(F20,'Customers (2)'!A:I,6,0)</f>
        <v>Caherconlish</v>
      </c>
      <c r="K20" s="3" t="str">
        <f>VLOOKUP(F20,'Customers (2)'!A:I,7,0)</f>
        <v>Ireland</v>
      </c>
      <c r="L20" s="3" t="str">
        <f>VLOOKUP(F20,'Customers (2)'!A:I,9,0)</f>
        <v>Yes</v>
      </c>
      <c r="M20" s="4" t="s">
        <v>35</v>
      </c>
      <c r="N20" s="4" t="str">
        <f>VLOOKUP(M20,'Products (2)'!A:G,2,0)</f>
        <v>Robusta</v>
      </c>
      <c r="O20" s="4" t="str">
        <f>VLOOKUP(M20,'Products (2)'!A:G,3,0)</f>
        <v>Dark</v>
      </c>
      <c r="P20" s="4">
        <f>VLOOKUP(M20,'Products (2)'!A:G,7,0)</f>
        <v>1.2350999999999999</v>
      </c>
      <c r="Q20" s="3">
        <v>4</v>
      </c>
      <c r="R20" s="5">
        <f>INDEX([1]products!$A$1:$G$49,MATCH([1]orders!$D20,[1]products!$A$1:$A$49,0),MATCH([1]orders!K$1,[1]products!$A$1:$G$1,0))</f>
        <v>2.5</v>
      </c>
      <c r="S20" s="6">
        <f>INDEX([1]products!$A$1:$G$49,MATCH([1]orders!$D20,[1]products!$A$1:$A$49,0),MATCH([1]orders!L$1,[1]products!$A$1:$G$1,0))</f>
        <v>20.584999999999997</v>
      </c>
      <c r="T20" s="6">
        <f t="shared" si="0"/>
        <v>82.339999999999989</v>
      </c>
      <c r="U20" s="22">
        <f t="shared" si="4"/>
        <v>4.9403999999999995</v>
      </c>
      <c r="V20" s="22">
        <f t="shared" si="5"/>
        <v>6.0000000000000009</v>
      </c>
    </row>
    <row r="21" spans="1:22" x14ac:dyDescent="0.3">
      <c r="A21" s="1" t="s">
        <v>49</v>
      </c>
      <c r="B21" s="2">
        <v>44169</v>
      </c>
      <c r="C21" s="2" t="str">
        <f t="shared" si="1"/>
        <v>Friday</v>
      </c>
      <c r="D21" s="2" t="str">
        <f t="shared" si="2"/>
        <v>December</v>
      </c>
      <c r="E21" s="2" t="str">
        <f t="shared" si="3"/>
        <v>2020</v>
      </c>
      <c r="F21" s="3" t="s">
        <v>50</v>
      </c>
      <c r="G21" s="3" t="str">
        <f>VLOOKUP(F22,'Customers (2)'!A:I,2,0)</f>
        <v>Aurea Corradino</v>
      </c>
      <c r="H21" s="3" t="str">
        <f>VLOOKUP(F21,'Customers (2)'!A:I,3,0)</f>
        <v>acorradinoj@harvard.edu</v>
      </c>
      <c r="I21" s="3" t="str">
        <f>VLOOKUP(F21,'Customers (2)'!A:I,4,0)</f>
        <v>+1 (646) 202-5965</v>
      </c>
      <c r="J21" s="3" t="str">
        <f>VLOOKUP(F21,'Customers (2)'!A:I,6,0)</f>
        <v>New York City</v>
      </c>
      <c r="K21" s="3" t="str">
        <f>VLOOKUP(F21,'Customers (2)'!A:I,7,0)</f>
        <v>United States</v>
      </c>
      <c r="L21" s="3" t="str">
        <f>VLOOKUP(F21,'Customers (2)'!A:I,9,0)</f>
        <v>Yes</v>
      </c>
      <c r="M21" s="4" t="s">
        <v>44</v>
      </c>
      <c r="N21" s="4" t="str">
        <f>VLOOKUP(M21,'Products (2)'!A:G,2,0)</f>
        <v>Arabica</v>
      </c>
      <c r="O21" s="4" t="str">
        <f>VLOOKUP(M21,'Products (2)'!A:G,3,0)</f>
        <v>Medium</v>
      </c>
      <c r="P21" s="4">
        <f>VLOOKUP(M21,'Products (2)'!A:G,7,0)</f>
        <v>0.30374999999999996</v>
      </c>
      <c r="Q21" s="3">
        <v>5</v>
      </c>
      <c r="R21" s="5">
        <f>INDEX([1]products!$A$1:$G$49,MATCH([1]orders!$D21,[1]products!$A$1:$A$49,0),MATCH([1]orders!K$1,[1]products!$A$1:$G$1,0))</f>
        <v>0.2</v>
      </c>
      <c r="S21" s="6">
        <f>INDEX([1]products!$A$1:$G$49,MATCH([1]orders!$D21,[1]products!$A$1:$A$49,0),MATCH([1]orders!L$1,[1]products!$A$1:$G$1,0))</f>
        <v>3.375</v>
      </c>
      <c r="T21" s="6">
        <f t="shared" si="0"/>
        <v>16.875</v>
      </c>
      <c r="U21" s="22">
        <f t="shared" si="4"/>
        <v>1.5187499999999998</v>
      </c>
      <c r="V21" s="22">
        <f t="shared" si="5"/>
        <v>8.9999999999999982</v>
      </c>
    </row>
    <row r="22" spans="1:22" x14ac:dyDescent="0.3">
      <c r="A22" s="1" t="s">
        <v>49</v>
      </c>
      <c r="B22" s="2">
        <v>44169</v>
      </c>
      <c r="C22" s="2" t="str">
        <f t="shared" si="1"/>
        <v>Friday</v>
      </c>
      <c r="D22" s="2" t="str">
        <f t="shared" si="2"/>
        <v>December</v>
      </c>
      <c r="E22" s="2" t="str">
        <f t="shared" si="3"/>
        <v>2020</v>
      </c>
      <c r="F22" s="3" t="s">
        <v>50</v>
      </c>
      <c r="G22" s="3" t="str">
        <f>VLOOKUP(F23,'Customers (2)'!A:I,2,0)</f>
        <v>Avrit Davidowsky</v>
      </c>
      <c r="H22" s="3" t="str">
        <f>VLOOKUP(F22,'Customers (2)'!A:I,3,0)</f>
        <v>acorradinoj@harvard.edu</v>
      </c>
      <c r="I22" s="3" t="str">
        <f>VLOOKUP(F22,'Customers (2)'!A:I,4,0)</f>
        <v>+1 (646) 202-5965</v>
      </c>
      <c r="J22" s="3" t="str">
        <f>VLOOKUP(F22,'Customers (2)'!A:I,6,0)</f>
        <v>New York City</v>
      </c>
      <c r="K22" s="3" t="str">
        <f>VLOOKUP(F22,'Customers (2)'!A:I,7,0)</f>
        <v>United States</v>
      </c>
      <c r="L22" s="3" t="str">
        <f>VLOOKUP(F22,'Customers (2)'!A:I,9,0)</f>
        <v>Yes</v>
      </c>
      <c r="M22" s="4" t="s">
        <v>51</v>
      </c>
      <c r="N22" s="4" t="str">
        <f>VLOOKUP(M22,'Products (2)'!A:G,2,0)</f>
        <v>Excelsa</v>
      </c>
      <c r="O22" s="4" t="str">
        <f>VLOOKUP(M22,'Products (2)'!A:G,3,0)</f>
        <v>Dark</v>
      </c>
      <c r="P22" s="4">
        <f>VLOOKUP(M22,'Products (2)'!A:G,7,0)</f>
        <v>0.40095000000000003</v>
      </c>
      <c r="Q22" s="3">
        <v>4</v>
      </c>
      <c r="R22" s="5">
        <f>INDEX([1]products!$A$1:$G$49,MATCH([1]orders!$D22,[1]products!$A$1:$A$49,0),MATCH([1]orders!K$1,[1]products!$A$1:$G$1,0))</f>
        <v>0.2</v>
      </c>
      <c r="S22" s="6">
        <f>INDEX([1]products!$A$1:$G$49,MATCH([1]orders!$D22,[1]products!$A$1:$A$49,0),MATCH([1]orders!L$1,[1]products!$A$1:$G$1,0))</f>
        <v>3.645</v>
      </c>
      <c r="T22" s="6">
        <f t="shared" si="0"/>
        <v>14.58</v>
      </c>
      <c r="U22" s="22">
        <f t="shared" si="4"/>
        <v>1.6038000000000001</v>
      </c>
      <c r="V22" s="22">
        <f t="shared" si="5"/>
        <v>11</v>
      </c>
    </row>
    <row r="23" spans="1:22" x14ac:dyDescent="0.3">
      <c r="A23" s="1" t="s">
        <v>52</v>
      </c>
      <c r="B23" s="2">
        <v>44169</v>
      </c>
      <c r="C23" s="2" t="str">
        <f t="shared" si="1"/>
        <v>Friday</v>
      </c>
      <c r="D23" s="2" t="str">
        <f t="shared" si="2"/>
        <v>December</v>
      </c>
      <c r="E23" s="2" t="str">
        <f t="shared" si="3"/>
        <v>2020</v>
      </c>
      <c r="F23" s="3" t="s">
        <v>53</v>
      </c>
      <c r="G23" s="3" t="str">
        <f>VLOOKUP(F24,'Customers (2)'!A:I,2,0)</f>
        <v>Annabel Antuk</v>
      </c>
      <c r="H23" s="3" t="str">
        <f>VLOOKUP(F23,'Customers (2)'!A:I,3,0)</f>
        <v>adavidowskyl@netvibes.com</v>
      </c>
      <c r="I23" s="3" t="str">
        <f>VLOOKUP(F23,'Customers (2)'!A:I,4,0)</f>
        <v>+1 (616) 481-9962</v>
      </c>
      <c r="J23" s="3" t="str">
        <f>VLOOKUP(F23,'Customers (2)'!A:I,6,0)</f>
        <v>Grand Rapids</v>
      </c>
      <c r="K23" s="3" t="str">
        <f>VLOOKUP(F23,'Customers (2)'!A:I,7,0)</f>
        <v>United States</v>
      </c>
      <c r="L23" s="3" t="str">
        <f>VLOOKUP(F23,'Customers (2)'!A:I,9,0)</f>
        <v>No</v>
      </c>
      <c r="M23" s="4" t="s">
        <v>54</v>
      </c>
      <c r="N23" s="4" t="str">
        <f>VLOOKUP(M23,'Products (2)'!A:G,2,0)</f>
        <v>Arabica</v>
      </c>
      <c r="O23" s="4" t="str">
        <f>VLOOKUP(M23,'Products (2)'!A:G,3,0)</f>
        <v>Dark</v>
      </c>
      <c r="P23" s="4">
        <f>VLOOKUP(M23,'Products (2)'!A:G,7,0)</f>
        <v>0.26865</v>
      </c>
      <c r="Q23" s="3">
        <v>6</v>
      </c>
      <c r="R23" s="5">
        <f>INDEX([1]products!$A$1:$G$49,MATCH([1]orders!$D23,[1]products!$A$1:$A$49,0),MATCH([1]orders!K$1,[1]products!$A$1:$G$1,0))</f>
        <v>0.2</v>
      </c>
      <c r="S23" s="6">
        <f>INDEX([1]products!$A$1:$G$49,MATCH([1]orders!$D23,[1]products!$A$1:$A$49,0),MATCH([1]orders!L$1,[1]products!$A$1:$G$1,0))</f>
        <v>2.9849999999999999</v>
      </c>
      <c r="T23" s="6">
        <f t="shared" si="0"/>
        <v>17.91</v>
      </c>
      <c r="U23" s="22">
        <f t="shared" si="4"/>
        <v>1.6118999999999999</v>
      </c>
      <c r="V23" s="22">
        <f t="shared" si="5"/>
        <v>9</v>
      </c>
    </row>
    <row r="24" spans="1:22" x14ac:dyDescent="0.3">
      <c r="A24" s="1" t="s">
        <v>55</v>
      </c>
      <c r="B24" s="2">
        <v>44218</v>
      </c>
      <c r="C24" s="2" t="str">
        <f t="shared" si="1"/>
        <v>Friday</v>
      </c>
      <c r="D24" s="2" t="str">
        <f t="shared" si="2"/>
        <v>January</v>
      </c>
      <c r="E24" s="2" t="str">
        <f t="shared" si="3"/>
        <v>2021</v>
      </c>
      <c r="F24" s="3" t="s">
        <v>56</v>
      </c>
      <c r="G24" s="3" t="str">
        <f>VLOOKUP(F25,'Customers (2)'!A:I,2,0)</f>
        <v>Iorgo Kleinert</v>
      </c>
      <c r="H24" s="3" t="str">
        <f>VLOOKUP(F24,'Customers (2)'!A:I,3,0)</f>
        <v>aantukm@kickstarter.com</v>
      </c>
      <c r="I24" s="3" t="str">
        <f>VLOOKUP(F24,'Customers (2)'!A:I,4,0)</f>
        <v>+1 (941) 740-6268</v>
      </c>
      <c r="J24" s="3" t="str">
        <f>VLOOKUP(F24,'Customers (2)'!A:I,6,0)</f>
        <v>Punta Gorda</v>
      </c>
      <c r="K24" s="3" t="str">
        <f>VLOOKUP(F24,'Customers (2)'!A:I,7,0)</f>
        <v>United States</v>
      </c>
      <c r="L24" s="3" t="str">
        <f>VLOOKUP(F24,'Customers (2)'!A:I,9,0)</f>
        <v>Yes</v>
      </c>
      <c r="M24" s="4" t="s">
        <v>41</v>
      </c>
      <c r="N24" s="4" t="str">
        <f>VLOOKUP(M24,'Products (2)'!A:G,2,0)</f>
        <v>Robusta</v>
      </c>
      <c r="O24" s="4" t="str">
        <f>VLOOKUP(M24,'Products (2)'!A:G,3,0)</f>
        <v>Medium</v>
      </c>
      <c r="P24" s="4">
        <f>VLOOKUP(M24,'Products (2)'!A:G,7,0)</f>
        <v>1.3730999999999998</v>
      </c>
      <c r="Q24" s="3">
        <v>4</v>
      </c>
      <c r="R24" s="5">
        <f>INDEX([1]products!$A$1:$G$49,MATCH([1]orders!$D24,[1]products!$A$1:$A$49,0),MATCH([1]orders!K$1,[1]products!$A$1:$G$1,0))</f>
        <v>2.5</v>
      </c>
      <c r="S24" s="6">
        <f>INDEX([1]products!$A$1:$G$49,MATCH([1]orders!$D24,[1]products!$A$1:$A$49,0),MATCH([1]orders!L$1,[1]products!$A$1:$G$1,0))</f>
        <v>22.884999999999998</v>
      </c>
      <c r="T24" s="6">
        <f t="shared" si="0"/>
        <v>91.539999999999992</v>
      </c>
      <c r="U24" s="22">
        <f t="shared" si="4"/>
        <v>5.4923999999999991</v>
      </c>
      <c r="V24" s="22">
        <f t="shared" si="5"/>
        <v>6</v>
      </c>
    </row>
    <row r="25" spans="1:22" x14ac:dyDescent="0.3">
      <c r="A25" s="1" t="s">
        <v>57</v>
      </c>
      <c r="B25" s="2">
        <v>44603</v>
      </c>
      <c r="C25" s="2" t="str">
        <f t="shared" si="1"/>
        <v>Friday</v>
      </c>
      <c r="D25" s="2" t="str">
        <f t="shared" si="2"/>
        <v>February</v>
      </c>
      <c r="E25" s="2" t="str">
        <f t="shared" si="3"/>
        <v>2022</v>
      </c>
      <c r="F25" s="3" t="s">
        <v>58</v>
      </c>
      <c r="G25" s="3" t="str">
        <f>VLOOKUP(F26,'Customers (2)'!A:I,2,0)</f>
        <v>Chrisy Blofeld</v>
      </c>
      <c r="H25" s="3" t="str">
        <f>VLOOKUP(F25,'Customers (2)'!A:I,3,0)</f>
        <v>ikleinertn@timesonline.co.uk</v>
      </c>
      <c r="I25" s="3" t="str">
        <f>VLOOKUP(F25,'Customers (2)'!A:I,4,0)</f>
        <v>+1 (360) 352-6598</v>
      </c>
      <c r="J25" s="3" t="str">
        <f>VLOOKUP(F25,'Customers (2)'!A:I,6,0)</f>
        <v>Vancouver</v>
      </c>
      <c r="K25" s="3" t="str">
        <f>VLOOKUP(F25,'Customers (2)'!A:I,7,0)</f>
        <v>United States</v>
      </c>
      <c r="L25" s="3" t="str">
        <f>VLOOKUP(F25,'Customers (2)'!A:I,9,0)</f>
        <v>Yes</v>
      </c>
      <c r="M25" s="4" t="s">
        <v>54</v>
      </c>
      <c r="N25" s="4" t="str">
        <f>VLOOKUP(M25,'Products (2)'!A:G,2,0)</f>
        <v>Arabica</v>
      </c>
      <c r="O25" s="4" t="str">
        <f>VLOOKUP(M25,'Products (2)'!A:G,3,0)</f>
        <v>Dark</v>
      </c>
      <c r="P25" s="4">
        <f>VLOOKUP(M25,'Products (2)'!A:G,7,0)</f>
        <v>0.26865</v>
      </c>
      <c r="Q25" s="3">
        <v>4</v>
      </c>
      <c r="R25" s="5">
        <f>INDEX([1]products!$A$1:$G$49,MATCH([1]orders!$D25,[1]products!$A$1:$A$49,0),MATCH([1]orders!K$1,[1]products!$A$1:$G$1,0))</f>
        <v>0.2</v>
      </c>
      <c r="S25" s="6">
        <f>INDEX([1]products!$A$1:$G$49,MATCH([1]orders!$D25,[1]products!$A$1:$A$49,0),MATCH([1]orders!L$1,[1]products!$A$1:$G$1,0))</f>
        <v>2.9849999999999999</v>
      </c>
      <c r="T25" s="6">
        <f t="shared" si="0"/>
        <v>11.94</v>
      </c>
      <c r="U25" s="22">
        <f t="shared" si="4"/>
        <v>1.0746</v>
      </c>
      <c r="V25" s="22">
        <f t="shared" si="5"/>
        <v>9.0000000000000018</v>
      </c>
    </row>
    <row r="26" spans="1:22" x14ac:dyDescent="0.3">
      <c r="A26" s="1" t="s">
        <v>59</v>
      </c>
      <c r="B26" s="2">
        <v>44454</v>
      </c>
      <c r="C26" s="2" t="str">
        <f t="shared" si="1"/>
        <v>Wednesday</v>
      </c>
      <c r="D26" s="2" t="str">
        <f t="shared" si="2"/>
        <v>September</v>
      </c>
      <c r="E26" s="2" t="str">
        <f t="shared" si="3"/>
        <v>2021</v>
      </c>
      <c r="F26" s="3" t="s">
        <v>60</v>
      </c>
      <c r="G26" s="3" t="str">
        <f>VLOOKUP(F27,'Customers (2)'!A:I,2,0)</f>
        <v>Culley Farris</v>
      </c>
      <c r="H26" s="3" t="str">
        <f>VLOOKUP(F26,'Customers (2)'!A:I,3,0)</f>
        <v>cblofeldo@amazon.co.uk</v>
      </c>
      <c r="I26" s="3" t="str">
        <f>VLOOKUP(F26,'Customers (2)'!A:I,4,0)</f>
        <v>+1 (303) 936-3357</v>
      </c>
      <c r="J26" s="3" t="str">
        <f>VLOOKUP(F26,'Customers (2)'!A:I,6,0)</f>
        <v>Englewood</v>
      </c>
      <c r="K26" s="3" t="str">
        <f>VLOOKUP(F26,'Customers (2)'!A:I,7,0)</f>
        <v>United States</v>
      </c>
      <c r="L26" s="3" t="str">
        <f>VLOOKUP(F26,'Customers (2)'!A:I,9,0)</f>
        <v>No</v>
      </c>
      <c r="M26" s="4" t="s">
        <v>61</v>
      </c>
      <c r="N26" s="4" t="str">
        <f>VLOOKUP(M26,'Products (2)'!A:G,2,0)</f>
        <v>Arabica</v>
      </c>
      <c r="O26" s="4" t="str">
        <f>VLOOKUP(M26,'Products (2)'!A:G,3,0)</f>
        <v>Medium</v>
      </c>
      <c r="P26" s="4">
        <f>VLOOKUP(M26,'Products (2)'!A:G,7,0)</f>
        <v>1.0125</v>
      </c>
      <c r="Q26" s="3">
        <v>1</v>
      </c>
      <c r="R26" s="5">
        <f>INDEX([1]products!$A$1:$G$49,MATCH([1]orders!$D26,[1]products!$A$1:$A$49,0),MATCH([1]orders!K$1,[1]products!$A$1:$G$1,0))</f>
        <v>1</v>
      </c>
      <c r="S26" s="6">
        <f>INDEX([1]products!$A$1:$G$49,MATCH([1]orders!$D26,[1]products!$A$1:$A$49,0),MATCH([1]orders!L$1,[1]products!$A$1:$G$1,0))</f>
        <v>11.25</v>
      </c>
      <c r="T26" s="6">
        <f t="shared" si="0"/>
        <v>11.25</v>
      </c>
      <c r="U26" s="22">
        <f t="shared" si="4"/>
        <v>1.0125</v>
      </c>
      <c r="V26" s="22">
        <f t="shared" si="5"/>
        <v>9</v>
      </c>
    </row>
    <row r="27" spans="1:22" x14ac:dyDescent="0.3">
      <c r="A27" s="1" t="s">
        <v>62</v>
      </c>
      <c r="B27" s="2">
        <v>44128</v>
      </c>
      <c r="C27" s="2" t="str">
        <f t="shared" si="1"/>
        <v>Saturday</v>
      </c>
      <c r="D27" s="2" t="str">
        <f t="shared" si="2"/>
        <v>October</v>
      </c>
      <c r="E27" s="2" t="str">
        <f t="shared" si="3"/>
        <v>2020</v>
      </c>
      <c r="F27" s="3" t="s">
        <v>63</v>
      </c>
      <c r="G27" s="3" t="str">
        <f>VLOOKUP(F28,'Customers (2)'!A:I,2,0)</f>
        <v>Selene Shales</v>
      </c>
      <c r="H27" s="3">
        <f>VLOOKUP(F27,'Customers (2)'!A:I,3,0)</f>
        <v>0</v>
      </c>
      <c r="I27" s="3" t="str">
        <f>VLOOKUP(F27,'Customers (2)'!A:I,4,0)</f>
        <v>+1 (941) 267-4822</v>
      </c>
      <c r="J27" s="3" t="str">
        <f>VLOOKUP(F27,'Customers (2)'!A:I,6,0)</f>
        <v>Punta Gorda</v>
      </c>
      <c r="K27" s="3" t="str">
        <f>VLOOKUP(F27,'Customers (2)'!A:I,7,0)</f>
        <v>United States</v>
      </c>
      <c r="L27" s="3" t="str">
        <f>VLOOKUP(F27,'Customers (2)'!A:I,9,0)</f>
        <v>Yes</v>
      </c>
      <c r="M27" s="4" t="s">
        <v>64</v>
      </c>
      <c r="N27" s="4" t="str">
        <f>VLOOKUP(M27,'Products (2)'!A:G,2,0)</f>
        <v>Excelsa</v>
      </c>
      <c r="O27" s="4" t="str">
        <f>VLOOKUP(M27,'Products (2)'!A:G,3,0)</f>
        <v>Medium</v>
      </c>
      <c r="P27" s="4">
        <f>VLOOKUP(M27,'Products (2)'!A:G,7,0)</f>
        <v>0.45374999999999999</v>
      </c>
      <c r="Q27" s="3">
        <v>3</v>
      </c>
      <c r="R27" s="5">
        <f>INDEX([1]products!$A$1:$G$49,MATCH([1]orders!$D27,[1]products!$A$1:$A$49,0),MATCH([1]orders!K$1,[1]products!$A$1:$G$1,0))</f>
        <v>0.2</v>
      </c>
      <c r="S27" s="6">
        <f>INDEX([1]products!$A$1:$G$49,MATCH([1]orders!$D27,[1]products!$A$1:$A$49,0),MATCH([1]orders!L$1,[1]products!$A$1:$G$1,0))</f>
        <v>4.125</v>
      </c>
      <c r="T27" s="6">
        <f t="shared" si="0"/>
        <v>12.375</v>
      </c>
      <c r="U27" s="22">
        <f t="shared" si="4"/>
        <v>1.3612500000000001</v>
      </c>
      <c r="V27" s="22">
        <f t="shared" si="5"/>
        <v>11</v>
      </c>
    </row>
    <row r="28" spans="1:22" x14ac:dyDescent="0.3">
      <c r="A28" s="1" t="s">
        <v>65</v>
      </c>
      <c r="B28" s="2">
        <v>43516</v>
      </c>
      <c r="C28" s="2" t="str">
        <f t="shared" si="1"/>
        <v>Wednesday</v>
      </c>
      <c r="D28" s="2" t="str">
        <f t="shared" si="2"/>
        <v>February</v>
      </c>
      <c r="E28" s="2" t="str">
        <f t="shared" si="3"/>
        <v>2019</v>
      </c>
      <c r="F28" s="3" t="s">
        <v>66</v>
      </c>
      <c r="G28" s="3" t="str">
        <f>VLOOKUP(F29,'Customers (2)'!A:I,2,0)</f>
        <v>Vivie Danneil</v>
      </c>
      <c r="H28" s="3" t="str">
        <f>VLOOKUP(F28,'Customers (2)'!A:I,3,0)</f>
        <v>sshalesq@umich.edu</v>
      </c>
      <c r="I28" s="3" t="str">
        <f>VLOOKUP(F28,'Customers (2)'!A:I,4,0)</f>
        <v>+1 (707) 881-5004</v>
      </c>
      <c r="J28" s="3" t="str">
        <f>VLOOKUP(F28,'Customers (2)'!A:I,6,0)</f>
        <v>Petaluma</v>
      </c>
      <c r="K28" s="3" t="str">
        <f>VLOOKUP(F28,'Customers (2)'!A:I,7,0)</f>
        <v>United States</v>
      </c>
      <c r="L28" s="3" t="str">
        <f>VLOOKUP(F28,'Customers (2)'!A:I,9,0)</f>
        <v>Yes</v>
      </c>
      <c r="M28" s="4" t="s">
        <v>67</v>
      </c>
      <c r="N28" s="4" t="str">
        <f>VLOOKUP(M28,'Products (2)'!A:G,2,0)</f>
        <v>Arabica</v>
      </c>
      <c r="O28" s="4" t="str">
        <f>VLOOKUP(M28,'Products (2)'!A:G,3,0)</f>
        <v>Medium</v>
      </c>
      <c r="P28" s="4">
        <f>VLOOKUP(M28,'Products (2)'!A:G,7,0)</f>
        <v>0.60749999999999993</v>
      </c>
      <c r="Q28" s="3">
        <v>4</v>
      </c>
      <c r="R28" s="5">
        <f>INDEX([1]products!$A$1:$G$49,MATCH([1]orders!$D28,[1]products!$A$1:$A$49,0),MATCH([1]orders!K$1,[1]products!$A$1:$G$1,0))</f>
        <v>0.5</v>
      </c>
      <c r="S28" s="6">
        <f>INDEX([1]products!$A$1:$G$49,MATCH([1]orders!$D28,[1]products!$A$1:$A$49,0),MATCH([1]orders!L$1,[1]products!$A$1:$G$1,0))</f>
        <v>6.75</v>
      </c>
      <c r="T28" s="6">
        <f t="shared" si="0"/>
        <v>27</v>
      </c>
      <c r="U28" s="22">
        <f t="shared" si="4"/>
        <v>2.4299999999999997</v>
      </c>
      <c r="V28" s="22">
        <f t="shared" si="5"/>
        <v>8.9999999999999982</v>
      </c>
    </row>
    <row r="29" spans="1:22" x14ac:dyDescent="0.3">
      <c r="A29" s="1" t="s">
        <v>68</v>
      </c>
      <c r="B29" s="2">
        <v>43746</v>
      </c>
      <c r="C29" s="2" t="str">
        <f t="shared" si="1"/>
        <v>Tuesday</v>
      </c>
      <c r="D29" s="2" t="str">
        <f t="shared" si="2"/>
        <v>October</v>
      </c>
      <c r="E29" s="2" t="str">
        <f t="shared" si="3"/>
        <v>2019</v>
      </c>
      <c r="F29" s="3" t="s">
        <v>69</v>
      </c>
      <c r="G29" s="3" t="str">
        <f>VLOOKUP(F30,'Customers (2)'!A:I,2,0)</f>
        <v>Theresita Newbury</v>
      </c>
      <c r="H29" s="3" t="str">
        <f>VLOOKUP(F29,'Customers (2)'!A:I,3,0)</f>
        <v>vdanneilr@mtv.com</v>
      </c>
      <c r="I29" s="3" t="str">
        <f>VLOOKUP(F29,'Customers (2)'!A:I,4,0)</f>
        <v>+353 (751) 346-0399</v>
      </c>
      <c r="J29" s="3" t="str">
        <f>VLOOKUP(F29,'Customers (2)'!A:I,6,0)</f>
        <v>Tralee</v>
      </c>
      <c r="K29" s="3" t="str">
        <f>VLOOKUP(F29,'Customers (2)'!A:I,7,0)</f>
        <v>Ireland</v>
      </c>
      <c r="L29" s="3" t="str">
        <f>VLOOKUP(F29,'Customers (2)'!A:I,9,0)</f>
        <v>No</v>
      </c>
      <c r="M29" s="4" t="s">
        <v>44</v>
      </c>
      <c r="N29" s="4" t="str">
        <f>VLOOKUP(M29,'Products (2)'!A:G,2,0)</f>
        <v>Arabica</v>
      </c>
      <c r="O29" s="4" t="str">
        <f>VLOOKUP(M29,'Products (2)'!A:G,3,0)</f>
        <v>Medium</v>
      </c>
      <c r="P29" s="4">
        <f>VLOOKUP(M29,'Products (2)'!A:G,7,0)</f>
        <v>0.30374999999999996</v>
      </c>
      <c r="Q29" s="3">
        <v>5</v>
      </c>
      <c r="R29" s="5">
        <f>INDEX([1]products!$A$1:$G$49,MATCH([1]orders!$D29,[1]products!$A$1:$A$49,0),MATCH([1]orders!K$1,[1]products!$A$1:$G$1,0))</f>
        <v>0.2</v>
      </c>
      <c r="S29" s="6">
        <f>INDEX([1]products!$A$1:$G$49,MATCH([1]orders!$D29,[1]products!$A$1:$A$49,0),MATCH([1]orders!L$1,[1]products!$A$1:$G$1,0))</f>
        <v>3.375</v>
      </c>
      <c r="T29" s="6">
        <f t="shared" si="0"/>
        <v>16.875</v>
      </c>
      <c r="U29" s="22">
        <f t="shared" si="4"/>
        <v>1.5187499999999998</v>
      </c>
      <c r="V29" s="22">
        <f t="shared" si="5"/>
        <v>8.9999999999999982</v>
      </c>
    </row>
    <row r="30" spans="1:22" x14ac:dyDescent="0.3">
      <c r="A30" s="1" t="s">
        <v>70</v>
      </c>
      <c r="B30" s="2">
        <v>44775</v>
      </c>
      <c r="C30" s="2" t="str">
        <f t="shared" si="1"/>
        <v>Tuesday</v>
      </c>
      <c r="D30" s="2" t="str">
        <f t="shared" si="2"/>
        <v>August</v>
      </c>
      <c r="E30" s="2" t="str">
        <f t="shared" si="3"/>
        <v>2022</v>
      </c>
      <c r="F30" s="3" t="s">
        <v>71</v>
      </c>
      <c r="G30" s="3" t="str">
        <f>VLOOKUP(F31,'Customers (2)'!A:I,2,0)</f>
        <v>Mozelle Calcutt</v>
      </c>
      <c r="H30" s="3" t="str">
        <f>VLOOKUP(F30,'Customers (2)'!A:I,3,0)</f>
        <v>tnewburys@usda.gov</v>
      </c>
      <c r="I30" s="3" t="str">
        <f>VLOOKUP(F30,'Customers (2)'!A:I,4,0)</f>
        <v>+353 (803) 587-0026</v>
      </c>
      <c r="J30" s="3" t="str">
        <f>VLOOKUP(F30,'Customers (2)'!A:I,6,0)</f>
        <v>Clonskeagh</v>
      </c>
      <c r="K30" s="3" t="str">
        <f>VLOOKUP(F30,'Customers (2)'!A:I,7,0)</f>
        <v>Ireland</v>
      </c>
      <c r="L30" s="3" t="str">
        <f>VLOOKUP(F30,'Customers (2)'!A:I,9,0)</f>
        <v>No</v>
      </c>
      <c r="M30" s="4" t="s">
        <v>72</v>
      </c>
      <c r="N30" s="4" t="str">
        <f>VLOOKUP(M30,'Products (2)'!A:G,2,0)</f>
        <v>Arabica</v>
      </c>
      <c r="O30" s="4" t="str">
        <f>VLOOKUP(M30,'Products (2)'!A:G,3,0)</f>
        <v>Dark</v>
      </c>
      <c r="P30" s="4">
        <f>VLOOKUP(M30,'Products (2)'!A:G,7,0)</f>
        <v>0.5373</v>
      </c>
      <c r="Q30" s="3">
        <v>3</v>
      </c>
      <c r="R30" s="5">
        <f>INDEX([1]products!$A$1:$G$49,MATCH([1]orders!$D30,[1]products!$A$1:$A$49,0),MATCH([1]orders!K$1,[1]products!$A$1:$G$1,0))</f>
        <v>0.5</v>
      </c>
      <c r="S30" s="6">
        <f>INDEX([1]products!$A$1:$G$49,MATCH([1]orders!$D30,[1]products!$A$1:$A$49,0),MATCH([1]orders!L$1,[1]products!$A$1:$G$1,0))</f>
        <v>5.97</v>
      </c>
      <c r="T30" s="6">
        <f t="shared" si="0"/>
        <v>17.91</v>
      </c>
      <c r="U30" s="22">
        <f t="shared" si="4"/>
        <v>1.6118999999999999</v>
      </c>
      <c r="V30" s="22">
        <f t="shared" si="5"/>
        <v>9</v>
      </c>
    </row>
    <row r="31" spans="1:22" x14ac:dyDescent="0.3">
      <c r="A31" s="1" t="s">
        <v>73</v>
      </c>
      <c r="B31" s="2">
        <v>43516</v>
      </c>
      <c r="C31" s="2" t="str">
        <f t="shared" si="1"/>
        <v>Wednesday</v>
      </c>
      <c r="D31" s="2" t="str">
        <f t="shared" si="2"/>
        <v>February</v>
      </c>
      <c r="E31" s="2" t="str">
        <f t="shared" si="3"/>
        <v>2019</v>
      </c>
      <c r="F31" s="3" t="s">
        <v>74</v>
      </c>
      <c r="G31" s="3" t="str">
        <f>VLOOKUP(F32,'Customers (2)'!A:I,2,0)</f>
        <v>Adrian Swaine</v>
      </c>
      <c r="H31" s="3" t="str">
        <f>VLOOKUP(F31,'Customers (2)'!A:I,3,0)</f>
        <v>mcalcuttt@baidu.com</v>
      </c>
      <c r="I31" s="3" t="str">
        <f>VLOOKUP(F31,'Customers (2)'!A:I,4,0)</f>
        <v>+353 (928) 869-1762</v>
      </c>
      <c r="J31" s="3" t="str">
        <f>VLOOKUP(F31,'Customers (2)'!A:I,6,0)</f>
        <v>Rathwire</v>
      </c>
      <c r="K31" s="3" t="str">
        <f>VLOOKUP(F31,'Customers (2)'!A:I,7,0)</f>
        <v>Ireland</v>
      </c>
      <c r="L31" s="3" t="str">
        <f>VLOOKUP(F31,'Customers (2)'!A:I,9,0)</f>
        <v>Yes</v>
      </c>
      <c r="M31" s="4" t="s">
        <v>27</v>
      </c>
      <c r="N31" s="4" t="str">
        <f>VLOOKUP(M31,'Products (2)'!A:G,2,0)</f>
        <v>Arabica</v>
      </c>
      <c r="O31" s="4" t="str">
        <f>VLOOKUP(M31,'Products (2)'!A:G,3,0)</f>
        <v>Dark</v>
      </c>
      <c r="P31" s="4">
        <f>VLOOKUP(M31,'Products (2)'!A:G,7,0)</f>
        <v>0.89549999999999985</v>
      </c>
      <c r="Q31" s="3">
        <v>4</v>
      </c>
      <c r="R31" s="5">
        <f>INDEX([1]products!$A$1:$G$49,MATCH([1]orders!$D31,[1]products!$A$1:$A$49,0),MATCH([1]orders!K$1,[1]products!$A$1:$G$1,0))</f>
        <v>1</v>
      </c>
      <c r="S31" s="6">
        <f>INDEX([1]products!$A$1:$G$49,MATCH([1]orders!$D31,[1]products!$A$1:$A$49,0),MATCH([1]orders!L$1,[1]products!$A$1:$G$1,0))</f>
        <v>9.9499999999999993</v>
      </c>
      <c r="T31" s="6">
        <f t="shared" si="0"/>
        <v>39.799999999999997</v>
      </c>
      <c r="U31" s="22">
        <f t="shared" si="4"/>
        <v>3.5819999999999994</v>
      </c>
      <c r="V31" s="22">
        <f t="shared" si="5"/>
        <v>9</v>
      </c>
    </row>
    <row r="32" spans="1:22" x14ac:dyDescent="0.3">
      <c r="A32" s="1" t="s">
        <v>75</v>
      </c>
      <c r="B32" s="2">
        <v>44464</v>
      </c>
      <c r="C32" s="2" t="str">
        <f t="shared" si="1"/>
        <v>Saturday</v>
      </c>
      <c r="D32" s="2" t="str">
        <f t="shared" si="2"/>
        <v>September</v>
      </c>
      <c r="E32" s="2" t="str">
        <f t="shared" si="3"/>
        <v>2021</v>
      </c>
      <c r="F32" s="3" t="s">
        <v>76</v>
      </c>
      <c r="G32" s="3" t="str">
        <f>VLOOKUP(F33,'Customers (2)'!A:I,2,0)</f>
        <v>Adrian Swaine</v>
      </c>
      <c r="H32" s="3">
        <f>VLOOKUP(F32,'Customers (2)'!A:I,3,0)</f>
        <v>0</v>
      </c>
      <c r="I32" s="3" t="str">
        <f>VLOOKUP(F32,'Customers (2)'!A:I,4,0)</f>
        <v>+1 (303) 486-9517</v>
      </c>
      <c r="J32" s="3" t="str">
        <f>VLOOKUP(F32,'Customers (2)'!A:I,6,0)</f>
        <v>Aurora</v>
      </c>
      <c r="K32" s="3" t="str">
        <f>VLOOKUP(F32,'Customers (2)'!A:I,7,0)</f>
        <v>United States</v>
      </c>
      <c r="L32" s="3" t="str">
        <f>VLOOKUP(F32,'Customers (2)'!A:I,9,0)</f>
        <v>No</v>
      </c>
      <c r="M32" s="4" t="s">
        <v>77</v>
      </c>
      <c r="N32" s="4" t="str">
        <f>VLOOKUP(M32,'Products (2)'!A:G,2,0)</f>
        <v>Liberica</v>
      </c>
      <c r="O32" s="4" t="str">
        <f>VLOOKUP(M32,'Products (2)'!A:G,3,0)</f>
        <v>Medium</v>
      </c>
      <c r="P32" s="4">
        <f>VLOOKUP(M32,'Products (2)'!A:G,7,0)</f>
        <v>0.56745000000000001</v>
      </c>
      <c r="Q32" s="3">
        <v>5</v>
      </c>
      <c r="R32" s="5">
        <f>INDEX([1]products!$A$1:$G$49,MATCH([1]orders!$D32,[1]products!$A$1:$A$49,0),MATCH([1]orders!K$1,[1]products!$A$1:$G$1,0))</f>
        <v>0.2</v>
      </c>
      <c r="S32" s="6">
        <f>INDEX([1]products!$A$1:$G$49,MATCH([1]orders!$D32,[1]products!$A$1:$A$49,0),MATCH([1]orders!L$1,[1]products!$A$1:$G$1,0))</f>
        <v>4.3650000000000002</v>
      </c>
      <c r="T32" s="6">
        <f t="shared" si="0"/>
        <v>21.825000000000003</v>
      </c>
      <c r="U32" s="22">
        <f t="shared" si="4"/>
        <v>2.83725</v>
      </c>
      <c r="V32" s="22">
        <f t="shared" si="5"/>
        <v>12.999999999999998</v>
      </c>
    </row>
    <row r="33" spans="1:22" x14ac:dyDescent="0.3">
      <c r="A33" s="1" t="s">
        <v>75</v>
      </c>
      <c r="B33" s="2">
        <v>44464</v>
      </c>
      <c r="C33" s="2" t="str">
        <f t="shared" si="1"/>
        <v>Saturday</v>
      </c>
      <c r="D33" s="2" t="str">
        <f t="shared" si="2"/>
        <v>September</v>
      </c>
      <c r="E33" s="2" t="str">
        <f t="shared" si="3"/>
        <v>2021</v>
      </c>
      <c r="F33" s="3" t="s">
        <v>76</v>
      </c>
      <c r="G33" s="3" t="str">
        <f>VLOOKUP(F34,'Customers (2)'!A:I,2,0)</f>
        <v>Adrian Swaine</v>
      </c>
      <c r="H33" s="3">
        <f>VLOOKUP(F33,'Customers (2)'!A:I,3,0)</f>
        <v>0</v>
      </c>
      <c r="I33" s="3" t="str">
        <f>VLOOKUP(F33,'Customers (2)'!A:I,4,0)</f>
        <v>+1 (303) 486-9517</v>
      </c>
      <c r="J33" s="3" t="str">
        <f>VLOOKUP(F33,'Customers (2)'!A:I,6,0)</f>
        <v>Aurora</v>
      </c>
      <c r="K33" s="3" t="str">
        <f>VLOOKUP(F33,'Customers (2)'!A:I,7,0)</f>
        <v>United States</v>
      </c>
      <c r="L33" s="3" t="str">
        <f>VLOOKUP(F33,'Customers (2)'!A:I,9,0)</f>
        <v>No</v>
      </c>
      <c r="M33" s="4" t="s">
        <v>72</v>
      </c>
      <c r="N33" s="4" t="str">
        <f>VLOOKUP(M33,'Products (2)'!A:G,2,0)</f>
        <v>Arabica</v>
      </c>
      <c r="O33" s="4" t="str">
        <f>VLOOKUP(M33,'Products (2)'!A:G,3,0)</f>
        <v>Dark</v>
      </c>
      <c r="P33" s="4">
        <f>VLOOKUP(M33,'Products (2)'!A:G,7,0)</f>
        <v>0.5373</v>
      </c>
      <c r="Q33" s="3">
        <v>6</v>
      </c>
      <c r="R33" s="5">
        <f>INDEX([1]products!$A$1:$G$49,MATCH([1]orders!$D33,[1]products!$A$1:$A$49,0),MATCH([1]orders!K$1,[1]products!$A$1:$G$1,0))</f>
        <v>0.5</v>
      </c>
      <c r="S33" s="6">
        <f>INDEX([1]products!$A$1:$G$49,MATCH([1]orders!$D33,[1]products!$A$1:$A$49,0),MATCH([1]orders!L$1,[1]products!$A$1:$G$1,0))</f>
        <v>5.97</v>
      </c>
      <c r="T33" s="6">
        <f t="shared" si="0"/>
        <v>35.82</v>
      </c>
      <c r="U33" s="22">
        <f t="shared" si="4"/>
        <v>3.2237999999999998</v>
      </c>
      <c r="V33" s="22">
        <f t="shared" si="5"/>
        <v>9</v>
      </c>
    </row>
    <row r="34" spans="1:22" x14ac:dyDescent="0.3">
      <c r="A34" s="1" t="s">
        <v>75</v>
      </c>
      <c r="B34" s="2">
        <v>44464</v>
      </c>
      <c r="C34" s="2" t="str">
        <f t="shared" si="1"/>
        <v>Saturday</v>
      </c>
      <c r="D34" s="2" t="str">
        <f t="shared" si="2"/>
        <v>September</v>
      </c>
      <c r="E34" s="2" t="str">
        <f t="shared" si="3"/>
        <v>2021</v>
      </c>
      <c r="F34" s="3" t="s">
        <v>76</v>
      </c>
      <c r="G34" s="3" t="str">
        <f>VLOOKUP(F35,'Customers (2)'!A:I,2,0)</f>
        <v>Gallard Gatheral</v>
      </c>
      <c r="H34" s="3">
        <f>VLOOKUP(F34,'Customers (2)'!A:I,3,0)</f>
        <v>0</v>
      </c>
      <c r="I34" s="3" t="str">
        <f>VLOOKUP(F34,'Customers (2)'!A:I,4,0)</f>
        <v>+1 (303) 486-9517</v>
      </c>
      <c r="J34" s="3" t="str">
        <f>VLOOKUP(F34,'Customers (2)'!A:I,6,0)</f>
        <v>Aurora</v>
      </c>
      <c r="K34" s="3" t="str">
        <f>VLOOKUP(F34,'Customers (2)'!A:I,7,0)</f>
        <v>United States</v>
      </c>
      <c r="L34" s="3" t="str">
        <f>VLOOKUP(F34,'Customers (2)'!A:I,9,0)</f>
        <v>No</v>
      </c>
      <c r="M34" s="4" t="s">
        <v>78</v>
      </c>
      <c r="N34" s="4" t="str">
        <f>VLOOKUP(M34,'Products (2)'!A:G,2,0)</f>
        <v>Liberica</v>
      </c>
      <c r="O34" s="4" t="str">
        <f>VLOOKUP(M34,'Products (2)'!A:G,3,0)</f>
        <v>Medium</v>
      </c>
      <c r="P34" s="4">
        <f>VLOOKUP(M34,'Products (2)'!A:G,7,0)</f>
        <v>1.1349</v>
      </c>
      <c r="Q34" s="3">
        <v>6</v>
      </c>
      <c r="R34" s="5">
        <f>INDEX([1]products!$A$1:$G$49,MATCH([1]orders!$D34,[1]products!$A$1:$A$49,0),MATCH([1]orders!K$1,[1]products!$A$1:$G$1,0))</f>
        <v>0.5</v>
      </c>
      <c r="S34" s="6">
        <f>INDEX([1]products!$A$1:$G$49,MATCH([1]orders!$D34,[1]products!$A$1:$A$49,0),MATCH([1]orders!L$1,[1]products!$A$1:$G$1,0))</f>
        <v>8.73</v>
      </c>
      <c r="T34" s="6">
        <f t="shared" si="0"/>
        <v>52.38</v>
      </c>
      <c r="U34" s="22">
        <f t="shared" si="4"/>
        <v>6.8094000000000001</v>
      </c>
      <c r="V34" s="22">
        <f t="shared" si="5"/>
        <v>13</v>
      </c>
    </row>
    <row r="35" spans="1:22" x14ac:dyDescent="0.3">
      <c r="A35" s="1" t="s">
        <v>79</v>
      </c>
      <c r="B35" s="2">
        <v>44394</v>
      </c>
      <c r="C35" s="2" t="str">
        <f t="shared" si="1"/>
        <v>Saturday</v>
      </c>
      <c r="D35" s="2" t="str">
        <f t="shared" si="2"/>
        <v>July</v>
      </c>
      <c r="E35" s="2" t="str">
        <f t="shared" si="3"/>
        <v>2021</v>
      </c>
      <c r="F35" s="3" t="s">
        <v>80</v>
      </c>
      <c r="G35" s="3" t="str">
        <f>VLOOKUP(F36,'Customers (2)'!A:I,2,0)</f>
        <v>Una Welberry</v>
      </c>
      <c r="H35" s="3" t="str">
        <f>VLOOKUP(F35,'Customers (2)'!A:I,3,0)</f>
        <v>ggatheralx@123-reg.co.uk</v>
      </c>
      <c r="I35" s="3">
        <f>VLOOKUP(F35,'Customers (2)'!A:I,4,0)</f>
        <v>0</v>
      </c>
      <c r="J35" s="3" t="str">
        <f>VLOOKUP(F35,'Customers (2)'!A:I,6,0)</f>
        <v>Grand Forks</v>
      </c>
      <c r="K35" s="3" t="str">
        <f>VLOOKUP(F35,'Customers (2)'!A:I,7,0)</f>
        <v>United States</v>
      </c>
      <c r="L35" s="3" t="str">
        <f>VLOOKUP(F35,'Customers (2)'!A:I,9,0)</f>
        <v>No</v>
      </c>
      <c r="M35" s="4" t="s">
        <v>19</v>
      </c>
      <c r="N35" s="4" t="str">
        <f>VLOOKUP(M35,'Products (2)'!A:G,2,0)</f>
        <v>Liberica</v>
      </c>
      <c r="O35" s="4" t="str">
        <f>VLOOKUP(M35,'Products (2)'!A:G,3,0)</f>
        <v>Light</v>
      </c>
      <c r="P35" s="4">
        <f>VLOOKUP(M35,'Products (2)'!A:G,7,0)</f>
        <v>0.61814999999999998</v>
      </c>
      <c r="Q35" s="3">
        <v>5</v>
      </c>
      <c r="R35" s="5">
        <f>INDEX([1]products!$A$1:$G$49,MATCH([1]orders!$D35,[1]products!$A$1:$A$49,0),MATCH([1]orders!K$1,[1]products!$A$1:$G$1,0))</f>
        <v>0.2</v>
      </c>
      <c r="S35" s="6">
        <f>INDEX([1]products!$A$1:$G$49,MATCH([1]orders!$D35,[1]products!$A$1:$A$49,0),MATCH([1]orders!L$1,[1]products!$A$1:$G$1,0))</f>
        <v>4.7549999999999999</v>
      </c>
      <c r="T35" s="6">
        <f t="shared" si="0"/>
        <v>23.774999999999999</v>
      </c>
      <c r="U35" s="22">
        <f t="shared" si="4"/>
        <v>3.0907499999999999</v>
      </c>
      <c r="V35" s="22">
        <f t="shared" si="5"/>
        <v>13</v>
      </c>
    </row>
    <row r="36" spans="1:22" x14ac:dyDescent="0.3">
      <c r="A36" s="1" t="s">
        <v>81</v>
      </c>
      <c r="B36" s="2">
        <v>44011</v>
      </c>
      <c r="C36" s="2" t="str">
        <f t="shared" si="1"/>
        <v>Monday</v>
      </c>
      <c r="D36" s="2" t="str">
        <f t="shared" si="2"/>
        <v>June</v>
      </c>
      <c r="E36" s="2" t="str">
        <f t="shared" si="3"/>
        <v>2020</v>
      </c>
      <c r="F36" s="3" t="s">
        <v>82</v>
      </c>
      <c r="G36" s="3" t="str">
        <f>VLOOKUP(F37,'Customers (2)'!A:I,2,0)</f>
        <v>Faber Eilhart</v>
      </c>
      <c r="H36" s="3" t="str">
        <f>VLOOKUP(F36,'Customers (2)'!A:I,3,0)</f>
        <v>uwelberryy@ebay.co.uk</v>
      </c>
      <c r="I36" s="3" t="str">
        <f>VLOOKUP(F36,'Customers (2)'!A:I,4,0)</f>
        <v>+44 (392) 503-8132</v>
      </c>
      <c r="J36" s="3" t="str">
        <f>VLOOKUP(F36,'Customers (2)'!A:I,6,0)</f>
        <v>Upton</v>
      </c>
      <c r="K36" s="3" t="str">
        <f>VLOOKUP(F36,'Customers (2)'!A:I,7,0)</f>
        <v>United Kingdom</v>
      </c>
      <c r="L36" s="3" t="str">
        <f>VLOOKUP(F36,'Customers (2)'!A:I,9,0)</f>
        <v>Yes</v>
      </c>
      <c r="M36" s="4" t="s">
        <v>83</v>
      </c>
      <c r="N36" s="4" t="str">
        <f>VLOOKUP(M36,'Products (2)'!A:G,2,0)</f>
        <v>Liberica</v>
      </c>
      <c r="O36" s="4" t="str">
        <f>VLOOKUP(M36,'Products (2)'!A:G,3,0)</f>
        <v>Light</v>
      </c>
      <c r="P36" s="4">
        <f>VLOOKUP(M36,'Products (2)'!A:G,7,0)</f>
        <v>1.2363</v>
      </c>
      <c r="Q36" s="3">
        <v>6</v>
      </c>
      <c r="R36" s="5">
        <f>INDEX([1]products!$A$1:$G$49,MATCH([1]orders!$D36,[1]products!$A$1:$A$49,0),MATCH([1]orders!K$1,[1]products!$A$1:$G$1,0))</f>
        <v>0.5</v>
      </c>
      <c r="S36" s="6">
        <f>INDEX([1]products!$A$1:$G$49,MATCH([1]orders!$D36,[1]products!$A$1:$A$49,0),MATCH([1]orders!L$1,[1]products!$A$1:$G$1,0))</f>
        <v>9.51</v>
      </c>
      <c r="T36" s="6">
        <f t="shared" si="0"/>
        <v>57.06</v>
      </c>
      <c r="U36" s="22">
        <f t="shared" si="4"/>
        <v>7.4177999999999997</v>
      </c>
      <c r="V36" s="22">
        <f t="shared" si="5"/>
        <v>12.999999999999998</v>
      </c>
    </row>
    <row r="37" spans="1:22" x14ac:dyDescent="0.3">
      <c r="A37" s="1" t="s">
        <v>84</v>
      </c>
      <c r="B37" s="2">
        <v>44348</v>
      </c>
      <c r="C37" s="2" t="str">
        <f t="shared" si="1"/>
        <v>Tuesday</v>
      </c>
      <c r="D37" s="2" t="str">
        <f t="shared" si="2"/>
        <v>June</v>
      </c>
      <c r="E37" s="2" t="str">
        <f t="shared" si="3"/>
        <v>2021</v>
      </c>
      <c r="F37" s="3" t="s">
        <v>85</v>
      </c>
      <c r="G37" s="3" t="str">
        <f>VLOOKUP(F38,'Customers (2)'!A:I,2,0)</f>
        <v>Zorina Ponting</v>
      </c>
      <c r="H37" s="3" t="str">
        <f>VLOOKUP(F37,'Customers (2)'!A:I,3,0)</f>
        <v>feilhartz@who.int</v>
      </c>
      <c r="I37" s="3" t="str">
        <f>VLOOKUP(F37,'Customers (2)'!A:I,4,0)</f>
        <v>+1 (304) 510-6095</v>
      </c>
      <c r="J37" s="3" t="str">
        <f>VLOOKUP(F37,'Customers (2)'!A:I,6,0)</f>
        <v>Charleston</v>
      </c>
      <c r="K37" s="3" t="str">
        <f>VLOOKUP(F37,'Customers (2)'!A:I,7,0)</f>
        <v>United States</v>
      </c>
      <c r="L37" s="3" t="str">
        <f>VLOOKUP(F37,'Customers (2)'!A:I,9,0)</f>
        <v>No</v>
      </c>
      <c r="M37" s="4" t="s">
        <v>72</v>
      </c>
      <c r="N37" s="4" t="str">
        <f>VLOOKUP(M37,'Products (2)'!A:G,2,0)</f>
        <v>Arabica</v>
      </c>
      <c r="O37" s="4" t="str">
        <f>VLOOKUP(M37,'Products (2)'!A:G,3,0)</f>
        <v>Dark</v>
      </c>
      <c r="P37" s="4">
        <f>VLOOKUP(M37,'Products (2)'!A:G,7,0)</f>
        <v>0.5373</v>
      </c>
      <c r="Q37" s="3">
        <v>6</v>
      </c>
      <c r="R37" s="5">
        <f>INDEX([1]products!$A$1:$G$49,MATCH([1]orders!$D37,[1]products!$A$1:$A$49,0),MATCH([1]orders!K$1,[1]products!$A$1:$G$1,0))</f>
        <v>0.5</v>
      </c>
      <c r="S37" s="6">
        <f>INDEX([1]products!$A$1:$G$49,MATCH([1]orders!$D37,[1]products!$A$1:$A$49,0),MATCH([1]orders!L$1,[1]products!$A$1:$G$1,0))</f>
        <v>5.97</v>
      </c>
      <c r="T37" s="6">
        <f t="shared" si="0"/>
        <v>35.82</v>
      </c>
      <c r="U37" s="22">
        <f t="shared" si="4"/>
        <v>3.2237999999999998</v>
      </c>
      <c r="V37" s="22">
        <f t="shared" si="5"/>
        <v>9</v>
      </c>
    </row>
    <row r="38" spans="1:22" x14ac:dyDescent="0.3">
      <c r="A38" s="1" t="s">
        <v>86</v>
      </c>
      <c r="B38" s="2">
        <v>44233</v>
      </c>
      <c r="C38" s="2" t="str">
        <f t="shared" si="1"/>
        <v>Saturday</v>
      </c>
      <c r="D38" s="2" t="str">
        <f t="shared" si="2"/>
        <v>February</v>
      </c>
      <c r="E38" s="2" t="str">
        <f t="shared" si="3"/>
        <v>2021</v>
      </c>
      <c r="F38" s="3" t="s">
        <v>87</v>
      </c>
      <c r="G38" s="3" t="str">
        <f>VLOOKUP(F39,'Customers (2)'!A:I,2,0)</f>
        <v>Silvio Strase</v>
      </c>
      <c r="H38" s="3" t="str">
        <f>VLOOKUP(F38,'Customers (2)'!A:I,3,0)</f>
        <v>zponting10@altervista.org</v>
      </c>
      <c r="I38" s="3" t="str">
        <f>VLOOKUP(F38,'Customers (2)'!A:I,4,0)</f>
        <v>+1 (501) 172-1476</v>
      </c>
      <c r="J38" s="3" t="str">
        <f>VLOOKUP(F38,'Customers (2)'!A:I,6,0)</f>
        <v>Little Rock</v>
      </c>
      <c r="K38" s="3" t="str">
        <f>VLOOKUP(F38,'Customers (2)'!A:I,7,0)</f>
        <v>United States</v>
      </c>
      <c r="L38" s="3" t="str">
        <f>VLOOKUP(F38,'Customers (2)'!A:I,9,0)</f>
        <v>No</v>
      </c>
      <c r="M38" s="4" t="s">
        <v>77</v>
      </c>
      <c r="N38" s="4" t="str">
        <f>VLOOKUP(M38,'Products (2)'!A:G,2,0)</f>
        <v>Liberica</v>
      </c>
      <c r="O38" s="4" t="str">
        <f>VLOOKUP(M38,'Products (2)'!A:G,3,0)</f>
        <v>Medium</v>
      </c>
      <c r="P38" s="4">
        <f>VLOOKUP(M38,'Products (2)'!A:G,7,0)</f>
        <v>0.56745000000000001</v>
      </c>
      <c r="Q38" s="3">
        <v>2</v>
      </c>
      <c r="R38" s="5">
        <f>INDEX([1]products!$A$1:$G$49,MATCH([1]orders!$D38,[1]products!$A$1:$A$49,0),MATCH([1]orders!K$1,[1]products!$A$1:$G$1,0))</f>
        <v>0.2</v>
      </c>
      <c r="S38" s="6">
        <f>INDEX([1]products!$A$1:$G$49,MATCH([1]orders!$D38,[1]products!$A$1:$A$49,0),MATCH([1]orders!L$1,[1]products!$A$1:$G$1,0))</f>
        <v>4.3650000000000002</v>
      </c>
      <c r="T38" s="6">
        <f t="shared" si="0"/>
        <v>8.73</v>
      </c>
      <c r="U38" s="22">
        <f t="shared" si="4"/>
        <v>1.1349</v>
      </c>
      <c r="V38" s="22">
        <f t="shared" si="5"/>
        <v>13</v>
      </c>
    </row>
    <row r="39" spans="1:22" x14ac:dyDescent="0.3">
      <c r="A39" s="1" t="s">
        <v>88</v>
      </c>
      <c r="B39" s="2">
        <v>43580</v>
      </c>
      <c r="C39" s="2" t="str">
        <f t="shared" si="1"/>
        <v>Thursday</v>
      </c>
      <c r="D39" s="2" t="str">
        <f t="shared" si="2"/>
        <v>April</v>
      </c>
      <c r="E39" s="2" t="str">
        <f t="shared" si="3"/>
        <v>2019</v>
      </c>
      <c r="F39" s="3" t="s">
        <v>89</v>
      </c>
      <c r="G39" s="3" t="str">
        <f>VLOOKUP(F40,'Customers (2)'!A:I,2,0)</f>
        <v>Dorie de la Tremoille</v>
      </c>
      <c r="H39" s="3" t="str">
        <f>VLOOKUP(F39,'Customers (2)'!A:I,3,0)</f>
        <v>sstrase11@booking.com</v>
      </c>
      <c r="I39" s="3" t="str">
        <f>VLOOKUP(F39,'Customers (2)'!A:I,4,0)</f>
        <v>+1 (303) 579-8015</v>
      </c>
      <c r="J39" s="3" t="str">
        <f>VLOOKUP(F39,'Customers (2)'!A:I,6,0)</f>
        <v>Denver</v>
      </c>
      <c r="K39" s="3" t="str">
        <f>VLOOKUP(F39,'Customers (2)'!A:I,7,0)</f>
        <v>United States</v>
      </c>
      <c r="L39" s="3" t="str">
        <f>VLOOKUP(F39,'Customers (2)'!A:I,9,0)</f>
        <v>No</v>
      </c>
      <c r="M39" s="4" t="s">
        <v>83</v>
      </c>
      <c r="N39" s="4" t="str">
        <f>VLOOKUP(M39,'Products (2)'!A:G,2,0)</f>
        <v>Liberica</v>
      </c>
      <c r="O39" s="4" t="str">
        <f>VLOOKUP(M39,'Products (2)'!A:G,3,0)</f>
        <v>Light</v>
      </c>
      <c r="P39" s="4">
        <f>VLOOKUP(M39,'Products (2)'!A:G,7,0)</f>
        <v>1.2363</v>
      </c>
      <c r="Q39" s="3">
        <v>3</v>
      </c>
      <c r="R39" s="5">
        <f>INDEX([1]products!$A$1:$G$49,MATCH([1]orders!$D39,[1]products!$A$1:$A$49,0),MATCH([1]orders!K$1,[1]products!$A$1:$G$1,0))</f>
        <v>0.5</v>
      </c>
      <c r="S39" s="6">
        <f>INDEX([1]products!$A$1:$G$49,MATCH([1]orders!$D39,[1]products!$A$1:$A$49,0),MATCH([1]orders!L$1,[1]products!$A$1:$G$1,0))</f>
        <v>9.51</v>
      </c>
      <c r="T39" s="6">
        <f t="shared" si="0"/>
        <v>28.53</v>
      </c>
      <c r="U39" s="22">
        <f t="shared" si="4"/>
        <v>3.7088999999999999</v>
      </c>
      <c r="V39" s="22">
        <f t="shared" si="5"/>
        <v>12.999999999999998</v>
      </c>
    </row>
    <row r="40" spans="1:22" x14ac:dyDescent="0.3">
      <c r="A40" s="1" t="s">
        <v>90</v>
      </c>
      <c r="B40" s="2">
        <v>43946</v>
      </c>
      <c r="C40" s="2" t="str">
        <f t="shared" si="1"/>
        <v>Saturday</v>
      </c>
      <c r="D40" s="2" t="str">
        <f t="shared" si="2"/>
        <v>April</v>
      </c>
      <c r="E40" s="2" t="str">
        <f t="shared" si="3"/>
        <v>2020</v>
      </c>
      <c r="F40" s="3" t="s">
        <v>91</v>
      </c>
      <c r="G40" s="3" t="str">
        <f>VLOOKUP(F41,'Customers (2)'!A:I,2,0)</f>
        <v>Hy Zanetto</v>
      </c>
      <c r="H40" s="3" t="str">
        <f>VLOOKUP(F40,'Customers (2)'!A:I,3,0)</f>
        <v>dde12@unesco.org</v>
      </c>
      <c r="I40" s="3" t="str">
        <f>VLOOKUP(F40,'Customers (2)'!A:I,4,0)</f>
        <v>+1 (612) 492-5160</v>
      </c>
      <c r="J40" s="3" t="str">
        <f>VLOOKUP(F40,'Customers (2)'!A:I,6,0)</f>
        <v>Minneapolis</v>
      </c>
      <c r="K40" s="3" t="str">
        <f>VLOOKUP(F40,'Customers (2)'!A:I,7,0)</f>
        <v>United States</v>
      </c>
      <c r="L40" s="3" t="str">
        <f>VLOOKUP(F40,'Customers (2)'!A:I,9,0)</f>
        <v>No</v>
      </c>
      <c r="M40" s="4" t="s">
        <v>41</v>
      </c>
      <c r="N40" s="4" t="str">
        <f>VLOOKUP(M40,'Products (2)'!A:G,2,0)</f>
        <v>Robusta</v>
      </c>
      <c r="O40" s="4" t="str">
        <f>VLOOKUP(M40,'Products (2)'!A:G,3,0)</f>
        <v>Medium</v>
      </c>
      <c r="P40" s="4">
        <f>VLOOKUP(M40,'Products (2)'!A:G,7,0)</f>
        <v>1.3730999999999998</v>
      </c>
      <c r="Q40" s="3">
        <v>5</v>
      </c>
      <c r="R40" s="5">
        <f>INDEX([1]products!$A$1:$G$49,MATCH([1]orders!$D40,[1]products!$A$1:$A$49,0),MATCH([1]orders!K$1,[1]products!$A$1:$G$1,0))</f>
        <v>2.5</v>
      </c>
      <c r="S40" s="6">
        <f>INDEX([1]products!$A$1:$G$49,MATCH([1]orders!$D40,[1]products!$A$1:$A$49,0),MATCH([1]orders!L$1,[1]products!$A$1:$G$1,0))</f>
        <v>22.884999999999998</v>
      </c>
      <c r="T40" s="6">
        <f t="shared" si="0"/>
        <v>114.42499999999998</v>
      </c>
      <c r="U40" s="22">
        <f t="shared" si="4"/>
        <v>6.865499999999999</v>
      </c>
      <c r="V40" s="22">
        <f t="shared" si="5"/>
        <v>6</v>
      </c>
    </row>
    <row r="41" spans="1:22" x14ac:dyDescent="0.3">
      <c r="A41" s="1" t="s">
        <v>92</v>
      </c>
      <c r="B41" s="2">
        <v>44524</v>
      </c>
      <c r="C41" s="2" t="str">
        <f t="shared" si="1"/>
        <v>Wednesday</v>
      </c>
      <c r="D41" s="2" t="str">
        <f t="shared" si="2"/>
        <v>November</v>
      </c>
      <c r="E41" s="2" t="str">
        <f t="shared" si="3"/>
        <v>2021</v>
      </c>
      <c r="F41" s="3" t="s">
        <v>93</v>
      </c>
      <c r="G41" s="3" t="str">
        <f>VLOOKUP(F42,'Customers (2)'!A:I,2,0)</f>
        <v>Jessica McNess</v>
      </c>
      <c r="H41" s="3">
        <f>VLOOKUP(F41,'Customers (2)'!A:I,3,0)</f>
        <v>0</v>
      </c>
      <c r="I41" s="3">
        <f>VLOOKUP(F41,'Customers (2)'!A:I,4,0)</f>
        <v>0</v>
      </c>
      <c r="J41" s="3" t="str">
        <f>VLOOKUP(F41,'Customers (2)'!A:I,6,0)</f>
        <v>Tucson</v>
      </c>
      <c r="K41" s="3" t="str">
        <f>VLOOKUP(F41,'Customers (2)'!A:I,7,0)</f>
        <v>United States</v>
      </c>
      <c r="L41" s="3" t="str">
        <f>VLOOKUP(F41,'Customers (2)'!A:I,9,0)</f>
        <v>Yes</v>
      </c>
      <c r="M41" s="4" t="s">
        <v>2</v>
      </c>
      <c r="N41" s="4" t="str">
        <f>VLOOKUP(M41,'Products (2)'!A:G,2,0)</f>
        <v>Robusta</v>
      </c>
      <c r="O41" s="4" t="str">
        <f>VLOOKUP(M41,'Products (2)'!A:G,3,0)</f>
        <v>Medium</v>
      </c>
      <c r="P41" s="4">
        <f>VLOOKUP(M41,'Products (2)'!A:G,7,0)</f>
        <v>0.59699999999999998</v>
      </c>
      <c r="Q41" s="3">
        <v>6</v>
      </c>
      <c r="R41" s="5">
        <f>INDEX([1]products!$A$1:$G$49,MATCH([1]orders!$D41,[1]products!$A$1:$A$49,0),MATCH([1]orders!K$1,[1]products!$A$1:$G$1,0))</f>
        <v>1</v>
      </c>
      <c r="S41" s="6">
        <f>INDEX([1]products!$A$1:$G$49,MATCH([1]orders!$D41,[1]products!$A$1:$A$49,0),MATCH([1]orders!L$1,[1]products!$A$1:$G$1,0))</f>
        <v>9.9499999999999993</v>
      </c>
      <c r="T41" s="6">
        <f t="shared" si="0"/>
        <v>59.699999999999996</v>
      </c>
      <c r="U41" s="22">
        <f t="shared" si="4"/>
        <v>3.5819999999999999</v>
      </c>
      <c r="V41" s="22">
        <f t="shared" si="5"/>
        <v>6.0000000000000009</v>
      </c>
    </row>
    <row r="42" spans="1:22" x14ac:dyDescent="0.3">
      <c r="A42" s="1" t="s">
        <v>94</v>
      </c>
      <c r="B42" s="2">
        <v>44305</v>
      </c>
      <c r="C42" s="2" t="str">
        <f t="shared" si="1"/>
        <v>Monday</v>
      </c>
      <c r="D42" s="2" t="str">
        <f t="shared" si="2"/>
        <v>April</v>
      </c>
      <c r="E42" s="2" t="str">
        <f t="shared" si="3"/>
        <v>2021</v>
      </c>
      <c r="F42" s="3" t="s">
        <v>95</v>
      </c>
      <c r="G42" s="3" t="str">
        <f>VLOOKUP(F43,'Customers (2)'!A:I,2,0)</f>
        <v>Lorenzo Yeoland</v>
      </c>
      <c r="H42" s="3">
        <f>VLOOKUP(F42,'Customers (2)'!A:I,3,0)</f>
        <v>0</v>
      </c>
      <c r="I42" s="3" t="str">
        <f>VLOOKUP(F42,'Customers (2)'!A:I,4,0)</f>
        <v>+1 (504) 545-1478</v>
      </c>
      <c r="J42" s="3" t="str">
        <f>VLOOKUP(F42,'Customers (2)'!A:I,6,0)</f>
        <v>New Orleans</v>
      </c>
      <c r="K42" s="3" t="str">
        <f>VLOOKUP(F42,'Customers (2)'!A:I,7,0)</f>
        <v>United States</v>
      </c>
      <c r="L42" s="3" t="str">
        <f>VLOOKUP(F42,'Customers (2)'!A:I,9,0)</f>
        <v>No</v>
      </c>
      <c r="M42" s="4" t="s">
        <v>96</v>
      </c>
      <c r="N42" s="4" t="str">
        <f>VLOOKUP(M42,'Products (2)'!A:G,2,0)</f>
        <v>Liberica</v>
      </c>
      <c r="O42" s="4" t="str">
        <f>VLOOKUP(M42,'Products (2)'!A:G,3,0)</f>
        <v>Medium</v>
      </c>
      <c r="P42" s="4">
        <f>VLOOKUP(M42,'Products (2)'!A:G,7,0)</f>
        <v>1.8915000000000002</v>
      </c>
      <c r="Q42" s="3">
        <v>3</v>
      </c>
      <c r="R42" s="5">
        <f>INDEX([1]products!$A$1:$G$49,MATCH([1]orders!$D42,[1]products!$A$1:$A$49,0),MATCH([1]orders!K$1,[1]products!$A$1:$G$1,0))</f>
        <v>1</v>
      </c>
      <c r="S42" s="6">
        <f>INDEX([1]products!$A$1:$G$49,MATCH([1]orders!$D42,[1]products!$A$1:$A$49,0),MATCH([1]orders!L$1,[1]products!$A$1:$G$1,0))</f>
        <v>14.55</v>
      </c>
      <c r="T42" s="6">
        <f t="shared" si="0"/>
        <v>43.650000000000006</v>
      </c>
      <c r="U42" s="22">
        <f t="shared" si="4"/>
        <v>5.6745000000000001</v>
      </c>
      <c r="V42" s="22">
        <f t="shared" si="5"/>
        <v>12.999999999999998</v>
      </c>
    </row>
    <row r="43" spans="1:22" x14ac:dyDescent="0.3">
      <c r="A43" s="1" t="s">
        <v>97</v>
      </c>
      <c r="B43" s="2">
        <v>44749</v>
      </c>
      <c r="C43" s="2" t="str">
        <f t="shared" si="1"/>
        <v>Thursday</v>
      </c>
      <c r="D43" s="2" t="str">
        <f t="shared" si="2"/>
        <v>July</v>
      </c>
      <c r="E43" s="2" t="str">
        <f t="shared" si="3"/>
        <v>2022</v>
      </c>
      <c r="F43" s="3" t="s">
        <v>98</v>
      </c>
      <c r="G43" s="3" t="str">
        <f>VLOOKUP(F44,'Customers (2)'!A:I,2,0)</f>
        <v>Abigail Tolworthy</v>
      </c>
      <c r="H43" s="3" t="str">
        <f>VLOOKUP(F43,'Customers (2)'!A:I,3,0)</f>
        <v>lyeoland15@pbs.org</v>
      </c>
      <c r="I43" s="3" t="str">
        <f>VLOOKUP(F43,'Customers (2)'!A:I,4,0)</f>
        <v>+1 (860) 576-2887</v>
      </c>
      <c r="J43" s="3" t="str">
        <f>VLOOKUP(F43,'Customers (2)'!A:I,6,0)</f>
        <v>Hartford</v>
      </c>
      <c r="K43" s="3" t="str">
        <f>VLOOKUP(F43,'Customers (2)'!A:I,7,0)</f>
        <v>United States</v>
      </c>
      <c r="L43" s="3" t="str">
        <f>VLOOKUP(F43,'Customers (2)'!A:I,9,0)</f>
        <v>Yes</v>
      </c>
      <c r="M43" s="4" t="s">
        <v>51</v>
      </c>
      <c r="N43" s="4" t="str">
        <f>VLOOKUP(M43,'Products (2)'!A:G,2,0)</f>
        <v>Excelsa</v>
      </c>
      <c r="O43" s="4" t="str">
        <f>VLOOKUP(M43,'Products (2)'!A:G,3,0)</f>
        <v>Dark</v>
      </c>
      <c r="P43" s="4">
        <f>VLOOKUP(M43,'Products (2)'!A:G,7,0)</f>
        <v>0.40095000000000003</v>
      </c>
      <c r="Q43" s="3">
        <v>2</v>
      </c>
      <c r="R43" s="5">
        <f>INDEX([1]products!$A$1:$G$49,MATCH([1]orders!$D43,[1]products!$A$1:$A$49,0),MATCH([1]orders!K$1,[1]products!$A$1:$G$1,0))</f>
        <v>0.2</v>
      </c>
      <c r="S43" s="6">
        <f>INDEX([1]products!$A$1:$G$49,MATCH([1]orders!$D43,[1]products!$A$1:$A$49,0),MATCH([1]orders!L$1,[1]products!$A$1:$G$1,0))</f>
        <v>3.645</v>
      </c>
      <c r="T43" s="6">
        <f t="shared" si="0"/>
        <v>7.29</v>
      </c>
      <c r="U43" s="22">
        <f t="shared" si="4"/>
        <v>0.80190000000000006</v>
      </c>
      <c r="V43" s="22">
        <f t="shared" si="5"/>
        <v>11</v>
      </c>
    </row>
    <row r="44" spans="1:22" x14ac:dyDescent="0.3">
      <c r="A44" s="1" t="s">
        <v>99</v>
      </c>
      <c r="B44" s="2">
        <v>43607</v>
      </c>
      <c r="C44" s="2" t="str">
        <f t="shared" si="1"/>
        <v>Wednesday</v>
      </c>
      <c r="D44" s="2" t="str">
        <f t="shared" si="2"/>
        <v>May</v>
      </c>
      <c r="E44" s="2" t="str">
        <f t="shared" si="3"/>
        <v>2019</v>
      </c>
      <c r="F44" s="3" t="s">
        <v>100</v>
      </c>
      <c r="G44" s="3" t="str">
        <f>VLOOKUP(F45,'Customers (2)'!A:I,2,0)</f>
        <v>Maurie Bartol</v>
      </c>
      <c r="H44" s="3" t="str">
        <f>VLOOKUP(F44,'Customers (2)'!A:I,3,0)</f>
        <v>atolworthy16@toplist.cz</v>
      </c>
      <c r="I44" s="3" t="str">
        <f>VLOOKUP(F44,'Customers (2)'!A:I,4,0)</f>
        <v>+1 (801) 722-4425</v>
      </c>
      <c r="J44" s="3" t="str">
        <f>VLOOKUP(F44,'Customers (2)'!A:I,6,0)</f>
        <v>Ogden</v>
      </c>
      <c r="K44" s="3" t="str">
        <f>VLOOKUP(F44,'Customers (2)'!A:I,7,0)</f>
        <v>United States</v>
      </c>
      <c r="L44" s="3" t="str">
        <f>VLOOKUP(F44,'Customers (2)'!A:I,9,0)</f>
        <v>Yes</v>
      </c>
      <c r="M44" s="4" t="s">
        <v>101</v>
      </c>
      <c r="N44" s="4" t="str">
        <f>VLOOKUP(M44,'Products (2)'!A:G,2,0)</f>
        <v>Robusta</v>
      </c>
      <c r="O44" s="4" t="str">
        <f>VLOOKUP(M44,'Products (2)'!A:G,3,0)</f>
        <v>Dark</v>
      </c>
      <c r="P44" s="4">
        <f>VLOOKUP(M44,'Products (2)'!A:G,7,0)</f>
        <v>0.16109999999999997</v>
      </c>
      <c r="Q44" s="3">
        <v>3</v>
      </c>
      <c r="R44" s="5">
        <f>INDEX([1]products!$A$1:$G$49,MATCH([1]orders!$D44,[1]products!$A$1:$A$49,0),MATCH([1]orders!K$1,[1]products!$A$1:$G$1,0))</f>
        <v>0.2</v>
      </c>
      <c r="S44" s="6">
        <f>INDEX([1]products!$A$1:$G$49,MATCH([1]orders!$D44,[1]products!$A$1:$A$49,0),MATCH([1]orders!L$1,[1]products!$A$1:$G$1,0))</f>
        <v>2.6849999999999996</v>
      </c>
      <c r="T44" s="6">
        <f t="shared" si="0"/>
        <v>8.0549999999999997</v>
      </c>
      <c r="U44" s="22">
        <f t="shared" si="4"/>
        <v>0.4832999999999999</v>
      </c>
      <c r="V44" s="22">
        <f t="shared" si="5"/>
        <v>5.9999999999999991</v>
      </c>
    </row>
    <row r="45" spans="1:22" x14ac:dyDescent="0.3">
      <c r="A45" s="1" t="s">
        <v>102</v>
      </c>
      <c r="B45" s="2">
        <v>44473</v>
      </c>
      <c r="C45" s="2" t="str">
        <f t="shared" si="1"/>
        <v>Monday</v>
      </c>
      <c r="D45" s="2" t="str">
        <f t="shared" si="2"/>
        <v>October</v>
      </c>
      <c r="E45" s="2" t="str">
        <f t="shared" si="3"/>
        <v>2021</v>
      </c>
      <c r="F45" s="3" t="s">
        <v>103</v>
      </c>
      <c r="G45" s="3" t="str">
        <f>VLOOKUP(F46,'Customers (2)'!A:I,2,0)</f>
        <v>Olag Baudassi</v>
      </c>
      <c r="H45" s="3">
        <f>VLOOKUP(F45,'Customers (2)'!A:I,3,0)</f>
        <v>0</v>
      </c>
      <c r="I45" s="3" t="str">
        <f>VLOOKUP(F45,'Customers (2)'!A:I,4,0)</f>
        <v>+1 (617) 493-7594</v>
      </c>
      <c r="J45" s="3" t="str">
        <f>VLOOKUP(F45,'Customers (2)'!A:I,6,0)</f>
        <v>Boston</v>
      </c>
      <c r="K45" s="3" t="str">
        <f>VLOOKUP(F45,'Customers (2)'!A:I,7,0)</f>
        <v>United States</v>
      </c>
      <c r="L45" s="3" t="str">
        <f>VLOOKUP(F45,'Customers (2)'!A:I,9,0)</f>
        <v>No</v>
      </c>
      <c r="M45" s="4" t="s">
        <v>104</v>
      </c>
      <c r="N45" s="4" t="str">
        <f>VLOOKUP(M45,'Products (2)'!A:G,2,0)</f>
        <v>Liberica</v>
      </c>
      <c r="O45" s="4" t="str">
        <f>VLOOKUP(M45,'Products (2)'!A:G,3,0)</f>
        <v>Light</v>
      </c>
      <c r="P45" s="4">
        <f>VLOOKUP(M45,'Products (2)'!A:G,7,0)</f>
        <v>4.7391499999999995</v>
      </c>
      <c r="Q45" s="3">
        <v>2</v>
      </c>
      <c r="R45" s="5">
        <f>INDEX([1]products!$A$1:$G$49,MATCH([1]orders!$D45,[1]products!$A$1:$A$49,0),MATCH([1]orders!K$1,[1]products!$A$1:$G$1,0))</f>
        <v>2.5</v>
      </c>
      <c r="S45" s="6">
        <f>INDEX([1]products!$A$1:$G$49,MATCH([1]orders!$D45,[1]products!$A$1:$A$49,0),MATCH([1]orders!L$1,[1]products!$A$1:$G$1,0))</f>
        <v>36.454999999999998</v>
      </c>
      <c r="T45" s="6">
        <f t="shared" si="0"/>
        <v>72.91</v>
      </c>
      <c r="U45" s="22">
        <f t="shared" si="4"/>
        <v>9.4782999999999991</v>
      </c>
      <c r="V45" s="22">
        <f t="shared" si="5"/>
        <v>13</v>
      </c>
    </row>
    <row r="46" spans="1:22" x14ac:dyDescent="0.3">
      <c r="A46" s="1" t="s">
        <v>105</v>
      </c>
      <c r="B46" s="2">
        <v>43932</v>
      </c>
      <c r="C46" s="2" t="str">
        <f t="shared" si="1"/>
        <v>Saturday</v>
      </c>
      <c r="D46" s="2" t="str">
        <f t="shared" si="2"/>
        <v>April</v>
      </c>
      <c r="E46" s="2" t="str">
        <f t="shared" si="3"/>
        <v>2020</v>
      </c>
      <c r="F46" s="3" t="s">
        <v>106</v>
      </c>
      <c r="G46" s="3" t="str">
        <f>VLOOKUP(F47,'Customers (2)'!A:I,2,0)</f>
        <v>Petey Kingsbury</v>
      </c>
      <c r="H46" s="3" t="str">
        <f>VLOOKUP(F46,'Customers (2)'!A:I,3,0)</f>
        <v>obaudassi18@seesaa.net</v>
      </c>
      <c r="I46" s="3" t="str">
        <f>VLOOKUP(F46,'Customers (2)'!A:I,4,0)</f>
        <v>+1 (585) 356-6251</v>
      </c>
      <c r="J46" s="3" t="str">
        <f>VLOOKUP(F46,'Customers (2)'!A:I,6,0)</f>
        <v>Rochester</v>
      </c>
      <c r="K46" s="3" t="str">
        <f>VLOOKUP(F46,'Customers (2)'!A:I,7,0)</f>
        <v>United States</v>
      </c>
      <c r="L46" s="3" t="str">
        <f>VLOOKUP(F46,'Customers (2)'!A:I,9,0)</f>
        <v>Yes</v>
      </c>
      <c r="M46" s="4" t="s">
        <v>3</v>
      </c>
      <c r="N46" s="4" t="str">
        <f>VLOOKUP(M46,'Products (2)'!A:G,2,0)</f>
        <v>Excelsa</v>
      </c>
      <c r="O46" s="4" t="str">
        <f>VLOOKUP(M46,'Products (2)'!A:G,3,0)</f>
        <v>Medium</v>
      </c>
      <c r="P46" s="4">
        <f>VLOOKUP(M46,'Products (2)'!A:G,7,0)</f>
        <v>0.90749999999999997</v>
      </c>
      <c r="Q46" s="3">
        <v>2</v>
      </c>
      <c r="R46" s="5">
        <f>INDEX([1]products!$A$1:$G$49,MATCH([1]orders!$D46,[1]products!$A$1:$A$49,0),MATCH([1]orders!K$1,[1]products!$A$1:$G$1,0))</f>
        <v>0.5</v>
      </c>
      <c r="S46" s="6">
        <f>INDEX([1]products!$A$1:$G$49,MATCH([1]orders!$D46,[1]products!$A$1:$A$49,0),MATCH([1]orders!L$1,[1]products!$A$1:$G$1,0))</f>
        <v>8.25</v>
      </c>
      <c r="T46" s="6">
        <f t="shared" si="0"/>
        <v>16.5</v>
      </c>
      <c r="U46" s="22">
        <f t="shared" si="4"/>
        <v>1.8149999999999999</v>
      </c>
      <c r="V46" s="22">
        <f t="shared" si="5"/>
        <v>11</v>
      </c>
    </row>
    <row r="47" spans="1:22" x14ac:dyDescent="0.3">
      <c r="A47" s="1" t="s">
        <v>107</v>
      </c>
      <c r="B47" s="2">
        <v>44592</v>
      </c>
      <c r="C47" s="2" t="str">
        <f t="shared" si="1"/>
        <v>Monday</v>
      </c>
      <c r="D47" s="2" t="str">
        <f t="shared" si="2"/>
        <v>January</v>
      </c>
      <c r="E47" s="2" t="str">
        <f t="shared" si="3"/>
        <v>2022</v>
      </c>
      <c r="F47" s="3" t="s">
        <v>108</v>
      </c>
      <c r="G47" s="3" t="str">
        <f>VLOOKUP(F48,'Customers (2)'!A:I,2,0)</f>
        <v>Donna Baskeyfied</v>
      </c>
      <c r="H47" s="3" t="str">
        <f>VLOOKUP(F47,'Customers (2)'!A:I,3,0)</f>
        <v>pkingsbury19@comcast.net</v>
      </c>
      <c r="I47" s="3" t="str">
        <f>VLOOKUP(F47,'Customers (2)'!A:I,4,0)</f>
        <v>+1 (917) 705-8224</v>
      </c>
      <c r="J47" s="3" t="str">
        <f>VLOOKUP(F47,'Customers (2)'!A:I,6,0)</f>
        <v>Bronx</v>
      </c>
      <c r="K47" s="3" t="str">
        <f>VLOOKUP(F47,'Customers (2)'!A:I,7,0)</f>
        <v>United States</v>
      </c>
      <c r="L47" s="3" t="str">
        <f>VLOOKUP(F47,'Customers (2)'!A:I,9,0)</f>
        <v>No</v>
      </c>
      <c r="M47" s="4" t="s">
        <v>109</v>
      </c>
      <c r="N47" s="4" t="str">
        <f>VLOOKUP(M47,'Products (2)'!A:G,2,0)</f>
        <v>Liberica</v>
      </c>
      <c r="O47" s="4" t="str">
        <f>VLOOKUP(M47,'Products (2)'!A:G,3,0)</f>
        <v>Dark</v>
      </c>
      <c r="P47" s="4">
        <f>VLOOKUP(M47,'Products (2)'!A:G,7,0)</f>
        <v>3.8720499999999998</v>
      </c>
      <c r="Q47" s="3">
        <v>6</v>
      </c>
      <c r="R47" s="5">
        <f>INDEX([1]products!$A$1:$G$49,MATCH([1]orders!$D47,[1]products!$A$1:$A$49,0),MATCH([1]orders!K$1,[1]products!$A$1:$G$1,0))</f>
        <v>2.5</v>
      </c>
      <c r="S47" s="6">
        <f>INDEX([1]products!$A$1:$G$49,MATCH([1]orders!$D47,[1]products!$A$1:$A$49,0),MATCH([1]orders!L$1,[1]products!$A$1:$G$1,0))</f>
        <v>29.784999999999997</v>
      </c>
      <c r="T47" s="6">
        <f t="shared" si="0"/>
        <v>178.70999999999998</v>
      </c>
      <c r="U47" s="22">
        <f t="shared" si="4"/>
        <v>23.232299999999999</v>
      </c>
      <c r="V47" s="22">
        <f t="shared" si="5"/>
        <v>13</v>
      </c>
    </row>
    <row r="48" spans="1:22" x14ac:dyDescent="0.3">
      <c r="A48" s="1" t="s">
        <v>110</v>
      </c>
      <c r="B48" s="2">
        <v>43776</v>
      </c>
      <c r="C48" s="2" t="str">
        <f t="shared" si="1"/>
        <v>Thursday</v>
      </c>
      <c r="D48" s="2" t="str">
        <f t="shared" si="2"/>
        <v>November</v>
      </c>
      <c r="E48" s="2" t="str">
        <f t="shared" si="3"/>
        <v>2019</v>
      </c>
      <c r="F48" s="3" t="s">
        <v>111</v>
      </c>
      <c r="G48" s="3" t="str">
        <f>VLOOKUP(F49,'Customers (2)'!A:I,2,0)</f>
        <v>Arda Curley</v>
      </c>
      <c r="H48" s="3">
        <f>VLOOKUP(F48,'Customers (2)'!A:I,3,0)</f>
        <v>0</v>
      </c>
      <c r="I48" s="3" t="str">
        <f>VLOOKUP(F48,'Customers (2)'!A:I,4,0)</f>
        <v>+1 (205) 923-1460</v>
      </c>
      <c r="J48" s="3" t="str">
        <f>VLOOKUP(F48,'Customers (2)'!A:I,6,0)</f>
        <v>Birmingham</v>
      </c>
      <c r="K48" s="3" t="str">
        <f>VLOOKUP(F48,'Customers (2)'!A:I,7,0)</f>
        <v>United States</v>
      </c>
      <c r="L48" s="3" t="str">
        <f>VLOOKUP(F48,'Customers (2)'!A:I,9,0)</f>
        <v>Yes</v>
      </c>
      <c r="M48" s="4" t="s">
        <v>112</v>
      </c>
      <c r="N48" s="4" t="str">
        <f>VLOOKUP(M48,'Products (2)'!A:G,2,0)</f>
        <v>Excelsa</v>
      </c>
      <c r="O48" s="4" t="str">
        <f>VLOOKUP(M48,'Products (2)'!A:G,3,0)</f>
        <v>Medium</v>
      </c>
      <c r="P48" s="4">
        <f>VLOOKUP(M48,'Products (2)'!A:G,7,0)</f>
        <v>3.4787499999999998</v>
      </c>
      <c r="Q48" s="3">
        <v>2</v>
      </c>
      <c r="R48" s="5">
        <f>INDEX([1]products!$A$1:$G$49,MATCH([1]orders!$D48,[1]products!$A$1:$A$49,0),MATCH([1]orders!K$1,[1]products!$A$1:$G$1,0))</f>
        <v>2.5</v>
      </c>
      <c r="S48" s="6">
        <f>INDEX([1]products!$A$1:$G$49,MATCH([1]orders!$D48,[1]products!$A$1:$A$49,0),MATCH([1]orders!L$1,[1]products!$A$1:$G$1,0))</f>
        <v>31.624999999999996</v>
      </c>
      <c r="T48" s="6">
        <f t="shared" si="0"/>
        <v>63.249999999999993</v>
      </c>
      <c r="U48" s="22">
        <f t="shared" si="4"/>
        <v>6.9574999999999996</v>
      </c>
      <c r="V48" s="22">
        <f t="shared" si="5"/>
        <v>11</v>
      </c>
    </row>
    <row r="49" spans="1:22" x14ac:dyDescent="0.3">
      <c r="A49" s="1" t="s">
        <v>113</v>
      </c>
      <c r="B49" s="2">
        <v>43644</v>
      </c>
      <c r="C49" s="2" t="str">
        <f t="shared" si="1"/>
        <v>Friday</v>
      </c>
      <c r="D49" s="2" t="str">
        <f t="shared" si="2"/>
        <v>June</v>
      </c>
      <c r="E49" s="2" t="str">
        <f t="shared" si="3"/>
        <v>2019</v>
      </c>
      <c r="F49" s="3" t="s">
        <v>114</v>
      </c>
      <c r="G49" s="3" t="str">
        <f>VLOOKUP(F50,'Customers (2)'!A:I,2,0)</f>
        <v>Raynor McGilvary</v>
      </c>
      <c r="H49" s="3" t="str">
        <f>VLOOKUP(F49,'Customers (2)'!A:I,3,0)</f>
        <v>acurley1b@hao123.com</v>
      </c>
      <c r="I49" s="3" t="str">
        <f>VLOOKUP(F49,'Customers (2)'!A:I,4,0)</f>
        <v>+1 (760) 840-3808</v>
      </c>
      <c r="J49" s="3" t="str">
        <f>VLOOKUP(F49,'Customers (2)'!A:I,6,0)</f>
        <v>San Bernardino</v>
      </c>
      <c r="K49" s="3" t="str">
        <f>VLOOKUP(F49,'Customers (2)'!A:I,7,0)</f>
        <v>United States</v>
      </c>
      <c r="L49" s="3" t="str">
        <f>VLOOKUP(F49,'Customers (2)'!A:I,9,0)</f>
        <v>Yes</v>
      </c>
      <c r="M49" s="4" t="s">
        <v>115</v>
      </c>
      <c r="N49" s="4" t="str">
        <f>VLOOKUP(M49,'Products (2)'!A:G,2,0)</f>
        <v>Arabica</v>
      </c>
      <c r="O49" s="4" t="str">
        <f>VLOOKUP(M49,'Products (2)'!A:G,3,0)</f>
        <v>Light</v>
      </c>
      <c r="P49" s="4">
        <f>VLOOKUP(M49,'Products (2)'!A:G,7,0)</f>
        <v>0.34964999999999996</v>
      </c>
      <c r="Q49" s="3">
        <v>2</v>
      </c>
      <c r="R49" s="5">
        <f>INDEX([1]products!$A$1:$G$49,MATCH([1]orders!$D49,[1]products!$A$1:$A$49,0),MATCH([1]orders!K$1,[1]products!$A$1:$G$1,0))</f>
        <v>0.2</v>
      </c>
      <c r="S49" s="6">
        <f>INDEX([1]products!$A$1:$G$49,MATCH([1]orders!$D49,[1]products!$A$1:$A$49,0),MATCH([1]orders!L$1,[1]products!$A$1:$G$1,0))</f>
        <v>3.8849999999999998</v>
      </c>
      <c r="T49" s="6">
        <f t="shared" si="0"/>
        <v>7.77</v>
      </c>
      <c r="U49" s="22">
        <f t="shared" si="4"/>
        <v>0.69929999999999992</v>
      </c>
      <c r="V49" s="22">
        <f t="shared" si="5"/>
        <v>9</v>
      </c>
    </row>
    <row r="50" spans="1:22" x14ac:dyDescent="0.3">
      <c r="A50" s="1" t="s">
        <v>116</v>
      </c>
      <c r="B50" s="2">
        <v>44085</v>
      </c>
      <c r="C50" s="2" t="str">
        <f t="shared" si="1"/>
        <v>Friday</v>
      </c>
      <c r="D50" s="2" t="str">
        <f t="shared" si="2"/>
        <v>September</v>
      </c>
      <c r="E50" s="2" t="str">
        <f t="shared" si="3"/>
        <v>2020</v>
      </c>
      <c r="F50" s="3" t="s">
        <v>117</v>
      </c>
      <c r="G50" s="3" t="str">
        <f>VLOOKUP(F51,'Customers (2)'!A:I,2,0)</f>
        <v>Isis Pikett</v>
      </c>
      <c r="H50" s="3" t="str">
        <f>VLOOKUP(F50,'Customers (2)'!A:I,3,0)</f>
        <v>rmcgilvary1c@tamu.edu</v>
      </c>
      <c r="I50" s="3">
        <f>VLOOKUP(F50,'Customers (2)'!A:I,4,0)</f>
        <v>0</v>
      </c>
      <c r="J50" s="3" t="str">
        <f>VLOOKUP(F50,'Customers (2)'!A:I,6,0)</f>
        <v>Norfolk</v>
      </c>
      <c r="K50" s="3" t="str">
        <f>VLOOKUP(F50,'Customers (2)'!A:I,7,0)</f>
        <v>United States</v>
      </c>
      <c r="L50" s="3" t="str">
        <f>VLOOKUP(F50,'Customers (2)'!A:I,9,0)</f>
        <v>No</v>
      </c>
      <c r="M50" s="4" t="s">
        <v>118</v>
      </c>
      <c r="N50" s="4" t="str">
        <f>VLOOKUP(M50,'Products (2)'!A:G,2,0)</f>
        <v>Arabica</v>
      </c>
      <c r="O50" s="4" t="str">
        <f>VLOOKUP(M50,'Products (2)'!A:G,3,0)</f>
        <v>Dark</v>
      </c>
      <c r="P50" s="4">
        <f>VLOOKUP(M50,'Products (2)'!A:G,7,0)</f>
        <v>2.0596499999999995</v>
      </c>
      <c r="Q50" s="3">
        <v>4</v>
      </c>
      <c r="R50" s="5">
        <f>INDEX([1]products!$A$1:$G$49,MATCH([1]orders!$D50,[1]products!$A$1:$A$49,0),MATCH([1]orders!K$1,[1]products!$A$1:$G$1,0))</f>
        <v>2.5</v>
      </c>
      <c r="S50" s="6">
        <f>INDEX([1]products!$A$1:$G$49,MATCH([1]orders!$D50,[1]products!$A$1:$A$49,0),MATCH([1]orders!L$1,[1]products!$A$1:$G$1,0))</f>
        <v>22.884999999999998</v>
      </c>
      <c r="T50" s="6">
        <f t="shared" si="0"/>
        <v>91.539999999999992</v>
      </c>
      <c r="U50" s="22">
        <f t="shared" si="4"/>
        <v>8.2385999999999981</v>
      </c>
      <c r="V50" s="22">
        <f t="shared" si="5"/>
        <v>8.9999999999999982</v>
      </c>
    </row>
    <row r="51" spans="1:22" x14ac:dyDescent="0.3">
      <c r="A51" s="1" t="s">
        <v>119</v>
      </c>
      <c r="B51" s="2">
        <v>44790</v>
      </c>
      <c r="C51" s="2" t="str">
        <f t="shared" si="1"/>
        <v>Wednesday</v>
      </c>
      <c r="D51" s="2" t="str">
        <f t="shared" si="2"/>
        <v>August</v>
      </c>
      <c r="E51" s="2" t="str">
        <f t="shared" si="3"/>
        <v>2022</v>
      </c>
      <c r="F51" s="3" t="s">
        <v>120</v>
      </c>
      <c r="G51" s="3" t="str">
        <f>VLOOKUP(F52,'Customers (2)'!A:I,2,0)</f>
        <v>Inger Bouldon</v>
      </c>
      <c r="H51" s="3" t="str">
        <f>VLOOKUP(F51,'Customers (2)'!A:I,3,0)</f>
        <v>ipikett1d@xinhuanet.com</v>
      </c>
      <c r="I51" s="3" t="str">
        <f>VLOOKUP(F51,'Customers (2)'!A:I,4,0)</f>
        <v>+1 (202) 871-9039</v>
      </c>
      <c r="J51" s="3" t="str">
        <f>VLOOKUP(F51,'Customers (2)'!A:I,6,0)</f>
        <v>Washington</v>
      </c>
      <c r="K51" s="3" t="str">
        <f>VLOOKUP(F51,'Customers (2)'!A:I,7,0)</f>
        <v>United States</v>
      </c>
      <c r="L51" s="3" t="str">
        <f>VLOOKUP(F51,'Customers (2)'!A:I,9,0)</f>
        <v>No</v>
      </c>
      <c r="M51" s="4" t="s">
        <v>6</v>
      </c>
      <c r="N51" s="4" t="str">
        <f>VLOOKUP(M51,'Products (2)'!A:G,2,0)</f>
        <v>Arabica</v>
      </c>
      <c r="O51" s="4" t="str">
        <f>VLOOKUP(M51,'Products (2)'!A:G,3,0)</f>
        <v>Light</v>
      </c>
      <c r="P51" s="4">
        <f>VLOOKUP(M51,'Products (2)'!A:G,7,0)</f>
        <v>1.1655</v>
      </c>
      <c r="Q51" s="3">
        <v>3</v>
      </c>
      <c r="R51" s="5">
        <f>INDEX([1]products!$A$1:$G$49,MATCH([1]orders!$D51,[1]products!$A$1:$A$49,0),MATCH([1]orders!K$1,[1]products!$A$1:$G$1,0))</f>
        <v>1</v>
      </c>
      <c r="S51" s="6">
        <f>INDEX([1]products!$A$1:$G$49,MATCH([1]orders!$D51,[1]products!$A$1:$A$49,0),MATCH([1]orders!L$1,[1]products!$A$1:$G$1,0))</f>
        <v>12.95</v>
      </c>
      <c r="T51" s="6">
        <f t="shared" si="0"/>
        <v>38.849999999999994</v>
      </c>
      <c r="U51" s="22">
        <f t="shared" si="4"/>
        <v>3.4965000000000002</v>
      </c>
      <c r="V51" s="22">
        <f t="shared" si="5"/>
        <v>9.0000000000000018</v>
      </c>
    </row>
    <row r="52" spans="1:22" x14ac:dyDescent="0.3">
      <c r="A52" s="1" t="s">
        <v>121</v>
      </c>
      <c r="B52" s="2">
        <v>44792</v>
      </c>
      <c r="C52" s="2" t="str">
        <f t="shared" si="1"/>
        <v>Friday</v>
      </c>
      <c r="D52" s="2" t="str">
        <f t="shared" si="2"/>
        <v>August</v>
      </c>
      <c r="E52" s="2" t="str">
        <f t="shared" si="3"/>
        <v>2022</v>
      </c>
      <c r="F52" s="3" t="s">
        <v>122</v>
      </c>
      <c r="G52" s="3" t="str">
        <f>VLOOKUP(F53,'Customers (2)'!A:I,2,0)</f>
        <v>Karry Flanders</v>
      </c>
      <c r="H52" s="3" t="str">
        <f>VLOOKUP(F52,'Customers (2)'!A:I,3,0)</f>
        <v>ibouldon1e@gizmodo.com</v>
      </c>
      <c r="I52" s="3" t="str">
        <f>VLOOKUP(F52,'Customers (2)'!A:I,4,0)</f>
        <v>+1 (754) 391-4736</v>
      </c>
      <c r="J52" s="3" t="str">
        <f>VLOOKUP(F52,'Customers (2)'!A:I,6,0)</f>
        <v>Fort Lauderdale</v>
      </c>
      <c r="K52" s="3" t="str">
        <f>VLOOKUP(F52,'Customers (2)'!A:I,7,0)</f>
        <v>United States</v>
      </c>
      <c r="L52" s="3" t="str">
        <f>VLOOKUP(F52,'Customers (2)'!A:I,9,0)</f>
        <v>No</v>
      </c>
      <c r="M52" s="4" t="s">
        <v>123</v>
      </c>
      <c r="N52" s="4" t="str">
        <f>VLOOKUP(M52,'Products (2)'!A:G,2,0)</f>
        <v>Liberica</v>
      </c>
      <c r="O52" s="4" t="str">
        <f>VLOOKUP(M52,'Products (2)'!A:G,3,0)</f>
        <v>Dark</v>
      </c>
      <c r="P52" s="4">
        <f>VLOOKUP(M52,'Products (2)'!A:G,7,0)</f>
        <v>1.0101</v>
      </c>
      <c r="Q52" s="3">
        <v>2</v>
      </c>
      <c r="R52" s="5">
        <f>INDEX([1]products!$A$1:$G$49,MATCH([1]orders!$D52,[1]products!$A$1:$A$49,0),MATCH([1]orders!K$1,[1]products!$A$1:$G$1,0))</f>
        <v>0.5</v>
      </c>
      <c r="S52" s="6">
        <f>INDEX([1]products!$A$1:$G$49,MATCH([1]orders!$D52,[1]products!$A$1:$A$49,0),MATCH([1]orders!L$1,[1]products!$A$1:$G$1,0))</f>
        <v>7.77</v>
      </c>
      <c r="T52" s="6">
        <f t="shared" si="0"/>
        <v>15.54</v>
      </c>
      <c r="U52" s="22">
        <f t="shared" si="4"/>
        <v>2.0202</v>
      </c>
      <c r="V52" s="22">
        <f t="shared" si="5"/>
        <v>13</v>
      </c>
    </row>
    <row r="53" spans="1:22" x14ac:dyDescent="0.3">
      <c r="A53" s="1" t="s">
        <v>124</v>
      </c>
      <c r="B53" s="2">
        <v>43600</v>
      </c>
      <c r="C53" s="2" t="str">
        <f t="shared" si="1"/>
        <v>Wednesday</v>
      </c>
      <c r="D53" s="2" t="str">
        <f t="shared" si="2"/>
        <v>May</v>
      </c>
      <c r="E53" s="2" t="str">
        <f t="shared" si="3"/>
        <v>2019</v>
      </c>
      <c r="F53" s="3" t="s">
        <v>125</v>
      </c>
      <c r="G53" s="3" t="str">
        <f>VLOOKUP(F54,'Customers (2)'!A:I,2,0)</f>
        <v>Hartley Mattioli</v>
      </c>
      <c r="H53" s="3" t="str">
        <f>VLOOKUP(F53,'Customers (2)'!A:I,3,0)</f>
        <v>kflanders1f@over-blog.com</v>
      </c>
      <c r="I53" s="3" t="str">
        <f>VLOOKUP(F53,'Customers (2)'!A:I,4,0)</f>
        <v>+353 (467) 720-7274</v>
      </c>
      <c r="J53" s="3" t="str">
        <f>VLOOKUP(F53,'Customers (2)'!A:I,6,0)</f>
        <v>Crumlin</v>
      </c>
      <c r="K53" s="3" t="str">
        <f>VLOOKUP(F53,'Customers (2)'!A:I,7,0)</f>
        <v>Ireland</v>
      </c>
      <c r="L53" s="3" t="str">
        <f>VLOOKUP(F53,'Customers (2)'!A:I,9,0)</f>
        <v>Yes</v>
      </c>
      <c r="M53" s="4" t="s">
        <v>104</v>
      </c>
      <c r="N53" s="4" t="str">
        <f>VLOOKUP(M53,'Products (2)'!A:G,2,0)</f>
        <v>Liberica</v>
      </c>
      <c r="O53" s="4" t="str">
        <f>VLOOKUP(M53,'Products (2)'!A:G,3,0)</f>
        <v>Light</v>
      </c>
      <c r="P53" s="4">
        <f>VLOOKUP(M53,'Products (2)'!A:G,7,0)</f>
        <v>4.7391499999999995</v>
      </c>
      <c r="Q53" s="3">
        <v>4</v>
      </c>
      <c r="R53" s="5">
        <f>INDEX([1]products!$A$1:$G$49,MATCH([1]orders!$D53,[1]products!$A$1:$A$49,0),MATCH([1]orders!K$1,[1]products!$A$1:$G$1,0))</f>
        <v>2.5</v>
      </c>
      <c r="S53" s="6">
        <f>INDEX([1]products!$A$1:$G$49,MATCH([1]orders!$D53,[1]products!$A$1:$A$49,0),MATCH([1]orders!L$1,[1]products!$A$1:$G$1,0))</f>
        <v>36.454999999999998</v>
      </c>
      <c r="T53" s="6">
        <f t="shared" si="0"/>
        <v>145.82</v>
      </c>
      <c r="U53" s="22">
        <f t="shared" si="4"/>
        <v>18.956599999999998</v>
      </c>
      <c r="V53" s="22">
        <f t="shared" si="5"/>
        <v>13</v>
      </c>
    </row>
    <row r="54" spans="1:22" x14ac:dyDescent="0.3">
      <c r="A54" s="1" t="s">
        <v>126</v>
      </c>
      <c r="B54" s="2">
        <v>43719</v>
      </c>
      <c r="C54" s="2" t="str">
        <f t="shared" si="1"/>
        <v>Wednesday</v>
      </c>
      <c r="D54" s="2" t="str">
        <f t="shared" si="2"/>
        <v>September</v>
      </c>
      <c r="E54" s="2" t="str">
        <f t="shared" si="3"/>
        <v>2019</v>
      </c>
      <c r="F54" s="3" t="s">
        <v>127</v>
      </c>
      <c r="G54" s="3" t="str">
        <f>VLOOKUP(F55,'Customers (2)'!A:I,2,0)</f>
        <v>Hartley Mattioli</v>
      </c>
      <c r="H54" s="3" t="str">
        <f>VLOOKUP(F54,'Customers (2)'!A:I,3,0)</f>
        <v>hmattioli1g@webmd.com</v>
      </c>
      <c r="I54" s="3">
        <f>VLOOKUP(F54,'Customers (2)'!A:I,4,0)</f>
        <v>0</v>
      </c>
      <c r="J54" s="3" t="str">
        <f>VLOOKUP(F54,'Customers (2)'!A:I,6,0)</f>
        <v>Kinloch</v>
      </c>
      <c r="K54" s="3" t="str">
        <f>VLOOKUP(F54,'Customers (2)'!A:I,7,0)</f>
        <v>United Kingdom</v>
      </c>
      <c r="L54" s="3" t="str">
        <f>VLOOKUP(F54,'Customers (2)'!A:I,9,0)</f>
        <v>No</v>
      </c>
      <c r="M54" s="4" t="s">
        <v>22</v>
      </c>
      <c r="N54" s="4" t="str">
        <f>VLOOKUP(M54,'Products (2)'!A:G,2,0)</f>
        <v>Robusta</v>
      </c>
      <c r="O54" s="4" t="str">
        <f>VLOOKUP(M54,'Products (2)'!A:G,3,0)</f>
        <v>Medium</v>
      </c>
      <c r="P54" s="4">
        <f>VLOOKUP(M54,'Products (2)'!A:G,7,0)</f>
        <v>0.35819999999999996</v>
      </c>
      <c r="Q54" s="3">
        <v>5</v>
      </c>
      <c r="R54" s="5">
        <f>INDEX([1]products!$A$1:$G$49,MATCH([1]orders!$D54,[1]products!$A$1:$A$49,0),MATCH([1]orders!K$1,[1]products!$A$1:$G$1,0))</f>
        <v>0.5</v>
      </c>
      <c r="S54" s="6">
        <f>INDEX([1]products!$A$1:$G$49,MATCH([1]orders!$D54,[1]products!$A$1:$A$49,0),MATCH([1]orders!L$1,[1]products!$A$1:$G$1,0))</f>
        <v>5.97</v>
      </c>
      <c r="T54" s="6">
        <f t="shared" si="0"/>
        <v>29.849999999999998</v>
      </c>
      <c r="U54" s="22">
        <f t="shared" si="4"/>
        <v>1.7909999999999999</v>
      </c>
      <c r="V54" s="22">
        <f t="shared" si="5"/>
        <v>6.0000000000000009</v>
      </c>
    </row>
    <row r="55" spans="1:22" x14ac:dyDescent="0.3">
      <c r="A55" s="1" t="s">
        <v>126</v>
      </c>
      <c r="B55" s="2">
        <v>43719</v>
      </c>
      <c r="C55" s="2" t="str">
        <f t="shared" si="1"/>
        <v>Wednesday</v>
      </c>
      <c r="D55" s="2" t="str">
        <f t="shared" si="2"/>
        <v>September</v>
      </c>
      <c r="E55" s="2" t="str">
        <f t="shared" si="3"/>
        <v>2019</v>
      </c>
      <c r="F55" s="3" t="s">
        <v>127</v>
      </c>
      <c r="G55" s="3" t="str">
        <f>VLOOKUP(F56,'Customers (2)'!A:I,2,0)</f>
        <v>Archambault Gillard</v>
      </c>
      <c r="H55" s="3" t="str">
        <f>VLOOKUP(F55,'Customers (2)'!A:I,3,0)</f>
        <v>hmattioli1g@webmd.com</v>
      </c>
      <c r="I55" s="3">
        <f>VLOOKUP(F55,'Customers (2)'!A:I,4,0)</f>
        <v>0</v>
      </c>
      <c r="J55" s="3" t="str">
        <f>VLOOKUP(F55,'Customers (2)'!A:I,6,0)</f>
        <v>Kinloch</v>
      </c>
      <c r="K55" s="3" t="str">
        <f>VLOOKUP(F55,'Customers (2)'!A:I,7,0)</f>
        <v>United Kingdom</v>
      </c>
      <c r="L55" s="3" t="str">
        <f>VLOOKUP(F55,'Customers (2)'!A:I,9,0)</f>
        <v>No</v>
      </c>
      <c r="M55" s="4" t="s">
        <v>104</v>
      </c>
      <c r="N55" s="4" t="str">
        <f>VLOOKUP(M55,'Products (2)'!A:G,2,0)</f>
        <v>Liberica</v>
      </c>
      <c r="O55" s="4" t="str">
        <f>VLOOKUP(M55,'Products (2)'!A:G,3,0)</f>
        <v>Light</v>
      </c>
      <c r="P55" s="4">
        <f>VLOOKUP(M55,'Products (2)'!A:G,7,0)</f>
        <v>4.7391499999999995</v>
      </c>
      <c r="Q55" s="3">
        <v>2</v>
      </c>
      <c r="R55" s="5">
        <f>INDEX([1]products!$A$1:$G$49,MATCH([1]orders!$D55,[1]products!$A$1:$A$49,0),MATCH([1]orders!K$1,[1]products!$A$1:$G$1,0))</f>
        <v>2.5</v>
      </c>
      <c r="S55" s="6">
        <f>INDEX([1]products!$A$1:$G$49,MATCH([1]orders!$D55,[1]products!$A$1:$A$49,0),MATCH([1]orders!L$1,[1]products!$A$1:$G$1,0))</f>
        <v>36.454999999999998</v>
      </c>
      <c r="T55" s="6">
        <f t="shared" si="0"/>
        <v>72.91</v>
      </c>
      <c r="U55" s="22">
        <f t="shared" si="4"/>
        <v>9.4782999999999991</v>
      </c>
      <c r="V55" s="22">
        <f t="shared" si="5"/>
        <v>13</v>
      </c>
    </row>
    <row r="56" spans="1:22" x14ac:dyDescent="0.3">
      <c r="A56" s="1" t="s">
        <v>128</v>
      </c>
      <c r="B56" s="2">
        <v>44271</v>
      </c>
      <c r="C56" s="2" t="str">
        <f t="shared" si="1"/>
        <v>Tuesday</v>
      </c>
      <c r="D56" s="2" t="str">
        <f t="shared" si="2"/>
        <v>March</v>
      </c>
      <c r="E56" s="2" t="str">
        <f t="shared" si="3"/>
        <v>2021</v>
      </c>
      <c r="F56" s="3" t="s">
        <v>129</v>
      </c>
      <c r="G56" s="3" t="str">
        <f>VLOOKUP(F57,'Customers (2)'!A:I,2,0)</f>
        <v>Salomo Cushworth</v>
      </c>
      <c r="H56" s="3" t="str">
        <f>VLOOKUP(F56,'Customers (2)'!A:I,3,0)</f>
        <v>agillard1i@issuu.com</v>
      </c>
      <c r="I56" s="3" t="str">
        <f>VLOOKUP(F56,'Customers (2)'!A:I,4,0)</f>
        <v>+1 (419) 663-2236</v>
      </c>
      <c r="J56" s="3" t="str">
        <f>VLOOKUP(F56,'Customers (2)'!A:I,6,0)</f>
        <v>Toledo</v>
      </c>
      <c r="K56" s="3" t="str">
        <f>VLOOKUP(F56,'Customers (2)'!A:I,7,0)</f>
        <v>United States</v>
      </c>
      <c r="L56" s="3" t="str">
        <f>VLOOKUP(F56,'Customers (2)'!A:I,9,0)</f>
        <v>No</v>
      </c>
      <c r="M56" s="4" t="s">
        <v>96</v>
      </c>
      <c r="N56" s="4" t="str">
        <f>VLOOKUP(M56,'Products (2)'!A:G,2,0)</f>
        <v>Liberica</v>
      </c>
      <c r="O56" s="4" t="str">
        <f>VLOOKUP(M56,'Products (2)'!A:G,3,0)</f>
        <v>Medium</v>
      </c>
      <c r="P56" s="4">
        <f>VLOOKUP(M56,'Products (2)'!A:G,7,0)</f>
        <v>1.8915000000000002</v>
      </c>
      <c r="Q56" s="3">
        <v>5</v>
      </c>
      <c r="R56" s="5">
        <f>INDEX([1]products!$A$1:$G$49,MATCH([1]orders!$D56,[1]products!$A$1:$A$49,0),MATCH([1]orders!K$1,[1]products!$A$1:$G$1,0))</f>
        <v>1</v>
      </c>
      <c r="S56" s="6">
        <f>INDEX([1]products!$A$1:$G$49,MATCH([1]orders!$D56,[1]products!$A$1:$A$49,0),MATCH([1]orders!L$1,[1]products!$A$1:$G$1,0))</f>
        <v>14.55</v>
      </c>
      <c r="T56" s="6">
        <f t="shared" si="0"/>
        <v>72.75</v>
      </c>
      <c r="U56" s="22">
        <f t="shared" si="4"/>
        <v>9.4575000000000014</v>
      </c>
      <c r="V56" s="22">
        <f t="shared" si="5"/>
        <v>13.000000000000004</v>
      </c>
    </row>
    <row r="57" spans="1:22" x14ac:dyDescent="0.3">
      <c r="A57" s="1" t="s">
        <v>130</v>
      </c>
      <c r="B57" s="2">
        <v>44168</v>
      </c>
      <c r="C57" s="2" t="str">
        <f t="shared" si="1"/>
        <v>Thursday</v>
      </c>
      <c r="D57" s="2" t="str">
        <f t="shared" si="2"/>
        <v>December</v>
      </c>
      <c r="E57" s="2" t="str">
        <f t="shared" si="3"/>
        <v>2020</v>
      </c>
      <c r="F57" s="3" t="s">
        <v>131</v>
      </c>
      <c r="G57" s="3" t="str">
        <f>VLOOKUP(F58,'Customers (2)'!A:I,2,0)</f>
        <v>Theda Grizard</v>
      </c>
      <c r="H57" s="3">
        <f>VLOOKUP(F57,'Customers (2)'!A:I,3,0)</f>
        <v>0</v>
      </c>
      <c r="I57" s="3" t="str">
        <f>VLOOKUP(F57,'Customers (2)'!A:I,4,0)</f>
        <v>+1 (609) 409-7044</v>
      </c>
      <c r="J57" s="3" t="str">
        <f>VLOOKUP(F57,'Customers (2)'!A:I,6,0)</f>
        <v>Trenton</v>
      </c>
      <c r="K57" s="3" t="str">
        <f>VLOOKUP(F57,'Customers (2)'!A:I,7,0)</f>
        <v>United States</v>
      </c>
      <c r="L57" s="3" t="str">
        <f>VLOOKUP(F57,'Customers (2)'!A:I,9,0)</f>
        <v>No</v>
      </c>
      <c r="M57" s="4" t="s">
        <v>132</v>
      </c>
      <c r="N57" s="4" t="str">
        <f>VLOOKUP(M57,'Products (2)'!A:G,2,0)</f>
        <v>Liberica</v>
      </c>
      <c r="O57" s="4" t="str">
        <f>VLOOKUP(M57,'Products (2)'!A:G,3,0)</f>
        <v>Light</v>
      </c>
      <c r="P57" s="4">
        <f>VLOOKUP(M57,'Products (2)'!A:G,7,0)</f>
        <v>2.0605000000000002</v>
      </c>
      <c r="Q57" s="3">
        <v>3</v>
      </c>
      <c r="R57" s="5">
        <f>INDEX([1]products!$A$1:$G$49,MATCH([1]orders!$D57,[1]products!$A$1:$A$49,0),MATCH([1]orders!K$1,[1]products!$A$1:$G$1,0))</f>
        <v>1</v>
      </c>
      <c r="S57" s="6">
        <f>INDEX([1]products!$A$1:$G$49,MATCH([1]orders!$D57,[1]products!$A$1:$A$49,0),MATCH([1]orders!L$1,[1]products!$A$1:$G$1,0))</f>
        <v>15.85</v>
      </c>
      <c r="T57" s="6">
        <f t="shared" si="0"/>
        <v>47.55</v>
      </c>
      <c r="U57" s="22">
        <f t="shared" si="4"/>
        <v>6.1815000000000007</v>
      </c>
      <c r="V57" s="22">
        <f t="shared" si="5"/>
        <v>13.000000000000004</v>
      </c>
    </row>
    <row r="58" spans="1:22" x14ac:dyDescent="0.3">
      <c r="A58" s="1" t="s">
        <v>133</v>
      </c>
      <c r="B58" s="2">
        <v>43857</v>
      </c>
      <c r="C58" s="2" t="str">
        <f t="shared" si="1"/>
        <v>Monday</v>
      </c>
      <c r="D58" s="2" t="str">
        <f t="shared" si="2"/>
        <v>January</v>
      </c>
      <c r="E58" s="2" t="str">
        <f t="shared" si="3"/>
        <v>2020</v>
      </c>
      <c r="F58" s="3" t="s">
        <v>134</v>
      </c>
      <c r="G58" s="3" t="str">
        <f>VLOOKUP(F59,'Customers (2)'!A:I,2,0)</f>
        <v>Rozele Relton</v>
      </c>
      <c r="H58" s="3" t="str">
        <f>VLOOKUP(F58,'Customers (2)'!A:I,3,0)</f>
        <v>tgrizard1k@odnoklassniki.ru</v>
      </c>
      <c r="I58" s="3" t="str">
        <f>VLOOKUP(F58,'Customers (2)'!A:I,4,0)</f>
        <v>+1 (813) 243-2150</v>
      </c>
      <c r="J58" s="3" t="str">
        <f>VLOOKUP(F58,'Customers (2)'!A:I,6,0)</f>
        <v>Tampa</v>
      </c>
      <c r="K58" s="3" t="str">
        <f>VLOOKUP(F58,'Customers (2)'!A:I,7,0)</f>
        <v>United States</v>
      </c>
      <c r="L58" s="3" t="str">
        <f>VLOOKUP(F58,'Customers (2)'!A:I,9,0)</f>
        <v>Yes</v>
      </c>
      <c r="M58" s="4" t="s">
        <v>51</v>
      </c>
      <c r="N58" s="4" t="str">
        <f>VLOOKUP(M58,'Products (2)'!A:G,2,0)</f>
        <v>Excelsa</v>
      </c>
      <c r="O58" s="4" t="str">
        <f>VLOOKUP(M58,'Products (2)'!A:G,3,0)</f>
        <v>Dark</v>
      </c>
      <c r="P58" s="4">
        <f>VLOOKUP(M58,'Products (2)'!A:G,7,0)</f>
        <v>0.40095000000000003</v>
      </c>
      <c r="Q58" s="3">
        <v>3</v>
      </c>
      <c r="R58" s="5">
        <f>INDEX([1]products!$A$1:$G$49,MATCH([1]orders!$D58,[1]products!$A$1:$A$49,0),MATCH([1]orders!K$1,[1]products!$A$1:$G$1,0))</f>
        <v>0.2</v>
      </c>
      <c r="S58" s="6">
        <f>INDEX([1]products!$A$1:$G$49,MATCH([1]orders!$D58,[1]products!$A$1:$A$49,0),MATCH([1]orders!L$1,[1]products!$A$1:$G$1,0))</f>
        <v>3.645</v>
      </c>
      <c r="T58" s="6">
        <f t="shared" si="0"/>
        <v>10.935</v>
      </c>
      <c r="U58" s="22">
        <f t="shared" si="4"/>
        <v>1.2028500000000002</v>
      </c>
      <c r="V58" s="22">
        <f t="shared" si="5"/>
        <v>11.000000000000002</v>
      </c>
    </row>
    <row r="59" spans="1:22" x14ac:dyDescent="0.3">
      <c r="A59" s="1" t="s">
        <v>135</v>
      </c>
      <c r="B59" s="2">
        <v>44759</v>
      </c>
      <c r="C59" s="2" t="str">
        <f t="shared" si="1"/>
        <v>Sunday</v>
      </c>
      <c r="D59" s="2" t="str">
        <f t="shared" si="2"/>
        <v>July</v>
      </c>
      <c r="E59" s="2" t="str">
        <f t="shared" si="3"/>
        <v>2022</v>
      </c>
      <c r="F59" s="3" t="s">
        <v>136</v>
      </c>
      <c r="G59" s="3" t="str">
        <f>VLOOKUP(F60,'Customers (2)'!A:I,2,0)</f>
        <v>Willa Rolling</v>
      </c>
      <c r="H59" s="3" t="str">
        <f>VLOOKUP(F59,'Customers (2)'!A:I,3,0)</f>
        <v>rrelton1l@stanford.edu</v>
      </c>
      <c r="I59" s="3" t="str">
        <f>VLOOKUP(F59,'Customers (2)'!A:I,4,0)</f>
        <v>+1 (850) 626-1181</v>
      </c>
      <c r="J59" s="3" t="str">
        <f>VLOOKUP(F59,'Customers (2)'!A:I,6,0)</f>
        <v>Pensacola</v>
      </c>
      <c r="K59" s="3" t="str">
        <f>VLOOKUP(F59,'Customers (2)'!A:I,7,0)</f>
        <v>United States</v>
      </c>
      <c r="L59" s="3" t="str">
        <f>VLOOKUP(F59,'Customers (2)'!A:I,9,0)</f>
        <v>No</v>
      </c>
      <c r="M59" s="4" t="s">
        <v>137</v>
      </c>
      <c r="N59" s="4" t="str">
        <f>VLOOKUP(M59,'Products (2)'!A:G,2,0)</f>
        <v>Excelsa</v>
      </c>
      <c r="O59" s="4" t="str">
        <f>VLOOKUP(M59,'Products (2)'!A:G,3,0)</f>
        <v>Light</v>
      </c>
      <c r="P59" s="4">
        <f>VLOOKUP(M59,'Products (2)'!A:G,7,0)</f>
        <v>1.6335</v>
      </c>
      <c r="Q59" s="3">
        <v>4</v>
      </c>
      <c r="R59" s="5">
        <f>INDEX([1]products!$A$1:$G$49,MATCH([1]orders!$D59,[1]products!$A$1:$A$49,0),MATCH([1]orders!K$1,[1]products!$A$1:$G$1,0))</f>
        <v>1</v>
      </c>
      <c r="S59" s="6">
        <f>INDEX([1]products!$A$1:$G$49,MATCH([1]orders!$D59,[1]products!$A$1:$A$49,0),MATCH([1]orders!L$1,[1]products!$A$1:$G$1,0))</f>
        <v>14.85</v>
      </c>
      <c r="T59" s="6">
        <f t="shared" si="0"/>
        <v>59.4</v>
      </c>
      <c r="U59" s="22">
        <f t="shared" si="4"/>
        <v>6.5339999999999998</v>
      </c>
      <c r="V59" s="22">
        <f t="shared" si="5"/>
        <v>11</v>
      </c>
    </row>
    <row r="60" spans="1:22" x14ac:dyDescent="0.3">
      <c r="A60" s="1" t="s">
        <v>138</v>
      </c>
      <c r="B60" s="2">
        <v>44624</v>
      </c>
      <c r="C60" s="2" t="str">
        <f t="shared" si="1"/>
        <v>Friday</v>
      </c>
      <c r="D60" s="2" t="str">
        <f t="shared" si="2"/>
        <v>March</v>
      </c>
      <c r="E60" s="2" t="str">
        <f t="shared" si="3"/>
        <v>2022</v>
      </c>
      <c r="F60" s="3" t="s">
        <v>139</v>
      </c>
      <c r="G60" s="3" t="str">
        <f>VLOOKUP(F61,'Customers (2)'!A:I,2,0)</f>
        <v>Stanislaus Gilroy</v>
      </c>
      <c r="H60" s="3">
        <f>VLOOKUP(F60,'Customers (2)'!A:I,3,0)</f>
        <v>0</v>
      </c>
      <c r="I60" s="3" t="str">
        <f>VLOOKUP(F60,'Customers (2)'!A:I,4,0)</f>
        <v>+1 (813) 759-3534</v>
      </c>
      <c r="J60" s="3" t="str">
        <f>VLOOKUP(F60,'Customers (2)'!A:I,6,0)</f>
        <v>Zephyrhills</v>
      </c>
      <c r="K60" s="3" t="str">
        <f>VLOOKUP(F60,'Customers (2)'!A:I,7,0)</f>
        <v>United States</v>
      </c>
      <c r="L60" s="3" t="str">
        <f>VLOOKUP(F60,'Customers (2)'!A:I,9,0)</f>
        <v>Yes</v>
      </c>
      <c r="M60" s="4" t="s">
        <v>109</v>
      </c>
      <c r="N60" s="4" t="str">
        <f>VLOOKUP(M60,'Products (2)'!A:G,2,0)</f>
        <v>Liberica</v>
      </c>
      <c r="O60" s="4" t="str">
        <f>VLOOKUP(M60,'Products (2)'!A:G,3,0)</f>
        <v>Dark</v>
      </c>
      <c r="P60" s="4">
        <f>VLOOKUP(M60,'Products (2)'!A:G,7,0)</f>
        <v>3.8720499999999998</v>
      </c>
      <c r="Q60" s="3">
        <v>3</v>
      </c>
      <c r="R60" s="5">
        <f>INDEX([1]products!$A$1:$G$49,MATCH([1]orders!$D60,[1]products!$A$1:$A$49,0),MATCH([1]orders!K$1,[1]products!$A$1:$G$1,0))</f>
        <v>2.5</v>
      </c>
      <c r="S60" s="6">
        <f>INDEX([1]products!$A$1:$G$49,MATCH([1]orders!$D60,[1]products!$A$1:$A$49,0),MATCH([1]orders!L$1,[1]products!$A$1:$G$1,0))</f>
        <v>29.784999999999997</v>
      </c>
      <c r="T60" s="6">
        <f t="shared" si="0"/>
        <v>89.35499999999999</v>
      </c>
      <c r="U60" s="22">
        <f t="shared" si="4"/>
        <v>11.616149999999999</v>
      </c>
      <c r="V60" s="22">
        <f t="shared" si="5"/>
        <v>13</v>
      </c>
    </row>
    <row r="61" spans="1:22" x14ac:dyDescent="0.3">
      <c r="A61" s="1" t="s">
        <v>140</v>
      </c>
      <c r="B61" s="2">
        <v>44537</v>
      </c>
      <c r="C61" s="2" t="str">
        <f t="shared" si="1"/>
        <v>Tuesday</v>
      </c>
      <c r="D61" s="2" t="str">
        <f t="shared" si="2"/>
        <v>December</v>
      </c>
      <c r="E61" s="2" t="str">
        <f t="shared" si="3"/>
        <v>2021</v>
      </c>
      <c r="F61" s="3" t="s">
        <v>141</v>
      </c>
      <c r="G61" s="3" t="str">
        <f>VLOOKUP(F62,'Customers (2)'!A:I,2,0)</f>
        <v>Correy Cottingham</v>
      </c>
      <c r="H61" s="3" t="str">
        <f>VLOOKUP(F61,'Customers (2)'!A:I,3,0)</f>
        <v>sgilroy1n@eepurl.com</v>
      </c>
      <c r="I61" s="3">
        <f>VLOOKUP(F61,'Customers (2)'!A:I,4,0)</f>
        <v>0</v>
      </c>
      <c r="J61" s="3" t="str">
        <f>VLOOKUP(F61,'Customers (2)'!A:I,6,0)</f>
        <v>Saint Paul</v>
      </c>
      <c r="K61" s="3" t="str">
        <f>VLOOKUP(F61,'Customers (2)'!A:I,7,0)</f>
        <v>United States</v>
      </c>
      <c r="L61" s="3" t="str">
        <f>VLOOKUP(F61,'Customers (2)'!A:I,9,0)</f>
        <v>Yes</v>
      </c>
      <c r="M61" s="4" t="s">
        <v>78</v>
      </c>
      <c r="N61" s="4" t="str">
        <f>VLOOKUP(M61,'Products (2)'!A:G,2,0)</f>
        <v>Liberica</v>
      </c>
      <c r="O61" s="4" t="str">
        <f>VLOOKUP(M61,'Products (2)'!A:G,3,0)</f>
        <v>Medium</v>
      </c>
      <c r="P61" s="4">
        <f>VLOOKUP(M61,'Products (2)'!A:G,7,0)</f>
        <v>1.1349</v>
      </c>
      <c r="Q61" s="3">
        <v>3</v>
      </c>
      <c r="R61" s="5">
        <f>INDEX([1]products!$A$1:$G$49,MATCH([1]orders!$D61,[1]products!$A$1:$A$49,0),MATCH([1]orders!K$1,[1]products!$A$1:$G$1,0))</f>
        <v>0.5</v>
      </c>
      <c r="S61" s="6">
        <f>INDEX([1]products!$A$1:$G$49,MATCH([1]orders!$D61,[1]products!$A$1:$A$49,0),MATCH([1]orders!L$1,[1]products!$A$1:$G$1,0))</f>
        <v>8.73</v>
      </c>
      <c r="T61" s="6">
        <f t="shared" si="0"/>
        <v>26.19</v>
      </c>
      <c r="U61" s="22">
        <f t="shared" si="4"/>
        <v>3.4047000000000001</v>
      </c>
      <c r="V61" s="22">
        <f t="shared" si="5"/>
        <v>13</v>
      </c>
    </row>
    <row r="62" spans="1:22" x14ac:dyDescent="0.3">
      <c r="A62" s="1" t="s">
        <v>142</v>
      </c>
      <c r="B62" s="2">
        <v>44252</v>
      </c>
      <c r="C62" s="2" t="str">
        <f t="shared" si="1"/>
        <v>Thursday</v>
      </c>
      <c r="D62" s="2" t="str">
        <f t="shared" si="2"/>
        <v>February</v>
      </c>
      <c r="E62" s="2" t="str">
        <f t="shared" si="3"/>
        <v>2021</v>
      </c>
      <c r="F62" s="3" t="s">
        <v>143</v>
      </c>
      <c r="G62" s="3" t="str">
        <f>VLOOKUP(F63,'Customers (2)'!A:I,2,0)</f>
        <v>Pammi Endacott</v>
      </c>
      <c r="H62" s="3" t="str">
        <f>VLOOKUP(F62,'Customers (2)'!A:I,3,0)</f>
        <v>ccottingham1o@wikipedia.org</v>
      </c>
      <c r="I62" s="3" t="str">
        <f>VLOOKUP(F62,'Customers (2)'!A:I,4,0)</f>
        <v>+1 (260) 764-1820</v>
      </c>
      <c r="J62" s="3" t="str">
        <f>VLOOKUP(F62,'Customers (2)'!A:I,6,0)</f>
        <v>Fort Wayne</v>
      </c>
      <c r="K62" s="3" t="str">
        <f>VLOOKUP(F62,'Customers (2)'!A:I,7,0)</f>
        <v>United States</v>
      </c>
      <c r="L62" s="3" t="str">
        <f>VLOOKUP(F62,'Customers (2)'!A:I,9,0)</f>
        <v>No</v>
      </c>
      <c r="M62" s="4" t="s">
        <v>118</v>
      </c>
      <c r="N62" s="4" t="str">
        <f>VLOOKUP(M62,'Products (2)'!A:G,2,0)</f>
        <v>Arabica</v>
      </c>
      <c r="O62" s="4" t="str">
        <f>VLOOKUP(M62,'Products (2)'!A:G,3,0)</f>
        <v>Dark</v>
      </c>
      <c r="P62" s="4">
        <f>VLOOKUP(M62,'Products (2)'!A:G,7,0)</f>
        <v>2.0596499999999995</v>
      </c>
      <c r="Q62" s="3">
        <v>5</v>
      </c>
      <c r="R62" s="5">
        <f>INDEX([1]products!$A$1:$G$49,MATCH([1]orders!$D62,[1]products!$A$1:$A$49,0),MATCH([1]orders!K$1,[1]products!$A$1:$G$1,0))</f>
        <v>2.5</v>
      </c>
      <c r="S62" s="6">
        <f>INDEX([1]products!$A$1:$G$49,MATCH([1]orders!$D62,[1]products!$A$1:$A$49,0),MATCH([1]orders!L$1,[1]products!$A$1:$G$1,0))</f>
        <v>22.884999999999998</v>
      </c>
      <c r="T62" s="6">
        <f t="shared" si="0"/>
        <v>114.42499999999998</v>
      </c>
      <c r="U62" s="22">
        <f t="shared" si="4"/>
        <v>10.298249999999998</v>
      </c>
      <c r="V62" s="22">
        <f t="shared" si="5"/>
        <v>9</v>
      </c>
    </row>
    <row r="63" spans="1:22" x14ac:dyDescent="0.3">
      <c r="A63" s="1" t="s">
        <v>144</v>
      </c>
      <c r="B63" s="2">
        <v>43521</v>
      </c>
      <c r="C63" s="2" t="str">
        <f t="shared" si="1"/>
        <v>Monday</v>
      </c>
      <c r="D63" s="2" t="str">
        <f t="shared" si="2"/>
        <v>February</v>
      </c>
      <c r="E63" s="2" t="str">
        <f t="shared" si="3"/>
        <v>2019</v>
      </c>
      <c r="F63" s="3" t="s">
        <v>145</v>
      </c>
      <c r="G63" s="3" t="str">
        <f>VLOOKUP(F64,'Customers (2)'!A:I,2,0)</f>
        <v>Nona Linklater</v>
      </c>
      <c r="H63" s="3">
        <f>VLOOKUP(F63,'Customers (2)'!A:I,3,0)</f>
        <v>0</v>
      </c>
      <c r="I63" s="3" t="str">
        <f>VLOOKUP(F63,'Customers (2)'!A:I,4,0)</f>
        <v>+44 (177) 260-5076</v>
      </c>
      <c r="J63" s="3" t="str">
        <f>VLOOKUP(F63,'Customers (2)'!A:I,6,0)</f>
        <v>Wootton</v>
      </c>
      <c r="K63" s="3" t="str">
        <f>VLOOKUP(F63,'Customers (2)'!A:I,7,0)</f>
        <v>United Kingdom</v>
      </c>
      <c r="L63" s="3" t="str">
        <f>VLOOKUP(F63,'Customers (2)'!A:I,9,0)</f>
        <v>Yes</v>
      </c>
      <c r="M63" s="4" t="s">
        <v>146</v>
      </c>
      <c r="N63" s="4" t="str">
        <f>VLOOKUP(M63,'Products (2)'!A:G,2,0)</f>
        <v>Robusta</v>
      </c>
      <c r="O63" s="4" t="str">
        <f>VLOOKUP(M63,'Products (2)'!A:G,3,0)</f>
        <v>Dark</v>
      </c>
      <c r="P63" s="4">
        <f>VLOOKUP(M63,'Products (2)'!A:G,7,0)</f>
        <v>0.32219999999999993</v>
      </c>
      <c r="Q63" s="3">
        <v>5</v>
      </c>
      <c r="R63" s="5">
        <f>INDEX([1]products!$A$1:$G$49,MATCH([1]orders!$D63,[1]products!$A$1:$A$49,0),MATCH([1]orders!K$1,[1]products!$A$1:$G$1,0))</f>
        <v>0.5</v>
      </c>
      <c r="S63" s="6">
        <f>INDEX([1]products!$A$1:$G$49,MATCH([1]orders!$D63,[1]products!$A$1:$A$49,0),MATCH([1]orders!L$1,[1]products!$A$1:$G$1,0))</f>
        <v>5.3699999999999992</v>
      </c>
      <c r="T63" s="6">
        <f t="shared" si="0"/>
        <v>26.849999999999994</v>
      </c>
      <c r="U63" s="22">
        <f t="shared" si="4"/>
        <v>1.6109999999999998</v>
      </c>
      <c r="V63" s="22">
        <f t="shared" si="5"/>
        <v>6.0000000000000009</v>
      </c>
    </row>
    <row r="64" spans="1:22" x14ac:dyDescent="0.3">
      <c r="A64" s="1" t="s">
        <v>147</v>
      </c>
      <c r="B64" s="2">
        <v>43505</v>
      </c>
      <c r="C64" s="2" t="str">
        <f t="shared" si="1"/>
        <v>Saturday</v>
      </c>
      <c r="D64" s="2" t="str">
        <f t="shared" si="2"/>
        <v>February</v>
      </c>
      <c r="E64" s="2" t="str">
        <f t="shared" si="3"/>
        <v>2019</v>
      </c>
      <c r="F64" s="3" t="s">
        <v>148</v>
      </c>
      <c r="G64" s="3" t="str">
        <f>VLOOKUP(F65,'Customers (2)'!A:I,2,0)</f>
        <v>Annadiane Dykes</v>
      </c>
      <c r="H64" s="3">
        <f>VLOOKUP(F64,'Customers (2)'!A:I,3,0)</f>
        <v>0</v>
      </c>
      <c r="I64" s="3" t="str">
        <f>VLOOKUP(F64,'Customers (2)'!A:I,4,0)</f>
        <v>+1 (239) 347-9766</v>
      </c>
      <c r="J64" s="3" t="str">
        <f>VLOOKUP(F64,'Customers (2)'!A:I,6,0)</f>
        <v>Naples</v>
      </c>
      <c r="K64" s="3" t="str">
        <f>VLOOKUP(F64,'Customers (2)'!A:I,7,0)</f>
        <v>United States</v>
      </c>
      <c r="L64" s="3" t="str">
        <f>VLOOKUP(F64,'Customers (2)'!A:I,9,0)</f>
        <v>Yes</v>
      </c>
      <c r="M64" s="4" t="s">
        <v>19</v>
      </c>
      <c r="N64" s="4" t="str">
        <f>VLOOKUP(M64,'Products (2)'!A:G,2,0)</f>
        <v>Liberica</v>
      </c>
      <c r="O64" s="4" t="str">
        <f>VLOOKUP(M64,'Products (2)'!A:G,3,0)</f>
        <v>Light</v>
      </c>
      <c r="P64" s="4">
        <f>VLOOKUP(M64,'Products (2)'!A:G,7,0)</f>
        <v>0.61814999999999998</v>
      </c>
      <c r="Q64" s="3">
        <v>5</v>
      </c>
      <c r="R64" s="5">
        <f>INDEX([1]products!$A$1:$G$49,MATCH([1]orders!$D64,[1]products!$A$1:$A$49,0),MATCH([1]orders!K$1,[1]products!$A$1:$G$1,0))</f>
        <v>0.2</v>
      </c>
      <c r="S64" s="6">
        <f>INDEX([1]products!$A$1:$G$49,MATCH([1]orders!$D64,[1]products!$A$1:$A$49,0),MATCH([1]orders!L$1,[1]products!$A$1:$G$1,0))</f>
        <v>4.7549999999999999</v>
      </c>
      <c r="T64" s="6">
        <f t="shared" si="0"/>
        <v>23.774999999999999</v>
      </c>
      <c r="U64" s="22">
        <f t="shared" si="4"/>
        <v>3.0907499999999999</v>
      </c>
      <c r="V64" s="22">
        <f t="shared" si="5"/>
        <v>13</v>
      </c>
    </row>
    <row r="65" spans="1:22" x14ac:dyDescent="0.3">
      <c r="A65" s="1" t="s">
        <v>149</v>
      </c>
      <c r="B65" s="2">
        <v>43868</v>
      </c>
      <c r="C65" s="2" t="str">
        <f t="shared" si="1"/>
        <v>Friday</v>
      </c>
      <c r="D65" s="2" t="str">
        <f t="shared" si="2"/>
        <v>February</v>
      </c>
      <c r="E65" s="2" t="str">
        <f t="shared" si="3"/>
        <v>2020</v>
      </c>
      <c r="F65" s="3" t="s">
        <v>150</v>
      </c>
      <c r="G65" s="3" t="str">
        <f>VLOOKUP(F66,'Customers (2)'!A:I,2,0)</f>
        <v>Felecia Dodgson</v>
      </c>
      <c r="H65" s="3" t="str">
        <f>VLOOKUP(F65,'Customers (2)'!A:I,3,0)</f>
        <v>adykes1r@eventbrite.com</v>
      </c>
      <c r="I65" s="3" t="str">
        <f>VLOOKUP(F65,'Customers (2)'!A:I,4,0)</f>
        <v>+1 (312) 111-6203</v>
      </c>
      <c r="J65" s="3" t="str">
        <f>VLOOKUP(F65,'Customers (2)'!A:I,6,0)</f>
        <v>Chicago</v>
      </c>
      <c r="K65" s="3" t="str">
        <f>VLOOKUP(F65,'Customers (2)'!A:I,7,0)</f>
        <v>United States</v>
      </c>
      <c r="L65" s="3" t="str">
        <f>VLOOKUP(F65,'Customers (2)'!A:I,9,0)</f>
        <v>No</v>
      </c>
      <c r="M65" s="4" t="s">
        <v>67</v>
      </c>
      <c r="N65" s="4" t="str">
        <f>VLOOKUP(M65,'Products (2)'!A:G,2,0)</f>
        <v>Arabica</v>
      </c>
      <c r="O65" s="4" t="str">
        <f>VLOOKUP(M65,'Products (2)'!A:G,3,0)</f>
        <v>Medium</v>
      </c>
      <c r="P65" s="4">
        <f>VLOOKUP(M65,'Products (2)'!A:G,7,0)</f>
        <v>0.60749999999999993</v>
      </c>
      <c r="Q65" s="3">
        <v>1</v>
      </c>
      <c r="R65" s="5">
        <f>INDEX([1]products!$A$1:$G$49,MATCH([1]orders!$D65,[1]products!$A$1:$A$49,0),MATCH([1]orders!K$1,[1]products!$A$1:$G$1,0))</f>
        <v>0.5</v>
      </c>
      <c r="S65" s="6">
        <f>INDEX([1]products!$A$1:$G$49,MATCH([1]orders!$D65,[1]products!$A$1:$A$49,0),MATCH([1]orders!L$1,[1]products!$A$1:$G$1,0))</f>
        <v>6.75</v>
      </c>
      <c r="T65" s="6">
        <f t="shared" si="0"/>
        <v>6.75</v>
      </c>
      <c r="U65" s="22">
        <f t="shared" si="4"/>
        <v>0.60749999999999993</v>
      </c>
      <c r="V65" s="22">
        <f t="shared" si="5"/>
        <v>8.9999999999999982</v>
      </c>
    </row>
    <row r="66" spans="1:22" x14ac:dyDescent="0.3">
      <c r="A66" s="1" t="s">
        <v>151</v>
      </c>
      <c r="B66" s="2">
        <v>43913</v>
      </c>
      <c r="C66" s="2" t="str">
        <f t="shared" si="1"/>
        <v>Monday</v>
      </c>
      <c r="D66" s="2" t="str">
        <f t="shared" si="2"/>
        <v>March</v>
      </c>
      <c r="E66" s="2" t="str">
        <f t="shared" si="3"/>
        <v>2020</v>
      </c>
      <c r="F66" s="3" t="s">
        <v>152</v>
      </c>
      <c r="G66" s="3" t="str">
        <f>VLOOKUP(F67,'Customers (2)'!A:I,2,0)</f>
        <v>Angelia Cockrem</v>
      </c>
      <c r="H66" s="3">
        <f>VLOOKUP(F66,'Customers (2)'!A:I,3,0)</f>
        <v>0</v>
      </c>
      <c r="I66" s="3" t="str">
        <f>VLOOKUP(F66,'Customers (2)'!A:I,4,0)</f>
        <v>+1 (973) 434-8662</v>
      </c>
      <c r="J66" s="3" t="str">
        <f>VLOOKUP(F66,'Customers (2)'!A:I,6,0)</f>
        <v>Newark</v>
      </c>
      <c r="K66" s="3" t="str">
        <f>VLOOKUP(F66,'Customers (2)'!A:I,7,0)</f>
        <v>United States</v>
      </c>
      <c r="L66" s="3" t="str">
        <f>VLOOKUP(F66,'Customers (2)'!A:I,9,0)</f>
        <v>Yes</v>
      </c>
      <c r="M66" s="4" t="s">
        <v>22</v>
      </c>
      <c r="N66" s="4" t="str">
        <f>VLOOKUP(M66,'Products (2)'!A:G,2,0)</f>
        <v>Robusta</v>
      </c>
      <c r="O66" s="4" t="str">
        <f>VLOOKUP(M66,'Products (2)'!A:G,3,0)</f>
        <v>Medium</v>
      </c>
      <c r="P66" s="4">
        <f>VLOOKUP(M66,'Products (2)'!A:G,7,0)</f>
        <v>0.35819999999999996</v>
      </c>
      <c r="Q66" s="3">
        <v>6</v>
      </c>
      <c r="R66" s="5">
        <f>INDEX([1]products!$A$1:$G$49,MATCH([1]orders!$D66,[1]products!$A$1:$A$49,0),MATCH([1]orders!K$1,[1]products!$A$1:$G$1,0))</f>
        <v>0.5</v>
      </c>
      <c r="S66" s="6">
        <f>INDEX([1]products!$A$1:$G$49,MATCH([1]orders!$D66,[1]products!$A$1:$A$49,0),MATCH([1]orders!L$1,[1]products!$A$1:$G$1,0))</f>
        <v>5.97</v>
      </c>
      <c r="T66" s="6">
        <f t="shared" ref="T66:T129" si="6">Q66*S66</f>
        <v>35.82</v>
      </c>
      <c r="U66" s="22">
        <f t="shared" si="4"/>
        <v>2.1491999999999996</v>
      </c>
      <c r="V66" s="22">
        <f t="shared" si="5"/>
        <v>5.9999999999999982</v>
      </c>
    </row>
    <row r="67" spans="1:22" x14ac:dyDescent="0.3">
      <c r="A67" s="1" t="s">
        <v>153</v>
      </c>
      <c r="B67" s="2">
        <v>44626</v>
      </c>
      <c r="C67" s="2" t="str">
        <f t="shared" ref="C67:C130" si="7">TEXT(B67,"dddd")</f>
        <v>Sunday</v>
      </c>
      <c r="D67" s="2" t="str">
        <f t="shared" ref="D67:D130" si="8">TEXT(B67,"MMMM")</f>
        <v>March</v>
      </c>
      <c r="E67" s="2" t="str">
        <f t="shared" ref="E67:E130" si="9">TEXT(B67,"YYYY")</f>
        <v>2022</v>
      </c>
      <c r="F67" s="3" t="s">
        <v>154</v>
      </c>
      <c r="G67" s="3" t="str">
        <f>VLOOKUP(F68,'Customers (2)'!A:I,2,0)</f>
        <v>Belvia Umpleby</v>
      </c>
      <c r="H67" s="3" t="str">
        <f>VLOOKUP(F67,'Customers (2)'!A:I,3,0)</f>
        <v>acockrem1t@engadget.com</v>
      </c>
      <c r="I67" s="3" t="str">
        <f>VLOOKUP(F67,'Customers (2)'!A:I,4,0)</f>
        <v>+1 (571) 316-8217</v>
      </c>
      <c r="J67" s="3" t="str">
        <f>VLOOKUP(F67,'Customers (2)'!A:I,6,0)</f>
        <v>Vienna</v>
      </c>
      <c r="K67" s="3" t="str">
        <f>VLOOKUP(F67,'Customers (2)'!A:I,7,0)</f>
        <v>United States</v>
      </c>
      <c r="L67" s="3" t="str">
        <f>VLOOKUP(F67,'Customers (2)'!A:I,9,0)</f>
        <v>Yes</v>
      </c>
      <c r="M67" s="4" t="s">
        <v>35</v>
      </c>
      <c r="N67" s="4" t="str">
        <f>VLOOKUP(M67,'Products (2)'!A:G,2,0)</f>
        <v>Robusta</v>
      </c>
      <c r="O67" s="4" t="str">
        <f>VLOOKUP(M67,'Products (2)'!A:G,3,0)</f>
        <v>Dark</v>
      </c>
      <c r="P67" s="4">
        <f>VLOOKUP(M67,'Products (2)'!A:G,7,0)</f>
        <v>1.2350999999999999</v>
      </c>
      <c r="Q67" s="3">
        <v>4</v>
      </c>
      <c r="R67" s="5">
        <f>INDEX([1]products!$A$1:$G$49,MATCH([1]orders!$D67,[1]products!$A$1:$A$49,0),MATCH([1]orders!K$1,[1]products!$A$1:$G$1,0))</f>
        <v>2.5</v>
      </c>
      <c r="S67" s="6">
        <f>INDEX([1]products!$A$1:$G$49,MATCH([1]orders!$D67,[1]products!$A$1:$A$49,0),MATCH([1]orders!L$1,[1]products!$A$1:$G$1,0))</f>
        <v>20.584999999999997</v>
      </c>
      <c r="T67" s="6">
        <f t="shared" si="6"/>
        <v>82.339999999999989</v>
      </c>
      <c r="U67" s="22">
        <f t="shared" ref="U67:U130" si="10">Q67*P67</f>
        <v>4.9403999999999995</v>
      </c>
      <c r="V67" s="22">
        <f t="shared" ref="V67:V130" si="11">U67/T67*100</f>
        <v>6.0000000000000009</v>
      </c>
    </row>
    <row r="68" spans="1:22" x14ac:dyDescent="0.3">
      <c r="A68" s="1" t="s">
        <v>155</v>
      </c>
      <c r="B68" s="2">
        <v>44666</v>
      </c>
      <c r="C68" s="2" t="str">
        <f t="shared" si="7"/>
        <v>Friday</v>
      </c>
      <c r="D68" s="2" t="str">
        <f t="shared" si="8"/>
        <v>April</v>
      </c>
      <c r="E68" s="2" t="str">
        <f t="shared" si="9"/>
        <v>2022</v>
      </c>
      <c r="F68" s="3" t="s">
        <v>156</v>
      </c>
      <c r="G68" s="3" t="str">
        <f>VLOOKUP(F69,'Customers (2)'!A:I,2,0)</f>
        <v>Nat Saleway</v>
      </c>
      <c r="H68" s="3" t="str">
        <f>VLOOKUP(F68,'Customers (2)'!A:I,3,0)</f>
        <v>bumpleby1u@soundcloud.com</v>
      </c>
      <c r="I68" s="3" t="str">
        <f>VLOOKUP(F68,'Customers (2)'!A:I,4,0)</f>
        <v>+1 (682) 627-0888</v>
      </c>
      <c r="J68" s="3" t="str">
        <f>VLOOKUP(F68,'Customers (2)'!A:I,6,0)</f>
        <v>Fort Worth</v>
      </c>
      <c r="K68" s="3" t="str">
        <f>VLOOKUP(F68,'Customers (2)'!A:I,7,0)</f>
        <v>United States</v>
      </c>
      <c r="L68" s="3" t="str">
        <f>VLOOKUP(F68,'Customers (2)'!A:I,9,0)</f>
        <v>Yes</v>
      </c>
      <c r="M68" s="4" t="s">
        <v>157</v>
      </c>
      <c r="N68" s="4" t="str">
        <f>VLOOKUP(M68,'Products (2)'!A:G,2,0)</f>
        <v>Robusta</v>
      </c>
      <c r="O68" s="4" t="str">
        <f>VLOOKUP(M68,'Products (2)'!A:G,3,0)</f>
        <v>Light</v>
      </c>
      <c r="P68" s="4">
        <f>VLOOKUP(M68,'Products (2)'!A:G,7,0)</f>
        <v>0.43019999999999992</v>
      </c>
      <c r="Q68" s="3">
        <v>1</v>
      </c>
      <c r="R68" s="5">
        <f>INDEX([1]products!$A$1:$G$49,MATCH([1]orders!$D68,[1]products!$A$1:$A$49,0),MATCH([1]orders!K$1,[1]products!$A$1:$G$1,0))</f>
        <v>0.5</v>
      </c>
      <c r="S68" s="6">
        <f>INDEX([1]products!$A$1:$G$49,MATCH([1]orders!$D68,[1]products!$A$1:$A$49,0),MATCH([1]orders!L$1,[1]products!$A$1:$G$1,0))</f>
        <v>7.169999999999999</v>
      </c>
      <c r="T68" s="6">
        <f t="shared" si="6"/>
        <v>7.169999999999999</v>
      </c>
      <c r="U68" s="22">
        <f t="shared" si="10"/>
        <v>0.43019999999999992</v>
      </c>
      <c r="V68" s="22">
        <f t="shared" si="11"/>
        <v>6</v>
      </c>
    </row>
    <row r="69" spans="1:22" x14ac:dyDescent="0.3">
      <c r="A69" s="1" t="s">
        <v>158</v>
      </c>
      <c r="B69" s="2">
        <v>44519</v>
      </c>
      <c r="C69" s="2" t="str">
        <f t="shared" si="7"/>
        <v>Friday</v>
      </c>
      <c r="D69" s="2" t="str">
        <f t="shared" si="8"/>
        <v>November</v>
      </c>
      <c r="E69" s="2" t="str">
        <f t="shared" si="9"/>
        <v>2021</v>
      </c>
      <c r="F69" s="3" t="s">
        <v>159</v>
      </c>
      <c r="G69" s="3" t="str">
        <f>VLOOKUP(F70,'Customers (2)'!A:I,2,0)</f>
        <v>Hayward Goulter</v>
      </c>
      <c r="H69" s="3" t="str">
        <f>VLOOKUP(F69,'Customers (2)'!A:I,3,0)</f>
        <v>nsaleway1v@dedecms.com</v>
      </c>
      <c r="I69" s="3" t="str">
        <f>VLOOKUP(F69,'Customers (2)'!A:I,4,0)</f>
        <v>+1 (323) 473-0294</v>
      </c>
      <c r="J69" s="3" t="str">
        <f>VLOOKUP(F69,'Customers (2)'!A:I,6,0)</f>
        <v>Burbank</v>
      </c>
      <c r="K69" s="3" t="str">
        <f>VLOOKUP(F69,'Customers (2)'!A:I,7,0)</f>
        <v>United States</v>
      </c>
      <c r="L69" s="3" t="str">
        <f>VLOOKUP(F69,'Customers (2)'!A:I,9,0)</f>
        <v>No</v>
      </c>
      <c r="M69" s="4" t="s">
        <v>19</v>
      </c>
      <c r="N69" s="4" t="str">
        <f>VLOOKUP(M69,'Products (2)'!A:G,2,0)</f>
        <v>Liberica</v>
      </c>
      <c r="O69" s="4" t="str">
        <f>VLOOKUP(M69,'Products (2)'!A:G,3,0)</f>
        <v>Light</v>
      </c>
      <c r="P69" s="4">
        <f>VLOOKUP(M69,'Products (2)'!A:G,7,0)</f>
        <v>0.61814999999999998</v>
      </c>
      <c r="Q69" s="3">
        <v>2</v>
      </c>
      <c r="R69" s="5">
        <f>INDEX([1]products!$A$1:$G$49,MATCH([1]orders!$D69,[1]products!$A$1:$A$49,0),MATCH([1]orders!K$1,[1]products!$A$1:$G$1,0))</f>
        <v>0.2</v>
      </c>
      <c r="S69" s="6">
        <f>INDEX([1]products!$A$1:$G$49,MATCH([1]orders!$D69,[1]products!$A$1:$A$49,0),MATCH([1]orders!L$1,[1]products!$A$1:$G$1,0))</f>
        <v>4.7549999999999999</v>
      </c>
      <c r="T69" s="6">
        <f t="shared" si="6"/>
        <v>9.51</v>
      </c>
      <c r="U69" s="22">
        <f t="shared" si="10"/>
        <v>1.2363</v>
      </c>
      <c r="V69" s="22">
        <f t="shared" si="11"/>
        <v>13</v>
      </c>
    </row>
    <row r="70" spans="1:22" x14ac:dyDescent="0.3">
      <c r="A70" s="1" t="s">
        <v>160</v>
      </c>
      <c r="B70" s="2">
        <v>43754</v>
      </c>
      <c r="C70" s="2" t="str">
        <f t="shared" si="7"/>
        <v>Wednesday</v>
      </c>
      <c r="D70" s="2" t="str">
        <f t="shared" si="8"/>
        <v>October</v>
      </c>
      <c r="E70" s="2" t="str">
        <f t="shared" si="9"/>
        <v>2019</v>
      </c>
      <c r="F70" s="3" t="s">
        <v>161</v>
      </c>
      <c r="G70" s="3" t="str">
        <f>VLOOKUP(F71,'Customers (2)'!A:I,2,0)</f>
        <v>Gay Rizzello</v>
      </c>
      <c r="H70" s="3" t="str">
        <f>VLOOKUP(F70,'Customers (2)'!A:I,3,0)</f>
        <v>hgoulter1w@abc.net.au</v>
      </c>
      <c r="I70" s="3" t="str">
        <f>VLOOKUP(F70,'Customers (2)'!A:I,4,0)</f>
        <v>+1 (423) 764-7751</v>
      </c>
      <c r="J70" s="3" t="str">
        <f>VLOOKUP(F70,'Customers (2)'!A:I,6,0)</f>
        <v>Kingsport</v>
      </c>
      <c r="K70" s="3" t="str">
        <f>VLOOKUP(F70,'Customers (2)'!A:I,7,0)</f>
        <v>United States</v>
      </c>
      <c r="L70" s="3" t="str">
        <f>VLOOKUP(F70,'Customers (2)'!A:I,9,0)</f>
        <v>No</v>
      </c>
      <c r="M70" s="4" t="s">
        <v>162</v>
      </c>
      <c r="N70" s="4" t="str">
        <f>VLOOKUP(M70,'Products (2)'!A:G,2,0)</f>
        <v>Robusta</v>
      </c>
      <c r="O70" s="4" t="str">
        <f>VLOOKUP(M70,'Products (2)'!A:G,3,0)</f>
        <v>Medium</v>
      </c>
      <c r="P70" s="4">
        <f>VLOOKUP(M70,'Products (2)'!A:G,7,0)</f>
        <v>0.17909999999999998</v>
      </c>
      <c r="Q70" s="3">
        <v>1</v>
      </c>
      <c r="R70" s="5">
        <f>INDEX([1]products!$A$1:$G$49,MATCH([1]orders!$D70,[1]products!$A$1:$A$49,0),MATCH([1]orders!K$1,[1]products!$A$1:$G$1,0))</f>
        <v>0.2</v>
      </c>
      <c r="S70" s="6">
        <f>INDEX([1]products!$A$1:$G$49,MATCH([1]orders!$D70,[1]products!$A$1:$A$49,0),MATCH([1]orders!L$1,[1]products!$A$1:$G$1,0))</f>
        <v>2.9849999999999999</v>
      </c>
      <c r="T70" s="6">
        <f t="shared" si="6"/>
        <v>2.9849999999999999</v>
      </c>
      <c r="U70" s="22">
        <f t="shared" si="10"/>
        <v>0.17909999999999998</v>
      </c>
      <c r="V70" s="22">
        <f t="shared" si="11"/>
        <v>6</v>
      </c>
    </row>
    <row r="71" spans="1:22" x14ac:dyDescent="0.3">
      <c r="A71" s="1" t="s">
        <v>163</v>
      </c>
      <c r="B71" s="2">
        <v>43795</v>
      </c>
      <c r="C71" s="2" t="str">
        <f t="shared" si="7"/>
        <v>Tuesday</v>
      </c>
      <c r="D71" s="2" t="str">
        <f t="shared" si="8"/>
        <v>November</v>
      </c>
      <c r="E71" s="2" t="str">
        <f t="shared" si="9"/>
        <v>2019</v>
      </c>
      <c r="F71" s="3" t="s">
        <v>164</v>
      </c>
      <c r="G71" s="3" t="str">
        <f>VLOOKUP(F72,'Customers (2)'!A:I,2,0)</f>
        <v>Shannon List</v>
      </c>
      <c r="H71" s="3" t="str">
        <f>VLOOKUP(F71,'Customers (2)'!A:I,3,0)</f>
        <v>grizzello1x@symantec.com</v>
      </c>
      <c r="I71" s="3" t="str">
        <f>VLOOKUP(F71,'Customers (2)'!A:I,4,0)</f>
        <v>+44 (247) 225-8003</v>
      </c>
      <c r="J71" s="3" t="str">
        <f>VLOOKUP(F71,'Customers (2)'!A:I,6,0)</f>
        <v>Liverpool</v>
      </c>
      <c r="K71" s="3" t="str">
        <f>VLOOKUP(F71,'Customers (2)'!A:I,7,0)</f>
        <v>United Kingdom</v>
      </c>
      <c r="L71" s="3" t="str">
        <f>VLOOKUP(F71,'Customers (2)'!A:I,9,0)</f>
        <v>Yes</v>
      </c>
      <c r="M71" s="4" t="s">
        <v>2</v>
      </c>
      <c r="N71" s="4" t="str">
        <f>VLOOKUP(M71,'Products (2)'!A:G,2,0)</f>
        <v>Robusta</v>
      </c>
      <c r="O71" s="4" t="str">
        <f>VLOOKUP(M71,'Products (2)'!A:G,3,0)</f>
        <v>Medium</v>
      </c>
      <c r="P71" s="4">
        <f>VLOOKUP(M71,'Products (2)'!A:G,7,0)</f>
        <v>0.59699999999999998</v>
      </c>
      <c r="Q71" s="3">
        <v>6</v>
      </c>
      <c r="R71" s="5">
        <f>INDEX([1]products!$A$1:$G$49,MATCH([1]orders!$D71,[1]products!$A$1:$A$49,0),MATCH([1]orders!K$1,[1]products!$A$1:$G$1,0))</f>
        <v>1</v>
      </c>
      <c r="S71" s="6">
        <f>INDEX([1]products!$A$1:$G$49,MATCH([1]orders!$D71,[1]products!$A$1:$A$49,0),MATCH([1]orders!L$1,[1]products!$A$1:$G$1,0))</f>
        <v>9.9499999999999993</v>
      </c>
      <c r="T71" s="6">
        <f t="shared" si="6"/>
        <v>59.699999999999996</v>
      </c>
      <c r="U71" s="22">
        <f t="shared" si="10"/>
        <v>3.5819999999999999</v>
      </c>
      <c r="V71" s="22">
        <f t="shared" si="11"/>
        <v>6.0000000000000009</v>
      </c>
    </row>
    <row r="72" spans="1:22" x14ac:dyDescent="0.3">
      <c r="A72" s="1" t="s">
        <v>165</v>
      </c>
      <c r="B72" s="2">
        <v>43646</v>
      </c>
      <c r="C72" s="2" t="str">
        <f t="shared" si="7"/>
        <v>Sunday</v>
      </c>
      <c r="D72" s="2" t="str">
        <f t="shared" si="8"/>
        <v>June</v>
      </c>
      <c r="E72" s="2" t="str">
        <f t="shared" si="9"/>
        <v>2019</v>
      </c>
      <c r="F72" s="3" t="s">
        <v>166</v>
      </c>
      <c r="G72" s="3" t="str">
        <f>VLOOKUP(F73,'Customers (2)'!A:I,2,0)</f>
        <v>Shirlene Edmondson</v>
      </c>
      <c r="H72" s="3" t="str">
        <f>VLOOKUP(F72,'Customers (2)'!A:I,3,0)</f>
        <v>slist1y@mapquest.com</v>
      </c>
      <c r="I72" s="3" t="str">
        <f>VLOOKUP(F72,'Customers (2)'!A:I,4,0)</f>
        <v>+1 (614) 279-9816</v>
      </c>
      <c r="J72" s="3" t="str">
        <f>VLOOKUP(F72,'Customers (2)'!A:I,6,0)</f>
        <v>Columbus</v>
      </c>
      <c r="K72" s="3" t="str">
        <f>VLOOKUP(F72,'Customers (2)'!A:I,7,0)</f>
        <v>United States</v>
      </c>
      <c r="L72" s="3" t="str">
        <f>VLOOKUP(F72,'Customers (2)'!A:I,9,0)</f>
        <v>No</v>
      </c>
      <c r="M72" s="4" t="s">
        <v>30</v>
      </c>
      <c r="N72" s="4" t="str">
        <f>VLOOKUP(M72,'Products (2)'!A:G,2,0)</f>
        <v>Excelsa</v>
      </c>
      <c r="O72" s="4" t="str">
        <f>VLOOKUP(M72,'Products (2)'!A:G,3,0)</f>
        <v>Light</v>
      </c>
      <c r="P72" s="4">
        <f>VLOOKUP(M72,'Products (2)'!A:G,7,0)</f>
        <v>3.7570499999999996</v>
      </c>
      <c r="Q72" s="3">
        <v>4</v>
      </c>
      <c r="R72" s="5">
        <f>INDEX([1]products!$A$1:$G$49,MATCH([1]orders!$D72,[1]products!$A$1:$A$49,0),MATCH([1]orders!K$1,[1]products!$A$1:$G$1,0))</f>
        <v>2.5</v>
      </c>
      <c r="S72" s="6">
        <f>INDEX([1]products!$A$1:$G$49,MATCH([1]orders!$D72,[1]products!$A$1:$A$49,0),MATCH([1]orders!L$1,[1]products!$A$1:$G$1,0))</f>
        <v>34.154999999999994</v>
      </c>
      <c r="T72" s="6">
        <f t="shared" si="6"/>
        <v>136.61999999999998</v>
      </c>
      <c r="U72" s="22">
        <f t="shared" si="10"/>
        <v>15.028199999999998</v>
      </c>
      <c r="V72" s="22">
        <f t="shared" si="11"/>
        <v>11</v>
      </c>
    </row>
    <row r="73" spans="1:22" x14ac:dyDescent="0.3">
      <c r="A73" s="1" t="s">
        <v>167</v>
      </c>
      <c r="B73" s="2">
        <v>44200</v>
      </c>
      <c r="C73" s="2" t="str">
        <f t="shared" si="7"/>
        <v>Monday</v>
      </c>
      <c r="D73" s="2" t="str">
        <f t="shared" si="8"/>
        <v>January</v>
      </c>
      <c r="E73" s="2" t="str">
        <f t="shared" si="9"/>
        <v>2021</v>
      </c>
      <c r="F73" s="3" t="s">
        <v>168</v>
      </c>
      <c r="G73" s="3" t="str">
        <f>VLOOKUP(F74,'Customers (2)'!A:I,2,0)</f>
        <v>Aurlie McCarl</v>
      </c>
      <c r="H73" s="3" t="str">
        <f>VLOOKUP(F73,'Customers (2)'!A:I,3,0)</f>
        <v>sedmondson1z@theguardian.com</v>
      </c>
      <c r="I73" s="3" t="str">
        <f>VLOOKUP(F73,'Customers (2)'!A:I,4,0)</f>
        <v>+353 (248) 428-7978</v>
      </c>
      <c r="J73" s="3" t="str">
        <f>VLOOKUP(F73,'Customers (2)'!A:I,6,0)</f>
        <v>Newmarket on Fergus</v>
      </c>
      <c r="K73" s="3" t="str">
        <f>VLOOKUP(F73,'Customers (2)'!A:I,7,0)</f>
        <v>Ireland</v>
      </c>
      <c r="L73" s="3" t="str">
        <f>VLOOKUP(F73,'Customers (2)'!A:I,9,0)</f>
        <v>No</v>
      </c>
      <c r="M73" s="4" t="s">
        <v>19</v>
      </c>
      <c r="N73" s="4" t="str">
        <f>VLOOKUP(M73,'Products (2)'!A:G,2,0)</f>
        <v>Liberica</v>
      </c>
      <c r="O73" s="4" t="str">
        <f>VLOOKUP(M73,'Products (2)'!A:G,3,0)</f>
        <v>Light</v>
      </c>
      <c r="P73" s="4">
        <f>VLOOKUP(M73,'Products (2)'!A:G,7,0)</f>
        <v>0.61814999999999998</v>
      </c>
      <c r="Q73" s="3">
        <v>2</v>
      </c>
      <c r="R73" s="5">
        <f>INDEX([1]products!$A$1:$G$49,MATCH([1]orders!$D73,[1]products!$A$1:$A$49,0),MATCH([1]orders!K$1,[1]products!$A$1:$G$1,0))</f>
        <v>0.2</v>
      </c>
      <c r="S73" s="6">
        <f>INDEX([1]products!$A$1:$G$49,MATCH([1]orders!$D73,[1]products!$A$1:$A$49,0),MATCH([1]orders!L$1,[1]products!$A$1:$G$1,0))</f>
        <v>4.7549999999999999</v>
      </c>
      <c r="T73" s="6">
        <f t="shared" si="6"/>
        <v>9.51</v>
      </c>
      <c r="U73" s="22">
        <f t="shared" si="10"/>
        <v>1.2363</v>
      </c>
      <c r="V73" s="22">
        <f t="shared" si="11"/>
        <v>13</v>
      </c>
    </row>
    <row r="74" spans="1:22" x14ac:dyDescent="0.3">
      <c r="A74" s="1" t="s">
        <v>169</v>
      </c>
      <c r="B74" s="2">
        <v>44131</v>
      </c>
      <c r="C74" s="2" t="str">
        <f t="shared" si="7"/>
        <v>Tuesday</v>
      </c>
      <c r="D74" s="2" t="str">
        <f t="shared" si="8"/>
        <v>October</v>
      </c>
      <c r="E74" s="2" t="str">
        <f t="shared" si="9"/>
        <v>2020</v>
      </c>
      <c r="F74" s="3" t="s">
        <v>170</v>
      </c>
      <c r="G74" s="3" t="str">
        <f>VLOOKUP(F75,'Customers (2)'!A:I,2,0)</f>
        <v>Alikee Carryer</v>
      </c>
      <c r="H74" s="3">
        <f>VLOOKUP(F74,'Customers (2)'!A:I,3,0)</f>
        <v>0</v>
      </c>
      <c r="I74" s="3" t="str">
        <f>VLOOKUP(F74,'Customers (2)'!A:I,4,0)</f>
        <v>+1 (504) 209-2724</v>
      </c>
      <c r="J74" s="3" t="str">
        <f>VLOOKUP(F74,'Customers (2)'!A:I,6,0)</f>
        <v>New Orleans</v>
      </c>
      <c r="K74" s="3" t="str">
        <f>VLOOKUP(F74,'Customers (2)'!A:I,7,0)</f>
        <v>United States</v>
      </c>
      <c r="L74" s="3" t="str">
        <f>VLOOKUP(F74,'Customers (2)'!A:I,9,0)</f>
        <v>No</v>
      </c>
      <c r="M74" s="4" t="s">
        <v>171</v>
      </c>
      <c r="N74" s="4" t="str">
        <f>VLOOKUP(M74,'Products (2)'!A:G,2,0)</f>
        <v>Arabica</v>
      </c>
      <c r="O74" s="4" t="str">
        <f>VLOOKUP(M74,'Products (2)'!A:G,3,0)</f>
        <v>Medium</v>
      </c>
      <c r="P74" s="4">
        <f>VLOOKUP(M74,'Products (2)'!A:G,7,0)</f>
        <v>2.3287499999999994</v>
      </c>
      <c r="Q74" s="3">
        <v>3</v>
      </c>
      <c r="R74" s="5">
        <f>INDEX([1]products!$A$1:$G$49,MATCH([1]orders!$D74,[1]products!$A$1:$A$49,0),MATCH([1]orders!K$1,[1]products!$A$1:$G$1,0))</f>
        <v>2.5</v>
      </c>
      <c r="S74" s="6">
        <f>INDEX([1]products!$A$1:$G$49,MATCH([1]orders!$D74,[1]products!$A$1:$A$49,0),MATCH([1]orders!L$1,[1]products!$A$1:$G$1,0))</f>
        <v>25.874999999999996</v>
      </c>
      <c r="T74" s="6">
        <f t="shared" si="6"/>
        <v>77.624999999999986</v>
      </c>
      <c r="U74" s="22">
        <f t="shared" si="10"/>
        <v>6.9862499999999983</v>
      </c>
      <c r="V74" s="22">
        <f t="shared" si="11"/>
        <v>9</v>
      </c>
    </row>
    <row r="75" spans="1:22" x14ac:dyDescent="0.3">
      <c r="A75" s="1" t="s">
        <v>172</v>
      </c>
      <c r="B75" s="2">
        <v>44362</v>
      </c>
      <c r="C75" s="2" t="str">
        <f t="shared" si="7"/>
        <v>Tuesday</v>
      </c>
      <c r="D75" s="2" t="str">
        <f t="shared" si="8"/>
        <v>June</v>
      </c>
      <c r="E75" s="2" t="str">
        <f t="shared" si="9"/>
        <v>2021</v>
      </c>
      <c r="F75" s="3" t="s">
        <v>173</v>
      </c>
      <c r="G75" s="3" t="str">
        <f>VLOOKUP(F76,'Customers (2)'!A:I,2,0)</f>
        <v>Jennifer Rangall</v>
      </c>
      <c r="H75" s="3">
        <f>VLOOKUP(F75,'Customers (2)'!A:I,3,0)</f>
        <v>0</v>
      </c>
      <c r="I75" s="3" t="str">
        <f>VLOOKUP(F75,'Customers (2)'!A:I,4,0)</f>
        <v>+1 (704) 799-5219</v>
      </c>
      <c r="J75" s="3" t="str">
        <f>VLOOKUP(F75,'Customers (2)'!A:I,6,0)</f>
        <v>Charlotte</v>
      </c>
      <c r="K75" s="3" t="str">
        <f>VLOOKUP(F75,'Customers (2)'!A:I,7,0)</f>
        <v>United States</v>
      </c>
      <c r="L75" s="3" t="str">
        <f>VLOOKUP(F75,'Customers (2)'!A:I,9,0)</f>
        <v>Yes</v>
      </c>
      <c r="M75" s="4" t="s">
        <v>77</v>
      </c>
      <c r="N75" s="4" t="str">
        <f>VLOOKUP(M75,'Products (2)'!A:G,2,0)</f>
        <v>Liberica</v>
      </c>
      <c r="O75" s="4" t="str">
        <f>VLOOKUP(M75,'Products (2)'!A:G,3,0)</f>
        <v>Medium</v>
      </c>
      <c r="P75" s="4">
        <f>VLOOKUP(M75,'Products (2)'!A:G,7,0)</f>
        <v>0.56745000000000001</v>
      </c>
      <c r="Q75" s="3">
        <v>5</v>
      </c>
      <c r="R75" s="5">
        <f>INDEX([1]products!$A$1:$G$49,MATCH([1]orders!$D75,[1]products!$A$1:$A$49,0),MATCH([1]orders!K$1,[1]products!$A$1:$G$1,0))</f>
        <v>0.2</v>
      </c>
      <c r="S75" s="6">
        <f>INDEX([1]products!$A$1:$G$49,MATCH([1]orders!$D75,[1]products!$A$1:$A$49,0),MATCH([1]orders!L$1,[1]products!$A$1:$G$1,0))</f>
        <v>4.3650000000000002</v>
      </c>
      <c r="T75" s="6">
        <f t="shared" si="6"/>
        <v>21.825000000000003</v>
      </c>
      <c r="U75" s="22">
        <f t="shared" si="10"/>
        <v>2.83725</v>
      </c>
      <c r="V75" s="22">
        <f t="shared" si="11"/>
        <v>12.999999999999998</v>
      </c>
    </row>
    <row r="76" spans="1:22" x14ac:dyDescent="0.3">
      <c r="A76" s="1" t="s">
        <v>174</v>
      </c>
      <c r="B76" s="2">
        <v>44396</v>
      </c>
      <c r="C76" s="2" t="str">
        <f t="shared" si="7"/>
        <v>Monday</v>
      </c>
      <c r="D76" s="2" t="str">
        <f t="shared" si="8"/>
        <v>July</v>
      </c>
      <c r="E76" s="2" t="str">
        <f t="shared" si="9"/>
        <v>2021</v>
      </c>
      <c r="F76" s="3" t="s">
        <v>175</v>
      </c>
      <c r="G76" s="3" t="str">
        <f>VLOOKUP(F77,'Customers (2)'!A:I,2,0)</f>
        <v>Kipper Boorn</v>
      </c>
      <c r="H76" s="3" t="str">
        <f>VLOOKUP(F76,'Customers (2)'!A:I,3,0)</f>
        <v>jrangall22@newsvine.com</v>
      </c>
      <c r="I76" s="3" t="str">
        <f>VLOOKUP(F76,'Customers (2)'!A:I,4,0)</f>
        <v>+1 (781) 512-6637</v>
      </c>
      <c r="J76" s="3" t="str">
        <f>VLOOKUP(F76,'Customers (2)'!A:I,6,0)</f>
        <v>Springfield</v>
      </c>
      <c r="K76" s="3" t="str">
        <f>VLOOKUP(F76,'Customers (2)'!A:I,7,0)</f>
        <v>United States</v>
      </c>
      <c r="L76" s="3" t="str">
        <f>VLOOKUP(F76,'Customers (2)'!A:I,9,0)</f>
        <v>Yes</v>
      </c>
      <c r="M76" s="4" t="s">
        <v>176</v>
      </c>
      <c r="N76" s="4" t="str">
        <f>VLOOKUP(M76,'Products (2)'!A:G,2,0)</f>
        <v>Excelsa</v>
      </c>
      <c r="O76" s="4" t="str">
        <f>VLOOKUP(M76,'Products (2)'!A:G,3,0)</f>
        <v>Light</v>
      </c>
      <c r="P76" s="4">
        <f>VLOOKUP(M76,'Products (2)'!A:G,7,0)</f>
        <v>0.98009999999999997</v>
      </c>
      <c r="Q76" s="3">
        <v>2</v>
      </c>
      <c r="R76" s="5">
        <f>INDEX([1]products!$A$1:$G$49,MATCH([1]orders!$D76,[1]products!$A$1:$A$49,0),MATCH([1]orders!K$1,[1]products!$A$1:$G$1,0))</f>
        <v>0.5</v>
      </c>
      <c r="S76" s="6">
        <f>INDEX([1]products!$A$1:$G$49,MATCH([1]orders!$D76,[1]products!$A$1:$A$49,0),MATCH([1]orders!L$1,[1]products!$A$1:$G$1,0))</f>
        <v>8.91</v>
      </c>
      <c r="T76" s="6">
        <f t="shared" si="6"/>
        <v>17.82</v>
      </c>
      <c r="U76" s="22">
        <f t="shared" si="10"/>
        <v>1.9601999999999999</v>
      </c>
      <c r="V76" s="22">
        <f t="shared" si="11"/>
        <v>11</v>
      </c>
    </row>
    <row r="77" spans="1:22" x14ac:dyDescent="0.3">
      <c r="A77" s="1" t="s">
        <v>177</v>
      </c>
      <c r="B77" s="2">
        <v>44400</v>
      </c>
      <c r="C77" s="2" t="str">
        <f t="shared" si="7"/>
        <v>Friday</v>
      </c>
      <c r="D77" s="2" t="str">
        <f t="shared" si="8"/>
        <v>July</v>
      </c>
      <c r="E77" s="2" t="str">
        <f t="shared" si="9"/>
        <v>2021</v>
      </c>
      <c r="F77" s="3" t="s">
        <v>178</v>
      </c>
      <c r="G77" s="3" t="str">
        <f>VLOOKUP(F78,'Customers (2)'!A:I,2,0)</f>
        <v>Melania Beadle</v>
      </c>
      <c r="H77" s="3" t="str">
        <f>VLOOKUP(F77,'Customers (2)'!A:I,3,0)</f>
        <v>kboorn23@ezinearticles.com</v>
      </c>
      <c r="I77" s="3" t="str">
        <f>VLOOKUP(F77,'Customers (2)'!A:I,4,0)</f>
        <v>+353 (359) 134-1550</v>
      </c>
      <c r="J77" s="3" t="str">
        <f>VLOOKUP(F77,'Customers (2)'!A:I,6,0)</f>
        <v>Listowel</v>
      </c>
      <c r="K77" s="3" t="str">
        <f>VLOOKUP(F77,'Customers (2)'!A:I,7,0)</f>
        <v>Ireland</v>
      </c>
      <c r="L77" s="3" t="str">
        <f>VLOOKUP(F77,'Customers (2)'!A:I,9,0)</f>
        <v>Yes</v>
      </c>
      <c r="M77" s="4" t="s">
        <v>179</v>
      </c>
      <c r="N77" s="4" t="str">
        <f>VLOOKUP(M77,'Products (2)'!A:G,2,0)</f>
        <v>Robusta</v>
      </c>
      <c r="O77" s="4" t="str">
        <f>VLOOKUP(M77,'Products (2)'!A:G,3,0)</f>
        <v>Dark</v>
      </c>
      <c r="P77" s="4">
        <f>VLOOKUP(M77,'Products (2)'!A:G,7,0)</f>
        <v>0.53699999999999992</v>
      </c>
      <c r="Q77" s="3">
        <v>6</v>
      </c>
      <c r="R77" s="5">
        <f>INDEX([1]products!$A$1:$G$49,MATCH([1]orders!$D77,[1]products!$A$1:$A$49,0),MATCH([1]orders!K$1,[1]products!$A$1:$G$1,0))</f>
        <v>1</v>
      </c>
      <c r="S77" s="6">
        <f>INDEX([1]products!$A$1:$G$49,MATCH([1]orders!$D77,[1]products!$A$1:$A$49,0),MATCH([1]orders!L$1,[1]products!$A$1:$G$1,0))</f>
        <v>8.9499999999999993</v>
      </c>
      <c r="T77" s="6">
        <f t="shared" si="6"/>
        <v>53.699999999999996</v>
      </c>
      <c r="U77" s="22">
        <f t="shared" si="10"/>
        <v>3.2219999999999995</v>
      </c>
      <c r="V77" s="22">
        <f t="shared" si="11"/>
        <v>6</v>
      </c>
    </row>
    <row r="78" spans="1:22" x14ac:dyDescent="0.3">
      <c r="A78" s="1" t="s">
        <v>180</v>
      </c>
      <c r="B78" s="2">
        <v>43855</v>
      </c>
      <c r="C78" s="2" t="str">
        <f t="shared" si="7"/>
        <v>Saturday</v>
      </c>
      <c r="D78" s="2" t="str">
        <f t="shared" si="8"/>
        <v>January</v>
      </c>
      <c r="E78" s="2" t="str">
        <f t="shared" si="9"/>
        <v>2020</v>
      </c>
      <c r="F78" s="3" t="s">
        <v>181</v>
      </c>
      <c r="G78" s="3" t="str">
        <f>VLOOKUP(F79,'Customers (2)'!A:I,2,0)</f>
        <v>Colene Elgey</v>
      </c>
      <c r="H78" s="3">
        <f>VLOOKUP(F78,'Customers (2)'!A:I,3,0)</f>
        <v>0</v>
      </c>
      <c r="I78" s="3" t="str">
        <f>VLOOKUP(F78,'Customers (2)'!A:I,4,0)</f>
        <v>+353 (569) 458-9673</v>
      </c>
      <c r="J78" s="3" t="str">
        <f>VLOOKUP(F78,'Customers (2)'!A:I,6,0)</f>
        <v>Moycullen</v>
      </c>
      <c r="K78" s="3" t="str">
        <f>VLOOKUP(F78,'Customers (2)'!A:I,7,0)</f>
        <v>Ireland</v>
      </c>
      <c r="L78" s="3" t="str">
        <f>VLOOKUP(F78,'Customers (2)'!A:I,9,0)</f>
        <v>Yes</v>
      </c>
      <c r="M78" s="4" t="s">
        <v>182</v>
      </c>
      <c r="N78" s="4" t="str">
        <f>VLOOKUP(M78,'Products (2)'!A:G,2,0)</f>
        <v>Robusta</v>
      </c>
      <c r="O78" s="4" t="str">
        <f>VLOOKUP(M78,'Products (2)'!A:G,3,0)</f>
        <v>Light</v>
      </c>
      <c r="P78" s="4">
        <f>VLOOKUP(M78,'Products (2)'!A:G,7,0)</f>
        <v>0.21509999999999996</v>
      </c>
      <c r="Q78" s="3">
        <v>1</v>
      </c>
      <c r="R78" s="5">
        <f>INDEX([1]products!$A$1:$G$49,MATCH([1]orders!$D78,[1]products!$A$1:$A$49,0),MATCH([1]orders!K$1,[1]products!$A$1:$G$1,0))</f>
        <v>0.2</v>
      </c>
      <c r="S78" s="6">
        <f>INDEX([1]products!$A$1:$G$49,MATCH([1]orders!$D78,[1]products!$A$1:$A$49,0),MATCH([1]orders!L$1,[1]products!$A$1:$G$1,0))</f>
        <v>3.5849999999999995</v>
      </c>
      <c r="T78" s="6">
        <f t="shared" si="6"/>
        <v>3.5849999999999995</v>
      </c>
      <c r="U78" s="22">
        <f t="shared" si="10"/>
        <v>0.21509999999999996</v>
      </c>
      <c r="V78" s="22">
        <f t="shared" si="11"/>
        <v>6</v>
      </c>
    </row>
    <row r="79" spans="1:22" x14ac:dyDescent="0.3">
      <c r="A79" s="1" t="s">
        <v>183</v>
      </c>
      <c r="B79" s="2">
        <v>43594</v>
      </c>
      <c r="C79" s="2" t="str">
        <f t="shared" si="7"/>
        <v>Thursday</v>
      </c>
      <c r="D79" s="2" t="str">
        <f t="shared" si="8"/>
        <v>May</v>
      </c>
      <c r="E79" s="2" t="str">
        <f t="shared" si="9"/>
        <v>2019</v>
      </c>
      <c r="F79" s="3" t="s">
        <v>184</v>
      </c>
      <c r="G79" s="3" t="str">
        <f>VLOOKUP(F80,'Customers (2)'!A:I,2,0)</f>
        <v>Lothaire Mizzi</v>
      </c>
      <c r="H79" s="3" t="str">
        <f>VLOOKUP(F79,'Customers (2)'!A:I,3,0)</f>
        <v>celgey25@webs.com</v>
      </c>
      <c r="I79" s="3" t="str">
        <f>VLOOKUP(F79,'Customers (2)'!A:I,4,0)</f>
        <v>+1 (432) 261-0702</v>
      </c>
      <c r="J79" s="3" t="str">
        <f>VLOOKUP(F79,'Customers (2)'!A:I,6,0)</f>
        <v>Midland</v>
      </c>
      <c r="K79" s="3" t="str">
        <f>VLOOKUP(F79,'Customers (2)'!A:I,7,0)</f>
        <v>United States</v>
      </c>
      <c r="L79" s="3" t="str">
        <f>VLOOKUP(F79,'Customers (2)'!A:I,9,0)</f>
        <v>No</v>
      </c>
      <c r="M79" s="4" t="s">
        <v>51</v>
      </c>
      <c r="N79" s="4" t="str">
        <f>VLOOKUP(M79,'Products (2)'!A:G,2,0)</f>
        <v>Excelsa</v>
      </c>
      <c r="O79" s="4" t="str">
        <f>VLOOKUP(M79,'Products (2)'!A:G,3,0)</f>
        <v>Dark</v>
      </c>
      <c r="P79" s="4">
        <f>VLOOKUP(M79,'Products (2)'!A:G,7,0)</f>
        <v>0.40095000000000003</v>
      </c>
      <c r="Q79" s="3">
        <v>2</v>
      </c>
      <c r="R79" s="5">
        <f>INDEX([1]products!$A$1:$G$49,MATCH([1]orders!$D79,[1]products!$A$1:$A$49,0),MATCH([1]orders!K$1,[1]products!$A$1:$G$1,0))</f>
        <v>0.2</v>
      </c>
      <c r="S79" s="6">
        <f>INDEX([1]products!$A$1:$G$49,MATCH([1]orders!$D79,[1]products!$A$1:$A$49,0),MATCH([1]orders!L$1,[1]products!$A$1:$G$1,0))</f>
        <v>3.645</v>
      </c>
      <c r="T79" s="6">
        <f t="shared" si="6"/>
        <v>7.29</v>
      </c>
      <c r="U79" s="22">
        <f t="shared" si="10"/>
        <v>0.80190000000000006</v>
      </c>
      <c r="V79" s="22">
        <f t="shared" si="11"/>
        <v>11</v>
      </c>
    </row>
    <row r="80" spans="1:22" x14ac:dyDescent="0.3">
      <c r="A80" s="1" t="s">
        <v>185</v>
      </c>
      <c r="B80" s="2">
        <v>43920</v>
      </c>
      <c r="C80" s="2" t="str">
        <f t="shared" si="7"/>
        <v>Monday</v>
      </c>
      <c r="D80" s="2" t="str">
        <f t="shared" si="8"/>
        <v>March</v>
      </c>
      <c r="E80" s="2" t="str">
        <f t="shared" si="9"/>
        <v>2020</v>
      </c>
      <c r="F80" s="3" t="s">
        <v>186</v>
      </c>
      <c r="G80" s="3" t="str">
        <f>VLOOKUP(F81,'Customers (2)'!A:I,2,0)</f>
        <v>Cletis Giacomazzo</v>
      </c>
      <c r="H80" s="3" t="str">
        <f>VLOOKUP(F80,'Customers (2)'!A:I,3,0)</f>
        <v>lmizzi26@rakuten.co.jp</v>
      </c>
      <c r="I80" s="3" t="str">
        <f>VLOOKUP(F80,'Customers (2)'!A:I,4,0)</f>
        <v>+1 (214) 719-8530</v>
      </c>
      <c r="J80" s="3" t="str">
        <f>VLOOKUP(F80,'Customers (2)'!A:I,6,0)</f>
        <v>Dallas</v>
      </c>
      <c r="K80" s="3" t="str">
        <f>VLOOKUP(F80,'Customers (2)'!A:I,7,0)</f>
        <v>United States</v>
      </c>
      <c r="L80" s="3" t="str">
        <f>VLOOKUP(F80,'Customers (2)'!A:I,9,0)</f>
        <v>Yes</v>
      </c>
      <c r="M80" s="4" t="s">
        <v>67</v>
      </c>
      <c r="N80" s="4" t="str">
        <f>VLOOKUP(M80,'Products (2)'!A:G,2,0)</f>
        <v>Arabica</v>
      </c>
      <c r="O80" s="4" t="str">
        <f>VLOOKUP(M80,'Products (2)'!A:G,3,0)</f>
        <v>Medium</v>
      </c>
      <c r="P80" s="4">
        <f>VLOOKUP(M80,'Products (2)'!A:G,7,0)</f>
        <v>0.60749999999999993</v>
      </c>
      <c r="Q80" s="3">
        <v>6</v>
      </c>
      <c r="R80" s="5">
        <f>INDEX([1]products!$A$1:$G$49,MATCH([1]orders!$D80,[1]products!$A$1:$A$49,0),MATCH([1]orders!K$1,[1]products!$A$1:$G$1,0))</f>
        <v>0.5</v>
      </c>
      <c r="S80" s="6">
        <f>INDEX([1]products!$A$1:$G$49,MATCH([1]orders!$D80,[1]products!$A$1:$A$49,0),MATCH([1]orders!L$1,[1]products!$A$1:$G$1,0))</f>
        <v>6.75</v>
      </c>
      <c r="T80" s="6">
        <f t="shared" si="6"/>
        <v>40.5</v>
      </c>
      <c r="U80" s="22">
        <f t="shared" si="10"/>
        <v>3.6449999999999996</v>
      </c>
      <c r="V80" s="22">
        <f t="shared" si="11"/>
        <v>8.9999999999999982</v>
      </c>
    </row>
    <row r="81" spans="1:22" x14ac:dyDescent="0.3">
      <c r="A81" s="1" t="s">
        <v>187</v>
      </c>
      <c r="B81" s="2">
        <v>44633</v>
      </c>
      <c r="C81" s="2" t="str">
        <f t="shared" si="7"/>
        <v>Sunday</v>
      </c>
      <c r="D81" s="2" t="str">
        <f t="shared" si="8"/>
        <v>March</v>
      </c>
      <c r="E81" s="2" t="str">
        <f t="shared" si="9"/>
        <v>2022</v>
      </c>
      <c r="F81" s="3" t="s">
        <v>188</v>
      </c>
      <c r="G81" s="3" t="str">
        <f>VLOOKUP(F82,'Customers (2)'!A:I,2,0)</f>
        <v>Ami Arnow</v>
      </c>
      <c r="H81" s="3" t="str">
        <f>VLOOKUP(F81,'Customers (2)'!A:I,3,0)</f>
        <v>cgiacomazzo27@jigsy.com</v>
      </c>
      <c r="I81" s="3" t="str">
        <f>VLOOKUP(F81,'Customers (2)'!A:I,4,0)</f>
        <v>+1 (571) 703-2064</v>
      </c>
      <c r="J81" s="3" t="str">
        <f>VLOOKUP(F81,'Customers (2)'!A:I,6,0)</f>
        <v>Dulles</v>
      </c>
      <c r="K81" s="3" t="str">
        <f>VLOOKUP(F81,'Customers (2)'!A:I,7,0)</f>
        <v>United States</v>
      </c>
      <c r="L81" s="3" t="str">
        <f>VLOOKUP(F81,'Customers (2)'!A:I,9,0)</f>
        <v>No</v>
      </c>
      <c r="M81" s="4" t="s">
        <v>189</v>
      </c>
      <c r="N81" s="4" t="str">
        <f>VLOOKUP(M81,'Products (2)'!A:G,2,0)</f>
        <v>Robusta</v>
      </c>
      <c r="O81" s="4" t="str">
        <f>VLOOKUP(M81,'Products (2)'!A:G,3,0)</f>
        <v>Light</v>
      </c>
      <c r="P81" s="4">
        <f>VLOOKUP(M81,'Products (2)'!A:G,7,0)</f>
        <v>0.71699999999999997</v>
      </c>
      <c r="Q81" s="3">
        <v>4</v>
      </c>
      <c r="R81" s="5">
        <f>INDEX([1]products!$A$1:$G$49,MATCH([1]orders!$D81,[1]products!$A$1:$A$49,0),MATCH([1]orders!K$1,[1]products!$A$1:$G$1,0))</f>
        <v>1</v>
      </c>
      <c r="S81" s="6">
        <f>INDEX([1]products!$A$1:$G$49,MATCH([1]orders!$D81,[1]products!$A$1:$A$49,0),MATCH([1]orders!L$1,[1]products!$A$1:$G$1,0))</f>
        <v>11.95</v>
      </c>
      <c r="T81" s="6">
        <f t="shared" si="6"/>
        <v>47.8</v>
      </c>
      <c r="U81" s="22">
        <f t="shared" si="10"/>
        <v>2.8679999999999999</v>
      </c>
      <c r="V81" s="22">
        <f t="shared" si="11"/>
        <v>6</v>
      </c>
    </row>
    <row r="82" spans="1:22" x14ac:dyDescent="0.3">
      <c r="A82" s="1" t="s">
        <v>190</v>
      </c>
      <c r="B82" s="2">
        <v>43572</v>
      </c>
      <c r="C82" s="2" t="str">
        <f t="shared" si="7"/>
        <v>Wednesday</v>
      </c>
      <c r="D82" s="2" t="str">
        <f t="shared" si="8"/>
        <v>April</v>
      </c>
      <c r="E82" s="2" t="str">
        <f t="shared" si="9"/>
        <v>2019</v>
      </c>
      <c r="F82" s="3" t="s">
        <v>191</v>
      </c>
      <c r="G82" s="3" t="str">
        <f>VLOOKUP(F83,'Customers (2)'!A:I,2,0)</f>
        <v>Sheppard Yann</v>
      </c>
      <c r="H82" s="3" t="str">
        <f>VLOOKUP(F82,'Customers (2)'!A:I,3,0)</f>
        <v>aarnow28@arizona.edu</v>
      </c>
      <c r="I82" s="3" t="str">
        <f>VLOOKUP(F82,'Customers (2)'!A:I,4,0)</f>
        <v>+1 (650) 238-1964</v>
      </c>
      <c r="J82" s="3" t="str">
        <f>VLOOKUP(F82,'Customers (2)'!A:I,6,0)</f>
        <v>Oakland</v>
      </c>
      <c r="K82" s="3" t="str">
        <f>VLOOKUP(F82,'Customers (2)'!A:I,7,0)</f>
        <v>United States</v>
      </c>
      <c r="L82" s="3" t="str">
        <f>VLOOKUP(F82,'Customers (2)'!A:I,9,0)</f>
        <v>Yes</v>
      </c>
      <c r="M82" s="4" t="s">
        <v>192</v>
      </c>
      <c r="N82" s="4" t="str">
        <f>VLOOKUP(M82,'Products (2)'!A:G,2,0)</f>
        <v>Arabica</v>
      </c>
      <c r="O82" s="4" t="str">
        <f>VLOOKUP(M82,'Products (2)'!A:G,3,0)</f>
        <v>Light</v>
      </c>
      <c r="P82" s="4">
        <f>VLOOKUP(M82,'Products (2)'!A:G,7,0)</f>
        <v>0.69929999999999992</v>
      </c>
      <c r="Q82" s="3">
        <v>5</v>
      </c>
      <c r="R82" s="5">
        <f>INDEX([1]products!$A$1:$G$49,MATCH([1]orders!$D82,[1]products!$A$1:$A$49,0),MATCH([1]orders!K$1,[1]products!$A$1:$G$1,0))</f>
        <v>0.5</v>
      </c>
      <c r="S82" s="6">
        <f>INDEX([1]products!$A$1:$G$49,MATCH([1]orders!$D82,[1]products!$A$1:$A$49,0),MATCH([1]orders!L$1,[1]products!$A$1:$G$1,0))</f>
        <v>7.77</v>
      </c>
      <c r="T82" s="6">
        <f t="shared" si="6"/>
        <v>38.849999999999994</v>
      </c>
      <c r="U82" s="22">
        <f t="shared" si="10"/>
        <v>3.4964999999999997</v>
      </c>
      <c r="V82" s="22">
        <f t="shared" si="11"/>
        <v>9.0000000000000018</v>
      </c>
    </row>
    <row r="83" spans="1:22" x14ac:dyDescent="0.3">
      <c r="A83" s="1" t="s">
        <v>193</v>
      </c>
      <c r="B83" s="2">
        <v>43763</v>
      </c>
      <c r="C83" s="2" t="str">
        <f t="shared" si="7"/>
        <v>Friday</v>
      </c>
      <c r="D83" s="2" t="str">
        <f t="shared" si="8"/>
        <v>October</v>
      </c>
      <c r="E83" s="2" t="str">
        <f t="shared" si="9"/>
        <v>2019</v>
      </c>
      <c r="F83" s="3" t="s">
        <v>194</v>
      </c>
      <c r="G83" s="3" t="str">
        <f>VLOOKUP(F84,'Customers (2)'!A:I,2,0)</f>
        <v>Bunny Naulls</v>
      </c>
      <c r="H83" s="3" t="str">
        <f>VLOOKUP(F83,'Customers (2)'!A:I,3,0)</f>
        <v>syann29@senate.gov</v>
      </c>
      <c r="I83" s="3" t="str">
        <f>VLOOKUP(F83,'Customers (2)'!A:I,4,0)</f>
        <v>+1 (719) 803-5276</v>
      </c>
      <c r="J83" s="3" t="str">
        <f>VLOOKUP(F83,'Customers (2)'!A:I,6,0)</f>
        <v>Colorado Springs</v>
      </c>
      <c r="K83" s="3" t="str">
        <f>VLOOKUP(F83,'Customers (2)'!A:I,7,0)</f>
        <v>United States</v>
      </c>
      <c r="L83" s="3" t="str">
        <f>VLOOKUP(F83,'Customers (2)'!A:I,9,0)</f>
        <v>Yes</v>
      </c>
      <c r="M83" s="4" t="s">
        <v>104</v>
      </c>
      <c r="N83" s="4" t="str">
        <f>VLOOKUP(M83,'Products (2)'!A:G,2,0)</f>
        <v>Liberica</v>
      </c>
      <c r="O83" s="4" t="str">
        <f>VLOOKUP(M83,'Products (2)'!A:G,3,0)</f>
        <v>Light</v>
      </c>
      <c r="P83" s="4">
        <f>VLOOKUP(M83,'Products (2)'!A:G,7,0)</f>
        <v>4.7391499999999995</v>
      </c>
      <c r="Q83" s="3">
        <v>3</v>
      </c>
      <c r="R83" s="5">
        <f>INDEX([1]products!$A$1:$G$49,MATCH([1]orders!$D83,[1]products!$A$1:$A$49,0),MATCH([1]orders!K$1,[1]products!$A$1:$G$1,0))</f>
        <v>2.5</v>
      </c>
      <c r="S83" s="6">
        <f>INDEX([1]products!$A$1:$G$49,MATCH([1]orders!$D83,[1]products!$A$1:$A$49,0),MATCH([1]orders!L$1,[1]products!$A$1:$G$1,0))</f>
        <v>36.454999999999998</v>
      </c>
      <c r="T83" s="6">
        <f t="shared" si="6"/>
        <v>109.36499999999999</v>
      </c>
      <c r="U83" s="22">
        <f t="shared" si="10"/>
        <v>14.217449999999999</v>
      </c>
      <c r="V83" s="22">
        <f t="shared" si="11"/>
        <v>13</v>
      </c>
    </row>
    <row r="84" spans="1:22" x14ac:dyDescent="0.3">
      <c r="A84" s="1" t="s">
        <v>195</v>
      </c>
      <c r="B84" s="2">
        <v>43721</v>
      </c>
      <c r="C84" s="2" t="str">
        <f t="shared" si="7"/>
        <v>Friday</v>
      </c>
      <c r="D84" s="2" t="str">
        <f t="shared" si="8"/>
        <v>September</v>
      </c>
      <c r="E84" s="2" t="str">
        <f t="shared" si="9"/>
        <v>2019</v>
      </c>
      <c r="F84" s="3" t="s">
        <v>196</v>
      </c>
      <c r="G84" s="3" t="str">
        <f>VLOOKUP(F85,'Customers (2)'!A:I,2,0)</f>
        <v>Hally Lorait</v>
      </c>
      <c r="H84" s="3" t="str">
        <f>VLOOKUP(F84,'Customers (2)'!A:I,3,0)</f>
        <v>bnaulls2a@tiny.cc</v>
      </c>
      <c r="I84" s="3" t="str">
        <f>VLOOKUP(F84,'Customers (2)'!A:I,4,0)</f>
        <v>+353 (809) 128-0755</v>
      </c>
      <c r="J84" s="3" t="str">
        <f>VLOOKUP(F84,'Customers (2)'!A:I,6,0)</f>
        <v>Adare</v>
      </c>
      <c r="K84" s="3" t="str">
        <f>VLOOKUP(F84,'Customers (2)'!A:I,7,0)</f>
        <v>Ireland</v>
      </c>
      <c r="L84" s="3" t="str">
        <f>VLOOKUP(F84,'Customers (2)'!A:I,9,0)</f>
        <v>Yes</v>
      </c>
      <c r="M84" s="4" t="s">
        <v>197</v>
      </c>
      <c r="N84" s="4" t="str">
        <f>VLOOKUP(M84,'Products (2)'!A:G,2,0)</f>
        <v>Liberica</v>
      </c>
      <c r="O84" s="4" t="str">
        <f>VLOOKUP(M84,'Products (2)'!A:G,3,0)</f>
        <v>Medium</v>
      </c>
      <c r="P84" s="4">
        <f>VLOOKUP(M84,'Products (2)'!A:G,7,0)</f>
        <v>4.3504499999999995</v>
      </c>
      <c r="Q84" s="3">
        <v>3</v>
      </c>
      <c r="R84" s="5">
        <f>INDEX([1]products!$A$1:$G$49,MATCH([1]orders!$D84,[1]products!$A$1:$A$49,0),MATCH([1]orders!K$1,[1]products!$A$1:$G$1,0))</f>
        <v>2.5</v>
      </c>
      <c r="S84" s="6">
        <f>INDEX([1]products!$A$1:$G$49,MATCH([1]orders!$D84,[1]products!$A$1:$A$49,0),MATCH([1]orders!L$1,[1]products!$A$1:$G$1,0))</f>
        <v>33.464999999999996</v>
      </c>
      <c r="T84" s="6">
        <f t="shared" si="6"/>
        <v>100.39499999999998</v>
      </c>
      <c r="U84" s="22">
        <f t="shared" si="10"/>
        <v>13.051349999999999</v>
      </c>
      <c r="V84" s="22">
        <f t="shared" si="11"/>
        <v>13</v>
      </c>
    </row>
    <row r="85" spans="1:22" x14ac:dyDescent="0.3">
      <c r="A85" s="1" t="s">
        <v>198</v>
      </c>
      <c r="B85" s="2">
        <v>43933</v>
      </c>
      <c r="C85" s="2" t="str">
        <f t="shared" si="7"/>
        <v>Sunday</v>
      </c>
      <c r="D85" s="2" t="str">
        <f t="shared" si="8"/>
        <v>April</v>
      </c>
      <c r="E85" s="2" t="str">
        <f t="shared" si="9"/>
        <v>2020</v>
      </c>
      <c r="F85" s="3" t="s">
        <v>199</v>
      </c>
      <c r="G85" s="3" t="str">
        <f>VLOOKUP(F86,'Customers (2)'!A:I,2,0)</f>
        <v>Zaccaria Sherewood</v>
      </c>
      <c r="H85" s="3">
        <f>VLOOKUP(F85,'Customers (2)'!A:I,3,0)</f>
        <v>0</v>
      </c>
      <c r="I85" s="3" t="str">
        <f>VLOOKUP(F85,'Customers (2)'!A:I,4,0)</f>
        <v>+1 (716) 869-3749</v>
      </c>
      <c r="J85" s="3" t="str">
        <f>VLOOKUP(F85,'Customers (2)'!A:I,6,0)</f>
        <v>Buffalo</v>
      </c>
      <c r="K85" s="3" t="str">
        <f>VLOOKUP(F85,'Customers (2)'!A:I,7,0)</f>
        <v>United States</v>
      </c>
      <c r="L85" s="3" t="str">
        <f>VLOOKUP(F85,'Customers (2)'!A:I,9,0)</f>
        <v>Yes</v>
      </c>
      <c r="M85" s="4" t="s">
        <v>35</v>
      </c>
      <c r="N85" s="4" t="str">
        <f>VLOOKUP(M85,'Products (2)'!A:G,2,0)</f>
        <v>Robusta</v>
      </c>
      <c r="O85" s="4" t="str">
        <f>VLOOKUP(M85,'Products (2)'!A:G,3,0)</f>
        <v>Dark</v>
      </c>
      <c r="P85" s="4">
        <f>VLOOKUP(M85,'Products (2)'!A:G,7,0)</f>
        <v>1.2350999999999999</v>
      </c>
      <c r="Q85" s="3">
        <v>4</v>
      </c>
      <c r="R85" s="5">
        <f>INDEX([1]products!$A$1:$G$49,MATCH([1]orders!$D85,[1]products!$A$1:$A$49,0),MATCH([1]orders!K$1,[1]products!$A$1:$G$1,0))</f>
        <v>2.5</v>
      </c>
      <c r="S85" s="6">
        <f>INDEX([1]products!$A$1:$G$49,MATCH([1]orders!$D85,[1]products!$A$1:$A$49,0),MATCH([1]orders!L$1,[1]products!$A$1:$G$1,0))</f>
        <v>20.584999999999997</v>
      </c>
      <c r="T85" s="6">
        <f t="shared" si="6"/>
        <v>82.339999999999989</v>
      </c>
      <c r="U85" s="22">
        <f t="shared" si="10"/>
        <v>4.9403999999999995</v>
      </c>
      <c r="V85" s="22">
        <f t="shared" si="11"/>
        <v>6.0000000000000009</v>
      </c>
    </row>
    <row r="86" spans="1:22" x14ac:dyDescent="0.3">
      <c r="A86" s="1" t="s">
        <v>200</v>
      </c>
      <c r="B86" s="2">
        <v>43783</v>
      </c>
      <c r="C86" s="2" t="str">
        <f t="shared" si="7"/>
        <v>Thursday</v>
      </c>
      <c r="D86" s="2" t="str">
        <f t="shared" si="8"/>
        <v>November</v>
      </c>
      <c r="E86" s="2" t="str">
        <f t="shared" si="9"/>
        <v>2019</v>
      </c>
      <c r="F86" s="3" t="s">
        <v>201</v>
      </c>
      <c r="G86" s="3" t="str">
        <f>VLOOKUP(F87,'Customers (2)'!A:I,2,0)</f>
        <v>Jeffrey Dufaire</v>
      </c>
      <c r="H86" s="3" t="str">
        <f>VLOOKUP(F86,'Customers (2)'!A:I,3,0)</f>
        <v>zsherewood2c@apache.org</v>
      </c>
      <c r="I86" s="3" t="str">
        <f>VLOOKUP(F86,'Customers (2)'!A:I,4,0)</f>
        <v>+1 (209) 433-7924</v>
      </c>
      <c r="J86" s="3" t="str">
        <f>VLOOKUP(F86,'Customers (2)'!A:I,6,0)</f>
        <v>Fresno</v>
      </c>
      <c r="K86" s="3" t="str">
        <f>VLOOKUP(F86,'Customers (2)'!A:I,7,0)</f>
        <v>United States</v>
      </c>
      <c r="L86" s="3" t="str">
        <f>VLOOKUP(F86,'Customers (2)'!A:I,9,0)</f>
        <v>No</v>
      </c>
      <c r="M86" s="4" t="s">
        <v>83</v>
      </c>
      <c r="N86" s="4" t="str">
        <f>VLOOKUP(M86,'Products (2)'!A:G,2,0)</f>
        <v>Liberica</v>
      </c>
      <c r="O86" s="4" t="str">
        <f>VLOOKUP(M86,'Products (2)'!A:G,3,0)</f>
        <v>Light</v>
      </c>
      <c r="P86" s="4">
        <f>VLOOKUP(M86,'Products (2)'!A:G,7,0)</f>
        <v>1.2363</v>
      </c>
      <c r="Q86" s="3">
        <v>1</v>
      </c>
      <c r="R86" s="5">
        <f>INDEX([1]products!$A$1:$G$49,MATCH([1]orders!$D86,[1]products!$A$1:$A$49,0),MATCH([1]orders!K$1,[1]products!$A$1:$G$1,0))</f>
        <v>0.5</v>
      </c>
      <c r="S86" s="6">
        <f>INDEX([1]products!$A$1:$G$49,MATCH([1]orders!$D86,[1]products!$A$1:$A$49,0),MATCH([1]orders!L$1,[1]products!$A$1:$G$1,0))</f>
        <v>9.51</v>
      </c>
      <c r="T86" s="6">
        <f t="shared" si="6"/>
        <v>9.51</v>
      </c>
      <c r="U86" s="22">
        <f t="shared" si="10"/>
        <v>1.2363</v>
      </c>
      <c r="V86" s="22">
        <f t="shared" si="11"/>
        <v>13</v>
      </c>
    </row>
    <row r="87" spans="1:22" x14ac:dyDescent="0.3">
      <c r="A87" s="1" t="s">
        <v>202</v>
      </c>
      <c r="B87" s="2">
        <v>43664</v>
      </c>
      <c r="C87" s="2" t="str">
        <f t="shared" si="7"/>
        <v>Thursday</v>
      </c>
      <c r="D87" s="2" t="str">
        <f t="shared" si="8"/>
        <v>July</v>
      </c>
      <c r="E87" s="2" t="str">
        <f t="shared" si="9"/>
        <v>2019</v>
      </c>
      <c r="F87" s="3" t="s">
        <v>203</v>
      </c>
      <c r="G87" s="3" t="str">
        <f>VLOOKUP(F88,'Customers (2)'!A:I,2,0)</f>
        <v>Jeffrey Dufaire</v>
      </c>
      <c r="H87" s="3" t="str">
        <f>VLOOKUP(F87,'Customers (2)'!A:I,3,0)</f>
        <v>jdufaire2d@fc2.com</v>
      </c>
      <c r="I87" s="3">
        <f>VLOOKUP(F87,'Customers (2)'!A:I,4,0)</f>
        <v>0</v>
      </c>
      <c r="J87" s="3" t="str">
        <f>VLOOKUP(F87,'Customers (2)'!A:I,6,0)</f>
        <v>Fort Worth</v>
      </c>
      <c r="K87" s="3" t="str">
        <f>VLOOKUP(F87,'Customers (2)'!A:I,7,0)</f>
        <v>United States</v>
      </c>
      <c r="L87" s="3" t="str">
        <f>VLOOKUP(F87,'Customers (2)'!A:I,9,0)</f>
        <v>No</v>
      </c>
      <c r="M87" s="4" t="s">
        <v>204</v>
      </c>
      <c r="N87" s="4" t="str">
        <f>VLOOKUP(M87,'Products (2)'!A:G,2,0)</f>
        <v>Arabica</v>
      </c>
      <c r="O87" s="4" t="str">
        <f>VLOOKUP(M87,'Products (2)'!A:G,3,0)</f>
        <v>Light</v>
      </c>
      <c r="P87" s="4">
        <f>VLOOKUP(M87,'Products (2)'!A:G,7,0)</f>
        <v>2.6806499999999995</v>
      </c>
      <c r="Q87" s="3">
        <v>3</v>
      </c>
      <c r="R87" s="5">
        <f>INDEX([1]products!$A$1:$G$49,MATCH([1]orders!$D87,[1]products!$A$1:$A$49,0),MATCH([1]orders!K$1,[1]products!$A$1:$G$1,0))</f>
        <v>2.5</v>
      </c>
      <c r="S87" s="6">
        <f>INDEX([1]products!$A$1:$G$49,MATCH([1]orders!$D87,[1]products!$A$1:$A$49,0),MATCH([1]orders!L$1,[1]products!$A$1:$G$1,0))</f>
        <v>29.784999999999997</v>
      </c>
      <c r="T87" s="6">
        <f t="shared" si="6"/>
        <v>89.35499999999999</v>
      </c>
      <c r="U87" s="22">
        <f t="shared" si="10"/>
        <v>8.0419499999999982</v>
      </c>
      <c r="V87" s="22">
        <f t="shared" si="11"/>
        <v>8.9999999999999982</v>
      </c>
    </row>
    <row r="88" spans="1:22" x14ac:dyDescent="0.3">
      <c r="A88" s="1" t="s">
        <v>202</v>
      </c>
      <c r="B88" s="2">
        <v>43664</v>
      </c>
      <c r="C88" s="2" t="str">
        <f t="shared" si="7"/>
        <v>Thursday</v>
      </c>
      <c r="D88" s="2" t="str">
        <f t="shared" si="8"/>
        <v>July</v>
      </c>
      <c r="E88" s="2" t="str">
        <f t="shared" si="9"/>
        <v>2019</v>
      </c>
      <c r="F88" s="3" t="s">
        <v>203</v>
      </c>
      <c r="G88" s="3" t="str">
        <f>VLOOKUP(F89,'Customers (2)'!A:I,2,0)</f>
        <v>Beitris Keaveney</v>
      </c>
      <c r="H88" s="3" t="str">
        <f>VLOOKUP(F88,'Customers (2)'!A:I,3,0)</f>
        <v>jdufaire2d@fc2.com</v>
      </c>
      <c r="I88" s="3">
        <f>VLOOKUP(F88,'Customers (2)'!A:I,4,0)</f>
        <v>0</v>
      </c>
      <c r="J88" s="3" t="str">
        <f>VLOOKUP(F88,'Customers (2)'!A:I,6,0)</f>
        <v>Fort Worth</v>
      </c>
      <c r="K88" s="3" t="str">
        <f>VLOOKUP(F88,'Customers (2)'!A:I,7,0)</f>
        <v>United States</v>
      </c>
      <c r="L88" s="3" t="str">
        <f>VLOOKUP(F88,'Customers (2)'!A:I,9,0)</f>
        <v>No</v>
      </c>
      <c r="M88" s="4" t="s">
        <v>54</v>
      </c>
      <c r="N88" s="4" t="str">
        <f>VLOOKUP(M88,'Products (2)'!A:G,2,0)</f>
        <v>Arabica</v>
      </c>
      <c r="O88" s="4" t="str">
        <f>VLOOKUP(M88,'Products (2)'!A:G,3,0)</f>
        <v>Dark</v>
      </c>
      <c r="P88" s="4">
        <f>VLOOKUP(M88,'Products (2)'!A:G,7,0)</f>
        <v>0.26865</v>
      </c>
      <c r="Q88" s="3">
        <v>4</v>
      </c>
      <c r="R88" s="5">
        <f>INDEX([1]products!$A$1:$G$49,MATCH([1]orders!$D88,[1]products!$A$1:$A$49,0),MATCH([1]orders!K$1,[1]products!$A$1:$G$1,0))</f>
        <v>0.2</v>
      </c>
      <c r="S88" s="6">
        <f>INDEX([1]products!$A$1:$G$49,MATCH([1]orders!$D88,[1]products!$A$1:$A$49,0),MATCH([1]orders!L$1,[1]products!$A$1:$G$1,0))</f>
        <v>2.9849999999999999</v>
      </c>
      <c r="T88" s="6">
        <f t="shared" si="6"/>
        <v>11.94</v>
      </c>
      <c r="U88" s="22">
        <f t="shared" si="10"/>
        <v>1.0746</v>
      </c>
      <c r="V88" s="22">
        <f t="shared" si="11"/>
        <v>9.0000000000000018</v>
      </c>
    </row>
    <row r="89" spans="1:22" x14ac:dyDescent="0.3">
      <c r="A89" s="1" t="s">
        <v>205</v>
      </c>
      <c r="B89" s="2">
        <v>44289</v>
      </c>
      <c r="C89" s="2" t="str">
        <f t="shared" si="7"/>
        <v>Saturday</v>
      </c>
      <c r="D89" s="2" t="str">
        <f t="shared" si="8"/>
        <v>April</v>
      </c>
      <c r="E89" s="2" t="str">
        <f t="shared" si="9"/>
        <v>2021</v>
      </c>
      <c r="F89" s="3" t="s">
        <v>206</v>
      </c>
      <c r="G89" s="3" t="str">
        <f>VLOOKUP(F90,'Customers (2)'!A:I,2,0)</f>
        <v>Elna Grise</v>
      </c>
      <c r="H89" s="3" t="str">
        <f>VLOOKUP(F89,'Customers (2)'!A:I,3,0)</f>
        <v>bkeaveney2f@netlog.com</v>
      </c>
      <c r="I89" s="3">
        <f>VLOOKUP(F89,'Customers (2)'!A:I,4,0)</f>
        <v>0</v>
      </c>
      <c r="J89" s="3" t="str">
        <f>VLOOKUP(F89,'Customers (2)'!A:I,6,0)</f>
        <v>Beaumont</v>
      </c>
      <c r="K89" s="3" t="str">
        <f>VLOOKUP(F89,'Customers (2)'!A:I,7,0)</f>
        <v>United States</v>
      </c>
      <c r="L89" s="3" t="str">
        <f>VLOOKUP(F89,'Customers (2)'!A:I,9,0)</f>
        <v>No</v>
      </c>
      <c r="M89" s="4" t="s">
        <v>61</v>
      </c>
      <c r="N89" s="4" t="str">
        <f>VLOOKUP(M89,'Products (2)'!A:G,2,0)</f>
        <v>Arabica</v>
      </c>
      <c r="O89" s="4" t="str">
        <f>VLOOKUP(M89,'Products (2)'!A:G,3,0)</f>
        <v>Medium</v>
      </c>
      <c r="P89" s="4">
        <f>VLOOKUP(M89,'Products (2)'!A:G,7,0)</f>
        <v>1.0125</v>
      </c>
      <c r="Q89" s="3">
        <v>3</v>
      </c>
      <c r="R89" s="5">
        <f>INDEX([1]products!$A$1:$G$49,MATCH([1]orders!$D89,[1]products!$A$1:$A$49,0),MATCH([1]orders!K$1,[1]products!$A$1:$G$1,0))</f>
        <v>1</v>
      </c>
      <c r="S89" s="6">
        <f>INDEX([1]products!$A$1:$G$49,MATCH([1]orders!$D89,[1]products!$A$1:$A$49,0),MATCH([1]orders!L$1,[1]products!$A$1:$G$1,0))</f>
        <v>11.25</v>
      </c>
      <c r="T89" s="6">
        <f t="shared" si="6"/>
        <v>33.75</v>
      </c>
      <c r="U89" s="22">
        <f t="shared" si="10"/>
        <v>3.0374999999999996</v>
      </c>
      <c r="V89" s="22">
        <f t="shared" si="11"/>
        <v>8.9999999999999982</v>
      </c>
    </row>
    <row r="90" spans="1:22" x14ac:dyDescent="0.3">
      <c r="A90" s="1" t="s">
        <v>207</v>
      </c>
      <c r="B90" s="2">
        <v>44284</v>
      </c>
      <c r="C90" s="2" t="str">
        <f t="shared" si="7"/>
        <v>Monday</v>
      </c>
      <c r="D90" s="2" t="str">
        <f t="shared" si="8"/>
        <v>March</v>
      </c>
      <c r="E90" s="2" t="str">
        <f t="shared" si="9"/>
        <v>2021</v>
      </c>
      <c r="F90" s="3" t="s">
        <v>208</v>
      </c>
      <c r="G90" s="3" t="str">
        <f>VLOOKUP(F91,'Customers (2)'!A:I,2,0)</f>
        <v>Torie Gottelier</v>
      </c>
      <c r="H90" s="3" t="str">
        <f>VLOOKUP(F90,'Customers (2)'!A:I,3,0)</f>
        <v>egrise2g@cargocollective.com</v>
      </c>
      <c r="I90" s="3">
        <f>VLOOKUP(F90,'Customers (2)'!A:I,4,0)</f>
        <v>0</v>
      </c>
      <c r="J90" s="3" t="str">
        <f>VLOOKUP(F90,'Customers (2)'!A:I,6,0)</f>
        <v>Reno</v>
      </c>
      <c r="K90" s="3" t="str">
        <f>VLOOKUP(F90,'Customers (2)'!A:I,7,0)</f>
        <v>United States</v>
      </c>
      <c r="L90" s="3" t="str">
        <f>VLOOKUP(F90,'Customers (2)'!A:I,9,0)</f>
        <v>No</v>
      </c>
      <c r="M90" s="4" t="s">
        <v>189</v>
      </c>
      <c r="N90" s="4" t="str">
        <f>VLOOKUP(M90,'Products (2)'!A:G,2,0)</f>
        <v>Robusta</v>
      </c>
      <c r="O90" s="4" t="str">
        <f>VLOOKUP(M90,'Products (2)'!A:G,3,0)</f>
        <v>Light</v>
      </c>
      <c r="P90" s="4">
        <f>VLOOKUP(M90,'Products (2)'!A:G,7,0)</f>
        <v>0.71699999999999997</v>
      </c>
      <c r="Q90" s="3">
        <v>3</v>
      </c>
      <c r="R90" s="5">
        <f>INDEX([1]products!$A$1:$G$49,MATCH([1]orders!$D90,[1]products!$A$1:$A$49,0),MATCH([1]orders!K$1,[1]products!$A$1:$G$1,0))</f>
        <v>1</v>
      </c>
      <c r="S90" s="6">
        <f>INDEX([1]products!$A$1:$G$49,MATCH([1]orders!$D90,[1]products!$A$1:$A$49,0),MATCH([1]orders!L$1,[1]products!$A$1:$G$1,0))</f>
        <v>11.95</v>
      </c>
      <c r="T90" s="6">
        <f t="shared" si="6"/>
        <v>35.849999999999994</v>
      </c>
      <c r="U90" s="22">
        <f t="shared" si="10"/>
        <v>2.1509999999999998</v>
      </c>
      <c r="V90" s="22">
        <f t="shared" si="11"/>
        <v>6.0000000000000009</v>
      </c>
    </row>
    <row r="91" spans="1:22" x14ac:dyDescent="0.3">
      <c r="A91" s="1" t="s">
        <v>209</v>
      </c>
      <c r="B91" s="2">
        <v>44545</v>
      </c>
      <c r="C91" s="2" t="str">
        <f t="shared" si="7"/>
        <v>Wednesday</v>
      </c>
      <c r="D91" s="2" t="str">
        <f t="shared" si="8"/>
        <v>December</v>
      </c>
      <c r="E91" s="2" t="str">
        <f t="shared" si="9"/>
        <v>2021</v>
      </c>
      <c r="F91" s="3" t="s">
        <v>210</v>
      </c>
      <c r="G91" s="3" t="str">
        <f>VLOOKUP(F92,'Customers (2)'!A:I,2,0)</f>
        <v>Loydie Langlais</v>
      </c>
      <c r="H91" s="3" t="str">
        <f>VLOOKUP(F91,'Customers (2)'!A:I,3,0)</f>
        <v>tgottelier2h@vistaprint.com</v>
      </c>
      <c r="I91" s="3" t="str">
        <f>VLOOKUP(F91,'Customers (2)'!A:I,4,0)</f>
        <v>+1 (816) 743-8492</v>
      </c>
      <c r="J91" s="3" t="str">
        <f>VLOOKUP(F91,'Customers (2)'!A:I,6,0)</f>
        <v>Kansas City</v>
      </c>
      <c r="K91" s="3" t="str">
        <f>VLOOKUP(F91,'Customers (2)'!A:I,7,0)</f>
        <v>United States</v>
      </c>
      <c r="L91" s="3" t="str">
        <f>VLOOKUP(F91,'Customers (2)'!A:I,9,0)</f>
        <v>No</v>
      </c>
      <c r="M91" s="4" t="s">
        <v>6</v>
      </c>
      <c r="N91" s="4" t="str">
        <f>VLOOKUP(M91,'Products (2)'!A:G,2,0)</f>
        <v>Arabica</v>
      </c>
      <c r="O91" s="4" t="str">
        <f>VLOOKUP(M91,'Products (2)'!A:G,3,0)</f>
        <v>Light</v>
      </c>
      <c r="P91" s="4">
        <f>VLOOKUP(M91,'Products (2)'!A:G,7,0)</f>
        <v>1.1655</v>
      </c>
      <c r="Q91" s="3">
        <v>6</v>
      </c>
      <c r="R91" s="5">
        <f>INDEX([1]products!$A$1:$G$49,MATCH([1]orders!$D91,[1]products!$A$1:$A$49,0),MATCH([1]orders!K$1,[1]products!$A$1:$G$1,0))</f>
        <v>1</v>
      </c>
      <c r="S91" s="6">
        <f>INDEX([1]products!$A$1:$G$49,MATCH([1]orders!$D91,[1]products!$A$1:$A$49,0),MATCH([1]orders!L$1,[1]products!$A$1:$G$1,0))</f>
        <v>12.95</v>
      </c>
      <c r="T91" s="6">
        <f t="shared" si="6"/>
        <v>77.699999999999989</v>
      </c>
      <c r="U91" s="22">
        <f t="shared" si="10"/>
        <v>6.9930000000000003</v>
      </c>
      <c r="V91" s="22">
        <f t="shared" si="11"/>
        <v>9.0000000000000018</v>
      </c>
    </row>
    <row r="92" spans="1:22" x14ac:dyDescent="0.3">
      <c r="A92" s="1" t="s">
        <v>211</v>
      </c>
      <c r="B92" s="2">
        <v>43971</v>
      </c>
      <c r="C92" s="2" t="str">
        <f t="shared" si="7"/>
        <v>Wednesday</v>
      </c>
      <c r="D92" s="2" t="str">
        <f t="shared" si="8"/>
        <v>May</v>
      </c>
      <c r="E92" s="2" t="str">
        <f t="shared" si="9"/>
        <v>2020</v>
      </c>
      <c r="F92" s="3" t="s">
        <v>212</v>
      </c>
      <c r="G92" s="3" t="str">
        <f>VLOOKUP(F93,'Customers (2)'!A:I,2,0)</f>
        <v>Adham Greenhead</v>
      </c>
      <c r="H92" s="3">
        <f>VLOOKUP(F92,'Customers (2)'!A:I,3,0)</f>
        <v>0</v>
      </c>
      <c r="I92" s="3" t="str">
        <f>VLOOKUP(F92,'Customers (2)'!A:I,4,0)</f>
        <v>+353 (576) 222-5069</v>
      </c>
      <c r="J92" s="3" t="str">
        <f>VLOOKUP(F92,'Customers (2)'!A:I,6,0)</f>
        <v>Crumlin</v>
      </c>
      <c r="K92" s="3" t="str">
        <f>VLOOKUP(F92,'Customers (2)'!A:I,7,0)</f>
        <v>Ireland</v>
      </c>
      <c r="L92" s="3" t="str">
        <f>VLOOKUP(F92,'Customers (2)'!A:I,9,0)</f>
        <v>Yes</v>
      </c>
      <c r="M92" s="4" t="s">
        <v>6</v>
      </c>
      <c r="N92" s="4" t="str">
        <f>VLOOKUP(M92,'Products (2)'!A:G,2,0)</f>
        <v>Arabica</v>
      </c>
      <c r="O92" s="4" t="str">
        <f>VLOOKUP(M92,'Products (2)'!A:G,3,0)</f>
        <v>Light</v>
      </c>
      <c r="P92" s="4">
        <f>VLOOKUP(M92,'Products (2)'!A:G,7,0)</f>
        <v>1.1655</v>
      </c>
      <c r="Q92" s="3">
        <v>4</v>
      </c>
      <c r="R92" s="5">
        <f>INDEX([1]products!$A$1:$G$49,MATCH([1]orders!$D92,[1]products!$A$1:$A$49,0),MATCH([1]orders!K$1,[1]products!$A$1:$G$1,0))</f>
        <v>1</v>
      </c>
      <c r="S92" s="6">
        <f>INDEX([1]products!$A$1:$G$49,MATCH([1]orders!$D92,[1]products!$A$1:$A$49,0),MATCH([1]orders!L$1,[1]products!$A$1:$G$1,0))</f>
        <v>12.95</v>
      </c>
      <c r="T92" s="6">
        <f t="shared" si="6"/>
        <v>51.8</v>
      </c>
      <c r="U92" s="22">
        <f t="shared" si="10"/>
        <v>4.6619999999999999</v>
      </c>
      <c r="V92" s="22">
        <f t="shared" si="11"/>
        <v>9</v>
      </c>
    </row>
    <row r="93" spans="1:22" x14ac:dyDescent="0.3">
      <c r="A93" s="1" t="s">
        <v>213</v>
      </c>
      <c r="B93" s="2">
        <v>44137</v>
      </c>
      <c r="C93" s="2" t="str">
        <f t="shared" si="7"/>
        <v>Monday</v>
      </c>
      <c r="D93" s="2" t="str">
        <f t="shared" si="8"/>
        <v>November</v>
      </c>
      <c r="E93" s="2" t="str">
        <f t="shared" si="9"/>
        <v>2020</v>
      </c>
      <c r="F93" s="3" t="s">
        <v>214</v>
      </c>
      <c r="G93" s="3" t="str">
        <f>VLOOKUP(F94,'Customers (2)'!A:I,2,0)</f>
        <v>Hamish MacSherry</v>
      </c>
      <c r="H93" s="3" t="str">
        <f>VLOOKUP(F93,'Customers (2)'!A:I,3,0)</f>
        <v>agreenhead2j@dailymail.co.uk</v>
      </c>
      <c r="I93" s="3" t="str">
        <f>VLOOKUP(F93,'Customers (2)'!A:I,4,0)</f>
        <v>+1 (951) 797-0738</v>
      </c>
      <c r="J93" s="3" t="str">
        <f>VLOOKUP(F93,'Customers (2)'!A:I,6,0)</f>
        <v>Corona</v>
      </c>
      <c r="K93" s="3" t="str">
        <f>VLOOKUP(F93,'Customers (2)'!A:I,7,0)</f>
        <v>United States</v>
      </c>
      <c r="L93" s="3" t="str">
        <f>VLOOKUP(F93,'Customers (2)'!A:I,9,0)</f>
        <v>No</v>
      </c>
      <c r="M93" s="4" t="s">
        <v>171</v>
      </c>
      <c r="N93" s="4" t="str">
        <f>VLOOKUP(M93,'Products (2)'!A:G,2,0)</f>
        <v>Arabica</v>
      </c>
      <c r="O93" s="4" t="str">
        <f>VLOOKUP(M93,'Products (2)'!A:G,3,0)</f>
        <v>Medium</v>
      </c>
      <c r="P93" s="4">
        <f>VLOOKUP(M93,'Products (2)'!A:G,7,0)</f>
        <v>2.3287499999999994</v>
      </c>
      <c r="Q93" s="3">
        <v>4</v>
      </c>
      <c r="R93" s="5">
        <f>INDEX([1]products!$A$1:$G$49,MATCH([1]orders!$D93,[1]products!$A$1:$A$49,0),MATCH([1]orders!K$1,[1]products!$A$1:$G$1,0))</f>
        <v>2.5</v>
      </c>
      <c r="S93" s="6">
        <f>INDEX([1]products!$A$1:$G$49,MATCH([1]orders!$D93,[1]products!$A$1:$A$49,0),MATCH([1]orders!L$1,[1]products!$A$1:$G$1,0))</f>
        <v>25.874999999999996</v>
      </c>
      <c r="T93" s="6">
        <f t="shared" si="6"/>
        <v>103.49999999999999</v>
      </c>
      <c r="U93" s="22">
        <f t="shared" si="10"/>
        <v>9.3149999999999977</v>
      </c>
      <c r="V93" s="22">
        <f t="shared" si="11"/>
        <v>9</v>
      </c>
    </row>
    <row r="94" spans="1:22" x14ac:dyDescent="0.3">
      <c r="A94" s="1" t="s">
        <v>215</v>
      </c>
      <c r="B94" s="2">
        <v>44037</v>
      </c>
      <c r="C94" s="2" t="str">
        <f t="shared" si="7"/>
        <v>Saturday</v>
      </c>
      <c r="D94" s="2" t="str">
        <f t="shared" si="8"/>
        <v>July</v>
      </c>
      <c r="E94" s="2" t="str">
        <f t="shared" si="9"/>
        <v>2020</v>
      </c>
      <c r="F94" s="3" t="s">
        <v>216</v>
      </c>
      <c r="G94" s="3" t="str">
        <f>VLOOKUP(F95,'Customers (2)'!A:I,2,0)</f>
        <v>Else Langcaster</v>
      </c>
      <c r="H94" s="3">
        <f>VLOOKUP(F94,'Customers (2)'!A:I,3,0)</f>
        <v>0</v>
      </c>
      <c r="I94" s="3" t="str">
        <f>VLOOKUP(F94,'Customers (2)'!A:I,4,0)</f>
        <v>+1 (512) 430-4374</v>
      </c>
      <c r="J94" s="3" t="str">
        <f>VLOOKUP(F94,'Customers (2)'!A:I,6,0)</f>
        <v>Austin</v>
      </c>
      <c r="K94" s="3" t="str">
        <f>VLOOKUP(F94,'Customers (2)'!A:I,7,0)</f>
        <v>United States</v>
      </c>
      <c r="L94" s="3" t="str">
        <f>VLOOKUP(F94,'Customers (2)'!A:I,9,0)</f>
        <v>Yes</v>
      </c>
      <c r="M94" s="4" t="s">
        <v>137</v>
      </c>
      <c r="N94" s="4" t="str">
        <f>VLOOKUP(M94,'Products (2)'!A:G,2,0)</f>
        <v>Excelsa</v>
      </c>
      <c r="O94" s="4" t="str">
        <f>VLOOKUP(M94,'Products (2)'!A:G,3,0)</f>
        <v>Light</v>
      </c>
      <c r="P94" s="4">
        <f>VLOOKUP(M94,'Products (2)'!A:G,7,0)</f>
        <v>1.6335</v>
      </c>
      <c r="Q94" s="3">
        <v>3</v>
      </c>
      <c r="R94" s="5">
        <f>INDEX([1]products!$A$1:$G$49,MATCH([1]orders!$D94,[1]products!$A$1:$A$49,0),MATCH([1]orders!K$1,[1]products!$A$1:$G$1,0))</f>
        <v>1</v>
      </c>
      <c r="S94" s="6">
        <f>INDEX([1]products!$A$1:$G$49,MATCH([1]orders!$D94,[1]products!$A$1:$A$49,0),MATCH([1]orders!L$1,[1]products!$A$1:$G$1,0))</f>
        <v>14.85</v>
      </c>
      <c r="T94" s="6">
        <f t="shared" si="6"/>
        <v>44.55</v>
      </c>
      <c r="U94" s="22">
        <f t="shared" si="10"/>
        <v>4.9005000000000001</v>
      </c>
      <c r="V94" s="22">
        <f t="shared" si="11"/>
        <v>11.000000000000002</v>
      </c>
    </row>
    <row r="95" spans="1:22" x14ac:dyDescent="0.3">
      <c r="A95" s="1" t="s">
        <v>217</v>
      </c>
      <c r="B95" s="2">
        <v>43538</v>
      </c>
      <c r="C95" s="2" t="str">
        <f t="shared" si="7"/>
        <v>Thursday</v>
      </c>
      <c r="D95" s="2" t="str">
        <f t="shared" si="8"/>
        <v>March</v>
      </c>
      <c r="E95" s="2" t="str">
        <f t="shared" si="9"/>
        <v>2019</v>
      </c>
      <c r="F95" s="3" t="s">
        <v>218</v>
      </c>
      <c r="G95" s="3" t="str">
        <f>VLOOKUP(F96,'Customers (2)'!A:I,2,0)</f>
        <v>Rudy Farquharson</v>
      </c>
      <c r="H95" s="3" t="str">
        <f>VLOOKUP(F95,'Customers (2)'!A:I,3,0)</f>
        <v>elangcaster2l@spotify.com</v>
      </c>
      <c r="I95" s="3" t="str">
        <f>VLOOKUP(F95,'Customers (2)'!A:I,4,0)</f>
        <v>+44 (547) 590-3103</v>
      </c>
      <c r="J95" s="3" t="str">
        <f>VLOOKUP(F95,'Customers (2)'!A:I,6,0)</f>
        <v>Normanton</v>
      </c>
      <c r="K95" s="3" t="str">
        <f>VLOOKUP(F95,'Customers (2)'!A:I,7,0)</f>
        <v>United Kingdom</v>
      </c>
      <c r="L95" s="3" t="str">
        <f>VLOOKUP(F95,'Customers (2)'!A:I,9,0)</f>
        <v>Yes</v>
      </c>
      <c r="M95" s="4" t="s">
        <v>176</v>
      </c>
      <c r="N95" s="4" t="str">
        <f>VLOOKUP(M95,'Products (2)'!A:G,2,0)</f>
        <v>Excelsa</v>
      </c>
      <c r="O95" s="4" t="str">
        <f>VLOOKUP(M95,'Products (2)'!A:G,3,0)</f>
        <v>Light</v>
      </c>
      <c r="P95" s="4">
        <f>VLOOKUP(M95,'Products (2)'!A:G,7,0)</f>
        <v>0.98009999999999997</v>
      </c>
      <c r="Q95" s="3">
        <v>4</v>
      </c>
      <c r="R95" s="5">
        <f>INDEX([1]products!$A$1:$G$49,MATCH([1]orders!$D95,[1]products!$A$1:$A$49,0),MATCH([1]orders!K$1,[1]products!$A$1:$G$1,0))</f>
        <v>0.5</v>
      </c>
      <c r="S95" s="6">
        <f>INDEX([1]products!$A$1:$G$49,MATCH([1]orders!$D95,[1]products!$A$1:$A$49,0),MATCH([1]orders!L$1,[1]products!$A$1:$G$1,0))</f>
        <v>8.91</v>
      </c>
      <c r="T95" s="6">
        <f t="shared" si="6"/>
        <v>35.64</v>
      </c>
      <c r="U95" s="22">
        <f t="shared" si="10"/>
        <v>3.9203999999999999</v>
      </c>
      <c r="V95" s="22">
        <f t="shared" si="11"/>
        <v>11</v>
      </c>
    </row>
    <row r="96" spans="1:22" x14ac:dyDescent="0.3">
      <c r="A96" s="1" t="s">
        <v>219</v>
      </c>
      <c r="B96" s="2">
        <v>44014</v>
      </c>
      <c r="C96" s="2" t="str">
        <f t="shared" si="7"/>
        <v>Thursday</v>
      </c>
      <c r="D96" s="2" t="str">
        <f t="shared" si="8"/>
        <v>July</v>
      </c>
      <c r="E96" s="2" t="str">
        <f t="shared" si="9"/>
        <v>2020</v>
      </c>
      <c r="F96" s="3" t="s">
        <v>220</v>
      </c>
      <c r="G96" s="3" t="str">
        <f>VLOOKUP(F97,'Customers (2)'!A:I,2,0)</f>
        <v>Norene Magauran</v>
      </c>
      <c r="H96" s="3">
        <f>VLOOKUP(F96,'Customers (2)'!A:I,3,0)</f>
        <v>0</v>
      </c>
      <c r="I96" s="3">
        <f>VLOOKUP(F96,'Customers (2)'!A:I,4,0)</f>
        <v>0</v>
      </c>
      <c r="J96" s="3" t="str">
        <f>VLOOKUP(F96,'Customers (2)'!A:I,6,0)</f>
        <v>Charlesland</v>
      </c>
      <c r="K96" s="3" t="str">
        <f>VLOOKUP(F96,'Customers (2)'!A:I,7,0)</f>
        <v>Ireland</v>
      </c>
      <c r="L96" s="3" t="str">
        <f>VLOOKUP(F96,'Customers (2)'!A:I,9,0)</f>
        <v>Yes</v>
      </c>
      <c r="M96" s="4" t="s">
        <v>54</v>
      </c>
      <c r="N96" s="4" t="str">
        <f>VLOOKUP(M96,'Products (2)'!A:G,2,0)</f>
        <v>Arabica</v>
      </c>
      <c r="O96" s="4" t="str">
        <f>VLOOKUP(M96,'Products (2)'!A:G,3,0)</f>
        <v>Dark</v>
      </c>
      <c r="P96" s="4">
        <f>VLOOKUP(M96,'Products (2)'!A:G,7,0)</f>
        <v>0.26865</v>
      </c>
      <c r="Q96" s="3">
        <v>6</v>
      </c>
      <c r="R96" s="5">
        <f>INDEX([1]products!$A$1:$G$49,MATCH([1]orders!$D96,[1]products!$A$1:$A$49,0),MATCH([1]orders!K$1,[1]products!$A$1:$G$1,0))</f>
        <v>0.2</v>
      </c>
      <c r="S96" s="6">
        <f>INDEX([1]products!$A$1:$G$49,MATCH([1]orders!$D96,[1]products!$A$1:$A$49,0),MATCH([1]orders!L$1,[1]products!$A$1:$G$1,0))</f>
        <v>2.9849999999999999</v>
      </c>
      <c r="T96" s="6">
        <f t="shared" si="6"/>
        <v>17.91</v>
      </c>
      <c r="U96" s="22">
        <f t="shared" si="10"/>
        <v>1.6118999999999999</v>
      </c>
      <c r="V96" s="22">
        <f t="shared" si="11"/>
        <v>9</v>
      </c>
    </row>
    <row r="97" spans="1:22" x14ac:dyDescent="0.3">
      <c r="A97" s="1" t="s">
        <v>221</v>
      </c>
      <c r="B97" s="2">
        <v>43816</v>
      </c>
      <c r="C97" s="2" t="str">
        <f t="shared" si="7"/>
        <v>Tuesday</v>
      </c>
      <c r="D97" s="2" t="str">
        <f t="shared" si="8"/>
        <v>December</v>
      </c>
      <c r="E97" s="2" t="str">
        <f t="shared" si="9"/>
        <v>2019</v>
      </c>
      <c r="F97" s="3" t="s">
        <v>222</v>
      </c>
      <c r="G97" s="3" t="str">
        <f>VLOOKUP(F98,'Customers (2)'!A:I,2,0)</f>
        <v>Vicki Kirdsch</v>
      </c>
      <c r="H97" s="3" t="str">
        <f>VLOOKUP(F97,'Customers (2)'!A:I,3,0)</f>
        <v>nmagauran2n@51.la</v>
      </c>
      <c r="I97" s="3">
        <f>VLOOKUP(F97,'Customers (2)'!A:I,4,0)</f>
        <v>0</v>
      </c>
      <c r="J97" s="3" t="str">
        <f>VLOOKUP(F97,'Customers (2)'!A:I,6,0)</f>
        <v>Fresno</v>
      </c>
      <c r="K97" s="3" t="str">
        <f>VLOOKUP(F97,'Customers (2)'!A:I,7,0)</f>
        <v>United States</v>
      </c>
      <c r="L97" s="3" t="str">
        <f>VLOOKUP(F97,'Customers (2)'!A:I,9,0)</f>
        <v>No</v>
      </c>
      <c r="M97" s="4" t="s">
        <v>171</v>
      </c>
      <c r="N97" s="4" t="str">
        <f>VLOOKUP(M97,'Products (2)'!A:G,2,0)</f>
        <v>Arabica</v>
      </c>
      <c r="O97" s="4" t="str">
        <f>VLOOKUP(M97,'Products (2)'!A:G,3,0)</f>
        <v>Medium</v>
      </c>
      <c r="P97" s="4">
        <f>VLOOKUP(M97,'Products (2)'!A:G,7,0)</f>
        <v>2.3287499999999994</v>
      </c>
      <c r="Q97" s="3">
        <v>6</v>
      </c>
      <c r="R97" s="5">
        <f>INDEX([1]products!$A$1:$G$49,MATCH([1]orders!$D97,[1]products!$A$1:$A$49,0),MATCH([1]orders!K$1,[1]products!$A$1:$G$1,0))</f>
        <v>2.5</v>
      </c>
      <c r="S97" s="6">
        <f>INDEX([1]products!$A$1:$G$49,MATCH([1]orders!$D97,[1]products!$A$1:$A$49,0),MATCH([1]orders!L$1,[1]products!$A$1:$G$1,0))</f>
        <v>25.874999999999996</v>
      </c>
      <c r="T97" s="6">
        <f t="shared" si="6"/>
        <v>155.24999999999997</v>
      </c>
      <c r="U97" s="22">
        <f t="shared" si="10"/>
        <v>13.972499999999997</v>
      </c>
      <c r="V97" s="22">
        <f t="shared" si="11"/>
        <v>9</v>
      </c>
    </row>
    <row r="98" spans="1:22" x14ac:dyDescent="0.3">
      <c r="A98" s="1" t="s">
        <v>223</v>
      </c>
      <c r="B98" s="2">
        <v>44171</v>
      </c>
      <c r="C98" s="2" t="str">
        <f t="shared" si="7"/>
        <v>Sunday</v>
      </c>
      <c r="D98" s="2" t="str">
        <f t="shared" si="8"/>
        <v>December</v>
      </c>
      <c r="E98" s="2" t="str">
        <f t="shared" si="9"/>
        <v>2020</v>
      </c>
      <c r="F98" s="3" t="s">
        <v>224</v>
      </c>
      <c r="G98" s="3" t="str">
        <f>VLOOKUP(F99,'Customers (2)'!A:I,2,0)</f>
        <v>Ilysa Whapple</v>
      </c>
      <c r="H98" s="3" t="str">
        <f>VLOOKUP(F98,'Customers (2)'!A:I,3,0)</f>
        <v>vkirdsch2o@google.fr</v>
      </c>
      <c r="I98" s="3">
        <f>VLOOKUP(F98,'Customers (2)'!A:I,4,0)</f>
        <v>0</v>
      </c>
      <c r="J98" s="3" t="str">
        <f>VLOOKUP(F98,'Customers (2)'!A:I,6,0)</f>
        <v>Saint Louis</v>
      </c>
      <c r="K98" s="3" t="str">
        <f>VLOOKUP(F98,'Customers (2)'!A:I,7,0)</f>
        <v>United States</v>
      </c>
      <c r="L98" s="3" t="str">
        <f>VLOOKUP(F98,'Customers (2)'!A:I,9,0)</f>
        <v>No</v>
      </c>
      <c r="M98" s="4" t="s">
        <v>54</v>
      </c>
      <c r="N98" s="4" t="str">
        <f>VLOOKUP(M98,'Products (2)'!A:G,2,0)</f>
        <v>Arabica</v>
      </c>
      <c r="O98" s="4" t="str">
        <f>VLOOKUP(M98,'Products (2)'!A:G,3,0)</f>
        <v>Dark</v>
      </c>
      <c r="P98" s="4">
        <f>VLOOKUP(M98,'Products (2)'!A:G,7,0)</f>
        <v>0.26865</v>
      </c>
      <c r="Q98" s="3">
        <v>2</v>
      </c>
      <c r="R98" s="5">
        <f>INDEX([1]products!$A$1:$G$49,MATCH([1]orders!$D98,[1]products!$A$1:$A$49,0),MATCH([1]orders!K$1,[1]products!$A$1:$G$1,0))</f>
        <v>0.2</v>
      </c>
      <c r="S98" s="6">
        <f>INDEX([1]products!$A$1:$G$49,MATCH([1]orders!$D98,[1]products!$A$1:$A$49,0),MATCH([1]orders!L$1,[1]products!$A$1:$G$1,0))</f>
        <v>2.9849999999999999</v>
      </c>
      <c r="T98" s="6">
        <f t="shared" si="6"/>
        <v>5.97</v>
      </c>
      <c r="U98" s="22">
        <f t="shared" si="10"/>
        <v>0.5373</v>
      </c>
      <c r="V98" s="22">
        <f t="shared" si="11"/>
        <v>9.0000000000000018</v>
      </c>
    </row>
    <row r="99" spans="1:22" x14ac:dyDescent="0.3">
      <c r="A99" s="1" t="s">
        <v>225</v>
      </c>
      <c r="B99" s="2">
        <v>44259</v>
      </c>
      <c r="C99" s="2" t="str">
        <f t="shared" si="7"/>
        <v>Thursday</v>
      </c>
      <c r="D99" s="2" t="str">
        <f t="shared" si="8"/>
        <v>March</v>
      </c>
      <c r="E99" s="2" t="str">
        <f t="shared" si="9"/>
        <v>2021</v>
      </c>
      <c r="F99" s="3" t="s">
        <v>226</v>
      </c>
      <c r="G99" s="3" t="str">
        <f>VLOOKUP(F100,'Customers (2)'!A:I,2,0)</f>
        <v>Ruy Cancellieri</v>
      </c>
      <c r="H99" s="3" t="str">
        <f>VLOOKUP(F99,'Customers (2)'!A:I,3,0)</f>
        <v>iwhapple2p@com.com</v>
      </c>
      <c r="I99" s="3" t="str">
        <f>VLOOKUP(F99,'Customers (2)'!A:I,4,0)</f>
        <v>+1 (559) 522-1152</v>
      </c>
      <c r="J99" s="3" t="str">
        <f>VLOOKUP(F99,'Customers (2)'!A:I,6,0)</f>
        <v>Fresno</v>
      </c>
      <c r="K99" s="3" t="str">
        <f>VLOOKUP(F99,'Customers (2)'!A:I,7,0)</f>
        <v>United States</v>
      </c>
      <c r="L99" s="3" t="str">
        <f>VLOOKUP(F99,'Customers (2)'!A:I,9,0)</f>
        <v>No</v>
      </c>
      <c r="M99" s="4" t="s">
        <v>67</v>
      </c>
      <c r="N99" s="4" t="str">
        <f>VLOOKUP(M99,'Products (2)'!A:G,2,0)</f>
        <v>Arabica</v>
      </c>
      <c r="O99" s="4" t="str">
        <f>VLOOKUP(M99,'Products (2)'!A:G,3,0)</f>
        <v>Medium</v>
      </c>
      <c r="P99" s="4">
        <f>VLOOKUP(M99,'Products (2)'!A:G,7,0)</f>
        <v>0.60749999999999993</v>
      </c>
      <c r="Q99" s="3">
        <v>2</v>
      </c>
      <c r="R99" s="5">
        <f>INDEX([1]products!$A$1:$G$49,MATCH([1]orders!$D99,[1]products!$A$1:$A$49,0),MATCH([1]orders!K$1,[1]products!$A$1:$G$1,0))</f>
        <v>0.5</v>
      </c>
      <c r="S99" s="6">
        <f>INDEX([1]products!$A$1:$G$49,MATCH([1]orders!$D99,[1]products!$A$1:$A$49,0),MATCH([1]orders!L$1,[1]products!$A$1:$G$1,0))</f>
        <v>6.75</v>
      </c>
      <c r="T99" s="6">
        <f t="shared" si="6"/>
        <v>13.5</v>
      </c>
      <c r="U99" s="22">
        <f t="shared" si="10"/>
        <v>1.2149999999999999</v>
      </c>
      <c r="V99" s="22">
        <f t="shared" si="11"/>
        <v>8.9999999999999982</v>
      </c>
    </row>
    <row r="100" spans="1:22" x14ac:dyDescent="0.3">
      <c r="A100" s="1" t="s">
        <v>227</v>
      </c>
      <c r="B100" s="2">
        <v>44394</v>
      </c>
      <c r="C100" s="2" t="str">
        <f t="shared" si="7"/>
        <v>Saturday</v>
      </c>
      <c r="D100" s="2" t="str">
        <f t="shared" si="8"/>
        <v>July</v>
      </c>
      <c r="E100" s="2" t="str">
        <f t="shared" si="9"/>
        <v>2021</v>
      </c>
      <c r="F100" s="3" t="s">
        <v>228</v>
      </c>
      <c r="G100" s="3" t="str">
        <f>VLOOKUP(F101,'Customers (2)'!A:I,2,0)</f>
        <v>Aube Follett</v>
      </c>
      <c r="H100" s="3">
        <f>VLOOKUP(F100,'Customers (2)'!A:I,3,0)</f>
        <v>0</v>
      </c>
      <c r="I100" s="3" t="str">
        <f>VLOOKUP(F100,'Customers (2)'!A:I,4,0)</f>
        <v>+353 (338) 743-8327</v>
      </c>
      <c r="J100" s="3" t="str">
        <f>VLOOKUP(F100,'Customers (2)'!A:I,6,0)</f>
        <v>Confey</v>
      </c>
      <c r="K100" s="3" t="str">
        <f>VLOOKUP(F100,'Customers (2)'!A:I,7,0)</f>
        <v>Ireland</v>
      </c>
      <c r="L100" s="3" t="str">
        <f>VLOOKUP(F100,'Customers (2)'!A:I,9,0)</f>
        <v>No</v>
      </c>
      <c r="M100" s="4" t="s">
        <v>54</v>
      </c>
      <c r="N100" s="4" t="str">
        <f>VLOOKUP(M100,'Products (2)'!A:G,2,0)</f>
        <v>Arabica</v>
      </c>
      <c r="O100" s="4" t="str">
        <f>VLOOKUP(M100,'Products (2)'!A:G,3,0)</f>
        <v>Dark</v>
      </c>
      <c r="P100" s="4">
        <f>VLOOKUP(M100,'Products (2)'!A:G,7,0)</f>
        <v>0.26865</v>
      </c>
      <c r="Q100" s="3">
        <v>1</v>
      </c>
      <c r="R100" s="5">
        <f>INDEX([1]products!$A$1:$G$49,MATCH([1]orders!$D100,[1]products!$A$1:$A$49,0),MATCH([1]orders!K$1,[1]products!$A$1:$G$1,0))</f>
        <v>0.2</v>
      </c>
      <c r="S100" s="6">
        <f>INDEX([1]products!$A$1:$G$49,MATCH([1]orders!$D100,[1]products!$A$1:$A$49,0),MATCH([1]orders!L$1,[1]products!$A$1:$G$1,0))</f>
        <v>2.9849999999999999</v>
      </c>
      <c r="T100" s="6">
        <f t="shared" si="6"/>
        <v>2.9849999999999999</v>
      </c>
      <c r="U100" s="22">
        <f t="shared" si="10"/>
        <v>0.26865</v>
      </c>
      <c r="V100" s="22">
        <f t="shared" si="11"/>
        <v>9.0000000000000018</v>
      </c>
    </row>
    <row r="101" spans="1:22" x14ac:dyDescent="0.3">
      <c r="A101" s="1" t="s">
        <v>229</v>
      </c>
      <c r="B101" s="2">
        <v>44139</v>
      </c>
      <c r="C101" s="2" t="str">
        <f t="shared" si="7"/>
        <v>Wednesday</v>
      </c>
      <c r="D101" s="2" t="str">
        <f t="shared" si="8"/>
        <v>November</v>
      </c>
      <c r="E101" s="2" t="str">
        <f t="shared" si="9"/>
        <v>2020</v>
      </c>
      <c r="F101" s="3" t="s">
        <v>230</v>
      </c>
      <c r="G101" s="3" t="str">
        <f>VLOOKUP(F102,'Customers (2)'!A:I,2,0)</f>
        <v>Rudiger Di Bartolomeo</v>
      </c>
      <c r="H101" s="3">
        <f>VLOOKUP(F101,'Customers (2)'!A:I,3,0)</f>
        <v>0</v>
      </c>
      <c r="I101" s="3" t="str">
        <f>VLOOKUP(F101,'Customers (2)'!A:I,4,0)</f>
        <v>+1 (614) 370-6392</v>
      </c>
      <c r="J101" s="3" t="str">
        <f>VLOOKUP(F101,'Customers (2)'!A:I,6,0)</f>
        <v>Columbus</v>
      </c>
      <c r="K101" s="3" t="str">
        <f>VLOOKUP(F101,'Customers (2)'!A:I,7,0)</f>
        <v>United States</v>
      </c>
      <c r="L101" s="3" t="str">
        <f>VLOOKUP(F101,'Customers (2)'!A:I,9,0)</f>
        <v>Yes</v>
      </c>
      <c r="M101" s="4" t="s">
        <v>77</v>
      </c>
      <c r="N101" s="4" t="str">
        <f>VLOOKUP(M101,'Products (2)'!A:G,2,0)</f>
        <v>Liberica</v>
      </c>
      <c r="O101" s="4" t="str">
        <f>VLOOKUP(M101,'Products (2)'!A:G,3,0)</f>
        <v>Medium</v>
      </c>
      <c r="P101" s="4">
        <f>VLOOKUP(M101,'Products (2)'!A:G,7,0)</f>
        <v>0.56745000000000001</v>
      </c>
      <c r="Q101" s="3">
        <v>3</v>
      </c>
      <c r="R101" s="5">
        <f>INDEX([1]products!$A$1:$G$49,MATCH([1]orders!$D101,[1]products!$A$1:$A$49,0),MATCH([1]orders!K$1,[1]products!$A$1:$G$1,0))</f>
        <v>0.2</v>
      </c>
      <c r="S101" s="6">
        <f>INDEX([1]products!$A$1:$G$49,MATCH([1]orders!$D101,[1]products!$A$1:$A$49,0),MATCH([1]orders!L$1,[1]products!$A$1:$G$1,0))</f>
        <v>4.3650000000000002</v>
      </c>
      <c r="T101" s="6">
        <f t="shared" si="6"/>
        <v>13.095000000000001</v>
      </c>
      <c r="U101" s="22">
        <f t="shared" si="10"/>
        <v>1.70235</v>
      </c>
      <c r="V101" s="22">
        <f t="shared" si="11"/>
        <v>13</v>
      </c>
    </row>
    <row r="102" spans="1:22" x14ac:dyDescent="0.3">
      <c r="A102" s="1" t="s">
        <v>231</v>
      </c>
      <c r="B102" s="2">
        <v>44291</v>
      </c>
      <c r="C102" s="2" t="str">
        <f t="shared" si="7"/>
        <v>Monday</v>
      </c>
      <c r="D102" s="2" t="str">
        <f t="shared" si="8"/>
        <v>April</v>
      </c>
      <c r="E102" s="2" t="str">
        <f t="shared" si="9"/>
        <v>2021</v>
      </c>
      <c r="F102" s="3" t="s">
        <v>232</v>
      </c>
      <c r="G102" s="3" t="str">
        <f>VLOOKUP(F103,'Customers (2)'!A:I,2,0)</f>
        <v>Nickey Youles</v>
      </c>
      <c r="H102" s="3">
        <f>VLOOKUP(F102,'Customers (2)'!A:I,3,0)</f>
        <v>0</v>
      </c>
      <c r="I102" s="3" t="str">
        <f>VLOOKUP(F102,'Customers (2)'!A:I,4,0)</f>
        <v>+1 (209) 148-6668</v>
      </c>
      <c r="J102" s="3" t="str">
        <f>VLOOKUP(F102,'Customers (2)'!A:I,6,0)</f>
        <v>Stockton</v>
      </c>
      <c r="K102" s="3" t="str">
        <f>VLOOKUP(F102,'Customers (2)'!A:I,7,0)</f>
        <v>United States</v>
      </c>
      <c r="L102" s="3" t="str">
        <f>VLOOKUP(F102,'Customers (2)'!A:I,9,0)</f>
        <v>Yes</v>
      </c>
      <c r="M102" s="4" t="s">
        <v>115</v>
      </c>
      <c r="N102" s="4" t="str">
        <f>VLOOKUP(M102,'Products (2)'!A:G,2,0)</f>
        <v>Arabica</v>
      </c>
      <c r="O102" s="4" t="str">
        <f>VLOOKUP(M102,'Products (2)'!A:G,3,0)</f>
        <v>Light</v>
      </c>
      <c r="P102" s="4">
        <f>VLOOKUP(M102,'Products (2)'!A:G,7,0)</f>
        <v>0.34964999999999996</v>
      </c>
      <c r="Q102" s="3">
        <v>2</v>
      </c>
      <c r="R102" s="5">
        <f>INDEX([1]products!$A$1:$G$49,MATCH([1]orders!$D102,[1]products!$A$1:$A$49,0),MATCH([1]orders!K$1,[1]products!$A$1:$G$1,0))</f>
        <v>0.2</v>
      </c>
      <c r="S102" s="6">
        <f>INDEX([1]products!$A$1:$G$49,MATCH([1]orders!$D102,[1]products!$A$1:$A$49,0),MATCH([1]orders!L$1,[1]products!$A$1:$G$1,0))</f>
        <v>3.8849999999999998</v>
      </c>
      <c r="T102" s="6">
        <f t="shared" si="6"/>
        <v>7.77</v>
      </c>
      <c r="U102" s="22">
        <f t="shared" si="10"/>
        <v>0.69929999999999992</v>
      </c>
      <c r="V102" s="22">
        <f t="shared" si="11"/>
        <v>9</v>
      </c>
    </row>
    <row r="103" spans="1:22" x14ac:dyDescent="0.3">
      <c r="A103" s="1" t="s">
        <v>233</v>
      </c>
      <c r="B103" s="2">
        <v>43891</v>
      </c>
      <c r="C103" s="2" t="str">
        <f t="shared" si="7"/>
        <v>Sunday</v>
      </c>
      <c r="D103" s="2" t="str">
        <f t="shared" si="8"/>
        <v>March</v>
      </c>
      <c r="E103" s="2" t="str">
        <f t="shared" si="9"/>
        <v>2020</v>
      </c>
      <c r="F103" s="3" t="s">
        <v>234</v>
      </c>
      <c r="G103" s="3" t="str">
        <f>VLOOKUP(F104,'Customers (2)'!A:I,2,0)</f>
        <v>Dyanna Aizikovitz</v>
      </c>
      <c r="H103" s="3" t="str">
        <f>VLOOKUP(F103,'Customers (2)'!A:I,3,0)</f>
        <v>nyoules2t@reference.com</v>
      </c>
      <c r="I103" s="3" t="str">
        <f>VLOOKUP(F103,'Customers (2)'!A:I,4,0)</f>
        <v>+353 (641) 846-7654</v>
      </c>
      <c r="J103" s="3" t="str">
        <f>VLOOKUP(F103,'Customers (2)'!A:I,6,0)</f>
        <v>Edgeworthstown</v>
      </c>
      <c r="K103" s="3" t="str">
        <f>VLOOKUP(F103,'Customers (2)'!A:I,7,0)</f>
        <v>Ireland</v>
      </c>
      <c r="L103" s="3" t="str">
        <f>VLOOKUP(F103,'Customers (2)'!A:I,9,0)</f>
        <v>Yes</v>
      </c>
      <c r="M103" s="4" t="s">
        <v>109</v>
      </c>
      <c r="N103" s="4" t="str">
        <f>VLOOKUP(M103,'Products (2)'!A:G,2,0)</f>
        <v>Liberica</v>
      </c>
      <c r="O103" s="4" t="str">
        <f>VLOOKUP(M103,'Products (2)'!A:G,3,0)</f>
        <v>Dark</v>
      </c>
      <c r="P103" s="4">
        <f>VLOOKUP(M103,'Products (2)'!A:G,7,0)</f>
        <v>3.8720499999999998</v>
      </c>
      <c r="Q103" s="3">
        <v>5</v>
      </c>
      <c r="R103" s="5">
        <f>INDEX([1]products!$A$1:$G$49,MATCH([1]orders!$D103,[1]products!$A$1:$A$49,0),MATCH([1]orders!K$1,[1]products!$A$1:$G$1,0))</f>
        <v>2.5</v>
      </c>
      <c r="S103" s="6">
        <f>INDEX([1]products!$A$1:$G$49,MATCH([1]orders!$D103,[1]products!$A$1:$A$49,0),MATCH([1]orders!L$1,[1]products!$A$1:$G$1,0))</f>
        <v>29.784999999999997</v>
      </c>
      <c r="T103" s="6">
        <f t="shared" si="6"/>
        <v>148.92499999999998</v>
      </c>
      <c r="U103" s="22">
        <f t="shared" si="10"/>
        <v>19.360250000000001</v>
      </c>
      <c r="V103" s="22">
        <f t="shared" si="11"/>
        <v>13.000000000000004</v>
      </c>
    </row>
    <row r="104" spans="1:22" x14ac:dyDescent="0.3">
      <c r="A104" s="1" t="s">
        <v>235</v>
      </c>
      <c r="B104" s="2">
        <v>44488</v>
      </c>
      <c r="C104" s="2" t="str">
        <f t="shared" si="7"/>
        <v>Tuesday</v>
      </c>
      <c r="D104" s="2" t="str">
        <f t="shared" si="8"/>
        <v>October</v>
      </c>
      <c r="E104" s="2" t="str">
        <f t="shared" si="9"/>
        <v>2021</v>
      </c>
      <c r="F104" s="3" t="s">
        <v>236</v>
      </c>
      <c r="G104" s="3" t="str">
        <f>VLOOKUP(F105,'Customers (2)'!A:I,2,0)</f>
        <v>Bram Revel</v>
      </c>
      <c r="H104" s="3" t="str">
        <f>VLOOKUP(F104,'Customers (2)'!A:I,3,0)</f>
        <v>daizikovitz2u@answers.com</v>
      </c>
      <c r="I104" s="3" t="str">
        <f>VLOOKUP(F104,'Customers (2)'!A:I,4,0)</f>
        <v>+353 (766) 141-6317</v>
      </c>
      <c r="J104" s="3" t="str">
        <f>VLOOKUP(F104,'Customers (2)'!A:I,6,0)</f>
        <v>Leixlip</v>
      </c>
      <c r="K104" s="3" t="str">
        <f>VLOOKUP(F104,'Customers (2)'!A:I,7,0)</f>
        <v>Ireland</v>
      </c>
      <c r="L104" s="3" t="str">
        <f>VLOOKUP(F104,'Customers (2)'!A:I,9,0)</f>
        <v>Yes</v>
      </c>
      <c r="M104" s="4" t="s">
        <v>13</v>
      </c>
      <c r="N104" s="4" t="str">
        <f>VLOOKUP(M104,'Products (2)'!A:G,2,0)</f>
        <v>Liberica</v>
      </c>
      <c r="O104" s="4" t="str">
        <f>VLOOKUP(M104,'Products (2)'!A:G,3,0)</f>
        <v>Dark</v>
      </c>
      <c r="P104" s="4">
        <f>VLOOKUP(M104,'Products (2)'!A:G,7,0)</f>
        <v>1.6835</v>
      </c>
      <c r="Q104" s="3">
        <v>3</v>
      </c>
      <c r="R104" s="5">
        <f>INDEX([1]products!$A$1:$G$49,MATCH([1]orders!$D104,[1]products!$A$1:$A$49,0),MATCH([1]orders!K$1,[1]products!$A$1:$G$1,0))</f>
        <v>1</v>
      </c>
      <c r="S104" s="6">
        <f>INDEX([1]products!$A$1:$G$49,MATCH([1]orders!$D104,[1]products!$A$1:$A$49,0),MATCH([1]orders!L$1,[1]products!$A$1:$G$1,0))</f>
        <v>12.95</v>
      </c>
      <c r="T104" s="6">
        <f t="shared" si="6"/>
        <v>38.849999999999994</v>
      </c>
      <c r="U104" s="22">
        <f t="shared" si="10"/>
        <v>5.0504999999999995</v>
      </c>
      <c r="V104" s="22">
        <f t="shared" si="11"/>
        <v>13</v>
      </c>
    </row>
    <row r="105" spans="1:22" x14ac:dyDescent="0.3">
      <c r="A105" s="1" t="s">
        <v>237</v>
      </c>
      <c r="B105" s="2">
        <v>44750</v>
      </c>
      <c r="C105" s="2" t="str">
        <f t="shared" si="7"/>
        <v>Friday</v>
      </c>
      <c r="D105" s="2" t="str">
        <f t="shared" si="8"/>
        <v>July</v>
      </c>
      <c r="E105" s="2" t="str">
        <f t="shared" si="9"/>
        <v>2022</v>
      </c>
      <c r="F105" s="3" t="s">
        <v>238</v>
      </c>
      <c r="G105" s="3" t="str">
        <f>VLOOKUP(F106,'Customers (2)'!A:I,2,0)</f>
        <v>Emiline Priddis</v>
      </c>
      <c r="H105" s="3" t="str">
        <f>VLOOKUP(F105,'Customers (2)'!A:I,3,0)</f>
        <v>brevel2v@fastcompany.com</v>
      </c>
      <c r="I105" s="3" t="str">
        <f>VLOOKUP(F105,'Customers (2)'!A:I,4,0)</f>
        <v>+1 (585) 775-6952</v>
      </c>
      <c r="J105" s="3" t="str">
        <f>VLOOKUP(F105,'Customers (2)'!A:I,6,0)</f>
        <v>Rochester</v>
      </c>
      <c r="K105" s="3" t="str">
        <f>VLOOKUP(F105,'Customers (2)'!A:I,7,0)</f>
        <v>United States</v>
      </c>
      <c r="L105" s="3" t="str">
        <f>VLOOKUP(F105,'Customers (2)'!A:I,9,0)</f>
        <v>No</v>
      </c>
      <c r="M105" s="4" t="s">
        <v>162</v>
      </c>
      <c r="N105" s="4" t="str">
        <f>VLOOKUP(M105,'Products (2)'!A:G,2,0)</f>
        <v>Robusta</v>
      </c>
      <c r="O105" s="4" t="str">
        <f>VLOOKUP(M105,'Products (2)'!A:G,3,0)</f>
        <v>Medium</v>
      </c>
      <c r="P105" s="4">
        <f>VLOOKUP(M105,'Products (2)'!A:G,7,0)</f>
        <v>0.17909999999999998</v>
      </c>
      <c r="Q105" s="3">
        <v>4</v>
      </c>
      <c r="R105" s="5">
        <f>INDEX([1]products!$A$1:$G$49,MATCH([1]orders!$D105,[1]products!$A$1:$A$49,0),MATCH([1]orders!K$1,[1]products!$A$1:$G$1,0))</f>
        <v>0.2</v>
      </c>
      <c r="S105" s="6">
        <f>INDEX([1]products!$A$1:$G$49,MATCH([1]orders!$D105,[1]products!$A$1:$A$49,0),MATCH([1]orders!L$1,[1]products!$A$1:$G$1,0))</f>
        <v>2.9849999999999999</v>
      </c>
      <c r="T105" s="6">
        <f t="shared" si="6"/>
        <v>11.94</v>
      </c>
      <c r="U105" s="22">
        <f t="shared" si="10"/>
        <v>0.71639999999999993</v>
      </c>
      <c r="V105" s="22">
        <f t="shared" si="11"/>
        <v>6</v>
      </c>
    </row>
    <row r="106" spans="1:22" x14ac:dyDescent="0.3">
      <c r="A106" s="1" t="s">
        <v>239</v>
      </c>
      <c r="B106" s="2">
        <v>43694</v>
      </c>
      <c r="C106" s="2" t="str">
        <f t="shared" si="7"/>
        <v>Saturday</v>
      </c>
      <c r="D106" s="2" t="str">
        <f t="shared" si="8"/>
        <v>August</v>
      </c>
      <c r="E106" s="2" t="str">
        <f t="shared" si="9"/>
        <v>2019</v>
      </c>
      <c r="F106" s="3" t="s">
        <v>240</v>
      </c>
      <c r="G106" s="3" t="str">
        <f>VLOOKUP(F107,'Customers (2)'!A:I,2,0)</f>
        <v>Queenie Veel</v>
      </c>
      <c r="H106" s="3" t="str">
        <f>VLOOKUP(F106,'Customers (2)'!A:I,3,0)</f>
        <v>epriddis2w@nationalgeographic.com</v>
      </c>
      <c r="I106" s="3" t="str">
        <f>VLOOKUP(F106,'Customers (2)'!A:I,4,0)</f>
        <v>+1 (205) 133-0205</v>
      </c>
      <c r="J106" s="3" t="str">
        <f>VLOOKUP(F106,'Customers (2)'!A:I,6,0)</f>
        <v>Tuscaloosa</v>
      </c>
      <c r="K106" s="3" t="str">
        <f>VLOOKUP(F106,'Customers (2)'!A:I,7,0)</f>
        <v>United States</v>
      </c>
      <c r="L106" s="3" t="str">
        <f>VLOOKUP(F106,'Customers (2)'!A:I,9,0)</f>
        <v>No</v>
      </c>
      <c r="M106" s="4" t="s">
        <v>96</v>
      </c>
      <c r="N106" s="4" t="str">
        <f>VLOOKUP(M106,'Products (2)'!A:G,2,0)</f>
        <v>Liberica</v>
      </c>
      <c r="O106" s="4" t="str">
        <f>VLOOKUP(M106,'Products (2)'!A:G,3,0)</f>
        <v>Medium</v>
      </c>
      <c r="P106" s="4">
        <f>VLOOKUP(M106,'Products (2)'!A:G,7,0)</f>
        <v>1.8915000000000002</v>
      </c>
      <c r="Q106" s="3">
        <v>6</v>
      </c>
      <c r="R106" s="5">
        <f>INDEX([1]products!$A$1:$G$49,MATCH([1]orders!$D106,[1]products!$A$1:$A$49,0),MATCH([1]orders!K$1,[1]products!$A$1:$G$1,0))</f>
        <v>1</v>
      </c>
      <c r="S106" s="6">
        <f>INDEX([1]products!$A$1:$G$49,MATCH([1]orders!$D106,[1]products!$A$1:$A$49,0),MATCH([1]orders!L$1,[1]products!$A$1:$G$1,0))</f>
        <v>14.55</v>
      </c>
      <c r="T106" s="6">
        <f t="shared" si="6"/>
        <v>87.300000000000011</v>
      </c>
      <c r="U106" s="22">
        <f t="shared" si="10"/>
        <v>11.349</v>
      </c>
      <c r="V106" s="22">
        <f t="shared" si="11"/>
        <v>12.999999999999998</v>
      </c>
    </row>
    <row r="107" spans="1:22" x14ac:dyDescent="0.3">
      <c r="A107" s="1" t="s">
        <v>241</v>
      </c>
      <c r="B107" s="2">
        <v>43982</v>
      </c>
      <c r="C107" s="2" t="str">
        <f t="shared" si="7"/>
        <v>Sunday</v>
      </c>
      <c r="D107" s="2" t="str">
        <f t="shared" si="8"/>
        <v>May</v>
      </c>
      <c r="E107" s="2" t="str">
        <f t="shared" si="9"/>
        <v>2020</v>
      </c>
      <c r="F107" s="3" t="s">
        <v>242</v>
      </c>
      <c r="G107" s="3" t="str">
        <f>VLOOKUP(F108,'Customers (2)'!A:I,2,0)</f>
        <v>Lind Conyers</v>
      </c>
      <c r="H107" s="3" t="str">
        <f>VLOOKUP(F107,'Customers (2)'!A:I,3,0)</f>
        <v>qveel2x@jugem.jp</v>
      </c>
      <c r="I107" s="3" t="str">
        <f>VLOOKUP(F107,'Customers (2)'!A:I,4,0)</f>
        <v>+1 (713) 750-9202</v>
      </c>
      <c r="J107" s="3" t="str">
        <f>VLOOKUP(F107,'Customers (2)'!A:I,6,0)</f>
        <v>Houston</v>
      </c>
      <c r="K107" s="3" t="str">
        <f>VLOOKUP(F107,'Customers (2)'!A:I,7,0)</f>
        <v>United States</v>
      </c>
      <c r="L107" s="3" t="str">
        <f>VLOOKUP(F107,'Customers (2)'!A:I,9,0)</f>
        <v>Yes</v>
      </c>
      <c r="M107" s="4" t="s">
        <v>67</v>
      </c>
      <c r="N107" s="4" t="str">
        <f>VLOOKUP(M107,'Products (2)'!A:G,2,0)</f>
        <v>Arabica</v>
      </c>
      <c r="O107" s="4" t="str">
        <f>VLOOKUP(M107,'Products (2)'!A:G,3,0)</f>
        <v>Medium</v>
      </c>
      <c r="P107" s="4">
        <f>VLOOKUP(M107,'Products (2)'!A:G,7,0)</f>
        <v>0.60749999999999993</v>
      </c>
      <c r="Q107" s="3">
        <v>6</v>
      </c>
      <c r="R107" s="5">
        <f>INDEX([1]products!$A$1:$G$49,MATCH([1]orders!$D107,[1]products!$A$1:$A$49,0),MATCH([1]orders!K$1,[1]products!$A$1:$G$1,0))</f>
        <v>0.5</v>
      </c>
      <c r="S107" s="6">
        <f>INDEX([1]products!$A$1:$G$49,MATCH([1]orders!$D107,[1]products!$A$1:$A$49,0),MATCH([1]orders!L$1,[1]products!$A$1:$G$1,0))</f>
        <v>6.75</v>
      </c>
      <c r="T107" s="6">
        <f t="shared" si="6"/>
        <v>40.5</v>
      </c>
      <c r="U107" s="22">
        <f t="shared" si="10"/>
        <v>3.6449999999999996</v>
      </c>
      <c r="V107" s="22">
        <f t="shared" si="11"/>
        <v>8.9999999999999982</v>
      </c>
    </row>
    <row r="108" spans="1:22" x14ac:dyDescent="0.3">
      <c r="A108" s="1" t="s">
        <v>243</v>
      </c>
      <c r="B108" s="2">
        <v>43956</v>
      </c>
      <c r="C108" s="2" t="str">
        <f t="shared" si="7"/>
        <v>Tuesday</v>
      </c>
      <c r="D108" s="2" t="str">
        <f t="shared" si="8"/>
        <v>May</v>
      </c>
      <c r="E108" s="2" t="str">
        <f t="shared" si="9"/>
        <v>2020</v>
      </c>
      <c r="F108" s="3" t="s">
        <v>244</v>
      </c>
      <c r="G108" s="3" t="str">
        <f>VLOOKUP(F109,'Customers (2)'!A:I,2,0)</f>
        <v>Pen Wye</v>
      </c>
      <c r="H108" s="3" t="str">
        <f>VLOOKUP(F108,'Customers (2)'!A:I,3,0)</f>
        <v>lconyers2y@twitter.com</v>
      </c>
      <c r="I108" s="3" t="str">
        <f>VLOOKUP(F108,'Customers (2)'!A:I,4,0)</f>
        <v>+1 (915) 476-5712</v>
      </c>
      <c r="J108" s="3" t="str">
        <f>VLOOKUP(F108,'Customers (2)'!A:I,6,0)</f>
        <v>El Paso</v>
      </c>
      <c r="K108" s="3" t="str">
        <f>VLOOKUP(F108,'Customers (2)'!A:I,7,0)</f>
        <v>United States</v>
      </c>
      <c r="L108" s="3" t="str">
        <f>VLOOKUP(F108,'Customers (2)'!A:I,9,0)</f>
        <v>No</v>
      </c>
      <c r="M108" s="4" t="s">
        <v>245</v>
      </c>
      <c r="N108" s="4" t="str">
        <f>VLOOKUP(M108,'Products (2)'!A:G,2,0)</f>
        <v>Excelsa</v>
      </c>
      <c r="O108" s="4" t="str">
        <f>VLOOKUP(M108,'Products (2)'!A:G,3,0)</f>
        <v>Dark</v>
      </c>
      <c r="P108" s="4">
        <f>VLOOKUP(M108,'Products (2)'!A:G,7,0)</f>
        <v>1.3365</v>
      </c>
      <c r="Q108" s="3">
        <v>2</v>
      </c>
      <c r="R108" s="5">
        <f>INDEX([1]products!$A$1:$G$49,MATCH([1]orders!$D108,[1]products!$A$1:$A$49,0),MATCH([1]orders!K$1,[1]products!$A$1:$G$1,0))</f>
        <v>1</v>
      </c>
      <c r="S108" s="6">
        <f>INDEX([1]products!$A$1:$G$49,MATCH([1]orders!$D108,[1]products!$A$1:$A$49,0),MATCH([1]orders!L$1,[1]products!$A$1:$G$1,0))</f>
        <v>12.15</v>
      </c>
      <c r="T108" s="6">
        <f t="shared" si="6"/>
        <v>24.3</v>
      </c>
      <c r="U108" s="22">
        <f t="shared" si="10"/>
        <v>2.673</v>
      </c>
      <c r="V108" s="22">
        <f t="shared" si="11"/>
        <v>11</v>
      </c>
    </row>
    <row r="109" spans="1:22" x14ac:dyDescent="0.3">
      <c r="A109" s="1" t="s">
        <v>246</v>
      </c>
      <c r="B109" s="2">
        <v>43569</v>
      </c>
      <c r="C109" s="2" t="str">
        <f t="shared" si="7"/>
        <v>Sunday</v>
      </c>
      <c r="D109" s="2" t="str">
        <f t="shared" si="8"/>
        <v>April</v>
      </c>
      <c r="E109" s="2" t="str">
        <f t="shared" si="9"/>
        <v>2019</v>
      </c>
      <c r="F109" s="3" t="s">
        <v>247</v>
      </c>
      <c r="G109" s="3" t="str">
        <f>VLOOKUP(F110,'Customers (2)'!A:I,2,0)</f>
        <v>Isahella Hagland</v>
      </c>
      <c r="H109" s="3" t="str">
        <f>VLOOKUP(F109,'Customers (2)'!A:I,3,0)</f>
        <v>pwye2z@dagondesign.com</v>
      </c>
      <c r="I109" s="3" t="str">
        <f>VLOOKUP(F109,'Customers (2)'!A:I,4,0)</f>
        <v>+1 (719) 620-1128</v>
      </c>
      <c r="J109" s="3" t="str">
        <f>VLOOKUP(F109,'Customers (2)'!A:I,6,0)</f>
        <v>Colorado Springs</v>
      </c>
      <c r="K109" s="3" t="str">
        <f>VLOOKUP(F109,'Customers (2)'!A:I,7,0)</f>
        <v>United States</v>
      </c>
      <c r="L109" s="3" t="str">
        <f>VLOOKUP(F109,'Customers (2)'!A:I,9,0)</f>
        <v>Yes</v>
      </c>
      <c r="M109" s="4" t="s">
        <v>22</v>
      </c>
      <c r="N109" s="4" t="str">
        <f>VLOOKUP(M109,'Products (2)'!A:G,2,0)</f>
        <v>Robusta</v>
      </c>
      <c r="O109" s="4" t="str">
        <f>VLOOKUP(M109,'Products (2)'!A:G,3,0)</f>
        <v>Medium</v>
      </c>
      <c r="P109" s="4">
        <f>VLOOKUP(M109,'Products (2)'!A:G,7,0)</f>
        <v>0.35819999999999996</v>
      </c>
      <c r="Q109" s="3">
        <v>3</v>
      </c>
      <c r="R109" s="5">
        <f>INDEX([1]products!$A$1:$G$49,MATCH([1]orders!$D109,[1]products!$A$1:$A$49,0),MATCH([1]orders!K$1,[1]products!$A$1:$G$1,0))</f>
        <v>0.5</v>
      </c>
      <c r="S109" s="6">
        <f>INDEX([1]products!$A$1:$G$49,MATCH([1]orders!$D109,[1]products!$A$1:$A$49,0),MATCH([1]orders!L$1,[1]products!$A$1:$G$1,0))</f>
        <v>5.97</v>
      </c>
      <c r="T109" s="6">
        <f t="shared" si="6"/>
        <v>17.91</v>
      </c>
      <c r="U109" s="22">
        <f t="shared" si="10"/>
        <v>1.0745999999999998</v>
      </c>
      <c r="V109" s="22">
        <f t="shared" si="11"/>
        <v>5.9999999999999982</v>
      </c>
    </row>
    <row r="110" spans="1:22" x14ac:dyDescent="0.3">
      <c r="A110" s="1" t="s">
        <v>248</v>
      </c>
      <c r="B110" s="2">
        <v>44041</v>
      </c>
      <c r="C110" s="2" t="str">
        <f t="shared" si="7"/>
        <v>Wednesday</v>
      </c>
      <c r="D110" s="2" t="str">
        <f t="shared" si="8"/>
        <v>July</v>
      </c>
      <c r="E110" s="2" t="str">
        <f t="shared" si="9"/>
        <v>2020</v>
      </c>
      <c r="F110" s="3" t="s">
        <v>249</v>
      </c>
      <c r="G110" s="3" t="str">
        <f>VLOOKUP(F111,'Customers (2)'!A:I,2,0)</f>
        <v>Terry Sheryn</v>
      </c>
      <c r="H110" s="3">
        <f>VLOOKUP(F110,'Customers (2)'!A:I,3,0)</f>
        <v>0</v>
      </c>
      <c r="I110" s="3" t="str">
        <f>VLOOKUP(F110,'Customers (2)'!A:I,4,0)</f>
        <v>+1 (260) 613-2279</v>
      </c>
      <c r="J110" s="3" t="str">
        <f>VLOOKUP(F110,'Customers (2)'!A:I,6,0)</f>
        <v>Fort Wayne</v>
      </c>
      <c r="K110" s="3" t="str">
        <f>VLOOKUP(F110,'Customers (2)'!A:I,7,0)</f>
        <v>United States</v>
      </c>
      <c r="L110" s="3" t="str">
        <f>VLOOKUP(F110,'Customers (2)'!A:I,9,0)</f>
        <v>No</v>
      </c>
      <c r="M110" s="4" t="s">
        <v>67</v>
      </c>
      <c r="N110" s="4" t="str">
        <f>VLOOKUP(M110,'Products (2)'!A:G,2,0)</f>
        <v>Arabica</v>
      </c>
      <c r="O110" s="4" t="str">
        <f>VLOOKUP(M110,'Products (2)'!A:G,3,0)</f>
        <v>Medium</v>
      </c>
      <c r="P110" s="4">
        <f>VLOOKUP(M110,'Products (2)'!A:G,7,0)</f>
        <v>0.60749999999999993</v>
      </c>
      <c r="Q110" s="3">
        <v>4</v>
      </c>
      <c r="R110" s="5">
        <f>INDEX([1]products!$A$1:$G$49,MATCH([1]orders!$D110,[1]products!$A$1:$A$49,0),MATCH([1]orders!K$1,[1]products!$A$1:$G$1,0))</f>
        <v>0.5</v>
      </c>
      <c r="S110" s="6">
        <f>INDEX([1]products!$A$1:$G$49,MATCH([1]orders!$D110,[1]products!$A$1:$A$49,0),MATCH([1]orders!L$1,[1]products!$A$1:$G$1,0))</f>
        <v>6.75</v>
      </c>
      <c r="T110" s="6">
        <f t="shared" si="6"/>
        <v>27</v>
      </c>
      <c r="U110" s="22">
        <f t="shared" si="10"/>
        <v>2.4299999999999997</v>
      </c>
      <c r="V110" s="22">
        <f t="shared" si="11"/>
        <v>8.9999999999999982</v>
      </c>
    </row>
    <row r="111" spans="1:22" x14ac:dyDescent="0.3">
      <c r="A111" s="1" t="s">
        <v>250</v>
      </c>
      <c r="B111" s="2">
        <v>43811</v>
      </c>
      <c r="C111" s="2" t="str">
        <f t="shared" si="7"/>
        <v>Thursday</v>
      </c>
      <c r="D111" s="2" t="str">
        <f t="shared" si="8"/>
        <v>December</v>
      </c>
      <c r="E111" s="2" t="str">
        <f t="shared" si="9"/>
        <v>2019</v>
      </c>
      <c r="F111" s="3" t="s">
        <v>251</v>
      </c>
      <c r="G111" s="3" t="str">
        <f>VLOOKUP(F112,'Customers (2)'!A:I,2,0)</f>
        <v>Marie-jeanne Redgrave</v>
      </c>
      <c r="H111" s="3" t="str">
        <f>VLOOKUP(F111,'Customers (2)'!A:I,3,0)</f>
        <v>tsheryn31@mtv.com</v>
      </c>
      <c r="I111" s="3" t="str">
        <f>VLOOKUP(F111,'Customers (2)'!A:I,4,0)</f>
        <v>+1 (516) 826-3780</v>
      </c>
      <c r="J111" s="3" t="str">
        <f>VLOOKUP(F111,'Customers (2)'!A:I,6,0)</f>
        <v>Port Washington</v>
      </c>
      <c r="K111" s="3" t="str">
        <f>VLOOKUP(F111,'Customers (2)'!A:I,7,0)</f>
        <v>United States</v>
      </c>
      <c r="L111" s="3" t="str">
        <f>VLOOKUP(F111,'Customers (2)'!A:I,9,0)</f>
        <v>Yes</v>
      </c>
      <c r="M111" s="4" t="s">
        <v>123</v>
      </c>
      <c r="N111" s="4" t="str">
        <f>VLOOKUP(M111,'Products (2)'!A:G,2,0)</f>
        <v>Liberica</v>
      </c>
      <c r="O111" s="4" t="str">
        <f>VLOOKUP(M111,'Products (2)'!A:G,3,0)</f>
        <v>Dark</v>
      </c>
      <c r="P111" s="4">
        <f>VLOOKUP(M111,'Products (2)'!A:G,7,0)</f>
        <v>1.0101</v>
      </c>
      <c r="Q111" s="3">
        <v>1</v>
      </c>
      <c r="R111" s="5">
        <f>INDEX([1]products!$A$1:$G$49,MATCH([1]orders!$D111,[1]products!$A$1:$A$49,0),MATCH([1]orders!K$1,[1]products!$A$1:$G$1,0))</f>
        <v>0.5</v>
      </c>
      <c r="S111" s="6">
        <f>INDEX([1]products!$A$1:$G$49,MATCH([1]orders!$D111,[1]products!$A$1:$A$49,0),MATCH([1]orders!L$1,[1]products!$A$1:$G$1,0))</f>
        <v>7.77</v>
      </c>
      <c r="T111" s="6">
        <f t="shared" si="6"/>
        <v>7.77</v>
      </c>
      <c r="U111" s="22">
        <f t="shared" si="10"/>
        <v>1.0101</v>
      </c>
      <c r="V111" s="22">
        <f t="shared" si="11"/>
        <v>13</v>
      </c>
    </row>
    <row r="112" spans="1:22" x14ac:dyDescent="0.3">
      <c r="A112" s="1" t="s">
        <v>252</v>
      </c>
      <c r="B112" s="2">
        <v>44727</v>
      </c>
      <c r="C112" s="2" t="str">
        <f t="shared" si="7"/>
        <v>Wednesday</v>
      </c>
      <c r="D112" s="2" t="str">
        <f t="shared" si="8"/>
        <v>June</v>
      </c>
      <c r="E112" s="2" t="str">
        <f t="shared" si="9"/>
        <v>2022</v>
      </c>
      <c r="F112" s="3" t="s">
        <v>253</v>
      </c>
      <c r="G112" s="3" t="str">
        <f>VLOOKUP(F113,'Customers (2)'!A:I,2,0)</f>
        <v>Betty Fominov</v>
      </c>
      <c r="H112" s="3" t="str">
        <f>VLOOKUP(F112,'Customers (2)'!A:I,3,0)</f>
        <v>mredgrave32@cargocollective.com</v>
      </c>
      <c r="I112" s="3" t="str">
        <f>VLOOKUP(F112,'Customers (2)'!A:I,4,0)</f>
        <v>+1 (413) 691-2892</v>
      </c>
      <c r="J112" s="3" t="str">
        <f>VLOOKUP(F112,'Customers (2)'!A:I,6,0)</f>
        <v>Springfield</v>
      </c>
      <c r="K112" s="3" t="str">
        <f>VLOOKUP(F112,'Customers (2)'!A:I,7,0)</f>
        <v>United States</v>
      </c>
      <c r="L112" s="3" t="str">
        <f>VLOOKUP(F112,'Customers (2)'!A:I,9,0)</f>
        <v>Yes</v>
      </c>
      <c r="M112" s="4" t="s">
        <v>254</v>
      </c>
      <c r="N112" s="4" t="str">
        <f>VLOOKUP(M112,'Products (2)'!A:G,2,0)</f>
        <v>Excelsa</v>
      </c>
      <c r="O112" s="4" t="str">
        <f>VLOOKUP(M112,'Products (2)'!A:G,3,0)</f>
        <v>Light</v>
      </c>
      <c r="P112" s="4">
        <f>VLOOKUP(M112,'Products (2)'!A:G,7,0)</f>
        <v>0.49004999999999999</v>
      </c>
      <c r="Q112" s="3">
        <v>3</v>
      </c>
      <c r="R112" s="5">
        <f>INDEX([1]products!$A$1:$G$49,MATCH([1]orders!$D112,[1]products!$A$1:$A$49,0),MATCH([1]orders!K$1,[1]products!$A$1:$G$1,0))</f>
        <v>0.2</v>
      </c>
      <c r="S112" s="6">
        <f>INDEX([1]products!$A$1:$G$49,MATCH([1]orders!$D112,[1]products!$A$1:$A$49,0),MATCH([1]orders!L$1,[1]products!$A$1:$G$1,0))</f>
        <v>4.4550000000000001</v>
      </c>
      <c r="T112" s="6">
        <f t="shared" si="6"/>
        <v>13.365</v>
      </c>
      <c r="U112" s="22">
        <f t="shared" si="10"/>
        <v>1.4701499999999998</v>
      </c>
      <c r="V112" s="22">
        <f t="shared" si="11"/>
        <v>10.999999999999998</v>
      </c>
    </row>
    <row r="113" spans="1:22" x14ac:dyDescent="0.3">
      <c r="A113" s="1" t="s">
        <v>255</v>
      </c>
      <c r="B113" s="2">
        <v>43642</v>
      </c>
      <c r="C113" s="2" t="str">
        <f t="shared" si="7"/>
        <v>Wednesday</v>
      </c>
      <c r="D113" s="2" t="str">
        <f t="shared" si="8"/>
        <v>June</v>
      </c>
      <c r="E113" s="2" t="str">
        <f t="shared" si="9"/>
        <v>2019</v>
      </c>
      <c r="F113" s="3" t="s">
        <v>256</v>
      </c>
      <c r="G113" s="3" t="str">
        <f>VLOOKUP(F114,'Customers (2)'!A:I,2,0)</f>
        <v>Shawnee Critchlow</v>
      </c>
      <c r="H113" s="3" t="str">
        <f>VLOOKUP(F113,'Customers (2)'!A:I,3,0)</f>
        <v>bfominov33@yale.edu</v>
      </c>
      <c r="I113" s="3">
        <f>VLOOKUP(F113,'Customers (2)'!A:I,4,0)</f>
        <v>0</v>
      </c>
      <c r="J113" s="3" t="str">
        <f>VLOOKUP(F113,'Customers (2)'!A:I,6,0)</f>
        <v>Pensacola</v>
      </c>
      <c r="K113" s="3" t="str">
        <f>VLOOKUP(F113,'Customers (2)'!A:I,7,0)</f>
        <v>United States</v>
      </c>
      <c r="L113" s="3" t="str">
        <f>VLOOKUP(F113,'Customers (2)'!A:I,9,0)</f>
        <v>No</v>
      </c>
      <c r="M113" s="4" t="s">
        <v>146</v>
      </c>
      <c r="N113" s="4" t="str">
        <f>VLOOKUP(M113,'Products (2)'!A:G,2,0)</f>
        <v>Robusta</v>
      </c>
      <c r="O113" s="4" t="str">
        <f>VLOOKUP(M113,'Products (2)'!A:G,3,0)</f>
        <v>Dark</v>
      </c>
      <c r="P113" s="4">
        <f>VLOOKUP(M113,'Products (2)'!A:G,7,0)</f>
        <v>0.32219999999999993</v>
      </c>
      <c r="Q113" s="3">
        <v>5</v>
      </c>
      <c r="R113" s="5">
        <f>INDEX([1]products!$A$1:$G$49,MATCH([1]orders!$D113,[1]products!$A$1:$A$49,0),MATCH([1]orders!K$1,[1]products!$A$1:$G$1,0))</f>
        <v>0.5</v>
      </c>
      <c r="S113" s="6">
        <f>INDEX([1]products!$A$1:$G$49,MATCH([1]orders!$D113,[1]products!$A$1:$A$49,0),MATCH([1]orders!L$1,[1]products!$A$1:$G$1,0))</f>
        <v>5.3699999999999992</v>
      </c>
      <c r="T113" s="6">
        <f t="shared" si="6"/>
        <v>26.849999999999994</v>
      </c>
      <c r="U113" s="22">
        <f t="shared" si="10"/>
        <v>1.6109999999999998</v>
      </c>
      <c r="V113" s="22">
        <f t="shared" si="11"/>
        <v>6.0000000000000009</v>
      </c>
    </row>
    <row r="114" spans="1:22" x14ac:dyDescent="0.3">
      <c r="A114" s="1" t="s">
        <v>257</v>
      </c>
      <c r="B114" s="2">
        <v>44481</v>
      </c>
      <c r="C114" s="2" t="str">
        <f t="shared" si="7"/>
        <v>Tuesday</v>
      </c>
      <c r="D114" s="2" t="str">
        <f t="shared" si="8"/>
        <v>October</v>
      </c>
      <c r="E114" s="2" t="str">
        <f t="shared" si="9"/>
        <v>2021</v>
      </c>
      <c r="F114" s="3" t="s">
        <v>258</v>
      </c>
      <c r="G114" s="3" t="str">
        <f>VLOOKUP(F115,'Customers (2)'!A:I,2,0)</f>
        <v>Merrel Steptow</v>
      </c>
      <c r="H114" s="3" t="str">
        <f>VLOOKUP(F114,'Customers (2)'!A:I,3,0)</f>
        <v>scritchlow34@un.org</v>
      </c>
      <c r="I114" s="3" t="str">
        <f>VLOOKUP(F114,'Customers (2)'!A:I,4,0)</f>
        <v>+1 (804) 428-7292</v>
      </c>
      <c r="J114" s="3" t="str">
        <f>VLOOKUP(F114,'Customers (2)'!A:I,6,0)</f>
        <v>Richmond</v>
      </c>
      <c r="K114" s="3" t="str">
        <f>VLOOKUP(F114,'Customers (2)'!A:I,7,0)</f>
        <v>United States</v>
      </c>
      <c r="L114" s="3" t="str">
        <f>VLOOKUP(F114,'Customers (2)'!A:I,9,0)</f>
        <v>No</v>
      </c>
      <c r="M114" s="4" t="s">
        <v>61</v>
      </c>
      <c r="N114" s="4" t="str">
        <f>VLOOKUP(M114,'Products (2)'!A:G,2,0)</f>
        <v>Arabica</v>
      </c>
      <c r="O114" s="4" t="str">
        <f>VLOOKUP(M114,'Products (2)'!A:G,3,0)</f>
        <v>Medium</v>
      </c>
      <c r="P114" s="4">
        <f>VLOOKUP(M114,'Products (2)'!A:G,7,0)</f>
        <v>1.0125</v>
      </c>
      <c r="Q114" s="3">
        <v>1</v>
      </c>
      <c r="R114" s="5">
        <f>INDEX([1]products!$A$1:$G$49,MATCH([1]orders!$D114,[1]products!$A$1:$A$49,0),MATCH([1]orders!K$1,[1]products!$A$1:$G$1,0))</f>
        <v>1</v>
      </c>
      <c r="S114" s="6">
        <f>INDEX([1]products!$A$1:$G$49,MATCH([1]orders!$D114,[1]products!$A$1:$A$49,0),MATCH([1]orders!L$1,[1]products!$A$1:$G$1,0))</f>
        <v>11.25</v>
      </c>
      <c r="T114" s="6">
        <f t="shared" si="6"/>
        <v>11.25</v>
      </c>
      <c r="U114" s="22">
        <f t="shared" si="10"/>
        <v>1.0125</v>
      </c>
      <c r="V114" s="22">
        <f t="shared" si="11"/>
        <v>9</v>
      </c>
    </row>
    <row r="115" spans="1:22" x14ac:dyDescent="0.3">
      <c r="A115" s="1" t="s">
        <v>259</v>
      </c>
      <c r="B115" s="2">
        <v>43556</v>
      </c>
      <c r="C115" s="2" t="str">
        <f t="shared" si="7"/>
        <v>Monday</v>
      </c>
      <c r="D115" s="2" t="str">
        <f t="shared" si="8"/>
        <v>April</v>
      </c>
      <c r="E115" s="2" t="str">
        <f t="shared" si="9"/>
        <v>2019</v>
      </c>
      <c r="F115" s="3" t="s">
        <v>260</v>
      </c>
      <c r="G115" s="3" t="str">
        <f>VLOOKUP(F116,'Customers (2)'!A:I,2,0)</f>
        <v>Carmina Hubbuck</v>
      </c>
      <c r="H115" s="3" t="str">
        <f>VLOOKUP(F115,'Customers (2)'!A:I,3,0)</f>
        <v>msteptow35@earthlink.net</v>
      </c>
      <c r="I115" s="3" t="str">
        <f>VLOOKUP(F115,'Customers (2)'!A:I,4,0)</f>
        <v>+353 (266) 235-5189</v>
      </c>
      <c r="J115" s="3" t="str">
        <f>VLOOKUP(F115,'Customers (2)'!A:I,6,0)</f>
        <v>Cherryville</v>
      </c>
      <c r="K115" s="3" t="str">
        <f>VLOOKUP(F115,'Customers (2)'!A:I,7,0)</f>
        <v>Ireland</v>
      </c>
      <c r="L115" s="3" t="str">
        <f>VLOOKUP(F115,'Customers (2)'!A:I,9,0)</f>
        <v>No</v>
      </c>
      <c r="M115" s="4" t="s">
        <v>96</v>
      </c>
      <c r="N115" s="4" t="str">
        <f>VLOOKUP(M115,'Products (2)'!A:G,2,0)</f>
        <v>Liberica</v>
      </c>
      <c r="O115" s="4" t="str">
        <f>VLOOKUP(M115,'Products (2)'!A:G,3,0)</f>
        <v>Medium</v>
      </c>
      <c r="P115" s="4">
        <f>VLOOKUP(M115,'Products (2)'!A:G,7,0)</f>
        <v>1.8915000000000002</v>
      </c>
      <c r="Q115" s="3">
        <v>1</v>
      </c>
      <c r="R115" s="5">
        <f>INDEX([1]products!$A$1:$G$49,MATCH([1]orders!$D115,[1]products!$A$1:$A$49,0),MATCH([1]orders!K$1,[1]products!$A$1:$G$1,0))</f>
        <v>1</v>
      </c>
      <c r="S115" s="6">
        <f>INDEX([1]products!$A$1:$G$49,MATCH([1]orders!$D115,[1]products!$A$1:$A$49,0),MATCH([1]orders!L$1,[1]products!$A$1:$G$1,0))</f>
        <v>14.55</v>
      </c>
      <c r="T115" s="6">
        <f t="shared" si="6"/>
        <v>14.55</v>
      </c>
      <c r="U115" s="22">
        <f t="shared" si="10"/>
        <v>1.8915000000000002</v>
      </c>
      <c r="V115" s="22">
        <f t="shared" si="11"/>
        <v>13</v>
      </c>
    </row>
    <row r="116" spans="1:22" x14ac:dyDescent="0.3">
      <c r="A116" s="1" t="s">
        <v>261</v>
      </c>
      <c r="B116" s="2">
        <v>44265</v>
      </c>
      <c r="C116" s="2" t="str">
        <f t="shared" si="7"/>
        <v>Wednesday</v>
      </c>
      <c r="D116" s="2" t="str">
        <f t="shared" si="8"/>
        <v>March</v>
      </c>
      <c r="E116" s="2" t="str">
        <f t="shared" si="9"/>
        <v>2021</v>
      </c>
      <c r="F116" s="3" t="s">
        <v>262</v>
      </c>
      <c r="G116" s="3" t="str">
        <f>VLOOKUP(F117,'Customers (2)'!A:I,2,0)</f>
        <v>Ingeberg Mulliner</v>
      </c>
      <c r="H116" s="3">
        <f>VLOOKUP(F116,'Customers (2)'!A:I,3,0)</f>
        <v>0</v>
      </c>
      <c r="I116" s="3" t="str">
        <f>VLOOKUP(F116,'Customers (2)'!A:I,4,0)</f>
        <v>+1 (304) 532-7229</v>
      </c>
      <c r="J116" s="3" t="str">
        <f>VLOOKUP(F116,'Customers (2)'!A:I,6,0)</f>
        <v>Huntington</v>
      </c>
      <c r="K116" s="3" t="str">
        <f>VLOOKUP(F116,'Customers (2)'!A:I,7,0)</f>
        <v>United States</v>
      </c>
      <c r="L116" s="3" t="str">
        <f>VLOOKUP(F116,'Customers (2)'!A:I,9,0)</f>
        <v>No</v>
      </c>
      <c r="M116" s="4" t="s">
        <v>182</v>
      </c>
      <c r="N116" s="4" t="str">
        <f>VLOOKUP(M116,'Products (2)'!A:G,2,0)</f>
        <v>Robusta</v>
      </c>
      <c r="O116" s="4" t="str">
        <f>VLOOKUP(M116,'Products (2)'!A:G,3,0)</f>
        <v>Light</v>
      </c>
      <c r="P116" s="4">
        <f>VLOOKUP(M116,'Products (2)'!A:G,7,0)</f>
        <v>0.21509999999999996</v>
      </c>
      <c r="Q116" s="3">
        <v>4</v>
      </c>
      <c r="R116" s="5">
        <f>INDEX([1]products!$A$1:$G$49,MATCH([1]orders!$D116,[1]products!$A$1:$A$49,0),MATCH([1]orders!K$1,[1]products!$A$1:$G$1,0))</f>
        <v>0.2</v>
      </c>
      <c r="S116" s="6">
        <f>INDEX([1]products!$A$1:$G$49,MATCH([1]orders!$D116,[1]products!$A$1:$A$49,0),MATCH([1]orders!L$1,[1]products!$A$1:$G$1,0))</f>
        <v>3.5849999999999995</v>
      </c>
      <c r="T116" s="6">
        <f t="shared" si="6"/>
        <v>14.339999999999998</v>
      </c>
      <c r="U116" s="22">
        <f t="shared" si="10"/>
        <v>0.86039999999999983</v>
      </c>
      <c r="V116" s="22">
        <f t="shared" si="11"/>
        <v>6</v>
      </c>
    </row>
    <row r="117" spans="1:22" x14ac:dyDescent="0.3">
      <c r="A117" s="1" t="s">
        <v>263</v>
      </c>
      <c r="B117" s="2">
        <v>43693</v>
      </c>
      <c r="C117" s="2" t="str">
        <f t="shared" si="7"/>
        <v>Friday</v>
      </c>
      <c r="D117" s="2" t="str">
        <f t="shared" si="8"/>
        <v>August</v>
      </c>
      <c r="E117" s="2" t="str">
        <f t="shared" si="9"/>
        <v>2019</v>
      </c>
      <c r="F117" s="3" t="s">
        <v>264</v>
      </c>
      <c r="G117" s="3" t="str">
        <f>VLOOKUP(F118,'Customers (2)'!A:I,2,0)</f>
        <v>Geneva Standley</v>
      </c>
      <c r="H117" s="3" t="str">
        <f>VLOOKUP(F117,'Customers (2)'!A:I,3,0)</f>
        <v>imulliner37@pinterest.com</v>
      </c>
      <c r="I117" s="3" t="str">
        <f>VLOOKUP(F117,'Customers (2)'!A:I,4,0)</f>
        <v>+44 (331) 777-9556</v>
      </c>
      <c r="J117" s="3" t="str">
        <f>VLOOKUP(F117,'Customers (2)'!A:I,6,0)</f>
        <v>Birmingham</v>
      </c>
      <c r="K117" s="3" t="str">
        <f>VLOOKUP(F117,'Customers (2)'!A:I,7,0)</f>
        <v>United Kingdom</v>
      </c>
      <c r="L117" s="3" t="str">
        <f>VLOOKUP(F117,'Customers (2)'!A:I,9,0)</f>
        <v>No</v>
      </c>
      <c r="M117" s="4" t="s">
        <v>132</v>
      </c>
      <c r="N117" s="4" t="str">
        <f>VLOOKUP(M117,'Products (2)'!A:G,2,0)</f>
        <v>Liberica</v>
      </c>
      <c r="O117" s="4" t="str">
        <f>VLOOKUP(M117,'Products (2)'!A:G,3,0)</f>
        <v>Light</v>
      </c>
      <c r="P117" s="4">
        <f>VLOOKUP(M117,'Products (2)'!A:G,7,0)</f>
        <v>2.0605000000000002</v>
      </c>
      <c r="Q117" s="3">
        <v>1</v>
      </c>
      <c r="R117" s="5">
        <f>INDEX([1]products!$A$1:$G$49,MATCH([1]orders!$D117,[1]products!$A$1:$A$49,0),MATCH([1]orders!K$1,[1]products!$A$1:$G$1,0))</f>
        <v>1</v>
      </c>
      <c r="S117" s="6">
        <f>INDEX([1]products!$A$1:$G$49,MATCH([1]orders!$D117,[1]products!$A$1:$A$49,0),MATCH([1]orders!L$1,[1]products!$A$1:$G$1,0))</f>
        <v>15.85</v>
      </c>
      <c r="T117" s="6">
        <f t="shared" si="6"/>
        <v>15.85</v>
      </c>
      <c r="U117" s="22">
        <f t="shared" si="10"/>
        <v>2.0605000000000002</v>
      </c>
      <c r="V117" s="22">
        <f t="shared" si="11"/>
        <v>13</v>
      </c>
    </row>
    <row r="118" spans="1:22" x14ac:dyDescent="0.3">
      <c r="A118" s="1" t="s">
        <v>265</v>
      </c>
      <c r="B118" s="2">
        <v>44054</v>
      </c>
      <c r="C118" s="2" t="str">
        <f t="shared" si="7"/>
        <v>Tuesday</v>
      </c>
      <c r="D118" s="2" t="str">
        <f t="shared" si="8"/>
        <v>August</v>
      </c>
      <c r="E118" s="2" t="str">
        <f t="shared" si="9"/>
        <v>2020</v>
      </c>
      <c r="F118" s="3" t="s">
        <v>266</v>
      </c>
      <c r="G118" s="3" t="str">
        <f>VLOOKUP(F119,'Customers (2)'!A:I,2,0)</f>
        <v>Brook Drage</v>
      </c>
      <c r="H118" s="3" t="str">
        <f>VLOOKUP(F118,'Customers (2)'!A:I,3,0)</f>
        <v>gstandley38@dion.ne.jp</v>
      </c>
      <c r="I118" s="3" t="str">
        <f>VLOOKUP(F118,'Customers (2)'!A:I,4,0)</f>
        <v>+353 (521) 138-4331</v>
      </c>
      <c r="J118" s="3" t="str">
        <f>VLOOKUP(F118,'Customers (2)'!A:I,6,0)</f>
        <v>Killorglin</v>
      </c>
      <c r="K118" s="3" t="str">
        <f>VLOOKUP(F118,'Customers (2)'!A:I,7,0)</f>
        <v>Ireland</v>
      </c>
      <c r="L118" s="3" t="str">
        <f>VLOOKUP(F118,'Customers (2)'!A:I,9,0)</f>
        <v>Yes</v>
      </c>
      <c r="M118" s="4" t="s">
        <v>19</v>
      </c>
      <c r="N118" s="4" t="str">
        <f>VLOOKUP(M118,'Products (2)'!A:G,2,0)</f>
        <v>Liberica</v>
      </c>
      <c r="O118" s="4" t="str">
        <f>VLOOKUP(M118,'Products (2)'!A:G,3,0)</f>
        <v>Light</v>
      </c>
      <c r="P118" s="4">
        <f>VLOOKUP(M118,'Products (2)'!A:G,7,0)</f>
        <v>0.61814999999999998</v>
      </c>
      <c r="Q118" s="3">
        <v>4</v>
      </c>
      <c r="R118" s="5">
        <f>INDEX([1]products!$A$1:$G$49,MATCH([1]orders!$D118,[1]products!$A$1:$A$49,0),MATCH([1]orders!K$1,[1]products!$A$1:$G$1,0))</f>
        <v>0.2</v>
      </c>
      <c r="S118" s="6">
        <f>INDEX([1]products!$A$1:$G$49,MATCH([1]orders!$D118,[1]products!$A$1:$A$49,0),MATCH([1]orders!L$1,[1]products!$A$1:$G$1,0))</f>
        <v>4.7549999999999999</v>
      </c>
      <c r="T118" s="6">
        <f t="shared" si="6"/>
        <v>19.02</v>
      </c>
      <c r="U118" s="22">
        <f t="shared" si="10"/>
        <v>2.4725999999999999</v>
      </c>
      <c r="V118" s="22">
        <f t="shared" si="11"/>
        <v>13</v>
      </c>
    </row>
    <row r="119" spans="1:22" x14ac:dyDescent="0.3">
      <c r="A119" s="1" t="s">
        <v>267</v>
      </c>
      <c r="B119" s="2">
        <v>44656</v>
      </c>
      <c r="C119" s="2" t="str">
        <f t="shared" si="7"/>
        <v>Tuesday</v>
      </c>
      <c r="D119" s="2" t="str">
        <f t="shared" si="8"/>
        <v>April</v>
      </c>
      <c r="E119" s="2" t="str">
        <f t="shared" si="9"/>
        <v>2022</v>
      </c>
      <c r="F119" s="3" t="s">
        <v>268</v>
      </c>
      <c r="G119" s="3" t="str">
        <f>VLOOKUP(F120,'Customers (2)'!A:I,2,0)</f>
        <v>Muffin Yallop</v>
      </c>
      <c r="H119" s="3" t="str">
        <f>VLOOKUP(F119,'Customers (2)'!A:I,3,0)</f>
        <v>bdrage39@youku.com</v>
      </c>
      <c r="I119" s="3" t="str">
        <f>VLOOKUP(F119,'Customers (2)'!A:I,4,0)</f>
        <v>+1 (937) 566-3449</v>
      </c>
      <c r="J119" s="3" t="str">
        <f>VLOOKUP(F119,'Customers (2)'!A:I,6,0)</f>
        <v>Dayton</v>
      </c>
      <c r="K119" s="3" t="str">
        <f>VLOOKUP(F119,'Customers (2)'!A:I,7,0)</f>
        <v>United States</v>
      </c>
      <c r="L119" s="3" t="str">
        <f>VLOOKUP(F119,'Customers (2)'!A:I,9,0)</f>
        <v>No</v>
      </c>
      <c r="M119" s="4" t="s">
        <v>83</v>
      </c>
      <c r="N119" s="4" t="str">
        <f>VLOOKUP(M119,'Products (2)'!A:G,2,0)</f>
        <v>Liberica</v>
      </c>
      <c r="O119" s="4" t="str">
        <f>VLOOKUP(M119,'Products (2)'!A:G,3,0)</f>
        <v>Light</v>
      </c>
      <c r="P119" s="4">
        <f>VLOOKUP(M119,'Products (2)'!A:G,7,0)</f>
        <v>1.2363</v>
      </c>
      <c r="Q119" s="3">
        <v>4</v>
      </c>
      <c r="R119" s="5">
        <f>INDEX([1]products!$A$1:$G$49,MATCH([1]orders!$D119,[1]products!$A$1:$A$49,0),MATCH([1]orders!K$1,[1]products!$A$1:$G$1,0))</f>
        <v>0.5</v>
      </c>
      <c r="S119" s="6">
        <f>INDEX([1]products!$A$1:$G$49,MATCH([1]orders!$D119,[1]products!$A$1:$A$49,0),MATCH([1]orders!L$1,[1]products!$A$1:$G$1,0))</f>
        <v>9.51</v>
      </c>
      <c r="T119" s="6">
        <f t="shared" si="6"/>
        <v>38.04</v>
      </c>
      <c r="U119" s="22">
        <f t="shared" si="10"/>
        <v>4.9451999999999998</v>
      </c>
      <c r="V119" s="22">
        <f t="shared" si="11"/>
        <v>13</v>
      </c>
    </row>
    <row r="120" spans="1:22" x14ac:dyDescent="0.3">
      <c r="A120" s="1" t="s">
        <v>269</v>
      </c>
      <c r="B120" s="2">
        <v>43760</v>
      </c>
      <c r="C120" s="2" t="str">
        <f t="shared" si="7"/>
        <v>Tuesday</v>
      </c>
      <c r="D120" s="2" t="str">
        <f t="shared" si="8"/>
        <v>October</v>
      </c>
      <c r="E120" s="2" t="str">
        <f t="shared" si="9"/>
        <v>2019</v>
      </c>
      <c r="F120" s="3" t="s">
        <v>270</v>
      </c>
      <c r="G120" s="3" t="str">
        <f>VLOOKUP(F121,'Customers (2)'!A:I,2,0)</f>
        <v>Cordi Switsur</v>
      </c>
      <c r="H120" s="3" t="str">
        <f>VLOOKUP(F120,'Customers (2)'!A:I,3,0)</f>
        <v>myallop3a@fema.gov</v>
      </c>
      <c r="I120" s="3" t="str">
        <f>VLOOKUP(F120,'Customers (2)'!A:I,4,0)</f>
        <v>+1 (907) 267-1236</v>
      </c>
      <c r="J120" s="3" t="str">
        <f>VLOOKUP(F120,'Customers (2)'!A:I,6,0)</f>
        <v>Anchorage</v>
      </c>
      <c r="K120" s="3" t="str">
        <f>VLOOKUP(F120,'Customers (2)'!A:I,7,0)</f>
        <v>United States</v>
      </c>
      <c r="L120" s="3" t="str">
        <f>VLOOKUP(F120,'Customers (2)'!A:I,9,0)</f>
        <v>Yes</v>
      </c>
      <c r="M120" s="4" t="s">
        <v>16</v>
      </c>
      <c r="N120" s="4" t="str">
        <f>VLOOKUP(M120,'Products (2)'!A:G,2,0)</f>
        <v>Excelsa</v>
      </c>
      <c r="O120" s="4" t="str">
        <f>VLOOKUP(M120,'Products (2)'!A:G,3,0)</f>
        <v>Dark</v>
      </c>
      <c r="P120" s="4">
        <f>VLOOKUP(M120,'Products (2)'!A:G,7,0)</f>
        <v>0.80190000000000006</v>
      </c>
      <c r="Q120" s="3">
        <v>3</v>
      </c>
      <c r="R120" s="5">
        <f>INDEX([1]products!$A$1:$G$49,MATCH([1]orders!$D120,[1]products!$A$1:$A$49,0),MATCH([1]orders!K$1,[1]products!$A$1:$G$1,0))</f>
        <v>0.5</v>
      </c>
      <c r="S120" s="6">
        <f>INDEX([1]products!$A$1:$G$49,MATCH([1]orders!$D120,[1]products!$A$1:$A$49,0),MATCH([1]orders!L$1,[1]products!$A$1:$G$1,0))</f>
        <v>7.29</v>
      </c>
      <c r="T120" s="6">
        <f t="shared" si="6"/>
        <v>21.87</v>
      </c>
      <c r="U120" s="22">
        <f t="shared" si="10"/>
        <v>2.4057000000000004</v>
      </c>
      <c r="V120" s="22">
        <f t="shared" si="11"/>
        <v>11.000000000000002</v>
      </c>
    </row>
    <row r="121" spans="1:22" x14ac:dyDescent="0.3">
      <c r="A121" s="1" t="s">
        <v>271</v>
      </c>
      <c r="B121" s="2">
        <v>44471</v>
      </c>
      <c r="C121" s="2" t="str">
        <f t="shared" si="7"/>
        <v>Saturday</v>
      </c>
      <c r="D121" s="2" t="str">
        <f t="shared" si="8"/>
        <v>October</v>
      </c>
      <c r="E121" s="2" t="str">
        <f t="shared" si="9"/>
        <v>2021</v>
      </c>
      <c r="F121" s="3" t="s">
        <v>272</v>
      </c>
      <c r="G121" s="3" t="str">
        <f>VLOOKUP(F122,'Customers (2)'!A:I,2,0)</f>
        <v>Cordi Switsur</v>
      </c>
      <c r="H121" s="3" t="str">
        <f>VLOOKUP(F121,'Customers (2)'!A:I,3,0)</f>
        <v>cswitsur3b@chronoengine.com</v>
      </c>
      <c r="I121" s="3" t="str">
        <f>VLOOKUP(F121,'Customers (2)'!A:I,4,0)</f>
        <v>+1 (615) 791-3142</v>
      </c>
      <c r="J121" s="3" t="str">
        <f>VLOOKUP(F121,'Customers (2)'!A:I,6,0)</f>
        <v>Nashville</v>
      </c>
      <c r="K121" s="3" t="str">
        <f>VLOOKUP(F121,'Customers (2)'!A:I,7,0)</f>
        <v>United States</v>
      </c>
      <c r="L121" s="3" t="str">
        <f>VLOOKUP(F121,'Customers (2)'!A:I,9,0)</f>
        <v>No</v>
      </c>
      <c r="M121" s="4" t="s">
        <v>64</v>
      </c>
      <c r="N121" s="4" t="str">
        <f>VLOOKUP(M121,'Products (2)'!A:G,2,0)</f>
        <v>Excelsa</v>
      </c>
      <c r="O121" s="4" t="str">
        <f>VLOOKUP(M121,'Products (2)'!A:G,3,0)</f>
        <v>Medium</v>
      </c>
      <c r="P121" s="4">
        <f>VLOOKUP(M121,'Products (2)'!A:G,7,0)</f>
        <v>0.45374999999999999</v>
      </c>
      <c r="Q121" s="3">
        <v>1</v>
      </c>
      <c r="R121" s="5">
        <f>INDEX([1]products!$A$1:$G$49,MATCH([1]orders!$D121,[1]products!$A$1:$A$49,0),MATCH([1]orders!K$1,[1]products!$A$1:$G$1,0))</f>
        <v>0.2</v>
      </c>
      <c r="S121" s="6">
        <f>INDEX([1]products!$A$1:$G$49,MATCH([1]orders!$D121,[1]products!$A$1:$A$49,0),MATCH([1]orders!L$1,[1]products!$A$1:$G$1,0))</f>
        <v>4.125</v>
      </c>
      <c r="T121" s="6">
        <f t="shared" si="6"/>
        <v>4.125</v>
      </c>
      <c r="U121" s="22">
        <f t="shared" si="10"/>
        <v>0.45374999999999999</v>
      </c>
      <c r="V121" s="22">
        <f t="shared" si="11"/>
        <v>11</v>
      </c>
    </row>
    <row r="122" spans="1:22" x14ac:dyDescent="0.3">
      <c r="A122" s="1" t="s">
        <v>271</v>
      </c>
      <c r="B122" s="2">
        <v>44471</v>
      </c>
      <c r="C122" s="2" t="str">
        <f t="shared" si="7"/>
        <v>Saturday</v>
      </c>
      <c r="D122" s="2" t="str">
        <f t="shared" si="8"/>
        <v>October</v>
      </c>
      <c r="E122" s="2" t="str">
        <f t="shared" si="9"/>
        <v>2021</v>
      </c>
      <c r="F122" s="3" t="s">
        <v>272</v>
      </c>
      <c r="G122" s="3" t="str">
        <f>VLOOKUP(F123,'Customers (2)'!A:I,2,0)</f>
        <v>Cordi Switsur</v>
      </c>
      <c r="H122" s="3" t="str">
        <f>VLOOKUP(F122,'Customers (2)'!A:I,3,0)</f>
        <v>cswitsur3b@chronoengine.com</v>
      </c>
      <c r="I122" s="3" t="str">
        <f>VLOOKUP(F122,'Customers (2)'!A:I,4,0)</f>
        <v>+1 (615) 791-3142</v>
      </c>
      <c r="J122" s="3" t="str">
        <f>VLOOKUP(F122,'Customers (2)'!A:I,6,0)</f>
        <v>Nashville</v>
      </c>
      <c r="K122" s="3" t="str">
        <f>VLOOKUP(F122,'Customers (2)'!A:I,7,0)</f>
        <v>United States</v>
      </c>
      <c r="L122" s="3" t="str">
        <f>VLOOKUP(F122,'Customers (2)'!A:I,9,0)</f>
        <v>No</v>
      </c>
      <c r="M122" s="4" t="s">
        <v>115</v>
      </c>
      <c r="N122" s="4" t="str">
        <f>VLOOKUP(M122,'Products (2)'!A:G,2,0)</f>
        <v>Arabica</v>
      </c>
      <c r="O122" s="4" t="str">
        <f>VLOOKUP(M122,'Products (2)'!A:G,3,0)</f>
        <v>Light</v>
      </c>
      <c r="P122" s="4">
        <f>VLOOKUP(M122,'Products (2)'!A:G,7,0)</f>
        <v>0.34964999999999996</v>
      </c>
      <c r="Q122" s="3">
        <v>1</v>
      </c>
      <c r="R122" s="5">
        <f>INDEX([1]products!$A$1:$G$49,MATCH([1]orders!$D122,[1]products!$A$1:$A$49,0),MATCH([1]orders!K$1,[1]products!$A$1:$G$1,0))</f>
        <v>0.2</v>
      </c>
      <c r="S122" s="6">
        <f>INDEX([1]products!$A$1:$G$49,MATCH([1]orders!$D122,[1]products!$A$1:$A$49,0),MATCH([1]orders!L$1,[1]products!$A$1:$G$1,0))</f>
        <v>3.8849999999999998</v>
      </c>
      <c r="T122" s="6">
        <f t="shared" si="6"/>
        <v>3.8849999999999998</v>
      </c>
      <c r="U122" s="22">
        <f t="shared" si="10"/>
        <v>0.34964999999999996</v>
      </c>
      <c r="V122" s="22">
        <f t="shared" si="11"/>
        <v>9</v>
      </c>
    </row>
    <row r="123" spans="1:22" x14ac:dyDescent="0.3">
      <c r="A123" s="1" t="s">
        <v>271</v>
      </c>
      <c r="B123" s="2">
        <v>44471</v>
      </c>
      <c r="C123" s="2" t="str">
        <f t="shared" si="7"/>
        <v>Saturday</v>
      </c>
      <c r="D123" s="2" t="str">
        <f t="shared" si="8"/>
        <v>October</v>
      </c>
      <c r="E123" s="2" t="str">
        <f t="shared" si="9"/>
        <v>2021</v>
      </c>
      <c r="F123" s="3" t="s">
        <v>272</v>
      </c>
      <c r="G123" s="3" t="str">
        <f>VLOOKUP(F124,'Customers (2)'!A:I,2,0)</f>
        <v>Mahala Ludwell</v>
      </c>
      <c r="H123" s="3" t="str">
        <f>VLOOKUP(F123,'Customers (2)'!A:I,3,0)</f>
        <v>cswitsur3b@chronoengine.com</v>
      </c>
      <c r="I123" s="3" t="str">
        <f>VLOOKUP(F123,'Customers (2)'!A:I,4,0)</f>
        <v>+1 (615) 791-3142</v>
      </c>
      <c r="J123" s="3" t="str">
        <f>VLOOKUP(F123,'Customers (2)'!A:I,6,0)</f>
        <v>Nashville</v>
      </c>
      <c r="K123" s="3" t="str">
        <f>VLOOKUP(F123,'Customers (2)'!A:I,7,0)</f>
        <v>United States</v>
      </c>
      <c r="L123" s="3" t="str">
        <f>VLOOKUP(F123,'Customers (2)'!A:I,9,0)</f>
        <v>No</v>
      </c>
      <c r="M123" s="4" t="s">
        <v>9</v>
      </c>
      <c r="N123" s="4" t="str">
        <f>VLOOKUP(M123,'Products (2)'!A:G,2,0)</f>
        <v>Excelsa</v>
      </c>
      <c r="O123" s="4" t="str">
        <f>VLOOKUP(M123,'Products (2)'!A:G,3,0)</f>
        <v>Medium</v>
      </c>
      <c r="P123" s="4">
        <f>VLOOKUP(M123,'Products (2)'!A:G,7,0)</f>
        <v>1.5125</v>
      </c>
      <c r="Q123" s="3">
        <v>5</v>
      </c>
      <c r="R123" s="5">
        <f>INDEX([1]products!$A$1:$G$49,MATCH([1]orders!$D123,[1]products!$A$1:$A$49,0),MATCH([1]orders!K$1,[1]products!$A$1:$G$1,0))</f>
        <v>1</v>
      </c>
      <c r="S123" s="6">
        <f>INDEX([1]products!$A$1:$G$49,MATCH([1]orders!$D123,[1]products!$A$1:$A$49,0),MATCH([1]orders!L$1,[1]products!$A$1:$G$1,0))</f>
        <v>13.75</v>
      </c>
      <c r="T123" s="6">
        <f t="shared" si="6"/>
        <v>68.75</v>
      </c>
      <c r="U123" s="22">
        <f t="shared" si="10"/>
        <v>7.5625</v>
      </c>
      <c r="V123" s="22">
        <f t="shared" si="11"/>
        <v>11</v>
      </c>
    </row>
    <row r="124" spans="1:22" x14ac:dyDescent="0.3">
      <c r="A124" s="1" t="s">
        <v>273</v>
      </c>
      <c r="B124" s="2">
        <v>44268</v>
      </c>
      <c r="C124" s="2" t="str">
        <f t="shared" si="7"/>
        <v>Saturday</v>
      </c>
      <c r="D124" s="2" t="str">
        <f t="shared" si="8"/>
        <v>March</v>
      </c>
      <c r="E124" s="2" t="str">
        <f t="shared" si="9"/>
        <v>2021</v>
      </c>
      <c r="F124" s="3" t="s">
        <v>274</v>
      </c>
      <c r="G124" s="3" t="str">
        <f>VLOOKUP(F125,'Customers (2)'!A:I,2,0)</f>
        <v>Doll Beauchamp</v>
      </c>
      <c r="H124" s="3" t="str">
        <f>VLOOKUP(F124,'Customers (2)'!A:I,3,0)</f>
        <v>mludwell3e@blogger.com</v>
      </c>
      <c r="I124" s="3" t="str">
        <f>VLOOKUP(F124,'Customers (2)'!A:I,4,0)</f>
        <v>+1 (303) 242-3542</v>
      </c>
      <c r="J124" s="3" t="str">
        <f>VLOOKUP(F124,'Customers (2)'!A:I,6,0)</f>
        <v>Denver</v>
      </c>
      <c r="K124" s="3" t="str">
        <f>VLOOKUP(F124,'Customers (2)'!A:I,7,0)</f>
        <v>United States</v>
      </c>
      <c r="L124" s="3" t="str">
        <f>VLOOKUP(F124,'Customers (2)'!A:I,9,0)</f>
        <v>Yes</v>
      </c>
      <c r="M124" s="4" t="s">
        <v>72</v>
      </c>
      <c r="N124" s="4" t="str">
        <f>VLOOKUP(M124,'Products (2)'!A:G,2,0)</f>
        <v>Arabica</v>
      </c>
      <c r="O124" s="4" t="str">
        <f>VLOOKUP(M124,'Products (2)'!A:G,3,0)</f>
        <v>Dark</v>
      </c>
      <c r="P124" s="4">
        <f>VLOOKUP(M124,'Products (2)'!A:G,7,0)</f>
        <v>0.5373</v>
      </c>
      <c r="Q124" s="3">
        <v>4</v>
      </c>
      <c r="R124" s="5">
        <f>INDEX([1]products!$A$1:$G$49,MATCH([1]orders!$D124,[1]products!$A$1:$A$49,0),MATCH([1]orders!K$1,[1]products!$A$1:$G$1,0))</f>
        <v>0.5</v>
      </c>
      <c r="S124" s="6">
        <f>INDEX([1]products!$A$1:$G$49,MATCH([1]orders!$D124,[1]products!$A$1:$A$49,0),MATCH([1]orders!L$1,[1]products!$A$1:$G$1,0))</f>
        <v>5.97</v>
      </c>
      <c r="T124" s="6">
        <f t="shared" si="6"/>
        <v>23.88</v>
      </c>
      <c r="U124" s="22">
        <f t="shared" si="10"/>
        <v>2.1492</v>
      </c>
      <c r="V124" s="22">
        <f t="shared" si="11"/>
        <v>9.0000000000000018</v>
      </c>
    </row>
    <row r="125" spans="1:22" x14ac:dyDescent="0.3">
      <c r="A125" s="1" t="s">
        <v>275</v>
      </c>
      <c r="B125" s="2">
        <v>44724</v>
      </c>
      <c r="C125" s="2" t="str">
        <f t="shared" si="7"/>
        <v>Sunday</v>
      </c>
      <c r="D125" s="2" t="str">
        <f t="shared" si="8"/>
        <v>June</v>
      </c>
      <c r="E125" s="2" t="str">
        <f t="shared" si="9"/>
        <v>2022</v>
      </c>
      <c r="F125" s="3" t="s">
        <v>276</v>
      </c>
      <c r="G125" s="3" t="str">
        <f>VLOOKUP(F126,'Customers (2)'!A:I,2,0)</f>
        <v>Stanford Rodliff</v>
      </c>
      <c r="H125" s="3" t="str">
        <f>VLOOKUP(F125,'Customers (2)'!A:I,3,0)</f>
        <v>dbeauchamp3f@usda.gov</v>
      </c>
      <c r="I125" s="3" t="str">
        <f>VLOOKUP(F125,'Customers (2)'!A:I,4,0)</f>
        <v>+1 (203) 189-4256</v>
      </c>
      <c r="J125" s="3" t="str">
        <f>VLOOKUP(F125,'Customers (2)'!A:I,6,0)</f>
        <v>Stamford</v>
      </c>
      <c r="K125" s="3" t="str">
        <f>VLOOKUP(F125,'Customers (2)'!A:I,7,0)</f>
        <v>United States</v>
      </c>
      <c r="L125" s="3" t="str">
        <f>VLOOKUP(F125,'Customers (2)'!A:I,9,0)</f>
        <v>No</v>
      </c>
      <c r="M125" s="4" t="s">
        <v>104</v>
      </c>
      <c r="N125" s="4" t="str">
        <f>VLOOKUP(M125,'Products (2)'!A:G,2,0)</f>
        <v>Liberica</v>
      </c>
      <c r="O125" s="4" t="str">
        <f>VLOOKUP(M125,'Products (2)'!A:G,3,0)</f>
        <v>Light</v>
      </c>
      <c r="P125" s="4">
        <f>VLOOKUP(M125,'Products (2)'!A:G,7,0)</f>
        <v>4.7391499999999995</v>
      </c>
      <c r="Q125" s="3">
        <v>4</v>
      </c>
      <c r="R125" s="5">
        <f>INDEX([1]products!$A$1:$G$49,MATCH([1]orders!$D125,[1]products!$A$1:$A$49,0),MATCH([1]orders!K$1,[1]products!$A$1:$G$1,0))</f>
        <v>2.5</v>
      </c>
      <c r="S125" s="6">
        <f>INDEX([1]products!$A$1:$G$49,MATCH([1]orders!$D125,[1]products!$A$1:$A$49,0),MATCH([1]orders!L$1,[1]products!$A$1:$G$1,0))</f>
        <v>36.454999999999998</v>
      </c>
      <c r="T125" s="6">
        <f t="shared" si="6"/>
        <v>145.82</v>
      </c>
      <c r="U125" s="22">
        <f t="shared" si="10"/>
        <v>18.956599999999998</v>
      </c>
      <c r="V125" s="22">
        <f t="shared" si="11"/>
        <v>13</v>
      </c>
    </row>
    <row r="126" spans="1:22" x14ac:dyDescent="0.3">
      <c r="A126" s="1" t="s">
        <v>277</v>
      </c>
      <c r="B126" s="2">
        <v>43582</v>
      </c>
      <c r="C126" s="2" t="str">
        <f t="shared" si="7"/>
        <v>Saturday</v>
      </c>
      <c r="D126" s="2" t="str">
        <f t="shared" si="8"/>
        <v>April</v>
      </c>
      <c r="E126" s="2" t="str">
        <f t="shared" si="9"/>
        <v>2019</v>
      </c>
      <c r="F126" s="3" t="s">
        <v>278</v>
      </c>
      <c r="G126" s="3" t="str">
        <f>VLOOKUP(F127,'Customers (2)'!A:I,2,0)</f>
        <v>Stevana Woodham</v>
      </c>
      <c r="H126" s="3" t="str">
        <f>VLOOKUP(F126,'Customers (2)'!A:I,3,0)</f>
        <v>srodliff3g@ted.com</v>
      </c>
      <c r="I126" s="3" t="str">
        <f>VLOOKUP(F126,'Customers (2)'!A:I,4,0)</f>
        <v>+1 (757) 537-3012</v>
      </c>
      <c r="J126" s="3" t="str">
        <f>VLOOKUP(F126,'Customers (2)'!A:I,6,0)</f>
        <v>Newport News</v>
      </c>
      <c r="K126" s="3" t="str">
        <f>VLOOKUP(F126,'Customers (2)'!A:I,7,0)</f>
        <v>United States</v>
      </c>
      <c r="L126" s="3" t="str">
        <f>VLOOKUP(F126,'Customers (2)'!A:I,9,0)</f>
        <v>Yes</v>
      </c>
      <c r="M126" s="4" t="s">
        <v>77</v>
      </c>
      <c r="N126" s="4" t="str">
        <f>VLOOKUP(M126,'Products (2)'!A:G,2,0)</f>
        <v>Liberica</v>
      </c>
      <c r="O126" s="4" t="str">
        <f>VLOOKUP(M126,'Products (2)'!A:G,3,0)</f>
        <v>Medium</v>
      </c>
      <c r="P126" s="4">
        <f>VLOOKUP(M126,'Products (2)'!A:G,7,0)</f>
        <v>0.56745000000000001</v>
      </c>
      <c r="Q126" s="3">
        <v>5</v>
      </c>
      <c r="R126" s="5">
        <f>INDEX([1]products!$A$1:$G$49,MATCH([1]orders!$D126,[1]products!$A$1:$A$49,0),MATCH([1]orders!K$1,[1]products!$A$1:$G$1,0))</f>
        <v>0.2</v>
      </c>
      <c r="S126" s="6">
        <f>INDEX([1]products!$A$1:$G$49,MATCH([1]orders!$D126,[1]products!$A$1:$A$49,0),MATCH([1]orders!L$1,[1]products!$A$1:$G$1,0))</f>
        <v>4.3650000000000002</v>
      </c>
      <c r="T126" s="6">
        <f t="shared" si="6"/>
        <v>21.825000000000003</v>
      </c>
      <c r="U126" s="22">
        <f t="shared" si="10"/>
        <v>2.83725</v>
      </c>
      <c r="V126" s="22">
        <f t="shared" si="11"/>
        <v>12.999999999999998</v>
      </c>
    </row>
    <row r="127" spans="1:22" x14ac:dyDescent="0.3">
      <c r="A127" s="1" t="s">
        <v>279</v>
      </c>
      <c r="B127" s="2">
        <v>43608</v>
      </c>
      <c r="C127" s="2" t="str">
        <f t="shared" si="7"/>
        <v>Thursday</v>
      </c>
      <c r="D127" s="2" t="str">
        <f t="shared" si="8"/>
        <v>May</v>
      </c>
      <c r="E127" s="2" t="str">
        <f t="shared" si="9"/>
        <v>2019</v>
      </c>
      <c r="F127" s="3" t="s">
        <v>280</v>
      </c>
      <c r="G127" s="3" t="str">
        <f>VLOOKUP(F128,'Customers (2)'!A:I,2,0)</f>
        <v>Hewet Synnot</v>
      </c>
      <c r="H127" s="3" t="str">
        <f>VLOOKUP(F127,'Customers (2)'!A:I,3,0)</f>
        <v>swoodham3h@businesswire.com</v>
      </c>
      <c r="I127" s="3" t="str">
        <f>VLOOKUP(F127,'Customers (2)'!A:I,4,0)</f>
        <v>+353 (190) 188-4918</v>
      </c>
      <c r="J127" s="3" t="str">
        <f>VLOOKUP(F127,'Customers (2)'!A:I,6,0)</f>
        <v>Drumcondra</v>
      </c>
      <c r="K127" s="3" t="str">
        <f>VLOOKUP(F127,'Customers (2)'!A:I,7,0)</f>
        <v>Ireland</v>
      </c>
      <c r="L127" s="3" t="str">
        <f>VLOOKUP(F127,'Customers (2)'!A:I,9,0)</f>
        <v>Yes</v>
      </c>
      <c r="M127" s="4" t="s">
        <v>78</v>
      </c>
      <c r="N127" s="4" t="str">
        <f>VLOOKUP(M127,'Products (2)'!A:G,2,0)</f>
        <v>Liberica</v>
      </c>
      <c r="O127" s="4" t="str">
        <f>VLOOKUP(M127,'Products (2)'!A:G,3,0)</f>
        <v>Medium</v>
      </c>
      <c r="P127" s="4">
        <f>VLOOKUP(M127,'Products (2)'!A:G,7,0)</f>
        <v>1.1349</v>
      </c>
      <c r="Q127" s="3">
        <v>3</v>
      </c>
      <c r="R127" s="5">
        <f>INDEX([1]products!$A$1:$G$49,MATCH([1]orders!$D127,[1]products!$A$1:$A$49,0),MATCH([1]orders!K$1,[1]products!$A$1:$G$1,0))</f>
        <v>0.5</v>
      </c>
      <c r="S127" s="6">
        <f>INDEX([1]products!$A$1:$G$49,MATCH([1]orders!$D127,[1]products!$A$1:$A$49,0),MATCH([1]orders!L$1,[1]products!$A$1:$G$1,0))</f>
        <v>8.73</v>
      </c>
      <c r="T127" s="6">
        <f t="shared" si="6"/>
        <v>26.19</v>
      </c>
      <c r="U127" s="22">
        <f t="shared" si="10"/>
        <v>3.4047000000000001</v>
      </c>
      <c r="V127" s="22">
        <f t="shared" si="11"/>
        <v>13</v>
      </c>
    </row>
    <row r="128" spans="1:22" x14ac:dyDescent="0.3">
      <c r="A128" s="1" t="s">
        <v>281</v>
      </c>
      <c r="B128" s="2">
        <v>44026</v>
      </c>
      <c r="C128" s="2" t="str">
        <f t="shared" si="7"/>
        <v>Tuesday</v>
      </c>
      <c r="D128" s="2" t="str">
        <f t="shared" si="8"/>
        <v>July</v>
      </c>
      <c r="E128" s="2" t="str">
        <f t="shared" si="9"/>
        <v>2020</v>
      </c>
      <c r="F128" s="3" t="s">
        <v>282</v>
      </c>
      <c r="G128" s="3" t="str">
        <f>VLOOKUP(F129,'Customers (2)'!A:I,2,0)</f>
        <v>Raleigh Lepere</v>
      </c>
      <c r="H128" s="3" t="str">
        <f>VLOOKUP(F128,'Customers (2)'!A:I,3,0)</f>
        <v>hsynnot3i@about.com</v>
      </c>
      <c r="I128" s="3" t="str">
        <f>VLOOKUP(F128,'Customers (2)'!A:I,4,0)</f>
        <v>+1 (907) 245-0601</v>
      </c>
      <c r="J128" s="3" t="str">
        <f>VLOOKUP(F128,'Customers (2)'!A:I,6,0)</f>
        <v>Anchorage</v>
      </c>
      <c r="K128" s="3" t="str">
        <f>VLOOKUP(F128,'Customers (2)'!A:I,7,0)</f>
        <v>United States</v>
      </c>
      <c r="L128" s="3" t="str">
        <f>VLOOKUP(F128,'Customers (2)'!A:I,9,0)</f>
        <v>No</v>
      </c>
      <c r="M128" s="4" t="s">
        <v>61</v>
      </c>
      <c r="N128" s="4" t="str">
        <f>VLOOKUP(M128,'Products (2)'!A:G,2,0)</f>
        <v>Arabica</v>
      </c>
      <c r="O128" s="4" t="str">
        <f>VLOOKUP(M128,'Products (2)'!A:G,3,0)</f>
        <v>Medium</v>
      </c>
      <c r="P128" s="4">
        <f>VLOOKUP(M128,'Products (2)'!A:G,7,0)</f>
        <v>1.0125</v>
      </c>
      <c r="Q128" s="3">
        <v>1</v>
      </c>
      <c r="R128" s="5">
        <f>INDEX([1]products!$A$1:$G$49,MATCH([1]orders!$D128,[1]products!$A$1:$A$49,0),MATCH([1]orders!K$1,[1]products!$A$1:$G$1,0))</f>
        <v>1</v>
      </c>
      <c r="S128" s="6">
        <f>INDEX([1]products!$A$1:$G$49,MATCH([1]orders!$D128,[1]products!$A$1:$A$49,0),MATCH([1]orders!L$1,[1]products!$A$1:$G$1,0))</f>
        <v>11.25</v>
      </c>
      <c r="T128" s="6">
        <f t="shared" si="6"/>
        <v>11.25</v>
      </c>
      <c r="U128" s="22">
        <f t="shared" si="10"/>
        <v>1.0125</v>
      </c>
      <c r="V128" s="22">
        <f t="shared" si="11"/>
        <v>9</v>
      </c>
    </row>
    <row r="129" spans="1:22" x14ac:dyDescent="0.3">
      <c r="A129" s="1" t="s">
        <v>283</v>
      </c>
      <c r="B129" s="2">
        <v>44510</v>
      </c>
      <c r="C129" s="2" t="str">
        <f t="shared" si="7"/>
        <v>Wednesday</v>
      </c>
      <c r="D129" s="2" t="str">
        <f t="shared" si="8"/>
        <v>November</v>
      </c>
      <c r="E129" s="2" t="str">
        <f t="shared" si="9"/>
        <v>2021</v>
      </c>
      <c r="F129" s="3" t="s">
        <v>284</v>
      </c>
      <c r="G129" s="3" t="str">
        <f>VLOOKUP(F130,'Customers (2)'!A:I,2,0)</f>
        <v>Timofei Woofinden</v>
      </c>
      <c r="H129" s="3" t="str">
        <f>VLOOKUP(F129,'Customers (2)'!A:I,3,0)</f>
        <v>rlepere3j@shop-pro.jp</v>
      </c>
      <c r="I129" s="3" t="str">
        <f>VLOOKUP(F129,'Customers (2)'!A:I,4,0)</f>
        <v>+353 (792) 857-4513</v>
      </c>
      <c r="J129" s="3" t="str">
        <f>VLOOKUP(F129,'Customers (2)'!A:I,6,0)</f>
        <v>Beaumont</v>
      </c>
      <c r="K129" s="3" t="str">
        <f>VLOOKUP(F129,'Customers (2)'!A:I,7,0)</f>
        <v>Ireland</v>
      </c>
      <c r="L129" s="3" t="str">
        <f>VLOOKUP(F129,'Customers (2)'!A:I,9,0)</f>
        <v>No</v>
      </c>
      <c r="M129" s="4" t="s">
        <v>13</v>
      </c>
      <c r="N129" s="4" t="str">
        <f>VLOOKUP(M129,'Products (2)'!A:G,2,0)</f>
        <v>Liberica</v>
      </c>
      <c r="O129" s="4" t="str">
        <f>VLOOKUP(M129,'Products (2)'!A:G,3,0)</f>
        <v>Dark</v>
      </c>
      <c r="P129" s="4">
        <f>VLOOKUP(M129,'Products (2)'!A:G,7,0)</f>
        <v>1.6835</v>
      </c>
      <c r="Q129" s="3">
        <v>6</v>
      </c>
      <c r="R129" s="5">
        <f>INDEX([1]products!$A$1:$G$49,MATCH([1]orders!$D129,[1]products!$A$1:$A$49,0),MATCH([1]orders!K$1,[1]products!$A$1:$G$1,0))</f>
        <v>1</v>
      </c>
      <c r="S129" s="6">
        <f>INDEX([1]products!$A$1:$G$49,MATCH([1]orders!$D129,[1]products!$A$1:$A$49,0),MATCH([1]orders!L$1,[1]products!$A$1:$G$1,0))</f>
        <v>12.95</v>
      </c>
      <c r="T129" s="6">
        <f t="shared" si="6"/>
        <v>77.699999999999989</v>
      </c>
      <c r="U129" s="22">
        <f t="shared" si="10"/>
        <v>10.100999999999999</v>
      </c>
      <c r="V129" s="22">
        <f t="shared" si="11"/>
        <v>13</v>
      </c>
    </row>
    <row r="130" spans="1:22" x14ac:dyDescent="0.3">
      <c r="A130" s="1" t="s">
        <v>285</v>
      </c>
      <c r="B130" s="2">
        <v>44439</v>
      </c>
      <c r="C130" s="2" t="str">
        <f t="shared" si="7"/>
        <v>Tuesday</v>
      </c>
      <c r="D130" s="2" t="str">
        <f t="shared" si="8"/>
        <v>August</v>
      </c>
      <c r="E130" s="2" t="str">
        <f t="shared" si="9"/>
        <v>2021</v>
      </c>
      <c r="F130" s="3" t="s">
        <v>286</v>
      </c>
      <c r="G130" s="3" t="str">
        <f>VLOOKUP(F131,'Customers (2)'!A:I,2,0)</f>
        <v>Evelina Dacca</v>
      </c>
      <c r="H130" s="3" t="str">
        <f>VLOOKUP(F130,'Customers (2)'!A:I,3,0)</f>
        <v>twoofinden3k@businesswire.com</v>
      </c>
      <c r="I130" s="3" t="str">
        <f>VLOOKUP(F130,'Customers (2)'!A:I,4,0)</f>
        <v>+1 (701) 503-1067</v>
      </c>
      <c r="J130" s="3" t="str">
        <f>VLOOKUP(F130,'Customers (2)'!A:I,6,0)</f>
        <v>Fargo</v>
      </c>
      <c r="K130" s="3" t="str">
        <f>VLOOKUP(F130,'Customers (2)'!A:I,7,0)</f>
        <v>United States</v>
      </c>
      <c r="L130" s="3" t="str">
        <f>VLOOKUP(F130,'Customers (2)'!A:I,9,0)</f>
        <v>No</v>
      </c>
      <c r="M130" s="4" t="s">
        <v>67</v>
      </c>
      <c r="N130" s="4" t="str">
        <f>VLOOKUP(M130,'Products (2)'!A:G,2,0)</f>
        <v>Arabica</v>
      </c>
      <c r="O130" s="4" t="str">
        <f>VLOOKUP(M130,'Products (2)'!A:G,3,0)</f>
        <v>Medium</v>
      </c>
      <c r="P130" s="4">
        <f>VLOOKUP(M130,'Products (2)'!A:G,7,0)</f>
        <v>0.60749999999999993</v>
      </c>
      <c r="Q130" s="3">
        <v>1</v>
      </c>
      <c r="R130" s="5">
        <f>INDEX([1]products!$A$1:$G$49,MATCH([1]orders!$D130,[1]products!$A$1:$A$49,0),MATCH([1]orders!K$1,[1]products!$A$1:$G$1,0))</f>
        <v>0.5</v>
      </c>
      <c r="S130" s="6">
        <f>INDEX([1]products!$A$1:$G$49,MATCH([1]orders!$D130,[1]products!$A$1:$A$49,0),MATCH([1]orders!L$1,[1]products!$A$1:$G$1,0))</f>
        <v>6.75</v>
      </c>
      <c r="T130" s="6">
        <f t="shared" ref="T130:T193" si="12">Q130*S130</f>
        <v>6.75</v>
      </c>
      <c r="U130" s="22">
        <f t="shared" si="10"/>
        <v>0.60749999999999993</v>
      </c>
      <c r="V130" s="22">
        <f t="shared" si="11"/>
        <v>8.9999999999999982</v>
      </c>
    </row>
    <row r="131" spans="1:22" x14ac:dyDescent="0.3">
      <c r="A131" s="1" t="s">
        <v>287</v>
      </c>
      <c r="B131" s="2">
        <v>43652</v>
      </c>
      <c r="C131" s="2" t="str">
        <f t="shared" ref="C131:C194" si="13">TEXT(B131,"dddd")</f>
        <v>Saturday</v>
      </c>
      <c r="D131" s="2" t="str">
        <f t="shared" ref="D131:D194" si="14">TEXT(B131,"MMMM")</f>
        <v>July</v>
      </c>
      <c r="E131" s="2" t="str">
        <f t="shared" ref="E131:E194" si="15">TEXT(B131,"YYYY")</f>
        <v>2019</v>
      </c>
      <c r="F131" s="3" t="s">
        <v>288</v>
      </c>
      <c r="G131" s="3" t="str">
        <f>VLOOKUP(F132,'Customers (2)'!A:I,2,0)</f>
        <v>Bidget Tremellier</v>
      </c>
      <c r="H131" s="3" t="str">
        <f>VLOOKUP(F131,'Customers (2)'!A:I,3,0)</f>
        <v>edacca3l@google.pl</v>
      </c>
      <c r="I131" s="3" t="str">
        <f>VLOOKUP(F131,'Customers (2)'!A:I,4,0)</f>
        <v>+1 (812) 921-5458</v>
      </c>
      <c r="J131" s="3" t="str">
        <f>VLOOKUP(F131,'Customers (2)'!A:I,6,0)</f>
        <v>Evansville</v>
      </c>
      <c r="K131" s="3" t="str">
        <f>VLOOKUP(F131,'Customers (2)'!A:I,7,0)</f>
        <v>United States</v>
      </c>
      <c r="L131" s="3" t="str">
        <f>VLOOKUP(F131,'Customers (2)'!A:I,9,0)</f>
        <v>Yes</v>
      </c>
      <c r="M131" s="4" t="s">
        <v>245</v>
      </c>
      <c r="N131" s="4" t="str">
        <f>VLOOKUP(M131,'Products (2)'!A:G,2,0)</f>
        <v>Excelsa</v>
      </c>
      <c r="O131" s="4" t="str">
        <f>VLOOKUP(M131,'Products (2)'!A:G,3,0)</f>
        <v>Dark</v>
      </c>
      <c r="P131" s="4">
        <f>VLOOKUP(M131,'Products (2)'!A:G,7,0)</f>
        <v>1.3365</v>
      </c>
      <c r="Q131" s="3">
        <v>1</v>
      </c>
      <c r="R131" s="5">
        <f>INDEX([1]products!$A$1:$G$49,MATCH([1]orders!$D131,[1]products!$A$1:$A$49,0),MATCH([1]orders!K$1,[1]products!$A$1:$G$1,0))</f>
        <v>1</v>
      </c>
      <c r="S131" s="6">
        <f>INDEX([1]products!$A$1:$G$49,MATCH([1]orders!$D131,[1]products!$A$1:$A$49,0),MATCH([1]orders!L$1,[1]products!$A$1:$G$1,0))</f>
        <v>12.15</v>
      </c>
      <c r="T131" s="6">
        <f t="shared" si="12"/>
        <v>12.15</v>
      </c>
      <c r="U131" s="22">
        <f t="shared" ref="U131:U194" si="16">Q131*P131</f>
        <v>1.3365</v>
      </c>
      <c r="V131" s="22">
        <f t="shared" ref="V131:V194" si="17">U131/T131*100</f>
        <v>11</v>
      </c>
    </row>
    <row r="132" spans="1:22" x14ac:dyDescent="0.3">
      <c r="A132" s="1" t="s">
        <v>289</v>
      </c>
      <c r="B132" s="2">
        <v>44624</v>
      </c>
      <c r="C132" s="2" t="str">
        <f t="shared" si="13"/>
        <v>Friday</v>
      </c>
      <c r="D132" s="2" t="str">
        <f t="shared" si="14"/>
        <v>March</v>
      </c>
      <c r="E132" s="2" t="str">
        <f t="shared" si="15"/>
        <v>2022</v>
      </c>
      <c r="F132" s="3" t="s">
        <v>290</v>
      </c>
      <c r="G132" s="3" t="str">
        <f>VLOOKUP(F133,'Customers (2)'!A:I,2,0)</f>
        <v>Bobinette Hindsberg</v>
      </c>
      <c r="H132" s="3">
        <f>VLOOKUP(F132,'Customers (2)'!A:I,3,0)</f>
        <v>0</v>
      </c>
      <c r="I132" s="3" t="str">
        <f>VLOOKUP(F132,'Customers (2)'!A:I,4,0)</f>
        <v>+353 (900) 633-2359</v>
      </c>
      <c r="J132" s="3" t="str">
        <f>VLOOKUP(F132,'Customers (2)'!A:I,6,0)</f>
        <v>Cherryville</v>
      </c>
      <c r="K132" s="3" t="str">
        <f>VLOOKUP(F132,'Customers (2)'!A:I,7,0)</f>
        <v>Ireland</v>
      </c>
      <c r="L132" s="3" t="str">
        <f>VLOOKUP(F132,'Customers (2)'!A:I,9,0)</f>
        <v>Yes</v>
      </c>
      <c r="M132" s="4" t="s">
        <v>204</v>
      </c>
      <c r="N132" s="4" t="str">
        <f>VLOOKUP(M132,'Products (2)'!A:G,2,0)</f>
        <v>Arabica</v>
      </c>
      <c r="O132" s="4" t="str">
        <f>VLOOKUP(M132,'Products (2)'!A:G,3,0)</f>
        <v>Light</v>
      </c>
      <c r="P132" s="4">
        <f>VLOOKUP(M132,'Products (2)'!A:G,7,0)</f>
        <v>2.6806499999999995</v>
      </c>
      <c r="Q132" s="3">
        <v>5</v>
      </c>
      <c r="R132" s="5">
        <f>INDEX([1]products!$A$1:$G$49,MATCH([1]orders!$D132,[1]products!$A$1:$A$49,0),MATCH([1]orders!K$1,[1]products!$A$1:$G$1,0))</f>
        <v>2.5</v>
      </c>
      <c r="S132" s="6">
        <f>INDEX([1]products!$A$1:$G$49,MATCH([1]orders!$D132,[1]products!$A$1:$A$49,0),MATCH([1]orders!L$1,[1]products!$A$1:$G$1,0))</f>
        <v>29.784999999999997</v>
      </c>
      <c r="T132" s="6">
        <f t="shared" si="12"/>
        <v>148.92499999999998</v>
      </c>
      <c r="U132" s="22">
        <f t="shared" si="16"/>
        <v>13.403249999999998</v>
      </c>
      <c r="V132" s="22">
        <f t="shared" si="17"/>
        <v>9</v>
      </c>
    </row>
    <row r="133" spans="1:22" x14ac:dyDescent="0.3">
      <c r="A133" s="1" t="s">
        <v>291</v>
      </c>
      <c r="B133" s="2">
        <v>44196</v>
      </c>
      <c r="C133" s="2" t="str">
        <f t="shared" si="13"/>
        <v>Thursday</v>
      </c>
      <c r="D133" s="2" t="str">
        <f t="shared" si="14"/>
        <v>December</v>
      </c>
      <c r="E133" s="2" t="str">
        <f t="shared" si="15"/>
        <v>2020</v>
      </c>
      <c r="F133" s="3" t="s">
        <v>292</v>
      </c>
      <c r="G133" s="3" t="str">
        <f>VLOOKUP(F134,'Customers (2)'!A:I,2,0)</f>
        <v>Osbert Robins</v>
      </c>
      <c r="H133" s="3" t="str">
        <f>VLOOKUP(F133,'Customers (2)'!A:I,3,0)</f>
        <v>bhindsberg3n@blogs.com</v>
      </c>
      <c r="I133" s="3" t="str">
        <f>VLOOKUP(F133,'Customers (2)'!A:I,4,0)</f>
        <v>+1 (704) 888-5303</v>
      </c>
      <c r="J133" s="3" t="str">
        <f>VLOOKUP(F133,'Customers (2)'!A:I,6,0)</f>
        <v>Charlotte</v>
      </c>
      <c r="K133" s="3" t="str">
        <f>VLOOKUP(F133,'Customers (2)'!A:I,7,0)</f>
        <v>United States</v>
      </c>
      <c r="L133" s="3" t="str">
        <f>VLOOKUP(F133,'Customers (2)'!A:I,9,0)</f>
        <v>Yes</v>
      </c>
      <c r="M133" s="4" t="s">
        <v>16</v>
      </c>
      <c r="N133" s="4" t="str">
        <f>VLOOKUP(M133,'Products (2)'!A:G,2,0)</f>
        <v>Excelsa</v>
      </c>
      <c r="O133" s="4" t="str">
        <f>VLOOKUP(M133,'Products (2)'!A:G,3,0)</f>
        <v>Dark</v>
      </c>
      <c r="P133" s="4">
        <f>VLOOKUP(M133,'Products (2)'!A:G,7,0)</f>
        <v>0.80190000000000006</v>
      </c>
      <c r="Q133" s="3">
        <v>2</v>
      </c>
      <c r="R133" s="5">
        <f>INDEX([1]products!$A$1:$G$49,MATCH([1]orders!$D133,[1]products!$A$1:$A$49,0),MATCH([1]orders!K$1,[1]products!$A$1:$G$1,0))</f>
        <v>0.5</v>
      </c>
      <c r="S133" s="6">
        <f>INDEX([1]products!$A$1:$G$49,MATCH([1]orders!$D133,[1]products!$A$1:$A$49,0),MATCH([1]orders!L$1,[1]products!$A$1:$G$1,0))</f>
        <v>7.29</v>
      </c>
      <c r="T133" s="6">
        <f t="shared" si="12"/>
        <v>14.58</v>
      </c>
      <c r="U133" s="22">
        <f t="shared" si="16"/>
        <v>1.6038000000000001</v>
      </c>
      <c r="V133" s="22">
        <f t="shared" si="17"/>
        <v>11</v>
      </c>
    </row>
    <row r="134" spans="1:22" x14ac:dyDescent="0.3">
      <c r="A134" s="1" t="s">
        <v>293</v>
      </c>
      <c r="B134" s="2">
        <v>44043</v>
      </c>
      <c r="C134" s="2" t="str">
        <f t="shared" si="13"/>
        <v>Friday</v>
      </c>
      <c r="D134" s="2" t="str">
        <f t="shared" si="14"/>
        <v>July</v>
      </c>
      <c r="E134" s="2" t="str">
        <f t="shared" si="15"/>
        <v>2020</v>
      </c>
      <c r="F134" s="3" t="s">
        <v>294</v>
      </c>
      <c r="G134" s="3" t="str">
        <f>VLOOKUP(F135,'Customers (2)'!A:I,2,0)</f>
        <v>Othello Syseland</v>
      </c>
      <c r="H134" s="3" t="str">
        <f>VLOOKUP(F134,'Customers (2)'!A:I,3,0)</f>
        <v>orobins3o@salon.com</v>
      </c>
      <c r="I134" s="3" t="str">
        <f>VLOOKUP(F134,'Customers (2)'!A:I,4,0)</f>
        <v>+1 (256) 196-8054</v>
      </c>
      <c r="J134" s="3" t="str">
        <f>VLOOKUP(F134,'Customers (2)'!A:I,6,0)</f>
        <v>Huntsville</v>
      </c>
      <c r="K134" s="3" t="str">
        <f>VLOOKUP(F134,'Customers (2)'!A:I,7,0)</f>
        <v>United States</v>
      </c>
      <c r="L134" s="3" t="str">
        <f>VLOOKUP(F134,'Customers (2)'!A:I,9,0)</f>
        <v>Yes</v>
      </c>
      <c r="M134" s="4" t="s">
        <v>204</v>
      </c>
      <c r="N134" s="4" t="str">
        <f>VLOOKUP(M134,'Products (2)'!A:G,2,0)</f>
        <v>Arabica</v>
      </c>
      <c r="O134" s="4" t="str">
        <f>VLOOKUP(M134,'Products (2)'!A:G,3,0)</f>
        <v>Light</v>
      </c>
      <c r="P134" s="4">
        <f>VLOOKUP(M134,'Products (2)'!A:G,7,0)</f>
        <v>2.6806499999999995</v>
      </c>
      <c r="Q134" s="3">
        <v>5</v>
      </c>
      <c r="R134" s="5">
        <f>INDEX([1]products!$A$1:$G$49,MATCH([1]orders!$D134,[1]products!$A$1:$A$49,0),MATCH([1]orders!K$1,[1]products!$A$1:$G$1,0))</f>
        <v>2.5</v>
      </c>
      <c r="S134" s="6">
        <f>INDEX([1]products!$A$1:$G$49,MATCH([1]orders!$D134,[1]products!$A$1:$A$49,0),MATCH([1]orders!L$1,[1]products!$A$1:$G$1,0))</f>
        <v>29.784999999999997</v>
      </c>
      <c r="T134" s="6">
        <f t="shared" si="12"/>
        <v>148.92499999999998</v>
      </c>
      <c r="U134" s="22">
        <f t="shared" si="16"/>
        <v>13.403249999999998</v>
      </c>
      <c r="V134" s="22">
        <f t="shared" si="17"/>
        <v>9</v>
      </c>
    </row>
    <row r="135" spans="1:22" x14ac:dyDescent="0.3">
      <c r="A135" s="1" t="s">
        <v>295</v>
      </c>
      <c r="B135" s="2">
        <v>44340</v>
      </c>
      <c r="C135" s="2" t="str">
        <f t="shared" si="13"/>
        <v>Monday</v>
      </c>
      <c r="D135" s="2" t="str">
        <f t="shared" si="14"/>
        <v>May</v>
      </c>
      <c r="E135" s="2" t="str">
        <f t="shared" si="15"/>
        <v>2021</v>
      </c>
      <c r="F135" s="3" t="s">
        <v>296</v>
      </c>
      <c r="G135" s="3" t="str">
        <f>VLOOKUP(F136,'Customers (2)'!A:I,2,0)</f>
        <v>Ewell Hanby</v>
      </c>
      <c r="H135" s="3" t="str">
        <f>VLOOKUP(F135,'Customers (2)'!A:I,3,0)</f>
        <v>osyseland3p@independent.co.uk</v>
      </c>
      <c r="I135" s="3" t="str">
        <f>VLOOKUP(F135,'Customers (2)'!A:I,4,0)</f>
        <v>+1 (714) 895-0210</v>
      </c>
      <c r="J135" s="3" t="str">
        <f>VLOOKUP(F135,'Customers (2)'!A:I,6,0)</f>
        <v>Santa Ana</v>
      </c>
      <c r="K135" s="3" t="str">
        <f>VLOOKUP(F135,'Customers (2)'!A:I,7,0)</f>
        <v>United States</v>
      </c>
      <c r="L135" s="3" t="str">
        <f>VLOOKUP(F135,'Customers (2)'!A:I,9,0)</f>
        <v>No</v>
      </c>
      <c r="M135" s="4" t="s">
        <v>13</v>
      </c>
      <c r="N135" s="4" t="str">
        <f>VLOOKUP(M135,'Products (2)'!A:G,2,0)</f>
        <v>Liberica</v>
      </c>
      <c r="O135" s="4" t="str">
        <f>VLOOKUP(M135,'Products (2)'!A:G,3,0)</f>
        <v>Dark</v>
      </c>
      <c r="P135" s="4">
        <f>VLOOKUP(M135,'Products (2)'!A:G,7,0)</f>
        <v>1.6835</v>
      </c>
      <c r="Q135" s="3">
        <v>1</v>
      </c>
      <c r="R135" s="5">
        <f>INDEX([1]products!$A$1:$G$49,MATCH([1]orders!$D135,[1]products!$A$1:$A$49,0),MATCH([1]orders!K$1,[1]products!$A$1:$G$1,0))</f>
        <v>1</v>
      </c>
      <c r="S135" s="6">
        <f>INDEX([1]products!$A$1:$G$49,MATCH([1]orders!$D135,[1]products!$A$1:$A$49,0),MATCH([1]orders!L$1,[1]products!$A$1:$G$1,0))</f>
        <v>12.95</v>
      </c>
      <c r="T135" s="6">
        <f t="shared" si="12"/>
        <v>12.95</v>
      </c>
      <c r="U135" s="22">
        <f t="shared" si="16"/>
        <v>1.6835</v>
      </c>
      <c r="V135" s="22">
        <f t="shared" si="17"/>
        <v>13</v>
      </c>
    </row>
    <row r="136" spans="1:22" x14ac:dyDescent="0.3">
      <c r="A136" s="1" t="s">
        <v>297</v>
      </c>
      <c r="B136" s="2">
        <v>44758</v>
      </c>
      <c r="C136" s="2" t="str">
        <f t="shared" si="13"/>
        <v>Saturday</v>
      </c>
      <c r="D136" s="2" t="str">
        <f t="shared" si="14"/>
        <v>July</v>
      </c>
      <c r="E136" s="2" t="str">
        <f t="shared" si="15"/>
        <v>2022</v>
      </c>
      <c r="F136" s="3" t="s">
        <v>298</v>
      </c>
      <c r="G136" s="3" t="str">
        <f>VLOOKUP(F137,'Customers (2)'!A:I,2,0)</f>
        <v>Blancha McAmish</v>
      </c>
      <c r="H136" s="3">
        <f>VLOOKUP(F136,'Customers (2)'!A:I,3,0)</f>
        <v>0</v>
      </c>
      <c r="I136" s="3">
        <f>VLOOKUP(F136,'Customers (2)'!A:I,4,0)</f>
        <v>0</v>
      </c>
      <c r="J136" s="3" t="str">
        <f>VLOOKUP(F136,'Customers (2)'!A:I,6,0)</f>
        <v>Washington</v>
      </c>
      <c r="K136" s="3" t="str">
        <f>VLOOKUP(F136,'Customers (2)'!A:I,7,0)</f>
        <v>United States</v>
      </c>
      <c r="L136" s="3" t="str">
        <f>VLOOKUP(F136,'Customers (2)'!A:I,9,0)</f>
        <v>Yes</v>
      </c>
      <c r="M136" s="4" t="s">
        <v>112</v>
      </c>
      <c r="N136" s="4" t="str">
        <f>VLOOKUP(M136,'Products (2)'!A:G,2,0)</f>
        <v>Excelsa</v>
      </c>
      <c r="O136" s="4" t="str">
        <f>VLOOKUP(M136,'Products (2)'!A:G,3,0)</f>
        <v>Medium</v>
      </c>
      <c r="P136" s="4">
        <f>VLOOKUP(M136,'Products (2)'!A:G,7,0)</f>
        <v>3.4787499999999998</v>
      </c>
      <c r="Q136" s="3">
        <v>3</v>
      </c>
      <c r="R136" s="5">
        <f>INDEX([1]products!$A$1:$G$49,MATCH([1]orders!$D136,[1]products!$A$1:$A$49,0),MATCH([1]orders!K$1,[1]products!$A$1:$G$1,0))</f>
        <v>2.5</v>
      </c>
      <c r="S136" s="6">
        <f>INDEX([1]products!$A$1:$G$49,MATCH([1]orders!$D136,[1]products!$A$1:$A$49,0),MATCH([1]orders!L$1,[1]products!$A$1:$G$1,0))</f>
        <v>31.624999999999996</v>
      </c>
      <c r="T136" s="6">
        <f t="shared" si="12"/>
        <v>94.874999999999986</v>
      </c>
      <c r="U136" s="22">
        <f t="shared" si="16"/>
        <v>10.436249999999999</v>
      </c>
      <c r="V136" s="22">
        <f t="shared" si="17"/>
        <v>11.000000000000002</v>
      </c>
    </row>
    <row r="137" spans="1:22" x14ac:dyDescent="0.3">
      <c r="A137" s="1" t="s">
        <v>299</v>
      </c>
      <c r="B137" s="2">
        <v>44232</v>
      </c>
      <c r="C137" s="2" t="str">
        <f t="shared" si="13"/>
        <v>Friday</v>
      </c>
      <c r="D137" s="2" t="str">
        <f t="shared" si="14"/>
        <v>February</v>
      </c>
      <c r="E137" s="2" t="str">
        <f t="shared" si="15"/>
        <v>2021</v>
      </c>
      <c r="F137" s="3" t="s">
        <v>300</v>
      </c>
      <c r="G137" s="3" t="str">
        <f>VLOOKUP(F138,'Customers (2)'!A:I,2,0)</f>
        <v>Lowell Keenleyside</v>
      </c>
      <c r="H137" s="3" t="str">
        <f>VLOOKUP(F137,'Customers (2)'!A:I,3,0)</f>
        <v>bmcamish2e@tripadvisor.com</v>
      </c>
      <c r="I137" s="3">
        <f>VLOOKUP(F137,'Customers (2)'!A:I,4,0)</f>
        <v>0</v>
      </c>
      <c r="J137" s="3" t="str">
        <f>VLOOKUP(F137,'Customers (2)'!A:I,6,0)</f>
        <v>Oklahoma City</v>
      </c>
      <c r="K137" s="3" t="str">
        <f>VLOOKUP(F137,'Customers (2)'!A:I,7,0)</f>
        <v>United States</v>
      </c>
      <c r="L137" s="3" t="str">
        <f>VLOOKUP(F137,'Customers (2)'!A:I,9,0)</f>
        <v>Yes</v>
      </c>
      <c r="M137" s="4" t="s">
        <v>192</v>
      </c>
      <c r="N137" s="4" t="str">
        <f>VLOOKUP(M137,'Products (2)'!A:G,2,0)</f>
        <v>Arabica</v>
      </c>
      <c r="O137" s="4" t="str">
        <f>VLOOKUP(M137,'Products (2)'!A:G,3,0)</f>
        <v>Light</v>
      </c>
      <c r="P137" s="4">
        <f>VLOOKUP(M137,'Products (2)'!A:G,7,0)</f>
        <v>0.69929999999999992</v>
      </c>
      <c r="Q137" s="3">
        <v>5</v>
      </c>
      <c r="R137" s="5">
        <f>INDEX([1]products!$A$1:$G$49,MATCH([1]orders!$D137,[1]products!$A$1:$A$49,0),MATCH([1]orders!K$1,[1]products!$A$1:$G$1,0))</f>
        <v>0.5</v>
      </c>
      <c r="S137" s="6">
        <f>INDEX([1]products!$A$1:$G$49,MATCH([1]orders!$D137,[1]products!$A$1:$A$49,0),MATCH([1]orders!L$1,[1]products!$A$1:$G$1,0))</f>
        <v>7.77</v>
      </c>
      <c r="T137" s="6">
        <f t="shared" si="12"/>
        <v>38.849999999999994</v>
      </c>
      <c r="U137" s="22">
        <f t="shared" si="16"/>
        <v>3.4964999999999997</v>
      </c>
      <c r="V137" s="22">
        <f t="shared" si="17"/>
        <v>9.0000000000000018</v>
      </c>
    </row>
    <row r="138" spans="1:22" x14ac:dyDescent="0.3">
      <c r="A138" s="1" t="s">
        <v>301</v>
      </c>
      <c r="B138" s="2">
        <v>44406</v>
      </c>
      <c r="C138" s="2" t="str">
        <f t="shared" si="13"/>
        <v>Thursday</v>
      </c>
      <c r="D138" s="2" t="str">
        <f t="shared" si="14"/>
        <v>July</v>
      </c>
      <c r="E138" s="2" t="str">
        <f t="shared" si="15"/>
        <v>2021</v>
      </c>
      <c r="F138" s="3" t="s">
        <v>302</v>
      </c>
      <c r="G138" s="3" t="str">
        <f>VLOOKUP(F139,'Customers (2)'!A:I,2,0)</f>
        <v>Elonore Joliffe</v>
      </c>
      <c r="H138" s="3" t="str">
        <f>VLOOKUP(F138,'Customers (2)'!A:I,3,0)</f>
        <v>lkeenleyside3s@topsy.com</v>
      </c>
      <c r="I138" s="3" t="str">
        <f>VLOOKUP(F138,'Customers (2)'!A:I,4,0)</f>
        <v>+1 (636) 713-5124</v>
      </c>
      <c r="J138" s="3" t="str">
        <f>VLOOKUP(F138,'Customers (2)'!A:I,6,0)</f>
        <v>Saint Louis</v>
      </c>
      <c r="K138" s="3" t="str">
        <f>VLOOKUP(F138,'Customers (2)'!A:I,7,0)</f>
        <v>United States</v>
      </c>
      <c r="L138" s="3" t="str">
        <f>VLOOKUP(F138,'Customers (2)'!A:I,9,0)</f>
        <v>No</v>
      </c>
      <c r="M138" s="4" t="s">
        <v>54</v>
      </c>
      <c r="N138" s="4" t="str">
        <f>VLOOKUP(M138,'Products (2)'!A:G,2,0)</f>
        <v>Arabica</v>
      </c>
      <c r="O138" s="4" t="str">
        <f>VLOOKUP(M138,'Products (2)'!A:G,3,0)</f>
        <v>Dark</v>
      </c>
      <c r="P138" s="4">
        <f>VLOOKUP(M138,'Products (2)'!A:G,7,0)</f>
        <v>0.26865</v>
      </c>
      <c r="Q138" s="3">
        <v>4</v>
      </c>
      <c r="R138" s="5">
        <f>INDEX([1]products!$A$1:$G$49,MATCH([1]orders!$D138,[1]products!$A$1:$A$49,0),MATCH([1]orders!K$1,[1]products!$A$1:$G$1,0))</f>
        <v>0.2</v>
      </c>
      <c r="S138" s="6">
        <f>INDEX([1]products!$A$1:$G$49,MATCH([1]orders!$D138,[1]products!$A$1:$A$49,0),MATCH([1]orders!L$1,[1]products!$A$1:$G$1,0))</f>
        <v>2.9849999999999999</v>
      </c>
      <c r="T138" s="6">
        <f t="shared" si="12"/>
        <v>11.94</v>
      </c>
      <c r="U138" s="22">
        <f t="shared" si="16"/>
        <v>1.0746</v>
      </c>
      <c r="V138" s="22">
        <f t="shared" si="17"/>
        <v>9.0000000000000018</v>
      </c>
    </row>
    <row r="139" spans="1:22" x14ac:dyDescent="0.3">
      <c r="A139" s="1" t="s">
        <v>303</v>
      </c>
      <c r="B139" s="2">
        <v>44637</v>
      </c>
      <c r="C139" s="2" t="str">
        <f t="shared" si="13"/>
        <v>Thursday</v>
      </c>
      <c r="D139" s="2" t="str">
        <f t="shared" si="14"/>
        <v>March</v>
      </c>
      <c r="E139" s="2" t="str">
        <f t="shared" si="15"/>
        <v>2022</v>
      </c>
      <c r="F139" s="3" t="s">
        <v>304</v>
      </c>
      <c r="G139" s="3" t="str">
        <f>VLOOKUP(F140,'Customers (2)'!A:I,2,0)</f>
        <v>Abraham Coleman</v>
      </c>
      <c r="H139" s="3">
        <f>VLOOKUP(F139,'Customers (2)'!A:I,3,0)</f>
        <v>0</v>
      </c>
      <c r="I139" s="3" t="str">
        <f>VLOOKUP(F139,'Customers (2)'!A:I,4,0)</f>
        <v>+353 (994) 611-5746</v>
      </c>
      <c r="J139" s="3" t="str">
        <f>VLOOKUP(F139,'Customers (2)'!A:I,6,0)</f>
        <v>Bailieborough</v>
      </c>
      <c r="K139" s="3" t="str">
        <f>VLOOKUP(F139,'Customers (2)'!A:I,7,0)</f>
        <v>Ireland</v>
      </c>
      <c r="L139" s="3" t="str">
        <f>VLOOKUP(F139,'Customers (2)'!A:I,9,0)</f>
        <v>No</v>
      </c>
      <c r="M139" s="4" t="s">
        <v>30</v>
      </c>
      <c r="N139" s="4" t="str">
        <f>VLOOKUP(M139,'Products (2)'!A:G,2,0)</f>
        <v>Excelsa</v>
      </c>
      <c r="O139" s="4" t="str">
        <f>VLOOKUP(M139,'Products (2)'!A:G,3,0)</f>
        <v>Light</v>
      </c>
      <c r="P139" s="4">
        <f>VLOOKUP(M139,'Products (2)'!A:G,7,0)</f>
        <v>3.7570499999999996</v>
      </c>
      <c r="Q139" s="3">
        <v>3</v>
      </c>
      <c r="R139" s="5">
        <f>INDEX([1]products!$A$1:$G$49,MATCH([1]orders!$D139,[1]products!$A$1:$A$49,0),MATCH([1]orders!K$1,[1]products!$A$1:$G$1,0))</f>
        <v>2.5</v>
      </c>
      <c r="S139" s="6">
        <f>INDEX([1]products!$A$1:$G$49,MATCH([1]orders!$D139,[1]products!$A$1:$A$49,0),MATCH([1]orders!L$1,[1]products!$A$1:$G$1,0))</f>
        <v>34.154999999999994</v>
      </c>
      <c r="T139" s="6">
        <f t="shared" si="12"/>
        <v>102.46499999999997</v>
      </c>
      <c r="U139" s="22">
        <f t="shared" si="16"/>
        <v>11.271149999999999</v>
      </c>
      <c r="V139" s="22">
        <f t="shared" si="17"/>
        <v>11.000000000000002</v>
      </c>
    </row>
    <row r="140" spans="1:22" x14ac:dyDescent="0.3">
      <c r="A140" s="1" t="s">
        <v>305</v>
      </c>
      <c r="B140" s="2">
        <v>44238</v>
      </c>
      <c r="C140" s="2" t="str">
        <f t="shared" si="13"/>
        <v>Thursday</v>
      </c>
      <c r="D140" s="2" t="str">
        <f t="shared" si="14"/>
        <v>February</v>
      </c>
      <c r="E140" s="2" t="str">
        <f t="shared" si="15"/>
        <v>2021</v>
      </c>
      <c r="F140" s="3" t="s">
        <v>306</v>
      </c>
      <c r="G140" s="3" t="str">
        <f>VLOOKUP(F141,'Customers (2)'!A:I,2,0)</f>
        <v>Rivy Farington</v>
      </c>
      <c r="H140" s="3">
        <f>VLOOKUP(F140,'Customers (2)'!A:I,3,0)</f>
        <v>0</v>
      </c>
      <c r="I140" s="3" t="str">
        <f>VLOOKUP(F140,'Customers (2)'!A:I,4,0)</f>
        <v>+1 (808) 815-5051</v>
      </c>
      <c r="J140" s="3" t="str">
        <f>VLOOKUP(F140,'Customers (2)'!A:I,6,0)</f>
        <v>Honolulu</v>
      </c>
      <c r="K140" s="3" t="str">
        <f>VLOOKUP(F140,'Customers (2)'!A:I,7,0)</f>
        <v>United States</v>
      </c>
      <c r="L140" s="3" t="str">
        <f>VLOOKUP(F140,'Customers (2)'!A:I,9,0)</f>
        <v>No</v>
      </c>
      <c r="M140" s="4" t="s">
        <v>245</v>
      </c>
      <c r="N140" s="4" t="str">
        <f>VLOOKUP(M140,'Products (2)'!A:G,2,0)</f>
        <v>Excelsa</v>
      </c>
      <c r="O140" s="4" t="str">
        <f>VLOOKUP(M140,'Products (2)'!A:G,3,0)</f>
        <v>Dark</v>
      </c>
      <c r="P140" s="4">
        <f>VLOOKUP(M140,'Products (2)'!A:G,7,0)</f>
        <v>1.3365</v>
      </c>
      <c r="Q140" s="3">
        <v>4</v>
      </c>
      <c r="R140" s="5">
        <f>INDEX([1]products!$A$1:$G$49,MATCH([1]orders!$D140,[1]products!$A$1:$A$49,0),MATCH([1]orders!K$1,[1]products!$A$1:$G$1,0))</f>
        <v>1</v>
      </c>
      <c r="S140" s="6">
        <f>INDEX([1]products!$A$1:$G$49,MATCH([1]orders!$D140,[1]products!$A$1:$A$49,0),MATCH([1]orders!L$1,[1]products!$A$1:$G$1,0))</f>
        <v>12.15</v>
      </c>
      <c r="T140" s="6">
        <f t="shared" si="12"/>
        <v>48.6</v>
      </c>
      <c r="U140" s="22">
        <f t="shared" si="16"/>
        <v>5.3460000000000001</v>
      </c>
      <c r="V140" s="22">
        <f t="shared" si="17"/>
        <v>11</v>
      </c>
    </row>
    <row r="141" spans="1:22" x14ac:dyDescent="0.3">
      <c r="A141" s="1" t="s">
        <v>307</v>
      </c>
      <c r="B141" s="2">
        <v>43509</v>
      </c>
      <c r="C141" s="2" t="str">
        <f t="shared" si="13"/>
        <v>Wednesday</v>
      </c>
      <c r="D141" s="2" t="str">
        <f t="shared" si="14"/>
        <v>February</v>
      </c>
      <c r="E141" s="2" t="str">
        <f t="shared" si="15"/>
        <v>2019</v>
      </c>
      <c r="F141" s="3" t="s">
        <v>308</v>
      </c>
      <c r="G141" s="3" t="str">
        <f>VLOOKUP(F142,'Customers (2)'!A:I,2,0)</f>
        <v>Vallie Kundt</v>
      </c>
      <c r="H141" s="3">
        <f>VLOOKUP(F141,'Customers (2)'!A:I,3,0)</f>
        <v>0</v>
      </c>
      <c r="I141" s="3" t="str">
        <f>VLOOKUP(F141,'Customers (2)'!A:I,4,0)</f>
        <v>+1 (951) 638-0879</v>
      </c>
      <c r="J141" s="3" t="str">
        <f>VLOOKUP(F141,'Customers (2)'!A:I,6,0)</f>
        <v>Corona</v>
      </c>
      <c r="K141" s="3" t="str">
        <f>VLOOKUP(F141,'Customers (2)'!A:I,7,0)</f>
        <v>United States</v>
      </c>
      <c r="L141" s="3" t="str">
        <f>VLOOKUP(F141,'Customers (2)'!A:I,9,0)</f>
        <v>Yes</v>
      </c>
      <c r="M141" s="4" t="s">
        <v>13</v>
      </c>
      <c r="N141" s="4" t="str">
        <f>VLOOKUP(M141,'Products (2)'!A:G,2,0)</f>
        <v>Liberica</v>
      </c>
      <c r="O141" s="4" t="str">
        <f>VLOOKUP(M141,'Products (2)'!A:G,3,0)</f>
        <v>Dark</v>
      </c>
      <c r="P141" s="4">
        <f>VLOOKUP(M141,'Products (2)'!A:G,7,0)</f>
        <v>1.6835</v>
      </c>
      <c r="Q141" s="3">
        <v>6</v>
      </c>
      <c r="R141" s="5">
        <f>INDEX([1]products!$A$1:$G$49,MATCH([1]orders!$D141,[1]products!$A$1:$A$49,0),MATCH([1]orders!K$1,[1]products!$A$1:$G$1,0))</f>
        <v>1</v>
      </c>
      <c r="S141" s="6">
        <f>INDEX([1]products!$A$1:$G$49,MATCH([1]orders!$D141,[1]products!$A$1:$A$49,0),MATCH([1]orders!L$1,[1]products!$A$1:$G$1,0))</f>
        <v>12.95</v>
      </c>
      <c r="T141" s="6">
        <f t="shared" si="12"/>
        <v>77.699999999999989</v>
      </c>
      <c r="U141" s="22">
        <f t="shared" si="16"/>
        <v>10.100999999999999</v>
      </c>
      <c r="V141" s="22">
        <f t="shared" si="17"/>
        <v>13</v>
      </c>
    </row>
    <row r="142" spans="1:22" x14ac:dyDescent="0.3">
      <c r="A142" s="1" t="s">
        <v>309</v>
      </c>
      <c r="B142" s="2">
        <v>44694</v>
      </c>
      <c r="C142" s="2" t="str">
        <f t="shared" si="13"/>
        <v>Friday</v>
      </c>
      <c r="D142" s="2" t="str">
        <f t="shared" si="14"/>
        <v>May</v>
      </c>
      <c r="E142" s="2" t="str">
        <f t="shared" si="15"/>
        <v>2022</v>
      </c>
      <c r="F142" s="3" t="s">
        <v>310</v>
      </c>
      <c r="G142" s="3" t="str">
        <f>VLOOKUP(F143,'Customers (2)'!A:I,2,0)</f>
        <v>Boyd Bett</v>
      </c>
      <c r="H142" s="3" t="str">
        <f>VLOOKUP(F142,'Customers (2)'!A:I,3,0)</f>
        <v>vkundt3w@bigcartel.com</v>
      </c>
      <c r="I142" s="3" t="str">
        <f>VLOOKUP(F142,'Customers (2)'!A:I,4,0)</f>
        <v>+353 (472) 791-2507</v>
      </c>
      <c r="J142" s="3" t="str">
        <f>VLOOKUP(F142,'Customers (2)'!A:I,6,0)</f>
        <v>Ballivor</v>
      </c>
      <c r="K142" s="3" t="str">
        <f>VLOOKUP(F142,'Customers (2)'!A:I,7,0)</f>
        <v>Ireland</v>
      </c>
      <c r="L142" s="3" t="str">
        <f>VLOOKUP(F142,'Customers (2)'!A:I,9,0)</f>
        <v>Yes</v>
      </c>
      <c r="M142" s="4" t="s">
        <v>109</v>
      </c>
      <c r="N142" s="4" t="str">
        <f>VLOOKUP(M142,'Products (2)'!A:G,2,0)</f>
        <v>Liberica</v>
      </c>
      <c r="O142" s="4" t="str">
        <f>VLOOKUP(M142,'Products (2)'!A:G,3,0)</f>
        <v>Dark</v>
      </c>
      <c r="P142" s="4">
        <f>VLOOKUP(M142,'Products (2)'!A:G,7,0)</f>
        <v>3.8720499999999998</v>
      </c>
      <c r="Q142" s="3">
        <v>1</v>
      </c>
      <c r="R142" s="5">
        <f>INDEX([1]products!$A$1:$G$49,MATCH([1]orders!$D142,[1]products!$A$1:$A$49,0),MATCH([1]orders!K$1,[1]products!$A$1:$G$1,0))</f>
        <v>2.5</v>
      </c>
      <c r="S142" s="6">
        <f>INDEX([1]products!$A$1:$G$49,MATCH([1]orders!$D142,[1]products!$A$1:$A$49,0),MATCH([1]orders!L$1,[1]products!$A$1:$G$1,0))</f>
        <v>29.784999999999997</v>
      </c>
      <c r="T142" s="6">
        <f t="shared" si="12"/>
        <v>29.784999999999997</v>
      </c>
      <c r="U142" s="22">
        <f t="shared" si="16"/>
        <v>3.8720499999999998</v>
      </c>
      <c r="V142" s="22">
        <f t="shared" si="17"/>
        <v>13</v>
      </c>
    </row>
    <row r="143" spans="1:22" x14ac:dyDescent="0.3">
      <c r="A143" s="1" t="s">
        <v>311</v>
      </c>
      <c r="B143" s="2">
        <v>43970</v>
      </c>
      <c r="C143" s="2" t="str">
        <f t="shared" si="13"/>
        <v>Tuesday</v>
      </c>
      <c r="D143" s="2" t="str">
        <f t="shared" si="14"/>
        <v>May</v>
      </c>
      <c r="E143" s="2" t="str">
        <f t="shared" si="15"/>
        <v>2020</v>
      </c>
      <c r="F143" s="3" t="s">
        <v>312</v>
      </c>
      <c r="G143" s="3" t="str">
        <f>VLOOKUP(F144,'Customers (2)'!A:I,2,0)</f>
        <v>Julio Armytage</v>
      </c>
      <c r="H143" s="3" t="str">
        <f>VLOOKUP(F143,'Customers (2)'!A:I,3,0)</f>
        <v>bbett3x@google.de</v>
      </c>
      <c r="I143" s="3" t="str">
        <f>VLOOKUP(F143,'Customers (2)'!A:I,4,0)</f>
        <v>+1 (202) 632-9905</v>
      </c>
      <c r="J143" s="3" t="str">
        <f>VLOOKUP(F143,'Customers (2)'!A:I,6,0)</f>
        <v>Washington</v>
      </c>
      <c r="K143" s="3" t="str">
        <f>VLOOKUP(F143,'Customers (2)'!A:I,7,0)</f>
        <v>United States</v>
      </c>
      <c r="L143" s="3" t="str">
        <f>VLOOKUP(F143,'Customers (2)'!A:I,9,0)</f>
        <v>Yes</v>
      </c>
      <c r="M143" s="4" t="s">
        <v>115</v>
      </c>
      <c r="N143" s="4" t="str">
        <f>VLOOKUP(M143,'Products (2)'!A:G,2,0)</f>
        <v>Arabica</v>
      </c>
      <c r="O143" s="4" t="str">
        <f>VLOOKUP(M143,'Products (2)'!A:G,3,0)</f>
        <v>Light</v>
      </c>
      <c r="P143" s="4">
        <f>VLOOKUP(M143,'Products (2)'!A:G,7,0)</f>
        <v>0.34964999999999996</v>
      </c>
      <c r="Q143" s="3">
        <v>4</v>
      </c>
      <c r="R143" s="5">
        <f>INDEX([1]products!$A$1:$G$49,MATCH([1]orders!$D143,[1]products!$A$1:$A$49,0),MATCH([1]orders!K$1,[1]products!$A$1:$G$1,0))</f>
        <v>0.2</v>
      </c>
      <c r="S143" s="6">
        <f>INDEX([1]products!$A$1:$G$49,MATCH([1]orders!$D143,[1]products!$A$1:$A$49,0),MATCH([1]orders!L$1,[1]products!$A$1:$G$1,0))</f>
        <v>3.8849999999999998</v>
      </c>
      <c r="T143" s="6">
        <f t="shared" si="12"/>
        <v>15.54</v>
      </c>
      <c r="U143" s="22">
        <f t="shared" si="16"/>
        <v>1.3985999999999998</v>
      </c>
      <c r="V143" s="22">
        <f t="shared" si="17"/>
        <v>9</v>
      </c>
    </row>
    <row r="144" spans="1:22" x14ac:dyDescent="0.3">
      <c r="A144" s="1" t="s">
        <v>313</v>
      </c>
      <c r="B144" s="2">
        <v>44678</v>
      </c>
      <c r="C144" s="2" t="str">
        <f t="shared" si="13"/>
        <v>Wednesday</v>
      </c>
      <c r="D144" s="2" t="str">
        <f t="shared" si="14"/>
        <v>April</v>
      </c>
      <c r="E144" s="2" t="str">
        <f t="shared" si="15"/>
        <v>2022</v>
      </c>
      <c r="F144" s="3" t="s">
        <v>314</v>
      </c>
      <c r="G144" s="3" t="str">
        <f>VLOOKUP(F145,'Customers (2)'!A:I,2,0)</f>
        <v>Deana Staite</v>
      </c>
      <c r="H144" s="3">
        <f>VLOOKUP(F144,'Customers (2)'!A:I,3,0)</f>
        <v>0</v>
      </c>
      <c r="I144" s="3">
        <f>VLOOKUP(F144,'Customers (2)'!A:I,4,0)</f>
        <v>0</v>
      </c>
      <c r="J144" s="3" t="str">
        <f>VLOOKUP(F144,'Customers (2)'!A:I,6,0)</f>
        <v>Portumna</v>
      </c>
      <c r="K144" s="3" t="str">
        <f>VLOOKUP(F144,'Customers (2)'!A:I,7,0)</f>
        <v>Ireland</v>
      </c>
      <c r="L144" s="3" t="str">
        <f>VLOOKUP(F144,'Customers (2)'!A:I,9,0)</f>
        <v>Yes</v>
      </c>
      <c r="M144" s="4" t="s">
        <v>30</v>
      </c>
      <c r="N144" s="4" t="str">
        <f>VLOOKUP(M144,'Products (2)'!A:G,2,0)</f>
        <v>Excelsa</v>
      </c>
      <c r="O144" s="4" t="str">
        <f>VLOOKUP(M144,'Products (2)'!A:G,3,0)</f>
        <v>Light</v>
      </c>
      <c r="P144" s="4">
        <f>VLOOKUP(M144,'Products (2)'!A:G,7,0)</f>
        <v>3.7570499999999996</v>
      </c>
      <c r="Q144" s="3">
        <v>4</v>
      </c>
      <c r="R144" s="5">
        <f>INDEX([1]products!$A$1:$G$49,MATCH([1]orders!$D144,[1]products!$A$1:$A$49,0),MATCH([1]orders!K$1,[1]products!$A$1:$G$1,0))</f>
        <v>2.5</v>
      </c>
      <c r="S144" s="6">
        <f>INDEX([1]products!$A$1:$G$49,MATCH([1]orders!$D144,[1]products!$A$1:$A$49,0),MATCH([1]orders!L$1,[1]products!$A$1:$G$1,0))</f>
        <v>34.154999999999994</v>
      </c>
      <c r="T144" s="6">
        <f t="shared" si="12"/>
        <v>136.61999999999998</v>
      </c>
      <c r="U144" s="22">
        <f t="shared" si="16"/>
        <v>15.028199999999998</v>
      </c>
      <c r="V144" s="22">
        <f t="shared" si="17"/>
        <v>11</v>
      </c>
    </row>
    <row r="145" spans="1:22" x14ac:dyDescent="0.3">
      <c r="A145" s="1" t="s">
        <v>315</v>
      </c>
      <c r="B145" s="2">
        <v>44083</v>
      </c>
      <c r="C145" s="2" t="str">
        <f t="shared" si="13"/>
        <v>Wednesday</v>
      </c>
      <c r="D145" s="2" t="str">
        <f t="shared" si="14"/>
        <v>September</v>
      </c>
      <c r="E145" s="2" t="str">
        <f t="shared" si="15"/>
        <v>2020</v>
      </c>
      <c r="F145" s="3" t="s">
        <v>316</v>
      </c>
      <c r="G145" s="3" t="str">
        <f>VLOOKUP(F146,'Customers (2)'!A:I,2,0)</f>
        <v>Winn Keyse</v>
      </c>
      <c r="H145" s="3" t="str">
        <f>VLOOKUP(F145,'Customers (2)'!A:I,3,0)</f>
        <v>dstaite3z@scientificamerican.com</v>
      </c>
      <c r="I145" s="3" t="str">
        <f>VLOOKUP(F145,'Customers (2)'!A:I,4,0)</f>
        <v>+1 (713) 478-3937</v>
      </c>
      <c r="J145" s="3" t="str">
        <f>VLOOKUP(F145,'Customers (2)'!A:I,6,0)</f>
        <v>Houston</v>
      </c>
      <c r="K145" s="3" t="str">
        <f>VLOOKUP(F145,'Customers (2)'!A:I,7,0)</f>
        <v>United States</v>
      </c>
      <c r="L145" s="3" t="str">
        <f>VLOOKUP(F145,'Customers (2)'!A:I,9,0)</f>
        <v>No</v>
      </c>
      <c r="M145" s="4" t="s">
        <v>78</v>
      </c>
      <c r="N145" s="4" t="str">
        <f>VLOOKUP(M145,'Products (2)'!A:G,2,0)</f>
        <v>Liberica</v>
      </c>
      <c r="O145" s="4" t="str">
        <f>VLOOKUP(M145,'Products (2)'!A:G,3,0)</f>
        <v>Medium</v>
      </c>
      <c r="P145" s="4">
        <f>VLOOKUP(M145,'Products (2)'!A:G,7,0)</f>
        <v>1.1349</v>
      </c>
      <c r="Q145" s="3">
        <v>2</v>
      </c>
      <c r="R145" s="5">
        <f>INDEX([1]products!$A$1:$G$49,MATCH([1]orders!$D145,[1]products!$A$1:$A$49,0),MATCH([1]orders!K$1,[1]products!$A$1:$G$1,0))</f>
        <v>0.5</v>
      </c>
      <c r="S145" s="6">
        <f>INDEX([1]products!$A$1:$G$49,MATCH([1]orders!$D145,[1]products!$A$1:$A$49,0),MATCH([1]orders!L$1,[1]products!$A$1:$G$1,0))</f>
        <v>8.73</v>
      </c>
      <c r="T145" s="6">
        <f t="shared" si="12"/>
        <v>17.46</v>
      </c>
      <c r="U145" s="22">
        <f t="shared" si="16"/>
        <v>2.2698</v>
      </c>
      <c r="V145" s="22">
        <f t="shared" si="17"/>
        <v>13</v>
      </c>
    </row>
    <row r="146" spans="1:22" x14ac:dyDescent="0.3">
      <c r="A146" s="1" t="s">
        <v>317</v>
      </c>
      <c r="B146" s="2">
        <v>44265</v>
      </c>
      <c r="C146" s="2" t="str">
        <f t="shared" si="13"/>
        <v>Wednesday</v>
      </c>
      <c r="D146" s="2" t="str">
        <f t="shared" si="14"/>
        <v>March</v>
      </c>
      <c r="E146" s="2" t="str">
        <f t="shared" si="15"/>
        <v>2021</v>
      </c>
      <c r="F146" s="3" t="s">
        <v>318</v>
      </c>
      <c r="G146" s="3" t="str">
        <f>VLOOKUP(F147,'Customers (2)'!A:I,2,0)</f>
        <v>Osmund Clausen-Thue</v>
      </c>
      <c r="H146" s="3" t="str">
        <f>VLOOKUP(F146,'Customers (2)'!A:I,3,0)</f>
        <v>wkeyse40@apple.com</v>
      </c>
      <c r="I146" s="3" t="str">
        <f>VLOOKUP(F146,'Customers (2)'!A:I,4,0)</f>
        <v>+1 (650) 947-8867</v>
      </c>
      <c r="J146" s="3" t="str">
        <f>VLOOKUP(F146,'Customers (2)'!A:I,6,0)</f>
        <v>Orange</v>
      </c>
      <c r="K146" s="3" t="str">
        <f>VLOOKUP(F146,'Customers (2)'!A:I,7,0)</f>
        <v>United States</v>
      </c>
      <c r="L146" s="3" t="str">
        <f>VLOOKUP(F146,'Customers (2)'!A:I,9,0)</f>
        <v>Yes</v>
      </c>
      <c r="M146" s="4" t="s">
        <v>30</v>
      </c>
      <c r="N146" s="4" t="str">
        <f>VLOOKUP(M146,'Products (2)'!A:G,2,0)</f>
        <v>Excelsa</v>
      </c>
      <c r="O146" s="4" t="str">
        <f>VLOOKUP(M146,'Products (2)'!A:G,3,0)</f>
        <v>Light</v>
      </c>
      <c r="P146" s="4">
        <f>VLOOKUP(M146,'Products (2)'!A:G,7,0)</f>
        <v>3.7570499999999996</v>
      </c>
      <c r="Q146" s="3">
        <v>2</v>
      </c>
      <c r="R146" s="5">
        <f>INDEX([1]products!$A$1:$G$49,MATCH([1]orders!$D146,[1]products!$A$1:$A$49,0),MATCH([1]orders!K$1,[1]products!$A$1:$G$1,0))</f>
        <v>2.5</v>
      </c>
      <c r="S146" s="6">
        <f>INDEX([1]products!$A$1:$G$49,MATCH([1]orders!$D146,[1]products!$A$1:$A$49,0),MATCH([1]orders!L$1,[1]products!$A$1:$G$1,0))</f>
        <v>34.154999999999994</v>
      </c>
      <c r="T146" s="6">
        <f t="shared" si="12"/>
        <v>68.309999999999988</v>
      </c>
      <c r="U146" s="22">
        <f t="shared" si="16"/>
        <v>7.5140999999999991</v>
      </c>
      <c r="V146" s="22">
        <f t="shared" si="17"/>
        <v>11</v>
      </c>
    </row>
    <row r="147" spans="1:22" x14ac:dyDescent="0.3">
      <c r="A147" s="1" t="s">
        <v>319</v>
      </c>
      <c r="B147" s="2">
        <v>43562</v>
      </c>
      <c r="C147" s="2" t="str">
        <f t="shared" si="13"/>
        <v>Sunday</v>
      </c>
      <c r="D147" s="2" t="str">
        <f t="shared" si="14"/>
        <v>April</v>
      </c>
      <c r="E147" s="2" t="str">
        <f t="shared" si="15"/>
        <v>2019</v>
      </c>
      <c r="F147" s="3" t="s">
        <v>320</v>
      </c>
      <c r="G147" s="3" t="str">
        <f>VLOOKUP(F148,'Customers (2)'!A:I,2,0)</f>
        <v>Leonore Francisco</v>
      </c>
      <c r="H147" s="3" t="str">
        <f>VLOOKUP(F147,'Customers (2)'!A:I,3,0)</f>
        <v>oclausenthue41@marriott.com</v>
      </c>
      <c r="I147" s="3" t="str">
        <f>VLOOKUP(F147,'Customers (2)'!A:I,4,0)</f>
        <v>+1 (915) 558-6109</v>
      </c>
      <c r="J147" s="3" t="str">
        <f>VLOOKUP(F147,'Customers (2)'!A:I,6,0)</f>
        <v>El Paso</v>
      </c>
      <c r="K147" s="3" t="str">
        <f>VLOOKUP(F147,'Customers (2)'!A:I,7,0)</f>
        <v>United States</v>
      </c>
      <c r="L147" s="3" t="str">
        <f>VLOOKUP(F147,'Customers (2)'!A:I,9,0)</f>
        <v>No</v>
      </c>
      <c r="M147" s="4" t="s">
        <v>77</v>
      </c>
      <c r="N147" s="4" t="str">
        <f>VLOOKUP(M147,'Products (2)'!A:G,2,0)</f>
        <v>Liberica</v>
      </c>
      <c r="O147" s="4" t="str">
        <f>VLOOKUP(M147,'Products (2)'!A:G,3,0)</f>
        <v>Medium</v>
      </c>
      <c r="P147" s="4">
        <f>VLOOKUP(M147,'Products (2)'!A:G,7,0)</f>
        <v>0.56745000000000001</v>
      </c>
      <c r="Q147" s="3">
        <v>4</v>
      </c>
      <c r="R147" s="5">
        <f>INDEX([1]products!$A$1:$G$49,MATCH([1]orders!$D147,[1]products!$A$1:$A$49,0),MATCH([1]orders!K$1,[1]products!$A$1:$G$1,0))</f>
        <v>0.2</v>
      </c>
      <c r="S147" s="6">
        <f>INDEX([1]products!$A$1:$G$49,MATCH([1]orders!$D147,[1]products!$A$1:$A$49,0),MATCH([1]orders!L$1,[1]products!$A$1:$G$1,0))</f>
        <v>4.3650000000000002</v>
      </c>
      <c r="T147" s="6">
        <f t="shared" si="12"/>
        <v>17.46</v>
      </c>
      <c r="U147" s="22">
        <f t="shared" si="16"/>
        <v>2.2698</v>
      </c>
      <c r="V147" s="22">
        <f t="shared" si="17"/>
        <v>13</v>
      </c>
    </row>
    <row r="148" spans="1:22" x14ac:dyDescent="0.3">
      <c r="A148" s="1" t="s">
        <v>321</v>
      </c>
      <c r="B148" s="2">
        <v>44024</v>
      </c>
      <c r="C148" s="2" t="str">
        <f t="shared" si="13"/>
        <v>Sunday</v>
      </c>
      <c r="D148" s="2" t="str">
        <f t="shared" si="14"/>
        <v>July</v>
      </c>
      <c r="E148" s="2" t="str">
        <f t="shared" si="15"/>
        <v>2020</v>
      </c>
      <c r="F148" s="3" t="s">
        <v>322</v>
      </c>
      <c r="G148" s="3" t="str">
        <f>VLOOKUP(F149,'Customers (2)'!A:I,2,0)</f>
        <v>Leonore Francisco</v>
      </c>
      <c r="H148" s="3" t="str">
        <f>VLOOKUP(F148,'Customers (2)'!A:I,3,0)</f>
        <v>lfrancisco42@fema.gov</v>
      </c>
      <c r="I148" s="3" t="str">
        <f>VLOOKUP(F148,'Customers (2)'!A:I,4,0)</f>
        <v>+1 (775) 346-9758</v>
      </c>
      <c r="J148" s="3" t="str">
        <f>VLOOKUP(F148,'Customers (2)'!A:I,6,0)</f>
        <v>Carson City</v>
      </c>
      <c r="K148" s="3" t="str">
        <f>VLOOKUP(F148,'Customers (2)'!A:I,7,0)</f>
        <v>United States</v>
      </c>
      <c r="L148" s="3" t="str">
        <f>VLOOKUP(F148,'Customers (2)'!A:I,9,0)</f>
        <v>No</v>
      </c>
      <c r="M148" s="4" t="s">
        <v>96</v>
      </c>
      <c r="N148" s="4" t="str">
        <f>VLOOKUP(M148,'Products (2)'!A:G,2,0)</f>
        <v>Liberica</v>
      </c>
      <c r="O148" s="4" t="str">
        <f>VLOOKUP(M148,'Products (2)'!A:G,3,0)</f>
        <v>Medium</v>
      </c>
      <c r="P148" s="4">
        <f>VLOOKUP(M148,'Products (2)'!A:G,7,0)</f>
        <v>1.8915000000000002</v>
      </c>
      <c r="Q148" s="3">
        <v>3</v>
      </c>
      <c r="R148" s="5">
        <f>INDEX([1]products!$A$1:$G$49,MATCH([1]orders!$D148,[1]products!$A$1:$A$49,0),MATCH([1]orders!K$1,[1]products!$A$1:$G$1,0))</f>
        <v>1</v>
      </c>
      <c r="S148" s="6">
        <f>INDEX([1]products!$A$1:$G$49,MATCH([1]orders!$D148,[1]products!$A$1:$A$49,0),MATCH([1]orders!L$1,[1]products!$A$1:$G$1,0))</f>
        <v>14.55</v>
      </c>
      <c r="T148" s="6">
        <f t="shared" si="12"/>
        <v>43.650000000000006</v>
      </c>
      <c r="U148" s="22">
        <f t="shared" si="16"/>
        <v>5.6745000000000001</v>
      </c>
      <c r="V148" s="22">
        <f t="shared" si="17"/>
        <v>12.999999999999998</v>
      </c>
    </row>
    <row r="149" spans="1:22" x14ac:dyDescent="0.3">
      <c r="A149" s="1" t="s">
        <v>321</v>
      </c>
      <c r="B149" s="2">
        <v>44024</v>
      </c>
      <c r="C149" s="2" t="str">
        <f t="shared" si="13"/>
        <v>Sunday</v>
      </c>
      <c r="D149" s="2" t="str">
        <f t="shared" si="14"/>
        <v>July</v>
      </c>
      <c r="E149" s="2" t="str">
        <f t="shared" si="15"/>
        <v>2020</v>
      </c>
      <c r="F149" s="3" t="s">
        <v>322</v>
      </c>
      <c r="G149" s="3" t="str">
        <f>VLOOKUP(F150,'Customers (2)'!A:I,2,0)</f>
        <v>Giacobo Skingle</v>
      </c>
      <c r="H149" s="3" t="str">
        <f>VLOOKUP(F149,'Customers (2)'!A:I,3,0)</f>
        <v>lfrancisco42@fema.gov</v>
      </c>
      <c r="I149" s="3" t="str">
        <f>VLOOKUP(F149,'Customers (2)'!A:I,4,0)</f>
        <v>+1 (775) 346-9758</v>
      </c>
      <c r="J149" s="3" t="str">
        <f>VLOOKUP(F149,'Customers (2)'!A:I,6,0)</f>
        <v>Carson City</v>
      </c>
      <c r="K149" s="3" t="str">
        <f>VLOOKUP(F149,'Customers (2)'!A:I,7,0)</f>
        <v>United States</v>
      </c>
      <c r="L149" s="3" t="str">
        <f>VLOOKUP(F149,'Customers (2)'!A:I,9,0)</f>
        <v>No</v>
      </c>
      <c r="M149" s="4" t="s">
        <v>9</v>
      </c>
      <c r="N149" s="4" t="str">
        <f>VLOOKUP(M149,'Products (2)'!A:G,2,0)</f>
        <v>Excelsa</v>
      </c>
      <c r="O149" s="4" t="str">
        <f>VLOOKUP(M149,'Products (2)'!A:G,3,0)</f>
        <v>Medium</v>
      </c>
      <c r="P149" s="4">
        <f>VLOOKUP(M149,'Products (2)'!A:G,7,0)</f>
        <v>1.5125</v>
      </c>
      <c r="Q149" s="3">
        <v>2</v>
      </c>
      <c r="R149" s="5">
        <f>INDEX([1]products!$A$1:$G$49,MATCH([1]orders!$D149,[1]products!$A$1:$A$49,0),MATCH([1]orders!K$1,[1]products!$A$1:$G$1,0))</f>
        <v>1</v>
      </c>
      <c r="S149" s="6">
        <f>INDEX([1]products!$A$1:$G$49,MATCH([1]orders!$D149,[1]products!$A$1:$A$49,0),MATCH([1]orders!L$1,[1]products!$A$1:$G$1,0))</f>
        <v>13.75</v>
      </c>
      <c r="T149" s="6">
        <f t="shared" si="12"/>
        <v>27.5</v>
      </c>
      <c r="U149" s="22">
        <f t="shared" si="16"/>
        <v>3.0249999999999999</v>
      </c>
      <c r="V149" s="22">
        <f t="shared" si="17"/>
        <v>11</v>
      </c>
    </row>
    <row r="150" spans="1:22" x14ac:dyDescent="0.3">
      <c r="A150" s="1" t="s">
        <v>323</v>
      </c>
      <c r="B150" s="2">
        <v>44551</v>
      </c>
      <c r="C150" s="2" t="str">
        <f t="shared" si="13"/>
        <v>Tuesday</v>
      </c>
      <c r="D150" s="2" t="str">
        <f t="shared" si="14"/>
        <v>December</v>
      </c>
      <c r="E150" s="2" t="str">
        <f t="shared" si="15"/>
        <v>2021</v>
      </c>
      <c r="F150" s="3" t="s">
        <v>324</v>
      </c>
      <c r="G150" s="3" t="str">
        <f>VLOOKUP(F151,'Customers (2)'!A:I,2,0)</f>
        <v>Gerard Pirdy</v>
      </c>
      <c r="H150" s="3" t="str">
        <f>VLOOKUP(F150,'Customers (2)'!A:I,3,0)</f>
        <v>gskingle44@clickbank.net</v>
      </c>
      <c r="I150" s="3" t="str">
        <f>VLOOKUP(F150,'Customers (2)'!A:I,4,0)</f>
        <v>+1 (801) 886-5886</v>
      </c>
      <c r="J150" s="3" t="str">
        <f>VLOOKUP(F150,'Customers (2)'!A:I,6,0)</f>
        <v>Provo</v>
      </c>
      <c r="K150" s="3" t="str">
        <f>VLOOKUP(F150,'Customers (2)'!A:I,7,0)</f>
        <v>United States</v>
      </c>
      <c r="L150" s="3" t="str">
        <f>VLOOKUP(F150,'Customers (2)'!A:I,9,0)</f>
        <v>Yes</v>
      </c>
      <c r="M150" s="4" t="s">
        <v>51</v>
      </c>
      <c r="N150" s="4" t="str">
        <f>VLOOKUP(M150,'Products (2)'!A:G,2,0)</f>
        <v>Excelsa</v>
      </c>
      <c r="O150" s="4" t="str">
        <f>VLOOKUP(M150,'Products (2)'!A:G,3,0)</f>
        <v>Dark</v>
      </c>
      <c r="P150" s="4">
        <f>VLOOKUP(M150,'Products (2)'!A:G,7,0)</f>
        <v>0.40095000000000003</v>
      </c>
      <c r="Q150" s="3">
        <v>5</v>
      </c>
      <c r="R150" s="5">
        <f>INDEX([1]products!$A$1:$G$49,MATCH([1]orders!$D150,[1]products!$A$1:$A$49,0),MATCH([1]orders!K$1,[1]products!$A$1:$G$1,0))</f>
        <v>0.2</v>
      </c>
      <c r="S150" s="6">
        <f>INDEX([1]products!$A$1:$G$49,MATCH([1]orders!$D150,[1]products!$A$1:$A$49,0),MATCH([1]orders!L$1,[1]products!$A$1:$G$1,0))</f>
        <v>3.645</v>
      </c>
      <c r="T150" s="6">
        <f t="shared" si="12"/>
        <v>18.225000000000001</v>
      </c>
      <c r="U150" s="22">
        <f t="shared" si="16"/>
        <v>2.00475</v>
      </c>
      <c r="V150" s="22">
        <f t="shared" si="17"/>
        <v>10.999999999999998</v>
      </c>
    </row>
    <row r="151" spans="1:22" x14ac:dyDescent="0.3">
      <c r="A151" s="1" t="s">
        <v>325</v>
      </c>
      <c r="B151" s="2">
        <v>44108</v>
      </c>
      <c r="C151" s="2" t="str">
        <f t="shared" si="13"/>
        <v>Sunday</v>
      </c>
      <c r="D151" s="2" t="str">
        <f t="shared" si="14"/>
        <v>October</v>
      </c>
      <c r="E151" s="2" t="str">
        <f t="shared" si="15"/>
        <v>2020</v>
      </c>
      <c r="F151" s="3" t="s">
        <v>326</v>
      </c>
      <c r="G151" s="3" t="str">
        <f>VLOOKUP(F152,'Customers (2)'!A:I,2,0)</f>
        <v>Jacinthe Balsillie</v>
      </c>
      <c r="H151" s="3">
        <f>VLOOKUP(F151,'Customers (2)'!A:I,3,0)</f>
        <v>0</v>
      </c>
      <c r="I151" s="3" t="str">
        <f>VLOOKUP(F151,'Customers (2)'!A:I,4,0)</f>
        <v>+1 (305) 345-2788</v>
      </c>
      <c r="J151" s="3" t="str">
        <f>VLOOKUP(F151,'Customers (2)'!A:I,6,0)</f>
        <v>Boca Raton</v>
      </c>
      <c r="K151" s="3" t="str">
        <f>VLOOKUP(F151,'Customers (2)'!A:I,7,0)</f>
        <v>United States</v>
      </c>
      <c r="L151" s="3" t="str">
        <f>VLOOKUP(F151,'Customers (2)'!A:I,9,0)</f>
        <v>Yes</v>
      </c>
      <c r="M151" s="4" t="s">
        <v>171</v>
      </c>
      <c r="N151" s="4" t="str">
        <f>VLOOKUP(M151,'Products (2)'!A:G,2,0)</f>
        <v>Arabica</v>
      </c>
      <c r="O151" s="4" t="str">
        <f>VLOOKUP(M151,'Products (2)'!A:G,3,0)</f>
        <v>Medium</v>
      </c>
      <c r="P151" s="4">
        <f>VLOOKUP(M151,'Products (2)'!A:G,7,0)</f>
        <v>2.3287499999999994</v>
      </c>
      <c r="Q151" s="3">
        <v>2</v>
      </c>
      <c r="R151" s="5">
        <f>INDEX([1]products!$A$1:$G$49,MATCH([1]orders!$D151,[1]products!$A$1:$A$49,0),MATCH([1]orders!K$1,[1]products!$A$1:$G$1,0))</f>
        <v>2.5</v>
      </c>
      <c r="S151" s="6">
        <f>INDEX([1]products!$A$1:$G$49,MATCH([1]orders!$D151,[1]products!$A$1:$A$49,0),MATCH([1]orders!L$1,[1]products!$A$1:$G$1,0))</f>
        <v>25.874999999999996</v>
      </c>
      <c r="T151" s="6">
        <f t="shared" si="12"/>
        <v>51.749999999999993</v>
      </c>
      <c r="U151" s="22">
        <f t="shared" si="16"/>
        <v>4.6574999999999989</v>
      </c>
      <c r="V151" s="22">
        <f t="shared" si="17"/>
        <v>9</v>
      </c>
    </row>
    <row r="152" spans="1:22" x14ac:dyDescent="0.3">
      <c r="A152" s="1" t="s">
        <v>327</v>
      </c>
      <c r="B152" s="2">
        <v>44051</v>
      </c>
      <c r="C152" s="2" t="str">
        <f t="shared" si="13"/>
        <v>Saturday</v>
      </c>
      <c r="D152" s="2" t="str">
        <f t="shared" si="14"/>
        <v>August</v>
      </c>
      <c r="E152" s="2" t="str">
        <f t="shared" si="15"/>
        <v>2020</v>
      </c>
      <c r="F152" s="3" t="s">
        <v>328</v>
      </c>
      <c r="G152" s="3" t="str">
        <f>VLOOKUP(F153,'Customers (2)'!A:I,2,0)</f>
        <v>Quinton Fouracres</v>
      </c>
      <c r="H152" s="3" t="str">
        <f>VLOOKUP(F152,'Customers (2)'!A:I,3,0)</f>
        <v>jbalsillie46@princeton.edu</v>
      </c>
      <c r="I152" s="3" t="str">
        <f>VLOOKUP(F152,'Customers (2)'!A:I,4,0)</f>
        <v>+1 (540) 905-2213</v>
      </c>
      <c r="J152" s="3" t="str">
        <f>VLOOKUP(F152,'Customers (2)'!A:I,6,0)</f>
        <v>Roanoke</v>
      </c>
      <c r="K152" s="3" t="str">
        <f>VLOOKUP(F152,'Customers (2)'!A:I,7,0)</f>
        <v>United States</v>
      </c>
      <c r="L152" s="3" t="str">
        <f>VLOOKUP(F152,'Customers (2)'!A:I,9,0)</f>
        <v>Yes</v>
      </c>
      <c r="M152" s="4" t="s">
        <v>13</v>
      </c>
      <c r="N152" s="4" t="str">
        <f>VLOOKUP(M152,'Products (2)'!A:G,2,0)</f>
        <v>Liberica</v>
      </c>
      <c r="O152" s="4" t="str">
        <f>VLOOKUP(M152,'Products (2)'!A:G,3,0)</f>
        <v>Dark</v>
      </c>
      <c r="P152" s="4">
        <f>VLOOKUP(M152,'Products (2)'!A:G,7,0)</f>
        <v>1.6835</v>
      </c>
      <c r="Q152" s="3">
        <v>1</v>
      </c>
      <c r="R152" s="5">
        <f>INDEX([1]products!$A$1:$G$49,MATCH([1]orders!$D152,[1]products!$A$1:$A$49,0),MATCH([1]orders!K$1,[1]products!$A$1:$G$1,0))</f>
        <v>1</v>
      </c>
      <c r="S152" s="6">
        <f>INDEX([1]products!$A$1:$G$49,MATCH([1]orders!$D152,[1]products!$A$1:$A$49,0),MATCH([1]orders!L$1,[1]products!$A$1:$G$1,0))</f>
        <v>12.95</v>
      </c>
      <c r="T152" s="6">
        <f t="shared" si="12"/>
        <v>12.95</v>
      </c>
      <c r="U152" s="22">
        <f t="shared" si="16"/>
        <v>1.6835</v>
      </c>
      <c r="V152" s="22">
        <f t="shared" si="17"/>
        <v>13</v>
      </c>
    </row>
    <row r="153" spans="1:22" x14ac:dyDescent="0.3">
      <c r="A153" s="1" t="s">
        <v>329</v>
      </c>
      <c r="B153" s="2">
        <v>44115</v>
      </c>
      <c r="C153" s="2" t="str">
        <f t="shared" si="13"/>
        <v>Sunday</v>
      </c>
      <c r="D153" s="2" t="str">
        <f t="shared" si="14"/>
        <v>October</v>
      </c>
      <c r="E153" s="2" t="str">
        <f t="shared" si="15"/>
        <v>2020</v>
      </c>
      <c r="F153" s="3" t="s">
        <v>330</v>
      </c>
      <c r="G153" s="3" t="str">
        <f>VLOOKUP(F154,'Customers (2)'!A:I,2,0)</f>
        <v>Bettina Leffek</v>
      </c>
      <c r="H153" s="3">
        <f>VLOOKUP(F153,'Customers (2)'!A:I,3,0)</f>
        <v>0</v>
      </c>
      <c r="I153" s="3" t="str">
        <f>VLOOKUP(F153,'Customers (2)'!A:I,4,0)</f>
        <v>+1 (515) 508-1573</v>
      </c>
      <c r="J153" s="3" t="str">
        <f>VLOOKUP(F153,'Customers (2)'!A:I,6,0)</f>
        <v>Des Moines</v>
      </c>
      <c r="K153" s="3" t="str">
        <f>VLOOKUP(F153,'Customers (2)'!A:I,7,0)</f>
        <v>United States</v>
      </c>
      <c r="L153" s="3" t="str">
        <f>VLOOKUP(F153,'Customers (2)'!A:I,9,0)</f>
        <v>Yes</v>
      </c>
      <c r="M153" s="4" t="s">
        <v>61</v>
      </c>
      <c r="N153" s="4" t="str">
        <f>VLOOKUP(M153,'Products (2)'!A:G,2,0)</f>
        <v>Arabica</v>
      </c>
      <c r="O153" s="4" t="str">
        <f>VLOOKUP(M153,'Products (2)'!A:G,3,0)</f>
        <v>Medium</v>
      </c>
      <c r="P153" s="4">
        <f>VLOOKUP(M153,'Products (2)'!A:G,7,0)</f>
        <v>1.0125</v>
      </c>
      <c r="Q153" s="3">
        <v>3</v>
      </c>
      <c r="R153" s="5">
        <f>INDEX([1]products!$A$1:$G$49,MATCH([1]orders!$D153,[1]products!$A$1:$A$49,0),MATCH([1]orders!K$1,[1]products!$A$1:$G$1,0))</f>
        <v>1</v>
      </c>
      <c r="S153" s="6">
        <f>INDEX([1]products!$A$1:$G$49,MATCH([1]orders!$D153,[1]products!$A$1:$A$49,0),MATCH([1]orders!L$1,[1]products!$A$1:$G$1,0))</f>
        <v>11.25</v>
      </c>
      <c r="T153" s="6">
        <f t="shared" si="12"/>
        <v>33.75</v>
      </c>
      <c r="U153" s="22">
        <f t="shared" si="16"/>
        <v>3.0374999999999996</v>
      </c>
      <c r="V153" s="22">
        <f t="shared" si="17"/>
        <v>8.9999999999999982</v>
      </c>
    </row>
    <row r="154" spans="1:22" x14ac:dyDescent="0.3">
      <c r="A154" s="1" t="s">
        <v>331</v>
      </c>
      <c r="B154" s="2">
        <v>44510</v>
      </c>
      <c r="C154" s="2" t="str">
        <f t="shared" si="13"/>
        <v>Wednesday</v>
      </c>
      <c r="D154" s="2" t="str">
        <f t="shared" si="14"/>
        <v>November</v>
      </c>
      <c r="E154" s="2" t="str">
        <f t="shared" si="15"/>
        <v>2021</v>
      </c>
      <c r="F154" s="3" t="s">
        <v>332</v>
      </c>
      <c r="G154" s="3" t="str">
        <f>VLOOKUP(F155,'Customers (2)'!A:I,2,0)</f>
        <v>Hetti Penson</v>
      </c>
      <c r="H154" s="3" t="str">
        <f>VLOOKUP(F154,'Customers (2)'!A:I,3,0)</f>
        <v>bleffek48@ning.com</v>
      </c>
      <c r="I154" s="3" t="str">
        <f>VLOOKUP(F154,'Customers (2)'!A:I,4,0)</f>
        <v>+1 (808) 815-3474</v>
      </c>
      <c r="J154" s="3" t="str">
        <f>VLOOKUP(F154,'Customers (2)'!A:I,6,0)</f>
        <v>Honolulu</v>
      </c>
      <c r="K154" s="3" t="str">
        <f>VLOOKUP(F154,'Customers (2)'!A:I,7,0)</f>
        <v>United States</v>
      </c>
      <c r="L154" s="3" t="str">
        <f>VLOOKUP(F154,'Customers (2)'!A:I,9,0)</f>
        <v>Yes</v>
      </c>
      <c r="M154" s="4" t="s">
        <v>41</v>
      </c>
      <c r="N154" s="4" t="str">
        <f>VLOOKUP(M154,'Products (2)'!A:G,2,0)</f>
        <v>Robusta</v>
      </c>
      <c r="O154" s="4" t="str">
        <f>VLOOKUP(M154,'Products (2)'!A:G,3,0)</f>
        <v>Medium</v>
      </c>
      <c r="P154" s="4">
        <f>VLOOKUP(M154,'Products (2)'!A:G,7,0)</f>
        <v>1.3730999999999998</v>
      </c>
      <c r="Q154" s="3">
        <v>3</v>
      </c>
      <c r="R154" s="5">
        <f>INDEX([1]products!$A$1:$G$49,MATCH([1]orders!$D154,[1]products!$A$1:$A$49,0),MATCH([1]orders!K$1,[1]products!$A$1:$G$1,0))</f>
        <v>2.5</v>
      </c>
      <c r="S154" s="6">
        <f>INDEX([1]products!$A$1:$G$49,MATCH([1]orders!$D154,[1]products!$A$1:$A$49,0),MATCH([1]orders!L$1,[1]products!$A$1:$G$1,0))</f>
        <v>22.884999999999998</v>
      </c>
      <c r="T154" s="6">
        <f t="shared" si="12"/>
        <v>68.655000000000001</v>
      </c>
      <c r="U154" s="22">
        <f t="shared" si="16"/>
        <v>4.1192999999999991</v>
      </c>
      <c r="V154" s="22">
        <f t="shared" si="17"/>
        <v>5.9999999999999982</v>
      </c>
    </row>
    <row r="155" spans="1:22" x14ac:dyDescent="0.3">
      <c r="A155" s="1" t="s">
        <v>333</v>
      </c>
      <c r="B155" s="2">
        <v>44367</v>
      </c>
      <c r="C155" s="2" t="str">
        <f t="shared" si="13"/>
        <v>Sunday</v>
      </c>
      <c r="D155" s="2" t="str">
        <f t="shared" si="14"/>
        <v>June</v>
      </c>
      <c r="E155" s="2" t="str">
        <f t="shared" si="15"/>
        <v>2021</v>
      </c>
      <c r="F155" s="3" t="s">
        <v>334</v>
      </c>
      <c r="G155" s="3" t="str">
        <f>VLOOKUP(F156,'Customers (2)'!A:I,2,0)</f>
        <v>Jocko Pray</v>
      </c>
      <c r="H155" s="3">
        <f>VLOOKUP(F155,'Customers (2)'!A:I,3,0)</f>
        <v>0</v>
      </c>
      <c r="I155" s="3" t="str">
        <f>VLOOKUP(F155,'Customers (2)'!A:I,4,0)</f>
        <v>+1 (754) 664-6126</v>
      </c>
      <c r="J155" s="3" t="str">
        <f>VLOOKUP(F155,'Customers (2)'!A:I,6,0)</f>
        <v>Fort Lauderdale</v>
      </c>
      <c r="K155" s="3" t="str">
        <f>VLOOKUP(F155,'Customers (2)'!A:I,7,0)</f>
        <v>United States</v>
      </c>
      <c r="L155" s="3" t="str">
        <f>VLOOKUP(F155,'Customers (2)'!A:I,9,0)</f>
        <v>No</v>
      </c>
      <c r="M155" s="4" t="s">
        <v>101</v>
      </c>
      <c r="N155" s="4" t="str">
        <f>VLOOKUP(M155,'Products (2)'!A:G,2,0)</f>
        <v>Robusta</v>
      </c>
      <c r="O155" s="4" t="str">
        <f>VLOOKUP(M155,'Products (2)'!A:G,3,0)</f>
        <v>Dark</v>
      </c>
      <c r="P155" s="4">
        <f>VLOOKUP(M155,'Products (2)'!A:G,7,0)</f>
        <v>0.16109999999999997</v>
      </c>
      <c r="Q155" s="3">
        <v>1</v>
      </c>
      <c r="R155" s="5">
        <f>INDEX([1]products!$A$1:$G$49,MATCH([1]orders!$D155,[1]products!$A$1:$A$49,0),MATCH([1]orders!K$1,[1]products!$A$1:$G$1,0))</f>
        <v>0.2</v>
      </c>
      <c r="S155" s="6">
        <f>INDEX([1]products!$A$1:$G$49,MATCH([1]orders!$D155,[1]products!$A$1:$A$49,0),MATCH([1]orders!L$1,[1]products!$A$1:$G$1,0))</f>
        <v>2.6849999999999996</v>
      </c>
      <c r="T155" s="6">
        <f t="shared" si="12"/>
        <v>2.6849999999999996</v>
      </c>
      <c r="U155" s="22">
        <f t="shared" si="16"/>
        <v>0.16109999999999997</v>
      </c>
      <c r="V155" s="22">
        <f t="shared" si="17"/>
        <v>6</v>
      </c>
    </row>
    <row r="156" spans="1:22" x14ac:dyDescent="0.3">
      <c r="A156" s="1" t="s">
        <v>335</v>
      </c>
      <c r="B156" s="2">
        <v>44473</v>
      </c>
      <c r="C156" s="2" t="str">
        <f t="shared" si="13"/>
        <v>Monday</v>
      </c>
      <c r="D156" s="2" t="str">
        <f t="shared" si="14"/>
        <v>October</v>
      </c>
      <c r="E156" s="2" t="str">
        <f t="shared" si="15"/>
        <v>2021</v>
      </c>
      <c r="F156" s="3" t="s">
        <v>336</v>
      </c>
      <c r="G156" s="3" t="str">
        <f>VLOOKUP(F157,'Customers (2)'!A:I,2,0)</f>
        <v>Grete Holborn</v>
      </c>
      <c r="H156" s="3" t="str">
        <f>VLOOKUP(F156,'Customers (2)'!A:I,3,0)</f>
        <v>jpray4a@youtube.com</v>
      </c>
      <c r="I156" s="3" t="str">
        <f>VLOOKUP(F156,'Customers (2)'!A:I,4,0)</f>
        <v>+1 (215) 771-6504</v>
      </c>
      <c r="J156" s="3" t="str">
        <f>VLOOKUP(F156,'Customers (2)'!A:I,6,0)</f>
        <v>Philadelphia</v>
      </c>
      <c r="K156" s="3" t="str">
        <f>VLOOKUP(F156,'Customers (2)'!A:I,7,0)</f>
        <v>United States</v>
      </c>
      <c r="L156" s="3" t="str">
        <f>VLOOKUP(F156,'Customers (2)'!A:I,9,0)</f>
        <v>No</v>
      </c>
      <c r="M156" s="4" t="s">
        <v>118</v>
      </c>
      <c r="N156" s="4" t="str">
        <f>VLOOKUP(M156,'Products (2)'!A:G,2,0)</f>
        <v>Arabica</v>
      </c>
      <c r="O156" s="4" t="str">
        <f>VLOOKUP(M156,'Products (2)'!A:G,3,0)</f>
        <v>Dark</v>
      </c>
      <c r="P156" s="4">
        <f>VLOOKUP(M156,'Products (2)'!A:G,7,0)</f>
        <v>2.0596499999999995</v>
      </c>
      <c r="Q156" s="3">
        <v>5</v>
      </c>
      <c r="R156" s="5">
        <f>INDEX([1]products!$A$1:$G$49,MATCH([1]orders!$D156,[1]products!$A$1:$A$49,0),MATCH([1]orders!K$1,[1]products!$A$1:$G$1,0))</f>
        <v>2.5</v>
      </c>
      <c r="S156" s="6">
        <f>INDEX([1]products!$A$1:$G$49,MATCH([1]orders!$D156,[1]products!$A$1:$A$49,0),MATCH([1]orders!L$1,[1]products!$A$1:$G$1,0))</f>
        <v>22.884999999999998</v>
      </c>
      <c r="T156" s="6">
        <f t="shared" si="12"/>
        <v>114.42499999999998</v>
      </c>
      <c r="U156" s="22">
        <f t="shared" si="16"/>
        <v>10.298249999999998</v>
      </c>
      <c r="V156" s="22">
        <f t="shared" si="17"/>
        <v>9</v>
      </c>
    </row>
    <row r="157" spans="1:22" x14ac:dyDescent="0.3">
      <c r="A157" s="1" t="s">
        <v>337</v>
      </c>
      <c r="B157" s="2">
        <v>43640</v>
      </c>
      <c r="C157" s="2" t="str">
        <f t="shared" si="13"/>
        <v>Monday</v>
      </c>
      <c r="D157" s="2" t="str">
        <f t="shared" si="14"/>
        <v>June</v>
      </c>
      <c r="E157" s="2" t="str">
        <f t="shared" si="15"/>
        <v>2019</v>
      </c>
      <c r="F157" s="3" t="s">
        <v>338</v>
      </c>
      <c r="G157" s="3" t="str">
        <f>VLOOKUP(F158,'Customers (2)'!A:I,2,0)</f>
        <v>Fielding Keinrat</v>
      </c>
      <c r="H157" s="3" t="str">
        <f>VLOOKUP(F157,'Customers (2)'!A:I,3,0)</f>
        <v>gholborn4b@ow.ly</v>
      </c>
      <c r="I157" s="3" t="str">
        <f>VLOOKUP(F157,'Customers (2)'!A:I,4,0)</f>
        <v>+1 (203) 577-5788</v>
      </c>
      <c r="J157" s="3" t="str">
        <f>VLOOKUP(F157,'Customers (2)'!A:I,6,0)</f>
        <v>Norwalk</v>
      </c>
      <c r="K157" s="3" t="str">
        <f>VLOOKUP(F157,'Customers (2)'!A:I,7,0)</f>
        <v>United States</v>
      </c>
      <c r="L157" s="3" t="str">
        <f>VLOOKUP(F157,'Customers (2)'!A:I,9,0)</f>
        <v>Yes</v>
      </c>
      <c r="M157" s="4" t="s">
        <v>171</v>
      </c>
      <c r="N157" s="4" t="str">
        <f>VLOOKUP(M157,'Products (2)'!A:G,2,0)</f>
        <v>Arabica</v>
      </c>
      <c r="O157" s="4" t="str">
        <f>VLOOKUP(M157,'Products (2)'!A:G,3,0)</f>
        <v>Medium</v>
      </c>
      <c r="P157" s="4">
        <f>VLOOKUP(M157,'Products (2)'!A:G,7,0)</f>
        <v>2.3287499999999994</v>
      </c>
      <c r="Q157" s="3">
        <v>6</v>
      </c>
      <c r="R157" s="5">
        <f>INDEX([1]products!$A$1:$G$49,MATCH([1]orders!$D157,[1]products!$A$1:$A$49,0),MATCH([1]orders!K$1,[1]products!$A$1:$G$1,0))</f>
        <v>2.5</v>
      </c>
      <c r="S157" s="6">
        <f>INDEX([1]products!$A$1:$G$49,MATCH([1]orders!$D157,[1]products!$A$1:$A$49,0),MATCH([1]orders!L$1,[1]products!$A$1:$G$1,0))</f>
        <v>25.874999999999996</v>
      </c>
      <c r="T157" s="6">
        <f t="shared" si="12"/>
        <v>155.24999999999997</v>
      </c>
      <c r="U157" s="22">
        <f t="shared" si="16"/>
        <v>13.972499999999997</v>
      </c>
      <c r="V157" s="22">
        <f t="shared" si="17"/>
        <v>9</v>
      </c>
    </row>
    <row r="158" spans="1:22" x14ac:dyDescent="0.3">
      <c r="A158" s="1" t="s">
        <v>339</v>
      </c>
      <c r="B158" s="2">
        <v>43764</v>
      </c>
      <c r="C158" s="2" t="str">
        <f t="shared" si="13"/>
        <v>Saturday</v>
      </c>
      <c r="D158" s="2" t="str">
        <f t="shared" si="14"/>
        <v>October</v>
      </c>
      <c r="E158" s="2" t="str">
        <f t="shared" si="15"/>
        <v>2019</v>
      </c>
      <c r="F158" s="3" t="s">
        <v>340</v>
      </c>
      <c r="G158" s="3" t="str">
        <f>VLOOKUP(F159,'Customers (2)'!A:I,2,0)</f>
        <v>Paulo Yea</v>
      </c>
      <c r="H158" s="3" t="str">
        <f>VLOOKUP(F158,'Customers (2)'!A:I,3,0)</f>
        <v>fkeinrat4c@dailymail.co.uk</v>
      </c>
      <c r="I158" s="3" t="str">
        <f>VLOOKUP(F158,'Customers (2)'!A:I,4,0)</f>
        <v>+1 (817) 785-7050</v>
      </c>
      <c r="J158" s="3" t="str">
        <f>VLOOKUP(F158,'Customers (2)'!A:I,6,0)</f>
        <v>Arlington</v>
      </c>
      <c r="K158" s="3" t="str">
        <f>VLOOKUP(F158,'Customers (2)'!A:I,7,0)</f>
        <v>United States</v>
      </c>
      <c r="L158" s="3" t="str">
        <f>VLOOKUP(F158,'Customers (2)'!A:I,9,0)</f>
        <v>Yes</v>
      </c>
      <c r="M158" s="4" t="s">
        <v>171</v>
      </c>
      <c r="N158" s="4" t="str">
        <f>VLOOKUP(M158,'Products (2)'!A:G,2,0)</f>
        <v>Arabica</v>
      </c>
      <c r="O158" s="4" t="str">
        <f>VLOOKUP(M158,'Products (2)'!A:G,3,0)</f>
        <v>Medium</v>
      </c>
      <c r="P158" s="4">
        <f>VLOOKUP(M158,'Products (2)'!A:G,7,0)</f>
        <v>2.3287499999999994</v>
      </c>
      <c r="Q158" s="3">
        <v>3</v>
      </c>
      <c r="R158" s="5">
        <f>INDEX([1]products!$A$1:$G$49,MATCH([1]orders!$D158,[1]products!$A$1:$A$49,0),MATCH([1]orders!K$1,[1]products!$A$1:$G$1,0))</f>
        <v>2.5</v>
      </c>
      <c r="S158" s="6">
        <f>INDEX([1]products!$A$1:$G$49,MATCH([1]orders!$D158,[1]products!$A$1:$A$49,0),MATCH([1]orders!L$1,[1]products!$A$1:$G$1,0))</f>
        <v>25.874999999999996</v>
      </c>
      <c r="T158" s="6">
        <f t="shared" si="12"/>
        <v>77.624999999999986</v>
      </c>
      <c r="U158" s="22">
        <f t="shared" si="16"/>
        <v>6.9862499999999983</v>
      </c>
      <c r="V158" s="22">
        <f t="shared" si="17"/>
        <v>9</v>
      </c>
    </row>
    <row r="159" spans="1:22" x14ac:dyDescent="0.3">
      <c r="A159" s="1" t="s">
        <v>341</v>
      </c>
      <c r="B159" s="2">
        <v>44374</v>
      </c>
      <c r="C159" s="2" t="str">
        <f t="shared" si="13"/>
        <v>Sunday</v>
      </c>
      <c r="D159" s="2" t="str">
        <f t="shared" si="14"/>
        <v>June</v>
      </c>
      <c r="E159" s="2" t="str">
        <f t="shared" si="15"/>
        <v>2021</v>
      </c>
      <c r="F159" s="3" t="s">
        <v>342</v>
      </c>
      <c r="G159" s="3" t="str">
        <f>VLOOKUP(F160,'Customers (2)'!A:I,2,0)</f>
        <v>Say Risborough</v>
      </c>
      <c r="H159" s="3" t="str">
        <f>VLOOKUP(F159,'Customers (2)'!A:I,3,0)</f>
        <v>pyea4d@aol.com</v>
      </c>
      <c r="I159" s="3" t="str">
        <f>VLOOKUP(F159,'Customers (2)'!A:I,4,0)</f>
        <v>+353 (885) 555-9183</v>
      </c>
      <c r="J159" s="3" t="str">
        <f>VLOOKUP(F159,'Customers (2)'!A:I,6,0)</f>
        <v>Ashford</v>
      </c>
      <c r="K159" s="3" t="str">
        <f>VLOOKUP(F159,'Customers (2)'!A:I,7,0)</f>
        <v>Ireland</v>
      </c>
      <c r="L159" s="3" t="str">
        <f>VLOOKUP(F159,'Customers (2)'!A:I,9,0)</f>
        <v>No</v>
      </c>
      <c r="M159" s="4" t="s">
        <v>35</v>
      </c>
      <c r="N159" s="4" t="str">
        <f>VLOOKUP(M159,'Products (2)'!A:G,2,0)</f>
        <v>Robusta</v>
      </c>
      <c r="O159" s="4" t="str">
        <f>VLOOKUP(M159,'Products (2)'!A:G,3,0)</f>
        <v>Dark</v>
      </c>
      <c r="P159" s="4">
        <f>VLOOKUP(M159,'Products (2)'!A:G,7,0)</f>
        <v>1.2350999999999999</v>
      </c>
      <c r="Q159" s="3">
        <v>3</v>
      </c>
      <c r="R159" s="5">
        <f>INDEX([1]products!$A$1:$G$49,MATCH([1]orders!$D159,[1]products!$A$1:$A$49,0),MATCH([1]orders!K$1,[1]products!$A$1:$G$1,0))</f>
        <v>2.5</v>
      </c>
      <c r="S159" s="6">
        <f>INDEX([1]products!$A$1:$G$49,MATCH([1]orders!$D159,[1]products!$A$1:$A$49,0),MATCH([1]orders!L$1,[1]products!$A$1:$G$1,0))</f>
        <v>20.584999999999997</v>
      </c>
      <c r="T159" s="6">
        <f t="shared" si="12"/>
        <v>61.754999999999995</v>
      </c>
      <c r="U159" s="22">
        <f t="shared" si="16"/>
        <v>3.7052999999999994</v>
      </c>
      <c r="V159" s="22">
        <f t="shared" si="17"/>
        <v>5.9999999999999991</v>
      </c>
    </row>
    <row r="160" spans="1:22" x14ac:dyDescent="0.3">
      <c r="A160" s="1" t="s">
        <v>343</v>
      </c>
      <c r="B160" s="2">
        <v>43714</v>
      </c>
      <c r="C160" s="2" t="str">
        <f t="shared" si="13"/>
        <v>Friday</v>
      </c>
      <c r="D160" s="2" t="str">
        <f t="shared" si="14"/>
        <v>September</v>
      </c>
      <c r="E160" s="2" t="str">
        <f t="shared" si="15"/>
        <v>2019</v>
      </c>
      <c r="F160" s="3" t="s">
        <v>344</v>
      </c>
      <c r="G160" s="3" t="str">
        <f>VLOOKUP(F161,'Customers (2)'!A:I,2,0)</f>
        <v>Alexa Sizey</v>
      </c>
      <c r="H160" s="3">
        <f>VLOOKUP(F160,'Customers (2)'!A:I,3,0)</f>
        <v>0</v>
      </c>
      <c r="I160" s="3" t="str">
        <f>VLOOKUP(F160,'Customers (2)'!A:I,4,0)</f>
        <v>+1 (423) 485-6650</v>
      </c>
      <c r="J160" s="3" t="str">
        <f>VLOOKUP(F160,'Customers (2)'!A:I,6,0)</f>
        <v>Chattanooga</v>
      </c>
      <c r="K160" s="3" t="str">
        <f>VLOOKUP(F160,'Customers (2)'!A:I,7,0)</f>
        <v>United States</v>
      </c>
      <c r="L160" s="3" t="str">
        <f>VLOOKUP(F160,'Customers (2)'!A:I,9,0)</f>
        <v>Yes</v>
      </c>
      <c r="M160" s="4" t="s">
        <v>35</v>
      </c>
      <c r="N160" s="4" t="str">
        <f>VLOOKUP(M160,'Products (2)'!A:G,2,0)</f>
        <v>Robusta</v>
      </c>
      <c r="O160" s="4" t="str">
        <f>VLOOKUP(M160,'Products (2)'!A:G,3,0)</f>
        <v>Dark</v>
      </c>
      <c r="P160" s="4">
        <f>VLOOKUP(M160,'Products (2)'!A:G,7,0)</f>
        <v>1.2350999999999999</v>
      </c>
      <c r="Q160" s="3">
        <v>6</v>
      </c>
      <c r="R160" s="5">
        <f>INDEX([1]products!$A$1:$G$49,MATCH([1]orders!$D160,[1]products!$A$1:$A$49,0),MATCH([1]orders!K$1,[1]products!$A$1:$G$1,0))</f>
        <v>2.5</v>
      </c>
      <c r="S160" s="6">
        <f>INDEX([1]products!$A$1:$G$49,MATCH([1]orders!$D160,[1]products!$A$1:$A$49,0),MATCH([1]orders!L$1,[1]products!$A$1:$G$1,0))</f>
        <v>20.584999999999997</v>
      </c>
      <c r="T160" s="6">
        <f t="shared" si="12"/>
        <v>123.50999999999999</v>
      </c>
      <c r="U160" s="22">
        <f t="shared" si="16"/>
        <v>7.4105999999999987</v>
      </c>
      <c r="V160" s="22">
        <f t="shared" si="17"/>
        <v>5.9999999999999991</v>
      </c>
    </row>
    <row r="161" spans="1:22" x14ac:dyDescent="0.3">
      <c r="A161" s="1" t="s">
        <v>345</v>
      </c>
      <c r="B161" s="2">
        <v>44316</v>
      </c>
      <c r="C161" s="2" t="str">
        <f t="shared" si="13"/>
        <v>Friday</v>
      </c>
      <c r="D161" s="2" t="str">
        <f t="shared" si="14"/>
        <v>April</v>
      </c>
      <c r="E161" s="2" t="str">
        <f t="shared" si="15"/>
        <v>2021</v>
      </c>
      <c r="F161" s="3" t="s">
        <v>346</v>
      </c>
      <c r="G161" s="3" t="str">
        <f>VLOOKUP(F162,'Customers (2)'!A:I,2,0)</f>
        <v>Kari Swede</v>
      </c>
      <c r="H161" s="3">
        <f>VLOOKUP(F161,'Customers (2)'!A:I,3,0)</f>
        <v>0</v>
      </c>
      <c r="I161" s="3" t="str">
        <f>VLOOKUP(F161,'Customers (2)'!A:I,4,0)</f>
        <v>+1 (503) 774-7836</v>
      </c>
      <c r="J161" s="3" t="str">
        <f>VLOOKUP(F161,'Customers (2)'!A:I,6,0)</f>
        <v>Portland</v>
      </c>
      <c r="K161" s="3" t="str">
        <f>VLOOKUP(F161,'Customers (2)'!A:I,7,0)</f>
        <v>United States</v>
      </c>
      <c r="L161" s="3" t="str">
        <f>VLOOKUP(F161,'Customers (2)'!A:I,9,0)</f>
        <v>No</v>
      </c>
      <c r="M161" s="4" t="s">
        <v>104</v>
      </c>
      <c r="N161" s="4" t="str">
        <f>VLOOKUP(M161,'Products (2)'!A:G,2,0)</f>
        <v>Liberica</v>
      </c>
      <c r="O161" s="4" t="str">
        <f>VLOOKUP(M161,'Products (2)'!A:G,3,0)</f>
        <v>Light</v>
      </c>
      <c r="P161" s="4">
        <f>VLOOKUP(M161,'Products (2)'!A:G,7,0)</f>
        <v>4.7391499999999995</v>
      </c>
      <c r="Q161" s="3">
        <v>6</v>
      </c>
      <c r="R161" s="5">
        <f>INDEX([1]products!$A$1:$G$49,MATCH([1]orders!$D161,[1]products!$A$1:$A$49,0),MATCH([1]orders!K$1,[1]products!$A$1:$G$1,0))</f>
        <v>2.5</v>
      </c>
      <c r="S161" s="6">
        <f>INDEX([1]products!$A$1:$G$49,MATCH([1]orders!$D161,[1]products!$A$1:$A$49,0),MATCH([1]orders!L$1,[1]products!$A$1:$G$1,0))</f>
        <v>36.454999999999998</v>
      </c>
      <c r="T161" s="6">
        <f t="shared" si="12"/>
        <v>218.73</v>
      </c>
      <c r="U161" s="22">
        <f t="shared" si="16"/>
        <v>28.434899999999999</v>
      </c>
      <c r="V161" s="22">
        <f t="shared" si="17"/>
        <v>13</v>
      </c>
    </row>
    <row r="162" spans="1:22" x14ac:dyDescent="0.3">
      <c r="A162" s="1" t="s">
        <v>347</v>
      </c>
      <c r="B162" s="2">
        <v>43837</v>
      </c>
      <c r="C162" s="2" t="str">
        <f t="shared" si="13"/>
        <v>Tuesday</v>
      </c>
      <c r="D162" s="2" t="str">
        <f t="shared" si="14"/>
        <v>January</v>
      </c>
      <c r="E162" s="2" t="str">
        <f t="shared" si="15"/>
        <v>2020</v>
      </c>
      <c r="F162" s="3" t="s">
        <v>348</v>
      </c>
      <c r="G162" s="3" t="str">
        <f>VLOOKUP(F163,'Customers (2)'!A:I,2,0)</f>
        <v>Leontine Rubrow</v>
      </c>
      <c r="H162" s="3" t="str">
        <f>VLOOKUP(F162,'Customers (2)'!A:I,3,0)</f>
        <v>kswede4g@addthis.com</v>
      </c>
      <c r="I162" s="3" t="str">
        <f>VLOOKUP(F162,'Customers (2)'!A:I,4,0)</f>
        <v>+1 (405) 535-0273</v>
      </c>
      <c r="J162" s="3" t="str">
        <f>VLOOKUP(F162,'Customers (2)'!A:I,6,0)</f>
        <v>Oklahoma City</v>
      </c>
      <c r="K162" s="3" t="str">
        <f>VLOOKUP(F162,'Customers (2)'!A:I,7,0)</f>
        <v>United States</v>
      </c>
      <c r="L162" s="3" t="str">
        <f>VLOOKUP(F162,'Customers (2)'!A:I,9,0)</f>
        <v>No</v>
      </c>
      <c r="M162" s="4" t="s">
        <v>3</v>
      </c>
      <c r="N162" s="4" t="str">
        <f>VLOOKUP(M162,'Products (2)'!A:G,2,0)</f>
        <v>Excelsa</v>
      </c>
      <c r="O162" s="4" t="str">
        <f>VLOOKUP(M162,'Products (2)'!A:G,3,0)</f>
        <v>Medium</v>
      </c>
      <c r="P162" s="4">
        <f>VLOOKUP(M162,'Products (2)'!A:G,7,0)</f>
        <v>0.90749999999999997</v>
      </c>
      <c r="Q162" s="3">
        <v>4</v>
      </c>
      <c r="R162" s="5">
        <f>INDEX([1]products!$A$1:$G$49,MATCH([1]orders!$D162,[1]products!$A$1:$A$49,0),MATCH([1]orders!K$1,[1]products!$A$1:$G$1,0))</f>
        <v>0.5</v>
      </c>
      <c r="S162" s="6">
        <f>INDEX([1]products!$A$1:$G$49,MATCH([1]orders!$D162,[1]products!$A$1:$A$49,0),MATCH([1]orders!L$1,[1]products!$A$1:$G$1,0))</f>
        <v>8.25</v>
      </c>
      <c r="T162" s="6">
        <f t="shared" si="12"/>
        <v>33</v>
      </c>
      <c r="U162" s="22">
        <f t="shared" si="16"/>
        <v>3.63</v>
      </c>
      <c r="V162" s="22">
        <f t="shared" si="17"/>
        <v>11</v>
      </c>
    </row>
    <row r="163" spans="1:22" x14ac:dyDescent="0.3">
      <c r="A163" s="1" t="s">
        <v>349</v>
      </c>
      <c r="B163" s="2">
        <v>44207</v>
      </c>
      <c r="C163" s="2" t="str">
        <f t="shared" si="13"/>
        <v>Monday</v>
      </c>
      <c r="D163" s="2" t="str">
        <f t="shared" si="14"/>
        <v>January</v>
      </c>
      <c r="E163" s="2" t="str">
        <f t="shared" si="15"/>
        <v>2021</v>
      </c>
      <c r="F163" s="3" t="s">
        <v>350</v>
      </c>
      <c r="G163" s="3" t="str">
        <f>VLOOKUP(F164,'Customers (2)'!A:I,2,0)</f>
        <v>Dottie Tift</v>
      </c>
      <c r="H163" s="3" t="str">
        <f>VLOOKUP(F163,'Customers (2)'!A:I,3,0)</f>
        <v>lrubrow4h@microsoft.com</v>
      </c>
      <c r="I163" s="3" t="str">
        <f>VLOOKUP(F163,'Customers (2)'!A:I,4,0)</f>
        <v>+1 (202) 503-9022</v>
      </c>
      <c r="J163" s="3" t="str">
        <f>VLOOKUP(F163,'Customers (2)'!A:I,6,0)</f>
        <v>Washington</v>
      </c>
      <c r="K163" s="3" t="str">
        <f>VLOOKUP(F163,'Customers (2)'!A:I,7,0)</f>
        <v>United States</v>
      </c>
      <c r="L163" s="3" t="str">
        <f>VLOOKUP(F163,'Customers (2)'!A:I,9,0)</f>
        <v>No</v>
      </c>
      <c r="M163" s="4" t="s">
        <v>192</v>
      </c>
      <c r="N163" s="4" t="str">
        <f>VLOOKUP(M163,'Products (2)'!A:G,2,0)</f>
        <v>Arabica</v>
      </c>
      <c r="O163" s="4" t="str">
        <f>VLOOKUP(M163,'Products (2)'!A:G,3,0)</f>
        <v>Light</v>
      </c>
      <c r="P163" s="4">
        <f>VLOOKUP(M163,'Products (2)'!A:G,7,0)</f>
        <v>0.69929999999999992</v>
      </c>
      <c r="Q163" s="3">
        <v>3</v>
      </c>
      <c r="R163" s="5">
        <f>INDEX([1]products!$A$1:$G$49,MATCH([1]orders!$D163,[1]products!$A$1:$A$49,0),MATCH([1]orders!K$1,[1]products!$A$1:$G$1,0))</f>
        <v>0.5</v>
      </c>
      <c r="S163" s="6">
        <f>INDEX([1]products!$A$1:$G$49,MATCH([1]orders!$D163,[1]products!$A$1:$A$49,0),MATCH([1]orders!L$1,[1]products!$A$1:$G$1,0))</f>
        <v>7.77</v>
      </c>
      <c r="T163" s="6">
        <f t="shared" si="12"/>
        <v>23.31</v>
      </c>
      <c r="U163" s="22">
        <f t="shared" si="16"/>
        <v>2.0978999999999997</v>
      </c>
      <c r="V163" s="22">
        <f t="shared" si="17"/>
        <v>9</v>
      </c>
    </row>
    <row r="164" spans="1:22" x14ac:dyDescent="0.3">
      <c r="A164" s="1" t="s">
        <v>351</v>
      </c>
      <c r="B164" s="2">
        <v>44515</v>
      </c>
      <c r="C164" s="2" t="str">
        <f t="shared" si="13"/>
        <v>Monday</v>
      </c>
      <c r="D164" s="2" t="str">
        <f t="shared" si="14"/>
        <v>November</v>
      </c>
      <c r="E164" s="2" t="str">
        <f t="shared" si="15"/>
        <v>2021</v>
      </c>
      <c r="F164" s="3" t="s">
        <v>352</v>
      </c>
      <c r="G164" s="3" t="str">
        <f>VLOOKUP(F165,'Customers (2)'!A:I,2,0)</f>
        <v>Gerardo Schonfeld</v>
      </c>
      <c r="H164" s="3" t="str">
        <f>VLOOKUP(F164,'Customers (2)'!A:I,3,0)</f>
        <v>dtift4i@netvibes.com</v>
      </c>
      <c r="I164" s="3" t="str">
        <f>VLOOKUP(F164,'Customers (2)'!A:I,4,0)</f>
        <v>+1 (336) 766-8518</v>
      </c>
      <c r="J164" s="3" t="str">
        <f>VLOOKUP(F164,'Customers (2)'!A:I,6,0)</f>
        <v>Greensboro</v>
      </c>
      <c r="K164" s="3" t="str">
        <f>VLOOKUP(F164,'Customers (2)'!A:I,7,0)</f>
        <v>United States</v>
      </c>
      <c r="L164" s="3" t="str">
        <f>VLOOKUP(F164,'Customers (2)'!A:I,9,0)</f>
        <v>Yes</v>
      </c>
      <c r="M164" s="4" t="s">
        <v>16</v>
      </c>
      <c r="N164" s="4" t="str">
        <f>VLOOKUP(M164,'Products (2)'!A:G,2,0)</f>
        <v>Excelsa</v>
      </c>
      <c r="O164" s="4" t="str">
        <f>VLOOKUP(M164,'Products (2)'!A:G,3,0)</f>
        <v>Dark</v>
      </c>
      <c r="P164" s="4">
        <f>VLOOKUP(M164,'Products (2)'!A:G,7,0)</f>
        <v>0.80190000000000006</v>
      </c>
      <c r="Q164" s="3">
        <v>3</v>
      </c>
      <c r="R164" s="5">
        <f>INDEX([1]products!$A$1:$G$49,MATCH([1]orders!$D164,[1]products!$A$1:$A$49,0),MATCH([1]orders!K$1,[1]products!$A$1:$G$1,0))</f>
        <v>0.5</v>
      </c>
      <c r="S164" s="6">
        <f>INDEX([1]products!$A$1:$G$49,MATCH([1]orders!$D164,[1]products!$A$1:$A$49,0),MATCH([1]orders!L$1,[1]products!$A$1:$G$1,0))</f>
        <v>7.29</v>
      </c>
      <c r="T164" s="6">
        <f t="shared" si="12"/>
        <v>21.87</v>
      </c>
      <c r="U164" s="22">
        <f t="shared" si="16"/>
        <v>2.4057000000000004</v>
      </c>
      <c r="V164" s="22">
        <f t="shared" si="17"/>
        <v>11.000000000000002</v>
      </c>
    </row>
    <row r="165" spans="1:22" x14ac:dyDescent="0.3">
      <c r="A165" s="1" t="s">
        <v>353</v>
      </c>
      <c r="B165" s="2">
        <v>43619</v>
      </c>
      <c r="C165" s="2" t="str">
        <f t="shared" si="13"/>
        <v>Monday</v>
      </c>
      <c r="D165" s="2" t="str">
        <f t="shared" si="14"/>
        <v>June</v>
      </c>
      <c r="E165" s="2" t="str">
        <f t="shared" si="15"/>
        <v>2019</v>
      </c>
      <c r="F165" s="3" t="s">
        <v>354</v>
      </c>
      <c r="G165" s="3" t="str">
        <f>VLOOKUP(F166,'Customers (2)'!A:I,2,0)</f>
        <v>Claiborne Feye</v>
      </c>
      <c r="H165" s="3" t="str">
        <f>VLOOKUP(F165,'Customers (2)'!A:I,3,0)</f>
        <v>gschonfeld4j@oracle.com</v>
      </c>
      <c r="I165" s="3" t="str">
        <f>VLOOKUP(F165,'Customers (2)'!A:I,4,0)</f>
        <v>+1 (571) 238-0580</v>
      </c>
      <c r="J165" s="3" t="str">
        <f>VLOOKUP(F165,'Customers (2)'!A:I,6,0)</f>
        <v>Alexandria</v>
      </c>
      <c r="K165" s="3" t="str">
        <f>VLOOKUP(F165,'Customers (2)'!A:I,7,0)</f>
        <v>United States</v>
      </c>
      <c r="L165" s="3" t="str">
        <f>VLOOKUP(F165,'Customers (2)'!A:I,9,0)</f>
        <v>No</v>
      </c>
      <c r="M165" s="4" t="s">
        <v>101</v>
      </c>
      <c r="N165" s="4" t="str">
        <f>VLOOKUP(M165,'Products (2)'!A:G,2,0)</f>
        <v>Robusta</v>
      </c>
      <c r="O165" s="4" t="str">
        <f>VLOOKUP(M165,'Products (2)'!A:G,3,0)</f>
        <v>Dark</v>
      </c>
      <c r="P165" s="4">
        <f>VLOOKUP(M165,'Products (2)'!A:G,7,0)</f>
        <v>0.16109999999999997</v>
      </c>
      <c r="Q165" s="3">
        <v>6</v>
      </c>
      <c r="R165" s="5">
        <f>INDEX([1]products!$A$1:$G$49,MATCH([1]orders!$D165,[1]products!$A$1:$A$49,0),MATCH([1]orders!K$1,[1]products!$A$1:$G$1,0))</f>
        <v>0.2</v>
      </c>
      <c r="S165" s="6">
        <f>INDEX([1]products!$A$1:$G$49,MATCH([1]orders!$D165,[1]products!$A$1:$A$49,0),MATCH([1]orders!L$1,[1]products!$A$1:$G$1,0))</f>
        <v>2.6849999999999996</v>
      </c>
      <c r="T165" s="6">
        <f t="shared" si="12"/>
        <v>16.11</v>
      </c>
      <c r="U165" s="22">
        <f t="shared" si="16"/>
        <v>0.96659999999999979</v>
      </c>
      <c r="V165" s="22">
        <f t="shared" si="17"/>
        <v>5.9999999999999991</v>
      </c>
    </row>
    <row r="166" spans="1:22" x14ac:dyDescent="0.3">
      <c r="A166" s="1" t="s">
        <v>355</v>
      </c>
      <c r="B166" s="2">
        <v>44182</v>
      </c>
      <c r="C166" s="2" t="str">
        <f t="shared" si="13"/>
        <v>Thursday</v>
      </c>
      <c r="D166" s="2" t="str">
        <f t="shared" si="14"/>
        <v>December</v>
      </c>
      <c r="E166" s="2" t="str">
        <f t="shared" si="15"/>
        <v>2020</v>
      </c>
      <c r="F166" s="3" t="s">
        <v>356</v>
      </c>
      <c r="G166" s="3" t="str">
        <f>VLOOKUP(F167,'Customers (2)'!A:I,2,0)</f>
        <v>Mina Elstone</v>
      </c>
      <c r="H166" s="3" t="str">
        <f>VLOOKUP(F166,'Customers (2)'!A:I,3,0)</f>
        <v>cfeye4k@google.co.jp</v>
      </c>
      <c r="I166" s="3" t="str">
        <f>VLOOKUP(F166,'Customers (2)'!A:I,4,0)</f>
        <v>+353 (471) 184-7815</v>
      </c>
      <c r="J166" s="3" t="str">
        <f>VLOOKUP(F166,'Customers (2)'!A:I,6,0)</f>
        <v>Castlebridge</v>
      </c>
      <c r="K166" s="3" t="str">
        <f>VLOOKUP(F166,'Customers (2)'!A:I,7,0)</f>
        <v>Ireland</v>
      </c>
      <c r="L166" s="3" t="str">
        <f>VLOOKUP(F166,'Customers (2)'!A:I,9,0)</f>
        <v>No</v>
      </c>
      <c r="M166" s="4" t="s">
        <v>16</v>
      </c>
      <c r="N166" s="4" t="str">
        <f>VLOOKUP(M166,'Products (2)'!A:G,2,0)</f>
        <v>Excelsa</v>
      </c>
      <c r="O166" s="4" t="str">
        <f>VLOOKUP(M166,'Products (2)'!A:G,3,0)</f>
        <v>Dark</v>
      </c>
      <c r="P166" s="4">
        <f>VLOOKUP(M166,'Products (2)'!A:G,7,0)</f>
        <v>0.80190000000000006</v>
      </c>
      <c r="Q166" s="3">
        <v>4</v>
      </c>
      <c r="R166" s="5">
        <f>INDEX([1]products!$A$1:$G$49,MATCH([1]orders!$D166,[1]products!$A$1:$A$49,0),MATCH([1]orders!K$1,[1]products!$A$1:$G$1,0))</f>
        <v>0.5</v>
      </c>
      <c r="S166" s="6">
        <f>INDEX([1]products!$A$1:$G$49,MATCH([1]orders!$D166,[1]products!$A$1:$A$49,0),MATCH([1]orders!L$1,[1]products!$A$1:$G$1,0))</f>
        <v>7.29</v>
      </c>
      <c r="T166" s="6">
        <f t="shared" si="12"/>
        <v>29.16</v>
      </c>
      <c r="U166" s="22">
        <f t="shared" si="16"/>
        <v>3.2076000000000002</v>
      </c>
      <c r="V166" s="22">
        <f t="shared" si="17"/>
        <v>11</v>
      </c>
    </row>
    <row r="167" spans="1:22" x14ac:dyDescent="0.3">
      <c r="A167" s="1" t="s">
        <v>357</v>
      </c>
      <c r="B167" s="2">
        <v>44234</v>
      </c>
      <c r="C167" s="2" t="str">
        <f t="shared" si="13"/>
        <v>Sunday</v>
      </c>
      <c r="D167" s="2" t="str">
        <f t="shared" si="14"/>
        <v>February</v>
      </c>
      <c r="E167" s="2" t="str">
        <f t="shared" si="15"/>
        <v>2021</v>
      </c>
      <c r="F167" s="3" t="s">
        <v>358</v>
      </c>
      <c r="G167" s="3" t="str">
        <f>VLOOKUP(F168,'Customers (2)'!A:I,2,0)</f>
        <v>Sherman Mewrcik</v>
      </c>
      <c r="H167" s="3">
        <f>VLOOKUP(F167,'Customers (2)'!A:I,3,0)</f>
        <v>0</v>
      </c>
      <c r="I167" s="3" t="str">
        <f>VLOOKUP(F167,'Customers (2)'!A:I,4,0)</f>
        <v>+1 (262) 320-1474</v>
      </c>
      <c r="J167" s="3" t="str">
        <f>VLOOKUP(F167,'Customers (2)'!A:I,6,0)</f>
        <v>Racine</v>
      </c>
      <c r="K167" s="3" t="str">
        <f>VLOOKUP(F167,'Customers (2)'!A:I,7,0)</f>
        <v>United States</v>
      </c>
      <c r="L167" s="3" t="str">
        <f>VLOOKUP(F167,'Customers (2)'!A:I,9,0)</f>
        <v>Yes</v>
      </c>
      <c r="M167" s="4" t="s">
        <v>179</v>
      </c>
      <c r="N167" s="4" t="str">
        <f>VLOOKUP(M167,'Products (2)'!A:G,2,0)</f>
        <v>Robusta</v>
      </c>
      <c r="O167" s="4" t="str">
        <f>VLOOKUP(M167,'Products (2)'!A:G,3,0)</f>
        <v>Dark</v>
      </c>
      <c r="P167" s="4">
        <f>VLOOKUP(M167,'Products (2)'!A:G,7,0)</f>
        <v>0.53699999999999992</v>
      </c>
      <c r="Q167" s="3">
        <v>6</v>
      </c>
      <c r="R167" s="5">
        <f>INDEX([1]products!$A$1:$G$49,MATCH([1]orders!$D167,[1]products!$A$1:$A$49,0),MATCH([1]orders!K$1,[1]products!$A$1:$G$1,0))</f>
        <v>1</v>
      </c>
      <c r="S167" s="6">
        <f>INDEX([1]products!$A$1:$G$49,MATCH([1]orders!$D167,[1]products!$A$1:$A$49,0),MATCH([1]orders!L$1,[1]products!$A$1:$G$1,0))</f>
        <v>8.9499999999999993</v>
      </c>
      <c r="T167" s="6">
        <f t="shared" si="12"/>
        <v>53.699999999999996</v>
      </c>
      <c r="U167" s="22">
        <f t="shared" si="16"/>
        <v>3.2219999999999995</v>
      </c>
      <c r="V167" s="22">
        <f t="shared" si="17"/>
        <v>6</v>
      </c>
    </row>
    <row r="168" spans="1:22" x14ac:dyDescent="0.3">
      <c r="A168" s="1" t="s">
        <v>359</v>
      </c>
      <c r="B168" s="2">
        <v>44270</v>
      </c>
      <c r="C168" s="2" t="str">
        <f t="shared" si="13"/>
        <v>Monday</v>
      </c>
      <c r="D168" s="2" t="str">
        <f t="shared" si="14"/>
        <v>March</v>
      </c>
      <c r="E168" s="2" t="str">
        <f t="shared" si="15"/>
        <v>2021</v>
      </c>
      <c r="F168" s="3" t="s">
        <v>360</v>
      </c>
      <c r="G168" s="3" t="str">
        <f>VLOOKUP(F169,'Customers (2)'!A:I,2,0)</f>
        <v>Tamarah Fero</v>
      </c>
      <c r="H168" s="3">
        <f>VLOOKUP(F168,'Customers (2)'!A:I,3,0)</f>
        <v>0</v>
      </c>
      <c r="I168" s="3" t="str">
        <f>VLOOKUP(F168,'Customers (2)'!A:I,4,0)</f>
        <v>+1 (305) 419-8626</v>
      </c>
      <c r="J168" s="3" t="str">
        <f>VLOOKUP(F168,'Customers (2)'!A:I,6,0)</f>
        <v>Clearwater</v>
      </c>
      <c r="K168" s="3" t="str">
        <f>VLOOKUP(F168,'Customers (2)'!A:I,7,0)</f>
        <v>United States</v>
      </c>
      <c r="L168" s="3" t="str">
        <f>VLOOKUP(F168,'Customers (2)'!A:I,9,0)</f>
        <v>Yes</v>
      </c>
      <c r="M168" s="4" t="s">
        <v>146</v>
      </c>
      <c r="N168" s="4" t="str">
        <f>VLOOKUP(M168,'Products (2)'!A:G,2,0)</f>
        <v>Robusta</v>
      </c>
      <c r="O168" s="4" t="str">
        <f>VLOOKUP(M168,'Products (2)'!A:G,3,0)</f>
        <v>Dark</v>
      </c>
      <c r="P168" s="4">
        <f>VLOOKUP(M168,'Products (2)'!A:G,7,0)</f>
        <v>0.32219999999999993</v>
      </c>
      <c r="Q168" s="3">
        <v>5</v>
      </c>
      <c r="R168" s="5">
        <f>INDEX([1]products!$A$1:$G$49,MATCH([1]orders!$D168,[1]products!$A$1:$A$49,0),MATCH([1]orders!K$1,[1]products!$A$1:$G$1,0))</f>
        <v>0.5</v>
      </c>
      <c r="S168" s="6">
        <f>INDEX([1]products!$A$1:$G$49,MATCH([1]orders!$D168,[1]products!$A$1:$A$49,0),MATCH([1]orders!L$1,[1]products!$A$1:$G$1,0))</f>
        <v>5.3699999999999992</v>
      </c>
      <c r="T168" s="6">
        <f t="shared" si="12"/>
        <v>26.849999999999994</v>
      </c>
      <c r="U168" s="22">
        <f t="shared" si="16"/>
        <v>1.6109999999999998</v>
      </c>
      <c r="V168" s="22">
        <f t="shared" si="17"/>
        <v>6.0000000000000009</v>
      </c>
    </row>
    <row r="169" spans="1:22" x14ac:dyDescent="0.3">
      <c r="A169" s="1" t="s">
        <v>361</v>
      </c>
      <c r="B169" s="2">
        <v>44777</v>
      </c>
      <c r="C169" s="2" t="str">
        <f t="shared" si="13"/>
        <v>Thursday</v>
      </c>
      <c r="D169" s="2" t="str">
        <f t="shared" si="14"/>
        <v>August</v>
      </c>
      <c r="E169" s="2" t="str">
        <f t="shared" si="15"/>
        <v>2022</v>
      </c>
      <c r="F169" s="3" t="s">
        <v>362</v>
      </c>
      <c r="G169" s="3" t="str">
        <f>VLOOKUP(F170,'Customers (2)'!A:I,2,0)</f>
        <v>Stanislaus Valsler</v>
      </c>
      <c r="H169" s="3" t="str">
        <f>VLOOKUP(F169,'Customers (2)'!A:I,3,0)</f>
        <v>tfero4n@comsenz.com</v>
      </c>
      <c r="I169" s="3" t="str">
        <f>VLOOKUP(F169,'Customers (2)'!A:I,4,0)</f>
        <v>+1 (262) 954-6859</v>
      </c>
      <c r="J169" s="3" t="str">
        <f>VLOOKUP(F169,'Customers (2)'!A:I,6,0)</f>
        <v>Racine</v>
      </c>
      <c r="K169" s="3" t="str">
        <f>VLOOKUP(F169,'Customers (2)'!A:I,7,0)</f>
        <v>United States</v>
      </c>
      <c r="L169" s="3" t="str">
        <f>VLOOKUP(F169,'Customers (2)'!A:I,9,0)</f>
        <v>Yes</v>
      </c>
      <c r="M169" s="4" t="s">
        <v>3</v>
      </c>
      <c r="N169" s="4" t="str">
        <f>VLOOKUP(M169,'Products (2)'!A:G,2,0)</f>
        <v>Excelsa</v>
      </c>
      <c r="O169" s="4" t="str">
        <f>VLOOKUP(M169,'Products (2)'!A:G,3,0)</f>
        <v>Medium</v>
      </c>
      <c r="P169" s="4">
        <f>VLOOKUP(M169,'Products (2)'!A:G,7,0)</f>
        <v>0.90749999999999997</v>
      </c>
      <c r="Q169" s="3">
        <v>5</v>
      </c>
      <c r="R169" s="5">
        <f>INDEX([1]products!$A$1:$G$49,MATCH([1]orders!$D169,[1]products!$A$1:$A$49,0),MATCH([1]orders!K$1,[1]products!$A$1:$G$1,0))</f>
        <v>0.5</v>
      </c>
      <c r="S169" s="6">
        <f>INDEX([1]products!$A$1:$G$49,MATCH([1]orders!$D169,[1]products!$A$1:$A$49,0),MATCH([1]orders!L$1,[1]products!$A$1:$G$1,0))</f>
        <v>8.25</v>
      </c>
      <c r="T169" s="6">
        <f t="shared" si="12"/>
        <v>41.25</v>
      </c>
      <c r="U169" s="22">
        <f t="shared" si="16"/>
        <v>4.5374999999999996</v>
      </c>
      <c r="V169" s="22">
        <f t="shared" si="17"/>
        <v>10.999999999999998</v>
      </c>
    </row>
    <row r="170" spans="1:22" x14ac:dyDescent="0.3">
      <c r="A170" s="1" t="s">
        <v>363</v>
      </c>
      <c r="B170" s="2">
        <v>43484</v>
      </c>
      <c r="C170" s="2" t="str">
        <f t="shared" si="13"/>
        <v>Saturday</v>
      </c>
      <c r="D170" s="2" t="str">
        <f t="shared" si="14"/>
        <v>January</v>
      </c>
      <c r="E170" s="2" t="str">
        <f t="shared" si="15"/>
        <v>2019</v>
      </c>
      <c r="F170" s="3" t="s">
        <v>364</v>
      </c>
      <c r="G170" s="3" t="str">
        <f>VLOOKUP(F171,'Customers (2)'!A:I,2,0)</f>
        <v>Felita Dauney</v>
      </c>
      <c r="H170" s="3">
        <f>VLOOKUP(F170,'Customers (2)'!A:I,3,0)</f>
        <v>0</v>
      </c>
      <c r="I170" s="3" t="str">
        <f>VLOOKUP(F170,'Customers (2)'!A:I,4,0)</f>
        <v>+353 (479) 865-9222</v>
      </c>
      <c r="J170" s="3" t="str">
        <f>VLOOKUP(F170,'Customers (2)'!A:I,6,0)</f>
        <v>Castlebridge</v>
      </c>
      <c r="K170" s="3" t="str">
        <f>VLOOKUP(F170,'Customers (2)'!A:I,7,0)</f>
        <v>Ireland</v>
      </c>
      <c r="L170" s="3" t="str">
        <f>VLOOKUP(F170,'Customers (2)'!A:I,9,0)</f>
        <v>No</v>
      </c>
      <c r="M170" s="4" t="s">
        <v>67</v>
      </c>
      <c r="N170" s="4" t="str">
        <f>VLOOKUP(M170,'Products (2)'!A:G,2,0)</f>
        <v>Arabica</v>
      </c>
      <c r="O170" s="4" t="str">
        <f>VLOOKUP(M170,'Products (2)'!A:G,3,0)</f>
        <v>Medium</v>
      </c>
      <c r="P170" s="4">
        <f>VLOOKUP(M170,'Products (2)'!A:G,7,0)</f>
        <v>0.60749999999999993</v>
      </c>
      <c r="Q170" s="3">
        <v>6</v>
      </c>
      <c r="R170" s="5">
        <f>INDEX([1]products!$A$1:$G$49,MATCH([1]orders!$D170,[1]products!$A$1:$A$49,0),MATCH([1]orders!K$1,[1]products!$A$1:$G$1,0))</f>
        <v>0.5</v>
      </c>
      <c r="S170" s="6">
        <f>INDEX([1]products!$A$1:$G$49,MATCH([1]orders!$D170,[1]products!$A$1:$A$49,0),MATCH([1]orders!L$1,[1]products!$A$1:$G$1,0))</f>
        <v>6.75</v>
      </c>
      <c r="T170" s="6">
        <f t="shared" si="12"/>
        <v>40.5</v>
      </c>
      <c r="U170" s="22">
        <f t="shared" si="16"/>
        <v>3.6449999999999996</v>
      </c>
      <c r="V170" s="22">
        <f t="shared" si="17"/>
        <v>8.9999999999999982</v>
      </c>
    </row>
    <row r="171" spans="1:22" x14ac:dyDescent="0.3">
      <c r="A171" s="1" t="s">
        <v>365</v>
      </c>
      <c r="B171" s="2">
        <v>44643</v>
      </c>
      <c r="C171" s="2" t="str">
        <f t="shared" si="13"/>
        <v>Wednesday</v>
      </c>
      <c r="D171" s="2" t="str">
        <f t="shared" si="14"/>
        <v>March</v>
      </c>
      <c r="E171" s="2" t="str">
        <f t="shared" si="15"/>
        <v>2022</v>
      </c>
      <c r="F171" s="3" t="s">
        <v>366</v>
      </c>
      <c r="G171" s="3" t="str">
        <f>VLOOKUP(F172,'Customers (2)'!A:I,2,0)</f>
        <v>Serena Earley</v>
      </c>
      <c r="H171" s="3" t="str">
        <f>VLOOKUP(F171,'Customers (2)'!A:I,3,0)</f>
        <v>fdauney4p@sphinn.com</v>
      </c>
      <c r="I171" s="3" t="str">
        <f>VLOOKUP(F171,'Customers (2)'!A:I,4,0)</f>
        <v>+353 (669) 355-6726</v>
      </c>
      <c r="J171" s="3" t="str">
        <f>VLOOKUP(F171,'Customers (2)'!A:I,6,0)</f>
        <v>Castlebellingham</v>
      </c>
      <c r="K171" s="3" t="str">
        <f>VLOOKUP(F171,'Customers (2)'!A:I,7,0)</f>
        <v>Ireland</v>
      </c>
      <c r="L171" s="3" t="str">
        <f>VLOOKUP(F171,'Customers (2)'!A:I,9,0)</f>
        <v>No</v>
      </c>
      <c r="M171" s="4" t="s">
        <v>179</v>
      </c>
      <c r="N171" s="4" t="str">
        <f>VLOOKUP(M171,'Products (2)'!A:G,2,0)</f>
        <v>Robusta</v>
      </c>
      <c r="O171" s="4" t="str">
        <f>VLOOKUP(M171,'Products (2)'!A:G,3,0)</f>
        <v>Dark</v>
      </c>
      <c r="P171" s="4">
        <f>VLOOKUP(M171,'Products (2)'!A:G,7,0)</f>
        <v>0.53699999999999992</v>
      </c>
      <c r="Q171" s="3">
        <v>2</v>
      </c>
      <c r="R171" s="5">
        <f>INDEX([1]products!$A$1:$G$49,MATCH([1]orders!$D171,[1]products!$A$1:$A$49,0),MATCH([1]orders!K$1,[1]products!$A$1:$G$1,0))</f>
        <v>1</v>
      </c>
      <c r="S171" s="6">
        <f>INDEX([1]products!$A$1:$G$49,MATCH([1]orders!$D171,[1]products!$A$1:$A$49,0),MATCH([1]orders!L$1,[1]products!$A$1:$G$1,0))</f>
        <v>8.9499999999999993</v>
      </c>
      <c r="T171" s="6">
        <f t="shared" si="12"/>
        <v>17.899999999999999</v>
      </c>
      <c r="U171" s="22">
        <f t="shared" si="16"/>
        <v>1.0739999999999998</v>
      </c>
      <c r="V171" s="22">
        <f t="shared" si="17"/>
        <v>6</v>
      </c>
    </row>
    <row r="172" spans="1:22" x14ac:dyDescent="0.3">
      <c r="A172" s="1" t="s">
        <v>367</v>
      </c>
      <c r="B172" s="2">
        <v>44476</v>
      </c>
      <c r="C172" s="2" t="str">
        <f t="shared" si="13"/>
        <v>Thursday</v>
      </c>
      <c r="D172" s="2" t="str">
        <f t="shared" si="14"/>
        <v>October</v>
      </c>
      <c r="E172" s="2" t="str">
        <f t="shared" si="15"/>
        <v>2021</v>
      </c>
      <c r="F172" s="3" t="s">
        <v>368</v>
      </c>
      <c r="G172" s="3" t="str">
        <f>VLOOKUP(F173,'Customers (2)'!A:I,2,0)</f>
        <v>Minny Chamberlayne</v>
      </c>
      <c r="H172" s="3" t="str">
        <f>VLOOKUP(F172,'Customers (2)'!A:I,3,0)</f>
        <v>searley4q@youku.com</v>
      </c>
      <c r="I172" s="3">
        <f>VLOOKUP(F172,'Customers (2)'!A:I,4,0)</f>
        <v>0</v>
      </c>
      <c r="J172" s="3" t="str">
        <f>VLOOKUP(F172,'Customers (2)'!A:I,6,0)</f>
        <v>Craigavon</v>
      </c>
      <c r="K172" s="3" t="str">
        <f>VLOOKUP(F172,'Customers (2)'!A:I,7,0)</f>
        <v>United Kingdom</v>
      </c>
      <c r="L172" s="3" t="str">
        <f>VLOOKUP(F172,'Customers (2)'!A:I,9,0)</f>
        <v>No</v>
      </c>
      <c r="M172" s="4" t="s">
        <v>30</v>
      </c>
      <c r="N172" s="4" t="str">
        <f>VLOOKUP(M172,'Products (2)'!A:G,2,0)</f>
        <v>Excelsa</v>
      </c>
      <c r="O172" s="4" t="str">
        <f>VLOOKUP(M172,'Products (2)'!A:G,3,0)</f>
        <v>Light</v>
      </c>
      <c r="P172" s="4">
        <f>VLOOKUP(M172,'Products (2)'!A:G,7,0)</f>
        <v>3.7570499999999996</v>
      </c>
      <c r="Q172" s="3">
        <v>2</v>
      </c>
      <c r="R172" s="5">
        <f>INDEX([1]products!$A$1:$G$49,MATCH([1]orders!$D172,[1]products!$A$1:$A$49,0),MATCH([1]orders!K$1,[1]products!$A$1:$G$1,0))</f>
        <v>2.5</v>
      </c>
      <c r="S172" s="6">
        <f>INDEX([1]products!$A$1:$G$49,MATCH([1]orders!$D172,[1]products!$A$1:$A$49,0),MATCH([1]orders!L$1,[1]products!$A$1:$G$1,0))</f>
        <v>34.154999999999994</v>
      </c>
      <c r="T172" s="6">
        <f t="shared" si="12"/>
        <v>68.309999999999988</v>
      </c>
      <c r="U172" s="22">
        <f t="shared" si="16"/>
        <v>7.5140999999999991</v>
      </c>
      <c r="V172" s="22">
        <f t="shared" si="17"/>
        <v>11</v>
      </c>
    </row>
    <row r="173" spans="1:22" x14ac:dyDescent="0.3">
      <c r="A173" s="1" t="s">
        <v>369</v>
      </c>
      <c r="B173" s="2">
        <v>43544</v>
      </c>
      <c r="C173" s="2" t="str">
        <f t="shared" si="13"/>
        <v>Wednesday</v>
      </c>
      <c r="D173" s="2" t="str">
        <f t="shared" si="14"/>
        <v>March</v>
      </c>
      <c r="E173" s="2" t="str">
        <f t="shared" si="15"/>
        <v>2019</v>
      </c>
      <c r="F173" s="3" t="s">
        <v>370</v>
      </c>
      <c r="G173" s="3" t="str">
        <f>VLOOKUP(F174,'Customers (2)'!A:I,2,0)</f>
        <v>Bartholemy Flaherty</v>
      </c>
      <c r="H173" s="3" t="str">
        <f>VLOOKUP(F173,'Customers (2)'!A:I,3,0)</f>
        <v>mchamberlayne4r@bigcartel.com</v>
      </c>
      <c r="I173" s="3" t="str">
        <f>VLOOKUP(F173,'Customers (2)'!A:I,4,0)</f>
        <v>+1 (813) 801-0026</v>
      </c>
      <c r="J173" s="3" t="str">
        <f>VLOOKUP(F173,'Customers (2)'!A:I,6,0)</f>
        <v>Tampa</v>
      </c>
      <c r="K173" s="3" t="str">
        <f>VLOOKUP(F173,'Customers (2)'!A:I,7,0)</f>
        <v>United States</v>
      </c>
      <c r="L173" s="3" t="str">
        <f>VLOOKUP(F173,'Customers (2)'!A:I,9,0)</f>
        <v>Yes</v>
      </c>
      <c r="M173" s="4" t="s">
        <v>112</v>
      </c>
      <c r="N173" s="4" t="str">
        <f>VLOOKUP(M173,'Products (2)'!A:G,2,0)</f>
        <v>Excelsa</v>
      </c>
      <c r="O173" s="4" t="str">
        <f>VLOOKUP(M173,'Products (2)'!A:G,3,0)</f>
        <v>Medium</v>
      </c>
      <c r="P173" s="4">
        <f>VLOOKUP(M173,'Products (2)'!A:G,7,0)</f>
        <v>3.4787499999999998</v>
      </c>
      <c r="Q173" s="3">
        <v>2</v>
      </c>
      <c r="R173" s="5">
        <f>INDEX([1]products!$A$1:$G$49,MATCH([1]orders!$D173,[1]products!$A$1:$A$49,0),MATCH([1]orders!K$1,[1]products!$A$1:$G$1,0))</f>
        <v>2.5</v>
      </c>
      <c r="S173" s="6">
        <f>INDEX([1]products!$A$1:$G$49,MATCH([1]orders!$D173,[1]products!$A$1:$A$49,0),MATCH([1]orders!L$1,[1]products!$A$1:$G$1,0))</f>
        <v>31.624999999999996</v>
      </c>
      <c r="T173" s="6">
        <f t="shared" si="12"/>
        <v>63.249999999999993</v>
      </c>
      <c r="U173" s="22">
        <f t="shared" si="16"/>
        <v>6.9574999999999996</v>
      </c>
      <c r="V173" s="22">
        <f t="shared" si="17"/>
        <v>11</v>
      </c>
    </row>
    <row r="174" spans="1:22" x14ac:dyDescent="0.3">
      <c r="A174" s="1" t="s">
        <v>371</v>
      </c>
      <c r="B174" s="2">
        <v>44545</v>
      </c>
      <c r="C174" s="2" t="str">
        <f t="shared" si="13"/>
        <v>Wednesday</v>
      </c>
      <c r="D174" s="2" t="str">
        <f t="shared" si="14"/>
        <v>December</v>
      </c>
      <c r="E174" s="2" t="str">
        <f t="shared" si="15"/>
        <v>2021</v>
      </c>
      <c r="F174" s="3" t="s">
        <v>372</v>
      </c>
      <c r="G174" s="3" t="str">
        <f>VLOOKUP(F175,'Customers (2)'!A:I,2,0)</f>
        <v>Oran Colbeck</v>
      </c>
      <c r="H174" s="3" t="str">
        <f>VLOOKUP(F174,'Customers (2)'!A:I,3,0)</f>
        <v>bflaherty4s@moonfruit.com</v>
      </c>
      <c r="I174" s="3">
        <f>VLOOKUP(F174,'Customers (2)'!A:I,4,0)</f>
        <v>0</v>
      </c>
      <c r="J174" s="3" t="str">
        <f>VLOOKUP(F174,'Customers (2)'!A:I,6,0)</f>
        <v>Eadestown</v>
      </c>
      <c r="K174" s="3" t="str">
        <f>VLOOKUP(F174,'Customers (2)'!A:I,7,0)</f>
        <v>Ireland</v>
      </c>
      <c r="L174" s="3" t="str">
        <f>VLOOKUP(F174,'Customers (2)'!A:I,9,0)</f>
        <v>No</v>
      </c>
      <c r="M174" s="4" t="s">
        <v>16</v>
      </c>
      <c r="N174" s="4" t="str">
        <f>VLOOKUP(M174,'Products (2)'!A:G,2,0)</f>
        <v>Excelsa</v>
      </c>
      <c r="O174" s="4" t="str">
        <f>VLOOKUP(M174,'Products (2)'!A:G,3,0)</f>
        <v>Dark</v>
      </c>
      <c r="P174" s="4">
        <f>VLOOKUP(M174,'Products (2)'!A:G,7,0)</f>
        <v>0.80190000000000006</v>
      </c>
      <c r="Q174" s="3">
        <v>3</v>
      </c>
      <c r="R174" s="5">
        <f>INDEX([1]products!$A$1:$G$49,MATCH([1]orders!$D174,[1]products!$A$1:$A$49,0),MATCH([1]orders!K$1,[1]products!$A$1:$G$1,0))</f>
        <v>0.5</v>
      </c>
      <c r="S174" s="6">
        <f>INDEX([1]products!$A$1:$G$49,MATCH([1]orders!$D174,[1]products!$A$1:$A$49,0),MATCH([1]orders!L$1,[1]products!$A$1:$G$1,0))</f>
        <v>7.29</v>
      </c>
      <c r="T174" s="6">
        <f t="shared" si="12"/>
        <v>21.87</v>
      </c>
      <c r="U174" s="22">
        <f t="shared" si="16"/>
        <v>2.4057000000000004</v>
      </c>
      <c r="V174" s="22">
        <f t="shared" si="17"/>
        <v>11.000000000000002</v>
      </c>
    </row>
    <row r="175" spans="1:22" x14ac:dyDescent="0.3">
      <c r="A175" s="1" t="s">
        <v>373</v>
      </c>
      <c r="B175" s="2">
        <v>44720</v>
      </c>
      <c r="C175" s="2" t="str">
        <f t="shared" si="13"/>
        <v>Wednesday</v>
      </c>
      <c r="D175" s="2" t="str">
        <f t="shared" si="14"/>
        <v>June</v>
      </c>
      <c r="E175" s="2" t="str">
        <f t="shared" si="15"/>
        <v>2022</v>
      </c>
      <c r="F175" s="3" t="s">
        <v>374</v>
      </c>
      <c r="G175" s="3" t="str">
        <f>VLOOKUP(F176,'Customers (2)'!A:I,2,0)</f>
        <v>Elysee Sketch</v>
      </c>
      <c r="H175" s="3" t="str">
        <f>VLOOKUP(F175,'Customers (2)'!A:I,3,0)</f>
        <v>ocolbeck4t@sina.com.cn</v>
      </c>
      <c r="I175" s="3" t="str">
        <f>VLOOKUP(F175,'Customers (2)'!A:I,4,0)</f>
        <v>+1 (334) 441-4420</v>
      </c>
      <c r="J175" s="3" t="str">
        <f>VLOOKUP(F175,'Customers (2)'!A:I,6,0)</f>
        <v>Montgomery</v>
      </c>
      <c r="K175" s="3" t="str">
        <f>VLOOKUP(F175,'Customers (2)'!A:I,7,0)</f>
        <v>United States</v>
      </c>
      <c r="L175" s="3" t="str">
        <f>VLOOKUP(F175,'Customers (2)'!A:I,9,0)</f>
        <v>No</v>
      </c>
      <c r="M175" s="4" t="s">
        <v>41</v>
      </c>
      <c r="N175" s="4" t="str">
        <f>VLOOKUP(M175,'Products (2)'!A:G,2,0)</f>
        <v>Robusta</v>
      </c>
      <c r="O175" s="4" t="str">
        <f>VLOOKUP(M175,'Products (2)'!A:G,3,0)</f>
        <v>Medium</v>
      </c>
      <c r="P175" s="4">
        <f>VLOOKUP(M175,'Products (2)'!A:G,7,0)</f>
        <v>1.3730999999999998</v>
      </c>
      <c r="Q175" s="3">
        <v>4</v>
      </c>
      <c r="R175" s="5">
        <f>INDEX([1]products!$A$1:$G$49,MATCH([1]orders!$D175,[1]products!$A$1:$A$49,0),MATCH([1]orders!K$1,[1]products!$A$1:$G$1,0))</f>
        <v>2.5</v>
      </c>
      <c r="S175" s="6">
        <f>INDEX([1]products!$A$1:$G$49,MATCH([1]orders!$D175,[1]products!$A$1:$A$49,0),MATCH([1]orders!L$1,[1]products!$A$1:$G$1,0))</f>
        <v>22.884999999999998</v>
      </c>
      <c r="T175" s="6">
        <f t="shared" si="12"/>
        <v>91.539999999999992</v>
      </c>
      <c r="U175" s="22">
        <f t="shared" si="16"/>
        <v>5.4923999999999991</v>
      </c>
      <c r="V175" s="22">
        <f t="shared" si="17"/>
        <v>6</v>
      </c>
    </row>
    <row r="176" spans="1:22" x14ac:dyDescent="0.3">
      <c r="A176" s="1" t="s">
        <v>375</v>
      </c>
      <c r="B176" s="2">
        <v>43813</v>
      </c>
      <c r="C176" s="2" t="str">
        <f t="shared" si="13"/>
        <v>Saturday</v>
      </c>
      <c r="D176" s="2" t="str">
        <f t="shared" si="14"/>
        <v>December</v>
      </c>
      <c r="E176" s="2" t="str">
        <f t="shared" si="15"/>
        <v>2019</v>
      </c>
      <c r="F176" s="3" t="s">
        <v>376</v>
      </c>
      <c r="G176" s="3" t="str">
        <f>VLOOKUP(F177,'Customers (2)'!A:I,2,0)</f>
        <v>Ethelda Hobbing</v>
      </c>
      <c r="H176" s="3">
        <f>VLOOKUP(F176,'Customers (2)'!A:I,3,0)</f>
        <v>0</v>
      </c>
      <c r="I176" s="3" t="str">
        <f>VLOOKUP(F176,'Customers (2)'!A:I,4,0)</f>
        <v>+1 (775) 947-1470</v>
      </c>
      <c r="J176" s="3" t="str">
        <f>VLOOKUP(F176,'Customers (2)'!A:I,6,0)</f>
        <v>Sparks</v>
      </c>
      <c r="K176" s="3" t="str">
        <f>VLOOKUP(F176,'Customers (2)'!A:I,7,0)</f>
        <v>United States</v>
      </c>
      <c r="L176" s="3" t="str">
        <f>VLOOKUP(F176,'Customers (2)'!A:I,9,0)</f>
        <v>Yes</v>
      </c>
      <c r="M176" s="4" t="s">
        <v>30</v>
      </c>
      <c r="N176" s="4" t="str">
        <f>VLOOKUP(M176,'Products (2)'!A:G,2,0)</f>
        <v>Excelsa</v>
      </c>
      <c r="O176" s="4" t="str">
        <f>VLOOKUP(M176,'Products (2)'!A:G,3,0)</f>
        <v>Light</v>
      </c>
      <c r="P176" s="4">
        <f>VLOOKUP(M176,'Products (2)'!A:G,7,0)</f>
        <v>3.7570499999999996</v>
      </c>
      <c r="Q176" s="3">
        <v>6</v>
      </c>
      <c r="R176" s="5">
        <f>INDEX([1]products!$A$1:$G$49,MATCH([1]orders!$D176,[1]products!$A$1:$A$49,0),MATCH([1]orders!K$1,[1]products!$A$1:$G$1,0))</f>
        <v>2.5</v>
      </c>
      <c r="S176" s="6">
        <f>INDEX([1]products!$A$1:$G$49,MATCH([1]orders!$D176,[1]products!$A$1:$A$49,0),MATCH([1]orders!L$1,[1]products!$A$1:$G$1,0))</f>
        <v>34.154999999999994</v>
      </c>
      <c r="T176" s="6">
        <f t="shared" si="12"/>
        <v>204.92999999999995</v>
      </c>
      <c r="U176" s="22">
        <f t="shared" si="16"/>
        <v>22.542299999999997</v>
      </c>
      <c r="V176" s="22">
        <f t="shared" si="17"/>
        <v>11.000000000000002</v>
      </c>
    </row>
    <row r="177" spans="1:22" x14ac:dyDescent="0.3">
      <c r="A177" s="1" t="s">
        <v>377</v>
      </c>
      <c r="B177" s="2">
        <v>44296</v>
      </c>
      <c r="C177" s="2" t="str">
        <f t="shared" si="13"/>
        <v>Saturday</v>
      </c>
      <c r="D177" s="2" t="str">
        <f t="shared" si="14"/>
        <v>April</v>
      </c>
      <c r="E177" s="2" t="str">
        <f t="shared" si="15"/>
        <v>2021</v>
      </c>
      <c r="F177" s="3" t="s">
        <v>378</v>
      </c>
      <c r="G177" s="3" t="str">
        <f>VLOOKUP(F178,'Customers (2)'!A:I,2,0)</f>
        <v>Odille Thynne</v>
      </c>
      <c r="H177" s="3" t="str">
        <f>VLOOKUP(F177,'Customers (2)'!A:I,3,0)</f>
        <v>ehobbing4v@nsw.gov.au</v>
      </c>
      <c r="I177" s="3" t="str">
        <f>VLOOKUP(F177,'Customers (2)'!A:I,4,0)</f>
        <v>+1 (478) 206-7670</v>
      </c>
      <c r="J177" s="3" t="str">
        <f>VLOOKUP(F177,'Customers (2)'!A:I,6,0)</f>
        <v>Macon</v>
      </c>
      <c r="K177" s="3" t="str">
        <f>VLOOKUP(F177,'Customers (2)'!A:I,7,0)</f>
        <v>United States</v>
      </c>
      <c r="L177" s="3" t="str">
        <f>VLOOKUP(F177,'Customers (2)'!A:I,9,0)</f>
        <v>Yes</v>
      </c>
      <c r="M177" s="4" t="s">
        <v>112</v>
      </c>
      <c r="N177" s="4" t="str">
        <f>VLOOKUP(M177,'Products (2)'!A:G,2,0)</f>
        <v>Excelsa</v>
      </c>
      <c r="O177" s="4" t="str">
        <f>VLOOKUP(M177,'Products (2)'!A:G,3,0)</f>
        <v>Medium</v>
      </c>
      <c r="P177" s="4">
        <f>VLOOKUP(M177,'Products (2)'!A:G,7,0)</f>
        <v>3.4787499999999998</v>
      </c>
      <c r="Q177" s="3">
        <v>2</v>
      </c>
      <c r="R177" s="5">
        <f>INDEX([1]products!$A$1:$G$49,MATCH([1]orders!$D177,[1]products!$A$1:$A$49,0),MATCH([1]orders!K$1,[1]products!$A$1:$G$1,0))</f>
        <v>2.5</v>
      </c>
      <c r="S177" s="6">
        <f>INDEX([1]products!$A$1:$G$49,MATCH([1]orders!$D177,[1]products!$A$1:$A$49,0),MATCH([1]orders!L$1,[1]products!$A$1:$G$1,0))</f>
        <v>31.624999999999996</v>
      </c>
      <c r="T177" s="6">
        <f t="shared" si="12"/>
        <v>63.249999999999993</v>
      </c>
      <c r="U177" s="22">
        <f t="shared" si="16"/>
        <v>6.9574999999999996</v>
      </c>
      <c r="V177" s="22">
        <f t="shared" si="17"/>
        <v>11</v>
      </c>
    </row>
    <row r="178" spans="1:22" x14ac:dyDescent="0.3">
      <c r="A178" s="1" t="s">
        <v>379</v>
      </c>
      <c r="B178" s="2">
        <v>43900</v>
      </c>
      <c r="C178" s="2" t="str">
        <f t="shared" si="13"/>
        <v>Tuesday</v>
      </c>
      <c r="D178" s="2" t="str">
        <f t="shared" si="14"/>
        <v>March</v>
      </c>
      <c r="E178" s="2" t="str">
        <f t="shared" si="15"/>
        <v>2020</v>
      </c>
      <c r="F178" s="3" t="s">
        <v>380</v>
      </c>
      <c r="G178" s="3" t="str">
        <f>VLOOKUP(F179,'Customers (2)'!A:I,2,0)</f>
        <v>Emlynne Heining</v>
      </c>
      <c r="H178" s="3" t="str">
        <f>VLOOKUP(F178,'Customers (2)'!A:I,3,0)</f>
        <v>othynne4w@auda.org.au</v>
      </c>
      <c r="I178" s="3" t="str">
        <f>VLOOKUP(F178,'Customers (2)'!A:I,4,0)</f>
        <v>+1 (562) 132-7323</v>
      </c>
      <c r="J178" s="3" t="str">
        <f>VLOOKUP(F178,'Customers (2)'!A:I,6,0)</f>
        <v>Whittier</v>
      </c>
      <c r="K178" s="3" t="str">
        <f>VLOOKUP(F178,'Customers (2)'!A:I,7,0)</f>
        <v>United States</v>
      </c>
      <c r="L178" s="3" t="str">
        <f>VLOOKUP(F178,'Customers (2)'!A:I,9,0)</f>
        <v>Yes</v>
      </c>
      <c r="M178" s="4" t="s">
        <v>30</v>
      </c>
      <c r="N178" s="4" t="str">
        <f>VLOOKUP(M178,'Products (2)'!A:G,2,0)</f>
        <v>Excelsa</v>
      </c>
      <c r="O178" s="4" t="str">
        <f>VLOOKUP(M178,'Products (2)'!A:G,3,0)</f>
        <v>Light</v>
      </c>
      <c r="P178" s="4">
        <f>VLOOKUP(M178,'Products (2)'!A:G,7,0)</f>
        <v>3.7570499999999996</v>
      </c>
      <c r="Q178" s="3">
        <v>1</v>
      </c>
      <c r="R178" s="5">
        <f>INDEX([1]products!$A$1:$G$49,MATCH([1]orders!$D178,[1]products!$A$1:$A$49,0),MATCH([1]orders!K$1,[1]products!$A$1:$G$1,0))</f>
        <v>2.5</v>
      </c>
      <c r="S178" s="6">
        <f>INDEX([1]products!$A$1:$G$49,MATCH([1]orders!$D178,[1]products!$A$1:$A$49,0),MATCH([1]orders!L$1,[1]products!$A$1:$G$1,0))</f>
        <v>34.154999999999994</v>
      </c>
      <c r="T178" s="6">
        <f t="shared" si="12"/>
        <v>34.154999999999994</v>
      </c>
      <c r="U178" s="22">
        <f t="shared" si="16"/>
        <v>3.7570499999999996</v>
      </c>
      <c r="V178" s="22">
        <f t="shared" si="17"/>
        <v>11</v>
      </c>
    </row>
    <row r="179" spans="1:22" x14ac:dyDescent="0.3">
      <c r="A179" s="1" t="s">
        <v>381</v>
      </c>
      <c r="B179" s="2">
        <v>44120</v>
      </c>
      <c r="C179" s="2" t="str">
        <f t="shared" si="13"/>
        <v>Friday</v>
      </c>
      <c r="D179" s="2" t="str">
        <f t="shared" si="14"/>
        <v>October</v>
      </c>
      <c r="E179" s="2" t="str">
        <f t="shared" si="15"/>
        <v>2020</v>
      </c>
      <c r="F179" s="3" t="s">
        <v>382</v>
      </c>
      <c r="G179" s="3" t="str">
        <f>VLOOKUP(F180,'Customers (2)'!A:I,2,0)</f>
        <v>Katerina Melloi</v>
      </c>
      <c r="H179" s="3" t="str">
        <f>VLOOKUP(F179,'Customers (2)'!A:I,3,0)</f>
        <v>eheining4x@flickr.com</v>
      </c>
      <c r="I179" s="3">
        <f>VLOOKUP(F179,'Customers (2)'!A:I,4,0)</f>
        <v>0</v>
      </c>
      <c r="J179" s="3" t="str">
        <f>VLOOKUP(F179,'Customers (2)'!A:I,6,0)</f>
        <v>Johnson City</v>
      </c>
      <c r="K179" s="3" t="str">
        <f>VLOOKUP(F179,'Customers (2)'!A:I,7,0)</f>
        <v>United States</v>
      </c>
      <c r="L179" s="3" t="str">
        <f>VLOOKUP(F179,'Customers (2)'!A:I,9,0)</f>
        <v>Yes</v>
      </c>
      <c r="M179" s="4" t="s">
        <v>10</v>
      </c>
      <c r="N179" s="4" t="str">
        <f>VLOOKUP(M179,'Products (2)'!A:G,2,0)</f>
        <v>Robusta</v>
      </c>
      <c r="O179" s="4" t="str">
        <f>VLOOKUP(M179,'Products (2)'!A:G,3,0)</f>
        <v>Light</v>
      </c>
      <c r="P179" s="4">
        <f>VLOOKUP(M179,'Products (2)'!A:G,7,0)</f>
        <v>1.6490999999999998</v>
      </c>
      <c r="Q179" s="3">
        <v>4</v>
      </c>
      <c r="R179" s="5">
        <f>INDEX([1]products!$A$1:$G$49,MATCH([1]orders!$D179,[1]products!$A$1:$A$49,0),MATCH([1]orders!K$1,[1]products!$A$1:$G$1,0))</f>
        <v>2.5</v>
      </c>
      <c r="S179" s="6">
        <f>INDEX([1]products!$A$1:$G$49,MATCH([1]orders!$D179,[1]products!$A$1:$A$49,0),MATCH([1]orders!L$1,[1]products!$A$1:$G$1,0))</f>
        <v>27.484999999999996</v>
      </c>
      <c r="T179" s="6">
        <f t="shared" si="12"/>
        <v>109.93999999999998</v>
      </c>
      <c r="U179" s="22">
        <f t="shared" si="16"/>
        <v>6.5963999999999992</v>
      </c>
      <c r="V179" s="22">
        <f t="shared" si="17"/>
        <v>6.0000000000000009</v>
      </c>
    </row>
    <row r="180" spans="1:22" x14ac:dyDescent="0.3">
      <c r="A180" s="1" t="s">
        <v>383</v>
      </c>
      <c r="B180" s="2">
        <v>43746</v>
      </c>
      <c r="C180" s="2" t="str">
        <f t="shared" si="13"/>
        <v>Tuesday</v>
      </c>
      <c r="D180" s="2" t="str">
        <f t="shared" si="14"/>
        <v>October</v>
      </c>
      <c r="E180" s="2" t="str">
        <f t="shared" si="15"/>
        <v>2019</v>
      </c>
      <c r="F180" s="3" t="s">
        <v>384</v>
      </c>
      <c r="G180" s="3" t="str">
        <f>VLOOKUP(F181,'Customers (2)'!A:I,2,0)</f>
        <v>Tiffany Scardafield</v>
      </c>
      <c r="H180" s="3" t="str">
        <f>VLOOKUP(F180,'Customers (2)'!A:I,3,0)</f>
        <v>kmelloi4y@imdb.com</v>
      </c>
      <c r="I180" s="3" t="str">
        <f>VLOOKUP(F180,'Customers (2)'!A:I,4,0)</f>
        <v>+1 (315) 525-0805</v>
      </c>
      <c r="J180" s="3" t="str">
        <f>VLOOKUP(F180,'Customers (2)'!A:I,6,0)</f>
        <v>Rochester</v>
      </c>
      <c r="K180" s="3" t="str">
        <f>VLOOKUP(F180,'Customers (2)'!A:I,7,0)</f>
        <v>United States</v>
      </c>
      <c r="L180" s="3" t="str">
        <f>VLOOKUP(F180,'Customers (2)'!A:I,9,0)</f>
        <v>No</v>
      </c>
      <c r="M180" s="4" t="s">
        <v>6</v>
      </c>
      <c r="N180" s="4" t="str">
        <f>VLOOKUP(M180,'Products (2)'!A:G,2,0)</f>
        <v>Arabica</v>
      </c>
      <c r="O180" s="4" t="str">
        <f>VLOOKUP(M180,'Products (2)'!A:G,3,0)</f>
        <v>Light</v>
      </c>
      <c r="P180" s="4">
        <f>VLOOKUP(M180,'Products (2)'!A:G,7,0)</f>
        <v>1.1655</v>
      </c>
      <c r="Q180" s="3">
        <v>2</v>
      </c>
      <c r="R180" s="5">
        <f>INDEX([1]products!$A$1:$G$49,MATCH([1]orders!$D180,[1]products!$A$1:$A$49,0),MATCH([1]orders!K$1,[1]products!$A$1:$G$1,0))</f>
        <v>1</v>
      </c>
      <c r="S180" s="6">
        <f>INDEX([1]products!$A$1:$G$49,MATCH([1]orders!$D180,[1]products!$A$1:$A$49,0),MATCH([1]orders!L$1,[1]products!$A$1:$G$1,0))</f>
        <v>12.95</v>
      </c>
      <c r="T180" s="6">
        <f t="shared" si="12"/>
        <v>25.9</v>
      </c>
      <c r="U180" s="22">
        <f t="shared" si="16"/>
        <v>2.331</v>
      </c>
      <c r="V180" s="22">
        <f t="shared" si="17"/>
        <v>9</v>
      </c>
    </row>
    <row r="181" spans="1:22" x14ac:dyDescent="0.3">
      <c r="A181" s="1" t="s">
        <v>385</v>
      </c>
      <c r="B181" s="2">
        <v>43830</v>
      </c>
      <c r="C181" s="2" t="str">
        <f t="shared" si="13"/>
        <v>Tuesday</v>
      </c>
      <c r="D181" s="2" t="str">
        <f t="shared" si="14"/>
        <v>December</v>
      </c>
      <c r="E181" s="2" t="str">
        <f t="shared" si="15"/>
        <v>2019</v>
      </c>
      <c r="F181" s="3" t="s">
        <v>386</v>
      </c>
      <c r="G181" s="3" t="str">
        <f>VLOOKUP(F182,'Customers (2)'!A:I,2,0)</f>
        <v>Abrahan Mussen</v>
      </c>
      <c r="H181" s="3">
        <f>VLOOKUP(F181,'Customers (2)'!A:I,3,0)</f>
        <v>0</v>
      </c>
      <c r="I181" s="3" t="str">
        <f>VLOOKUP(F181,'Customers (2)'!A:I,4,0)</f>
        <v>+353 (232) 652-5145</v>
      </c>
      <c r="J181" s="3" t="str">
        <f>VLOOKUP(F181,'Customers (2)'!A:I,6,0)</f>
        <v>Portarlington</v>
      </c>
      <c r="K181" s="3" t="str">
        <f>VLOOKUP(F181,'Customers (2)'!A:I,7,0)</f>
        <v>Ireland</v>
      </c>
      <c r="L181" s="3" t="str">
        <f>VLOOKUP(F181,'Customers (2)'!A:I,9,0)</f>
        <v>No</v>
      </c>
      <c r="M181" s="4" t="s">
        <v>54</v>
      </c>
      <c r="N181" s="4" t="str">
        <f>VLOOKUP(M181,'Products (2)'!A:G,2,0)</f>
        <v>Arabica</v>
      </c>
      <c r="O181" s="4" t="str">
        <f>VLOOKUP(M181,'Products (2)'!A:G,3,0)</f>
        <v>Dark</v>
      </c>
      <c r="P181" s="4">
        <f>VLOOKUP(M181,'Products (2)'!A:G,7,0)</f>
        <v>0.26865</v>
      </c>
      <c r="Q181" s="3">
        <v>1</v>
      </c>
      <c r="R181" s="5">
        <f>INDEX([1]products!$A$1:$G$49,MATCH([1]orders!$D181,[1]products!$A$1:$A$49,0),MATCH([1]orders!K$1,[1]products!$A$1:$G$1,0))</f>
        <v>0.2</v>
      </c>
      <c r="S181" s="6">
        <f>INDEX([1]products!$A$1:$G$49,MATCH([1]orders!$D181,[1]products!$A$1:$A$49,0),MATCH([1]orders!L$1,[1]products!$A$1:$G$1,0))</f>
        <v>2.9849999999999999</v>
      </c>
      <c r="T181" s="6">
        <f t="shared" si="12"/>
        <v>2.9849999999999999</v>
      </c>
      <c r="U181" s="22">
        <f t="shared" si="16"/>
        <v>0.26865</v>
      </c>
      <c r="V181" s="22">
        <f t="shared" si="17"/>
        <v>9.0000000000000018</v>
      </c>
    </row>
    <row r="182" spans="1:22" x14ac:dyDescent="0.3">
      <c r="A182" s="1" t="s">
        <v>387</v>
      </c>
      <c r="B182" s="2">
        <v>43910</v>
      </c>
      <c r="C182" s="2" t="str">
        <f t="shared" si="13"/>
        <v>Friday</v>
      </c>
      <c r="D182" s="2" t="str">
        <f t="shared" si="14"/>
        <v>March</v>
      </c>
      <c r="E182" s="2" t="str">
        <f t="shared" si="15"/>
        <v>2020</v>
      </c>
      <c r="F182" s="3" t="s">
        <v>388</v>
      </c>
      <c r="G182" s="3" t="str">
        <f>VLOOKUP(F183,'Customers (2)'!A:I,2,0)</f>
        <v>Abrahan Mussen</v>
      </c>
      <c r="H182" s="3" t="str">
        <f>VLOOKUP(F182,'Customers (2)'!A:I,3,0)</f>
        <v>amussen50@51.la</v>
      </c>
      <c r="I182" s="3" t="str">
        <f>VLOOKUP(F182,'Customers (2)'!A:I,4,0)</f>
        <v>+1 (212) 630-8669</v>
      </c>
      <c r="J182" s="3" t="str">
        <f>VLOOKUP(F182,'Customers (2)'!A:I,6,0)</f>
        <v>Brooklyn</v>
      </c>
      <c r="K182" s="3" t="str">
        <f>VLOOKUP(F182,'Customers (2)'!A:I,7,0)</f>
        <v>United States</v>
      </c>
      <c r="L182" s="3" t="str">
        <f>VLOOKUP(F182,'Customers (2)'!A:I,9,0)</f>
        <v>No</v>
      </c>
      <c r="M182" s="4" t="s">
        <v>254</v>
      </c>
      <c r="N182" s="4" t="str">
        <f>VLOOKUP(M182,'Products (2)'!A:G,2,0)</f>
        <v>Excelsa</v>
      </c>
      <c r="O182" s="4" t="str">
        <f>VLOOKUP(M182,'Products (2)'!A:G,3,0)</f>
        <v>Light</v>
      </c>
      <c r="P182" s="4">
        <f>VLOOKUP(M182,'Products (2)'!A:G,7,0)</f>
        <v>0.49004999999999999</v>
      </c>
      <c r="Q182" s="3">
        <v>5</v>
      </c>
      <c r="R182" s="5">
        <f>INDEX([1]products!$A$1:$G$49,MATCH([1]orders!$D182,[1]products!$A$1:$A$49,0),MATCH([1]orders!K$1,[1]products!$A$1:$G$1,0))</f>
        <v>0.2</v>
      </c>
      <c r="S182" s="6">
        <f>INDEX([1]products!$A$1:$G$49,MATCH([1]orders!$D182,[1]products!$A$1:$A$49,0),MATCH([1]orders!L$1,[1]products!$A$1:$G$1,0))</f>
        <v>4.4550000000000001</v>
      </c>
      <c r="T182" s="6">
        <f t="shared" si="12"/>
        <v>22.274999999999999</v>
      </c>
      <c r="U182" s="22">
        <f t="shared" si="16"/>
        <v>2.45025</v>
      </c>
      <c r="V182" s="22">
        <f t="shared" si="17"/>
        <v>11.000000000000002</v>
      </c>
    </row>
    <row r="183" spans="1:22" x14ac:dyDescent="0.3">
      <c r="A183" s="1" t="s">
        <v>387</v>
      </c>
      <c r="B183" s="2">
        <v>43910</v>
      </c>
      <c r="C183" s="2" t="str">
        <f t="shared" si="13"/>
        <v>Friday</v>
      </c>
      <c r="D183" s="2" t="str">
        <f t="shared" si="14"/>
        <v>March</v>
      </c>
      <c r="E183" s="2" t="str">
        <f t="shared" si="15"/>
        <v>2020</v>
      </c>
      <c r="F183" s="3" t="s">
        <v>388</v>
      </c>
      <c r="G183" s="3" t="str">
        <f>VLOOKUP(F184,'Customers (2)'!A:I,2,0)</f>
        <v>Anny Mundford</v>
      </c>
      <c r="H183" s="3" t="str">
        <f>VLOOKUP(F183,'Customers (2)'!A:I,3,0)</f>
        <v>amussen50@51.la</v>
      </c>
      <c r="I183" s="3" t="str">
        <f>VLOOKUP(F183,'Customers (2)'!A:I,4,0)</f>
        <v>+1 (212) 630-8669</v>
      </c>
      <c r="J183" s="3" t="str">
        <f>VLOOKUP(F183,'Customers (2)'!A:I,6,0)</f>
        <v>Brooklyn</v>
      </c>
      <c r="K183" s="3" t="str">
        <f>VLOOKUP(F183,'Customers (2)'!A:I,7,0)</f>
        <v>United States</v>
      </c>
      <c r="L183" s="3" t="str">
        <f>VLOOKUP(F183,'Customers (2)'!A:I,9,0)</f>
        <v>No</v>
      </c>
      <c r="M183" s="4" t="s">
        <v>72</v>
      </c>
      <c r="N183" s="4" t="str">
        <f>VLOOKUP(M183,'Products (2)'!A:G,2,0)</f>
        <v>Arabica</v>
      </c>
      <c r="O183" s="4" t="str">
        <f>VLOOKUP(M183,'Products (2)'!A:G,3,0)</f>
        <v>Dark</v>
      </c>
      <c r="P183" s="4">
        <f>VLOOKUP(M183,'Products (2)'!A:G,7,0)</f>
        <v>0.5373</v>
      </c>
      <c r="Q183" s="3">
        <v>5</v>
      </c>
      <c r="R183" s="5">
        <f>INDEX([1]products!$A$1:$G$49,MATCH([1]orders!$D183,[1]products!$A$1:$A$49,0),MATCH([1]orders!K$1,[1]products!$A$1:$G$1,0))</f>
        <v>0.5</v>
      </c>
      <c r="S183" s="6">
        <f>INDEX([1]products!$A$1:$G$49,MATCH([1]orders!$D183,[1]products!$A$1:$A$49,0),MATCH([1]orders!L$1,[1]products!$A$1:$G$1,0))</f>
        <v>5.97</v>
      </c>
      <c r="T183" s="6">
        <f t="shared" si="12"/>
        <v>29.849999999999998</v>
      </c>
      <c r="U183" s="22">
        <f t="shared" si="16"/>
        <v>2.6865000000000001</v>
      </c>
      <c r="V183" s="22">
        <f t="shared" si="17"/>
        <v>9.0000000000000018</v>
      </c>
    </row>
    <row r="184" spans="1:22" x14ac:dyDescent="0.3">
      <c r="A184" s="1" t="s">
        <v>389</v>
      </c>
      <c r="B184" s="2">
        <v>44284</v>
      </c>
      <c r="C184" s="2" t="str">
        <f t="shared" si="13"/>
        <v>Monday</v>
      </c>
      <c r="D184" s="2" t="str">
        <f t="shared" si="14"/>
        <v>March</v>
      </c>
      <c r="E184" s="2" t="str">
        <f t="shared" si="15"/>
        <v>2021</v>
      </c>
      <c r="F184" s="3" t="s">
        <v>390</v>
      </c>
      <c r="G184" s="3" t="str">
        <f>VLOOKUP(F185,'Customers (2)'!A:I,2,0)</f>
        <v>Tory Walas</v>
      </c>
      <c r="H184" s="3" t="str">
        <f>VLOOKUP(F184,'Customers (2)'!A:I,3,0)</f>
        <v>amundford52@nbcnews.com</v>
      </c>
      <c r="I184" s="3" t="str">
        <f>VLOOKUP(F184,'Customers (2)'!A:I,4,0)</f>
        <v>+1 (434) 738-7279</v>
      </c>
      <c r="J184" s="3" t="str">
        <f>VLOOKUP(F184,'Customers (2)'!A:I,6,0)</f>
        <v>Charlottesville</v>
      </c>
      <c r="K184" s="3" t="str">
        <f>VLOOKUP(F184,'Customers (2)'!A:I,7,0)</f>
        <v>United States</v>
      </c>
      <c r="L184" s="3" t="str">
        <f>VLOOKUP(F184,'Customers (2)'!A:I,9,0)</f>
        <v>No</v>
      </c>
      <c r="M184" s="4" t="s">
        <v>146</v>
      </c>
      <c r="N184" s="4" t="str">
        <f>VLOOKUP(M184,'Products (2)'!A:G,2,0)</f>
        <v>Robusta</v>
      </c>
      <c r="O184" s="4" t="str">
        <f>VLOOKUP(M184,'Products (2)'!A:G,3,0)</f>
        <v>Dark</v>
      </c>
      <c r="P184" s="4">
        <f>VLOOKUP(M184,'Products (2)'!A:G,7,0)</f>
        <v>0.32219999999999993</v>
      </c>
      <c r="Q184" s="3">
        <v>6</v>
      </c>
      <c r="R184" s="5">
        <f>INDEX([1]products!$A$1:$G$49,MATCH([1]orders!$D184,[1]products!$A$1:$A$49,0),MATCH([1]orders!K$1,[1]products!$A$1:$G$1,0))</f>
        <v>0.5</v>
      </c>
      <c r="S184" s="6">
        <f>INDEX([1]products!$A$1:$G$49,MATCH([1]orders!$D184,[1]products!$A$1:$A$49,0),MATCH([1]orders!L$1,[1]products!$A$1:$G$1,0))</f>
        <v>5.3699999999999992</v>
      </c>
      <c r="T184" s="6">
        <f t="shared" si="12"/>
        <v>32.22</v>
      </c>
      <c r="U184" s="22">
        <f t="shared" si="16"/>
        <v>1.9331999999999996</v>
      </c>
      <c r="V184" s="22">
        <f t="shared" si="17"/>
        <v>5.9999999999999991</v>
      </c>
    </row>
    <row r="185" spans="1:22" x14ac:dyDescent="0.3">
      <c r="A185" s="1" t="s">
        <v>391</v>
      </c>
      <c r="B185" s="2">
        <v>44512</v>
      </c>
      <c r="C185" s="2" t="str">
        <f t="shared" si="13"/>
        <v>Friday</v>
      </c>
      <c r="D185" s="2" t="str">
        <f t="shared" si="14"/>
        <v>November</v>
      </c>
      <c r="E185" s="2" t="str">
        <f t="shared" si="15"/>
        <v>2021</v>
      </c>
      <c r="F185" s="3" t="s">
        <v>392</v>
      </c>
      <c r="G185" s="3" t="str">
        <f>VLOOKUP(F186,'Customers (2)'!A:I,2,0)</f>
        <v>Isa Blazewicz</v>
      </c>
      <c r="H185" s="3" t="str">
        <f>VLOOKUP(F185,'Customers (2)'!A:I,3,0)</f>
        <v>twalas53@google.ca</v>
      </c>
      <c r="I185" s="3" t="str">
        <f>VLOOKUP(F185,'Customers (2)'!A:I,4,0)</f>
        <v>+1 (214) 205-7809</v>
      </c>
      <c r="J185" s="3" t="str">
        <f>VLOOKUP(F185,'Customers (2)'!A:I,6,0)</f>
        <v>Garland</v>
      </c>
      <c r="K185" s="3" t="str">
        <f>VLOOKUP(F185,'Customers (2)'!A:I,7,0)</f>
        <v>United States</v>
      </c>
      <c r="L185" s="3" t="str">
        <f>VLOOKUP(F185,'Customers (2)'!A:I,9,0)</f>
        <v>No</v>
      </c>
      <c r="M185" s="4" t="s">
        <v>64</v>
      </c>
      <c r="N185" s="4" t="str">
        <f>VLOOKUP(M185,'Products (2)'!A:G,2,0)</f>
        <v>Excelsa</v>
      </c>
      <c r="O185" s="4" t="str">
        <f>VLOOKUP(M185,'Products (2)'!A:G,3,0)</f>
        <v>Medium</v>
      </c>
      <c r="P185" s="4">
        <f>VLOOKUP(M185,'Products (2)'!A:G,7,0)</f>
        <v>0.45374999999999999</v>
      </c>
      <c r="Q185" s="3">
        <v>2</v>
      </c>
      <c r="R185" s="5">
        <f>INDEX([1]products!$A$1:$G$49,MATCH([1]orders!$D185,[1]products!$A$1:$A$49,0),MATCH([1]orders!K$1,[1]products!$A$1:$G$1,0))</f>
        <v>0.2</v>
      </c>
      <c r="S185" s="6">
        <f>INDEX([1]products!$A$1:$G$49,MATCH([1]orders!$D185,[1]products!$A$1:$A$49,0),MATCH([1]orders!L$1,[1]products!$A$1:$G$1,0))</f>
        <v>4.125</v>
      </c>
      <c r="T185" s="6">
        <f t="shared" si="12"/>
        <v>8.25</v>
      </c>
      <c r="U185" s="22">
        <f t="shared" si="16"/>
        <v>0.90749999999999997</v>
      </c>
      <c r="V185" s="22">
        <f t="shared" si="17"/>
        <v>11</v>
      </c>
    </row>
    <row r="186" spans="1:22" x14ac:dyDescent="0.3">
      <c r="A186" s="1" t="s">
        <v>393</v>
      </c>
      <c r="B186" s="2">
        <v>44397</v>
      </c>
      <c r="C186" s="2" t="str">
        <f t="shared" si="13"/>
        <v>Tuesday</v>
      </c>
      <c r="D186" s="2" t="str">
        <f t="shared" si="14"/>
        <v>July</v>
      </c>
      <c r="E186" s="2" t="str">
        <f t="shared" si="15"/>
        <v>2021</v>
      </c>
      <c r="F186" s="3" t="s">
        <v>394</v>
      </c>
      <c r="G186" s="3" t="str">
        <f>VLOOKUP(F187,'Customers (2)'!A:I,2,0)</f>
        <v>Angie Rizzetti</v>
      </c>
      <c r="H186" s="3" t="str">
        <f>VLOOKUP(F186,'Customers (2)'!A:I,3,0)</f>
        <v>iblazewicz54@thetimes.co.uk</v>
      </c>
      <c r="I186" s="3" t="str">
        <f>VLOOKUP(F186,'Customers (2)'!A:I,4,0)</f>
        <v>+1 (612) 683-3450</v>
      </c>
      <c r="J186" s="3" t="str">
        <f>VLOOKUP(F186,'Customers (2)'!A:I,6,0)</f>
        <v>Minneapolis</v>
      </c>
      <c r="K186" s="3" t="str">
        <f>VLOOKUP(F186,'Customers (2)'!A:I,7,0)</f>
        <v>United States</v>
      </c>
      <c r="L186" s="3" t="str">
        <f>VLOOKUP(F186,'Customers (2)'!A:I,9,0)</f>
        <v>No</v>
      </c>
      <c r="M186" s="4" t="s">
        <v>192</v>
      </c>
      <c r="N186" s="4" t="str">
        <f>VLOOKUP(M186,'Products (2)'!A:G,2,0)</f>
        <v>Arabica</v>
      </c>
      <c r="O186" s="4" t="str">
        <f>VLOOKUP(M186,'Products (2)'!A:G,3,0)</f>
        <v>Light</v>
      </c>
      <c r="P186" s="4">
        <f>VLOOKUP(M186,'Products (2)'!A:G,7,0)</f>
        <v>0.69929999999999992</v>
      </c>
      <c r="Q186" s="3">
        <v>4</v>
      </c>
      <c r="R186" s="5">
        <f>INDEX([1]products!$A$1:$G$49,MATCH([1]orders!$D186,[1]products!$A$1:$A$49,0),MATCH([1]orders!K$1,[1]products!$A$1:$G$1,0))</f>
        <v>0.5</v>
      </c>
      <c r="S186" s="6">
        <f>INDEX([1]products!$A$1:$G$49,MATCH([1]orders!$D186,[1]products!$A$1:$A$49,0),MATCH([1]orders!L$1,[1]products!$A$1:$G$1,0))</f>
        <v>7.77</v>
      </c>
      <c r="T186" s="6">
        <f t="shared" si="12"/>
        <v>31.08</v>
      </c>
      <c r="U186" s="22">
        <f t="shared" si="16"/>
        <v>2.7971999999999997</v>
      </c>
      <c r="V186" s="22">
        <f t="shared" si="17"/>
        <v>9</v>
      </c>
    </row>
    <row r="187" spans="1:22" x14ac:dyDescent="0.3">
      <c r="A187" s="1" t="s">
        <v>395</v>
      </c>
      <c r="B187" s="2">
        <v>43483</v>
      </c>
      <c r="C187" s="2" t="str">
        <f t="shared" si="13"/>
        <v>Friday</v>
      </c>
      <c r="D187" s="2" t="str">
        <f t="shared" si="14"/>
        <v>January</v>
      </c>
      <c r="E187" s="2" t="str">
        <f t="shared" si="15"/>
        <v>2019</v>
      </c>
      <c r="F187" s="3" t="s">
        <v>396</v>
      </c>
      <c r="G187" s="3" t="str">
        <f>VLOOKUP(F188,'Customers (2)'!A:I,2,0)</f>
        <v>Mord Meriet</v>
      </c>
      <c r="H187" s="3" t="str">
        <f>VLOOKUP(F187,'Customers (2)'!A:I,3,0)</f>
        <v>arizzetti55@naver.com</v>
      </c>
      <c r="I187" s="3" t="str">
        <f>VLOOKUP(F187,'Customers (2)'!A:I,4,0)</f>
        <v>+1 (517) 237-7606</v>
      </c>
      <c r="J187" s="3" t="str">
        <f>VLOOKUP(F187,'Customers (2)'!A:I,6,0)</f>
        <v>Lansing</v>
      </c>
      <c r="K187" s="3" t="str">
        <f>VLOOKUP(F187,'Customers (2)'!A:I,7,0)</f>
        <v>United States</v>
      </c>
      <c r="L187" s="3" t="str">
        <f>VLOOKUP(F187,'Customers (2)'!A:I,9,0)</f>
        <v>Yes</v>
      </c>
      <c r="M187" s="4" t="s">
        <v>16</v>
      </c>
      <c r="N187" s="4" t="str">
        <f>VLOOKUP(M187,'Products (2)'!A:G,2,0)</f>
        <v>Excelsa</v>
      </c>
      <c r="O187" s="4" t="str">
        <f>VLOOKUP(M187,'Products (2)'!A:G,3,0)</f>
        <v>Dark</v>
      </c>
      <c r="P187" s="4">
        <f>VLOOKUP(M187,'Products (2)'!A:G,7,0)</f>
        <v>0.80190000000000006</v>
      </c>
      <c r="Q187" s="3">
        <v>5</v>
      </c>
      <c r="R187" s="5">
        <f>INDEX([1]products!$A$1:$G$49,MATCH([1]orders!$D187,[1]products!$A$1:$A$49,0),MATCH([1]orders!K$1,[1]products!$A$1:$G$1,0))</f>
        <v>0.5</v>
      </c>
      <c r="S187" s="6">
        <f>INDEX([1]products!$A$1:$G$49,MATCH([1]orders!$D187,[1]products!$A$1:$A$49,0),MATCH([1]orders!L$1,[1]products!$A$1:$G$1,0))</f>
        <v>7.29</v>
      </c>
      <c r="T187" s="6">
        <f t="shared" si="12"/>
        <v>36.450000000000003</v>
      </c>
      <c r="U187" s="22">
        <f t="shared" si="16"/>
        <v>4.0095000000000001</v>
      </c>
      <c r="V187" s="22">
        <f t="shared" si="17"/>
        <v>10.999999999999998</v>
      </c>
    </row>
    <row r="188" spans="1:22" x14ac:dyDescent="0.3">
      <c r="A188" s="1" t="s">
        <v>397</v>
      </c>
      <c r="B188" s="2">
        <v>43684</v>
      </c>
      <c r="C188" s="2" t="str">
        <f t="shared" si="13"/>
        <v>Wednesday</v>
      </c>
      <c r="D188" s="2" t="str">
        <f t="shared" si="14"/>
        <v>August</v>
      </c>
      <c r="E188" s="2" t="str">
        <f t="shared" si="15"/>
        <v>2019</v>
      </c>
      <c r="F188" s="3" t="s">
        <v>398</v>
      </c>
      <c r="G188" s="3" t="str">
        <f>VLOOKUP(F189,'Customers (2)'!A:I,2,0)</f>
        <v>Lawrence Pratt</v>
      </c>
      <c r="H188" s="3" t="str">
        <f>VLOOKUP(F188,'Customers (2)'!A:I,3,0)</f>
        <v>mmeriet56@noaa.gov</v>
      </c>
      <c r="I188" s="3" t="str">
        <f>VLOOKUP(F188,'Customers (2)'!A:I,4,0)</f>
        <v>+1 (701) 560-2604</v>
      </c>
      <c r="J188" s="3" t="str">
        <f>VLOOKUP(F188,'Customers (2)'!A:I,6,0)</f>
        <v>Grand Forks</v>
      </c>
      <c r="K188" s="3" t="str">
        <f>VLOOKUP(F188,'Customers (2)'!A:I,7,0)</f>
        <v>United States</v>
      </c>
      <c r="L188" s="3" t="str">
        <f>VLOOKUP(F188,'Customers (2)'!A:I,9,0)</f>
        <v>No</v>
      </c>
      <c r="M188" s="4" t="s">
        <v>41</v>
      </c>
      <c r="N188" s="4" t="str">
        <f>VLOOKUP(M188,'Products (2)'!A:G,2,0)</f>
        <v>Robusta</v>
      </c>
      <c r="O188" s="4" t="str">
        <f>VLOOKUP(M188,'Products (2)'!A:G,3,0)</f>
        <v>Medium</v>
      </c>
      <c r="P188" s="4">
        <f>VLOOKUP(M188,'Products (2)'!A:G,7,0)</f>
        <v>1.3730999999999998</v>
      </c>
      <c r="Q188" s="3">
        <v>3</v>
      </c>
      <c r="R188" s="5">
        <f>INDEX([1]products!$A$1:$G$49,MATCH([1]orders!$D188,[1]products!$A$1:$A$49,0),MATCH([1]orders!K$1,[1]products!$A$1:$G$1,0))</f>
        <v>2.5</v>
      </c>
      <c r="S188" s="6">
        <f>INDEX([1]products!$A$1:$G$49,MATCH([1]orders!$D188,[1]products!$A$1:$A$49,0),MATCH([1]orders!L$1,[1]products!$A$1:$G$1,0))</f>
        <v>22.884999999999998</v>
      </c>
      <c r="T188" s="6">
        <f t="shared" si="12"/>
        <v>68.655000000000001</v>
      </c>
      <c r="U188" s="22">
        <f t="shared" si="16"/>
        <v>4.1192999999999991</v>
      </c>
      <c r="V188" s="22">
        <f t="shared" si="17"/>
        <v>5.9999999999999982</v>
      </c>
    </row>
    <row r="189" spans="1:22" x14ac:dyDescent="0.3">
      <c r="A189" s="1" t="s">
        <v>399</v>
      </c>
      <c r="B189" s="2">
        <v>44633</v>
      </c>
      <c r="C189" s="2" t="str">
        <f t="shared" si="13"/>
        <v>Sunday</v>
      </c>
      <c r="D189" s="2" t="str">
        <f t="shared" si="14"/>
        <v>March</v>
      </c>
      <c r="E189" s="2" t="str">
        <f t="shared" si="15"/>
        <v>2022</v>
      </c>
      <c r="F189" s="3" t="s">
        <v>400</v>
      </c>
      <c r="G189" s="3" t="str">
        <f>VLOOKUP(F190,'Customers (2)'!A:I,2,0)</f>
        <v>Astrix Kitchingham</v>
      </c>
      <c r="H189" s="3" t="str">
        <f>VLOOKUP(F189,'Customers (2)'!A:I,3,0)</f>
        <v>lpratt57@netvibes.com</v>
      </c>
      <c r="I189" s="3">
        <f>VLOOKUP(F189,'Customers (2)'!A:I,4,0)</f>
        <v>0</v>
      </c>
      <c r="J189" s="3" t="str">
        <f>VLOOKUP(F189,'Customers (2)'!A:I,6,0)</f>
        <v>Anchorage</v>
      </c>
      <c r="K189" s="3" t="str">
        <f>VLOOKUP(F189,'Customers (2)'!A:I,7,0)</f>
        <v>United States</v>
      </c>
      <c r="L189" s="3" t="str">
        <f>VLOOKUP(F189,'Customers (2)'!A:I,9,0)</f>
        <v>Yes</v>
      </c>
      <c r="M189" s="4" t="s">
        <v>78</v>
      </c>
      <c r="N189" s="4" t="str">
        <f>VLOOKUP(M189,'Products (2)'!A:G,2,0)</f>
        <v>Liberica</v>
      </c>
      <c r="O189" s="4" t="str">
        <f>VLOOKUP(M189,'Products (2)'!A:G,3,0)</f>
        <v>Medium</v>
      </c>
      <c r="P189" s="4">
        <f>VLOOKUP(M189,'Products (2)'!A:G,7,0)</f>
        <v>1.1349</v>
      </c>
      <c r="Q189" s="3">
        <v>5</v>
      </c>
      <c r="R189" s="5">
        <f>INDEX([1]products!$A$1:$G$49,MATCH([1]orders!$D189,[1]products!$A$1:$A$49,0),MATCH([1]orders!K$1,[1]products!$A$1:$G$1,0))</f>
        <v>0.5</v>
      </c>
      <c r="S189" s="6">
        <f>INDEX([1]products!$A$1:$G$49,MATCH([1]orders!$D189,[1]products!$A$1:$A$49,0),MATCH([1]orders!L$1,[1]products!$A$1:$G$1,0))</f>
        <v>8.73</v>
      </c>
      <c r="T189" s="6">
        <f t="shared" si="12"/>
        <v>43.650000000000006</v>
      </c>
      <c r="U189" s="22">
        <f t="shared" si="16"/>
        <v>5.6745000000000001</v>
      </c>
      <c r="V189" s="22">
        <f t="shared" si="17"/>
        <v>12.999999999999998</v>
      </c>
    </row>
    <row r="190" spans="1:22" x14ac:dyDescent="0.3">
      <c r="A190" s="1" t="s">
        <v>401</v>
      </c>
      <c r="B190" s="2">
        <v>44698</v>
      </c>
      <c r="C190" s="2" t="str">
        <f t="shared" si="13"/>
        <v>Tuesday</v>
      </c>
      <c r="D190" s="2" t="str">
        <f t="shared" si="14"/>
        <v>May</v>
      </c>
      <c r="E190" s="2" t="str">
        <f t="shared" si="15"/>
        <v>2022</v>
      </c>
      <c r="F190" s="3" t="s">
        <v>402</v>
      </c>
      <c r="G190" s="3" t="str">
        <f>VLOOKUP(F191,'Customers (2)'!A:I,2,0)</f>
        <v>Burnard Bartholin</v>
      </c>
      <c r="H190" s="3" t="str">
        <f>VLOOKUP(F190,'Customers (2)'!A:I,3,0)</f>
        <v>akitchingham58@com.com</v>
      </c>
      <c r="I190" s="3" t="str">
        <f>VLOOKUP(F190,'Customers (2)'!A:I,4,0)</f>
        <v>+1 (405) 645-2204</v>
      </c>
      <c r="J190" s="3" t="str">
        <f>VLOOKUP(F190,'Customers (2)'!A:I,6,0)</f>
        <v>Oklahoma City</v>
      </c>
      <c r="K190" s="3" t="str">
        <f>VLOOKUP(F190,'Customers (2)'!A:I,7,0)</f>
        <v>United States</v>
      </c>
      <c r="L190" s="3" t="str">
        <f>VLOOKUP(F190,'Customers (2)'!A:I,9,0)</f>
        <v>Yes</v>
      </c>
      <c r="M190" s="4" t="s">
        <v>254</v>
      </c>
      <c r="N190" s="4" t="str">
        <f>VLOOKUP(M190,'Products (2)'!A:G,2,0)</f>
        <v>Excelsa</v>
      </c>
      <c r="O190" s="4" t="str">
        <f>VLOOKUP(M190,'Products (2)'!A:G,3,0)</f>
        <v>Light</v>
      </c>
      <c r="P190" s="4">
        <f>VLOOKUP(M190,'Products (2)'!A:G,7,0)</f>
        <v>0.49004999999999999</v>
      </c>
      <c r="Q190" s="3">
        <v>1</v>
      </c>
      <c r="R190" s="5">
        <f>INDEX([1]products!$A$1:$G$49,MATCH([1]orders!$D190,[1]products!$A$1:$A$49,0),MATCH([1]orders!K$1,[1]products!$A$1:$G$1,0))</f>
        <v>0.2</v>
      </c>
      <c r="S190" s="6">
        <f>INDEX([1]products!$A$1:$G$49,MATCH([1]orders!$D190,[1]products!$A$1:$A$49,0),MATCH([1]orders!L$1,[1]products!$A$1:$G$1,0))</f>
        <v>4.4550000000000001</v>
      </c>
      <c r="T190" s="6">
        <f t="shared" si="12"/>
        <v>4.4550000000000001</v>
      </c>
      <c r="U190" s="22">
        <f t="shared" si="16"/>
        <v>0.49004999999999999</v>
      </c>
      <c r="V190" s="22">
        <f t="shared" si="17"/>
        <v>11</v>
      </c>
    </row>
    <row r="191" spans="1:22" x14ac:dyDescent="0.3">
      <c r="A191" s="1" t="s">
        <v>403</v>
      </c>
      <c r="B191" s="2">
        <v>43813</v>
      </c>
      <c r="C191" s="2" t="str">
        <f t="shared" si="13"/>
        <v>Saturday</v>
      </c>
      <c r="D191" s="2" t="str">
        <f t="shared" si="14"/>
        <v>December</v>
      </c>
      <c r="E191" s="2" t="str">
        <f t="shared" si="15"/>
        <v>2019</v>
      </c>
      <c r="F191" s="3" t="s">
        <v>404</v>
      </c>
      <c r="G191" s="3" t="str">
        <f>VLOOKUP(F192,'Customers (2)'!A:I,2,0)</f>
        <v>Madelene Prinn</v>
      </c>
      <c r="H191" s="3" t="str">
        <f>VLOOKUP(F191,'Customers (2)'!A:I,3,0)</f>
        <v>bbartholin59@xinhuanet.com</v>
      </c>
      <c r="I191" s="3" t="str">
        <f>VLOOKUP(F191,'Customers (2)'!A:I,4,0)</f>
        <v>+1 (918) 720-2715</v>
      </c>
      <c r="J191" s="3" t="str">
        <f>VLOOKUP(F191,'Customers (2)'!A:I,6,0)</f>
        <v>Tulsa</v>
      </c>
      <c r="K191" s="3" t="str">
        <f>VLOOKUP(F191,'Customers (2)'!A:I,7,0)</f>
        <v>United States</v>
      </c>
      <c r="L191" s="3" t="str">
        <f>VLOOKUP(F191,'Customers (2)'!A:I,9,0)</f>
        <v>Yes</v>
      </c>
      <c r="M191" s="4" t="s">
        <v>96</v>
      </c>
      <c r="N191" s="4" t="str">
        <f>VLOOKUP(M191,'Products (2)'!A:G,2,0)</f>
        <v>Liberica</v>
      </c>
      <c r="O191" s="4" t="str">
        <f>VLOOKUP(M191,'Products (2)'!A:G,3,0)</f>
        <v>Medium</v>
      </c>
      <c r="P191" s="4">
        <f>VLOOKUP(M191,'Products (2)'!A:G,7,0)</f>
        <v>1.8915000000000002</v>
      </c>
      <c r="Q191" s="3">
        <v>3</v>
      </c>
      <c r="R191" s="5">
        <f>INDEX([1]products!$A$1:$G$49,MATCH([1]orders!$D191,[1]products!$A$1:$A$49,0),MATCH([1]orders!K$1,[1]products!$A$1:$G$1,0))</f>
        <v>1</v>
      </c>
      <c r="S191" s="6">
        <f>INDEX([1]products!$A$1:$G$49,MATCH([1]orders!$D191,[1]products!$A$1:$A$49,0),MATCH([1]orders!L$1,[1]products!$A$1:$G$1,0))</f>
        <v>14.55</v>
      </c>
      <c r="T191" s="6">
        <f t="shared" si="12"/>
        <v>43.650000000000006</v>
      </c>
      <c r="U191" s="22">
        <f t="shared" si="16"/>
        <v>5.6745000000000001</v>
      </c>
      <c r="V191" s="22">
        <f t="shared" si="17"/>
        <v>12.999999999999998</v>
      </c>
    </row>
    <row r="192" spans="1:22" x14ac:dyDescent="0.3">
      <c r="A192" s="1" t="s">
        <v>405</v>
      </c>
      <c r="B192" s="2">
        <v>43845</v>
      </c>
      <c r="C192" s="2" t="str">
        <f t="shared" si="13"/>
        <v>Wednesday</v>
      </c>
      <c r="D192" s="2" t="str">
        <f t="shared" si="14"/>
        <v>January</v>
      </c>
      <c r="E192" s="2" t="str">
        <f t="shared" si="15"/>
        <v>2020</v>
      </c>
      <c r="F192" s="3" t="s">
        <v>406</v>
      </c>
      <c r="G192" s="3" t="str">
        <f>VLOOKUP(F193,'Customers (2)'!A:I,2,0)</f>
        <v>Alisun Baudino</v>
      </c>
      <c r="H192" s="3" t="str">
        <f>VLOOKUP(F192,'Customers (2)'!A:I,3,0)</f>
        <v>mprinn5a@usa.gov</v>
      </c>
      <c r="I192" s="3" t="str">
        <f>VLOOKUP(F192,'Customers (2)'!A:I,4,0)</f>
        <v>+1 (734) 909-6836</v>
      </c>
      <c r="J192" s="3" t="str">
        <f>VLOOKUP(F192,'Customers (2)'!A:I,6,0)</f>
        <v>Detroit</v>
      </c>
      <c r="K192" s="3" t="str">
        <f>VLOOKUP(F192,'Customers (2)'!A:I,7,0)</f>
        <v>United States</v>
      </c>
      <c r="L192" s="3" t="str">
        <f>VLOOKUP(F192,'Customers (2)'!A:I,9,0)</f>
        <v>Yes</v>
      </c>
      <c r="M192" s="4" t="s">
        <v>197</v>
      </c>
      <c r="N192" s="4" t="str">
        <f>VLOOKUP(M192,'Products (2)'!A:G,2,0)</f>
        <v>Liberica</v>
      </c>
      <c r="O192" s="4" t="str">
        <f>VLOOKUP(M192,'Products (2)'!A:G,3,0)</f>
        <v>Medium</v>
      </c>
      <c r="P192" s="4">
        <f>VLOOKUP(M192,'Products (2)'!A:G,7,0)</f>
        <v>4.3504499999999995</v>
      </c>
      <c r="Q192" s="3">
        <v>1</v>
      </c>
      <c r="R192" s="5">
        <f>INDEX([1]products!$A$1:$G$49,MATCH([1]orders!$D192,[1]products!$A$1:$A$49,0),MATCH([1]orders!K$1,[1]products!$A$1:$G$1,0))</f>
        <v>2.5</v>
      </c>
      <c r="S192" s="6">
        <f>INDEX([1]products!$A$1:$G$49,MATCH([1]orders!$D192,[1]products!$A$1:$A$49,0),MATCH([1]orders!L$1,[1]products!$A$1:$G$1,0))</f>
        <v>33.464999999999996</v>
      </c>
      <c r="T192" s="6">
        <f t="shared" si="12"/>
        <v>33.464999999999996</v>
      </c>
      <c r="U192" s="22">
        <f t="shared" si="16"/>
        <v>4.3504499999999995</v>
      </c>
      <c r="V192" s="22">
        <f t="shared" si="17"/>
        <v>13</v>
      </c>
    </row>
    <row r="193" spans="1:22" x14ac:dyDescent="0.3">
      <c r="A193" s="1" t="s">
        <v>407</v>
      </c>
      <c r="B193" s="2">
        <v>43567</v>
      </c>
      <c r="C193" s="2" t="str">
        <f t="shared" si="13"/>
        <v>Friday</v>
      </c>
      <c r="D193" s="2" t="str">
        <f t="shared" si="14"/>
        <v>April</v>
      </c>
      <c r="E193" s="2" t="str">
        <f t="shared" si="15"/>
        <v>2019</v>
      </c>
      <c r="F193" s="3" t="s">
        <v>408</v>
      </c>
      <c r="G193" s="3" t="str">
        <f>VLOOKUP(F194,'Customers (2)'!A:I,2,0)</f>
        <v>Philipa Petrushanko</v>
      </c>
      <c r="H193" s="3" t="str">
        <f>VLOOKUP(F193,'Customers (2)'!A:I,3,0)</f>
        <v>abaudino5b@netvibes.com</v>
      </c>
      <c r="I193" s="3" t="str">
        <f>VLOOKUP(F193,'Customers (2)'!A:I,4,0)</f>
        <v>+1 (202) 328-7869</v>
      </c>
      <c r="J193" s="3" t="str">
        <f>VLOOKUP(F193,'Customers (2)'!A:I,6,0)</f>
        <v>Washington</v>
      </c>
      <c r="K193" s="3" t="str">
        <f>VLOOKUP(F193,'Customers (2)'!A:I,7,0)</f>
        <v>United States</v>
      </c>
      <c r="L193" s="3" t="str">
        <f>VLOOKUP(F193,'Customers (2)'!A:I,9,0)</f>
        <v>Yes</v>
      </c>
      <c r="M193" s="4" t="s">
        <v>38</v>
      </c>
      <c r="N193" s="4" t="str">
        <f>VLOOKUP(M193,'Products (2)'!A:G,2,0)</f>
        <v>Liberica</v>
      </c>
      <c r="O193" s="4" t="str">
        <f>VLOOKUP(M193,'Products (2)'!A:G,3,0)</f>
        <v>Dark</v>
      </c>
      <c r="P193" s="4">
        <f>VLOOKUP(M193,'Products (2)'!A:G,7,0)</f>
        <v>0.50505</v>
      </c>
      <c r="Q193" s="3">
        <v>5</v>
      </c>
      <c r="R193" s="5">
        <f>INDEX([1]products!$A$1:$G$49,MATCH([1]orders!$D193,[1]products!$A$1:$A$49,0),MATCH([1]orders!K$1,[1]products!$A$1:$G$1,0))</f>
        <v>0.2</v>
      </c>
      <c r="S193" s="6">
        <f>INDEX([1]products!$A$1:$G$49,MATCH([1]orders!$D193,[1]products!$A$1:$A$49,0),MATCH([1]orders!L$1,[1]products!$A$1:$G$1,0))</f>
        <v>3.8849999999999998</v>
      </c>
      <c r="T193" s="6">
        <f t="shared" si="12"/>
        <v>19.424999999999997</v>
      </c>
      <c r="U193" s="22">
        <f t="shared" si="16"/>
        <v>2.5252499999999998</v>
      </c>
      <c r="V193" s="22">
        <f t="shared" si="17"/>
        <v>13</v>
      </c>
    </row>
    <row r="194" spans="1:22" x14ac:dyDescent="0.3">
      <c r="A194" s="1" t="s">
        <v>409</v>
      </c>
      <c r="B194" s="2">
        <v>43919</v>
      </c>
      <c r="C194" s="2" t="str">
        <f t="shared" si="13"/>
        <v>Sunday</v>
      </c>
      <c r="D194" s="2" t="str">
        <f t="shared" si="14"/>
        <v>March</v>
      </c>
      <c r="E194" s="2" t="str">
        <f t="shared" si="15"/>
        <v>2020</v>
      </c>
      <c r="F194" s="3" t="s">
        <v>410</v>
      </c>
      <c r="G194" s="3" t="str">
        <f>VLOOKUP(F195,'Customers (2)'!A:I,2,0)</f>
        <v>Kimberli Mustchin</v>
      </c>
      <c r="H194" s="3" t="str">
        <f>VLOOKUP(F194,'Customers (2)'!A:I,3,0)</f>
        <v>ppetrushanko5c@blinklist.com</v>
      </c>
      <c r="I194" s="3" t="str">
        <f>VLOOKUP(F194,'Customers (2)'!A:I,4,0)</f>
        <v>+353 (540) 480-2145</v>
      </c>
      <c r="J194" s="3" t="str">
        <f>VLOOKUP(F194,'Customers (2)'!A:I,6,0)</f>
        <v>Nenagh</v>
      </c>
      <c r="K194" s="3" t="str">
        <f>VLOOKUP(F194,'Customers (2)'!A:I,7,0)</f>
        <v>Ireland</v>
      </c>
      <c r="L194" s="3" t="str">
        <f>VLOOKUP(F194,'Customers (2)'!A:I,9,0)</f>
        <v>Yes</v>
      </c>
      <c r="M194" s="4" t="s">
        <v>245</v>
      </c>
      <c r="N194" s="4" t="str">
        <f>VLOOKUP(M194,'Products (2)'!A:G,2,0)</f>
        <v>Excelsa</v>
      </c>
      <c r="O194" s="4" t="str">
        <f>VLOOKUP(M194,'Products (2)'!A:G,3,0)</f>
        <v>Dark</v>
      </c>
      <c r="P194" s="4">
        <f>VLOOKUP(M194,'Products (2)'!A:G,7,0)</f>
        <v>1.3365</v>
      </c>
      <c r="Q194" s="3">
        <v>6</v>
      </c>
      <c r="R194" s="5">
        <f>INDEX([1]products!$A$1:$G$49,MATCH([1]orders!$D194,[1]products!$A$1:$A$49,0),MATCH([1]orders!K$1,[1]products!$A$1:$G$1,0))</f>
        <v>1</v>
      </c>
      <c r="S194" s="6">
        <f>INDEX([1]products!$A$1:$G$49,MATCH([1]orders!$D194,[1]products!$A$1:$A$49,0),MATCH([1]orders!L$1,[1]products!$A$1:$G$1,0))</f>
        <v>12.15</v>
      </c>
      <c r="T194" s="6">
        <f t="shared" ref="T194:T257" si="18">Q194*S194</f>
        <v>72.900000000000006</v>
      </c>
      <c r="U194" s="22">
        <f t="shared" si="16"/>
        <v>8.0190000000000001</v>
      </c>
      <c r="V194" s="22">
        <f t="shared" si="17"/>
        <v>10.999999999999998</v>
      </c>
    </row>
    <row r="195" spans="1:22" x14ac:dyDescent="0.3">
      <c r="A195" s="1" t="s">
        <v>411</v>
      </c>
      <c r="B195" s="2">
        <v>44644</v>
      </c>
      <c r="C195" s="2" t="str">
        <f t="shared" ref="C195:C258" si="19">TEXT(B195,"dddd")</f>
        <v>Thursday</v>
      </c>
      <c r="D195" s="2" t="str">
        <f t="shared" ref="D195:D258" si="20">TEXT(B195,"MMMM")</f>
        <v>March</v>
      </c>
      <c r="E195" s="2" t="str">
        <f t="shared" ref="E195:E258" si="21">TEXT(B195,"YYYY")</f>
        <v>2022</v>
      </c>
      <c r="F195" s="3" t="s">
        <v>412</v>
      </c>
      <c r="G195" s="3" t="str">
        <f>VLOOKUP(F196,'Customers (2)'!A:I,2,0)</f>
        <v>Emlynne Laird</v>
      </c>
      <c r="H195" s="3">
        <f>VLOOKUP(F195,'Customers (2)'!A:I,3,0)</f>
        <v>0</v>
      </c>
      <c r="I195" s="3" t="str">
        <f>VLOOKUP(F195,'Customers (2)'!A:I,4,0)</f>
        <v>+1 (602) 411-5038</v>
      </c>
      <c r="J195" s="3" t="str">
        <f>VLOOKUP(F195,'Customers (2)'!A:I,6,0)</f>
        <v>Mesa</v>
      </c>
      <c r="K195" s="3" t="str">
        <f>VLOOKUP(F195,'Customers (2)'!A:I,7,0)</f>
        <v>United States</v>
      </c>
      <c r="L195" s="3" t="str">
        <f>VLOOKUP(F195,'Customers (2)'!A:I,9,0)</f>
        <v>No</v>
      </c>
      <c r="M195" s="4" t="s">
        <v>137</v>
      </c>
      <c r="N195" s="4" t="str">
        <f>VLOOKUP(M195,'Products (2)'!A:G,2,0)</f>
        <v>Excelsa</v>
      </c>
      <c r="O195" s="4" t="str">
        <f>VLOOKUP(M195,'Products (2)'!A:G,3,0)</f>
        <v>Light</v>
      </c>
      <c r="P195" s="4">
        <f>VLOOKUP(M195,'Products (2)'!A:G,7,0)</f>
        <v>1.6335</v>
      </c>
      <c r="Q195" s="3">
        <v>3</v>
      </c>
      <c r="R195" s="5">
        <f>INDEX([1]products!$A$1:$G$49,MATCH([1]orders!$D195,[1]products!$A$1:$A$49,0),MATCH([1]orders!K$1,[1]products!$A$1:$G$1,0))</f>
        <v>1</v>
      </c>
      <c r="S195" s="6">
        <f>INDEX([1]products!$A$1:$G$49,MATCH([1]orders!$D195,[1]products!$A$1:$A$49,0),MATCH([1]orders!L$1,[1]products!$A$1:$G$1,0))</f>
        <v>14.85</v>
      </c>
      <c r="T195" s="6">
        <f t="shared" si="18"/>
        <v>44.55</v>
      </c>
      <c r="U195" s="22">
        <f t="shared" ref="U195:U258" si="22">Q195*P195</f>
        <v>4.9005000000000001</v>
      </c>
      <c r="V195" s="22">
        <f t="shared" ref="V195:V258" si="23">U195/T195*100</f>
        <v>11.000000000000002</v>
      </c>
    </row>
    <row r="196" spans="1:22" x14ac:dyDescent="0.3">
      <c r="A196" s="1" t="s">
        <v>413</v>
      </c>
      <c r="B196" s="2">
        <v>44398</v>
      </c>
      <c r="C196" s="2" t="str">
        <f t="shared" si="19"/>
        <v>Wednesday</v>
      </c>
      <c r="D196" s="2" t="str">
        <f t="shared" si="20"/>
        <v>July</v>
      </c>
      <c r="E196" s="2" t="str">
        <f t="shared" si="21"/>
        <v>2021</v>
      </c>
      <c r="F196" s="3" t="s">
        <v>414</v>
      </c>
      <c r="G196" s="3" t="str">
        <f>VLOOKUP(F197,'Customers (2)'!A:I,2,0)</f>
        <v>Marlena Howsden</v>
      </c>
      <c r="H196" s="3" t="str">
        <f>VLOOKUP(F196,'Customers (2)'!A:I,3,0)</f>
        <v>elaird5e@bing.com</v>
      </c>
      <c r="I196" s="3" t="str">
        <f>VLOOKUP(F196,'Customers (2)'!A:I,4,0)</f>
        <v>+1 (330) 112-0053</v>
      </c>
      <c r="J196" s="3" t="str">
        <f>VLOOKUP(F196,'Customers (2)'!A:I,6,0)</f>
        <v>Warren</v>
      </c>
      <c r="K196" s="3" t="str">
        <f>VLOOKUP(F196,'Customers (2)'!A:I,7,0)</f>
        <v>United States</v>
      </c>
      <c r="L196" s="3" t="str">
        <f>VLOOKUP(F196,'Customers (2)'!A:I,9,0)</f>
        <v>No</v>
      </c>
      <c r="M196" s="4" t="s">
        <v>16</v>
      </c>
      <c r="N196" s="4" t="str">
        <f>VLOOKUP(M196,'Products (2)'!A:G,2,0)</f>
        <v>Excelsa</v>
      </c>
      <c r="O196" s="4" t="str">
        <f>VLOOKUP(M196,'Products (2)'!A:G,3,0)</f>
        <v>Dark</v>
      </c>
      <c r="P196" s="4">
        <f>VLOOKUP(M196,'Products (2)'!A:G,7,0)</f>
        <v>0.80190000000000006</v>
      </c>
      <c r="Q196" s="3">
        <v>5</v>
      </c>
      <c r="R196" s="5">
        <f>INDEX([1]products!$A$1:$G$49,MATCH([1]orders!$D196,[1]products!$A$1:$A$49,0),MATCH([1]orders!K$1,[1]products!$A$1:$G$1,0))</f>
        <v>0.5</v>
      </c>
      <c r="S196" s="6">
        <f>INDEX([1]products!$A$1:$G$49,MATCH([1]orders!$D196,[1]products!$A$1:$A$49,0),MATCH([1]orders!L$1,[1]products!$A$1:$G$1,0))</f>
        <v>7.29</v>
      </c>
      <c r="T196" s="6">
        <f t="shared" si="18"/>
        <v>36.450000000000003</v>
      </c>
      <c r="U196" s="22">
        <f t="shared" si="22"/>
        <v>4.0095000000000001</v>
      </c>
      <c r="V196" s="22">
        <f t="shared" si="23"/>
        <v>10.999999999999998</v>
      </c>
    </row>
    <row r="197" spans="1:22" x14ac:dyDescent="0.3">
      <c r="A197" s="1" t="s">
        <v>415</v>
      </c>
      <c r="B197" s="2">
        <v>43683</v>
      </c>
      <c r="C197" s="2" t="str">
        <f t="shared" si="19"/>
        <v>Tuesday</v>
      </c>
      <c r="D197" s="2" t="str">
        <f t="shared" si="20"/>
        <v>August</v>
      </c>
      <c r="E197" s="2" t="str">
        <f t="shared" si="21"/>
        <v>2019</v>
      </c>
      <c r="F197" s="3" t="s">
        <v>416</v>
      </c>
      <c r="G197" s="3" t="str">
        <f>VLOOKUP(F198,'Customers (2)'!A:I,2,0)</f>
        <v>Nealson Cuttler</v>
      </c>
      <c r="H197" s="3" t="str">
        <f>VLOOKUP(F197,'Customers (2)'!A:I,3,0)</f>
        <v>mhowsden5f@infoseek.co.jp</v>
      </c>
      <c r="I197" s="3" t="str">
        <f>VLOOKUP(F197,'Customers (2)'!A:I,4,0)</f>
        <v>+1 (901) 806-9640</v>
      </c>
      <c r="J197" s="3" t="str">
        <f>VLOOKUP(F197,'Customers (2)'!A:I,6,0)</f>
        <v>Memphis</v>
      </c>
      <c r="K197" s="3" t="str">
        <f>VLOOKUP(F197,'Customers (2)'!A:I,7,0)</f>
        <v>United States</v>
      </c>
      <c r="L197" s="3" t="str">
        <f>VLOOKUP(F197,'Customers (2)'!A:I,9,0)</f>
        <v>No</v>
      </c>
      <c r="M197" s="4" t="s">
        <v>6</v>
      </c>
      <c r="N197" s="4" t="str">
        <f>VLOOKUP(M197,'Products (2)'!A:G,2,0)</f>
        <v>Arabica</v>
      </c>
      <c r="O197" s="4" t="str">
        <f>VLOOKUP(M197,'Products (2)'!A:G,3,0)</f>
        <v>Light</v>
      </c>
      <c r="P197" s="4">
        <f>VLOOKUP(M197,'Products (2)'!A:G,7,0)</f>
        <v>1.1655</v>
      </c>
      <c r="Q197" s="3">
        <v>3</v>
      </c>
      <c r="R197" s="5">
        <f>INDEX([1]products!$A$1:$G$49,MATCH([1]orders!$D197,[1]products!$A$1:$A$49,0),MATCH([1]orders!K$1,[1]products!$A$1:$G$1,0))</f>
        <v>1</v>
      </c>
      <c r="S197" s="6">
        <f>INDEX([1]products!$A$1:$G$49,MATCH([1]orders!$D197,[1]products!$A$1:$A$49,0),MATCH([1]orders!L$1,[1]products!$A$1:$G$1,0))</f>
        <v>12.95</v>
      </c>
      <c r="T197" s="6">
        <f t="shared" si="18"/>
        <v>38.849999999999994</v>
      </c>
      <c r="U197" s="22">
        <f t="shared" si="22"/>
        <v>3.4965000000000002</v>
      </c>
      <c r="V197" s="22">
        <f t="shared" si="23"/>
        <v>9.0000000000000018</v>
      </c>
    </row>
    <row r="198" spans="1:22" x14ac:dyDescent="0.3">
      <c r="A198" s="1" t="s">
        <v>417</v>
      </c>
      <c r="B198" s="2">
        <v>44339</v>
      </c>
      <c r="C198" s="2" t="str">
        <f t="shared" si="19"/>
        <v>Sunday</v>
      </c>
      <c r="D198" s="2" t="str">
        <f t="shared" si="20"/>
        <v>May</v>
      </c>
      <c r="E198" s="2" t="str">
        <f t="shared" si="21"/>
        <v>2021</v>
      </c>
      <c r="F198" s="3" t="s">
        <v>418</v>
      </c>
      <c r="G198" s="3" t="str">
        <f>VLOOKUP(F199,'Customers (2)'!A:I,2,0)</f>
        <v>Nealson Cuttler</v>
      </c>
      <c r="H198" s="3" t="str">
        <f>VLOOKUP(F198,'Customers (2)'!A:I,3,0)</f>
        <v>ncuttler5g@parallels.com</v>
      </c>
      <c r="I198" s="3">
        <f>VLOOKUP(F198,'Customers (2)'!A:I,4,0)</f>
        <v>0</v>
      </c>
      <c r="J198" s="3" t="str">
        <f>VLOOKUP(F198,'Customers (2)'!A:I,6,0)</f>
        <v>Washington</v>
      </c>
      <c r="K198" s="3" t="str">
        <f>VLOOKUP(F198,'Customers (2)'!A:I,7,0)</f>
        <v>United States</v>
      </c>
      <c r="L198" s="3" t="str">
        <f>VLOOKUP(F198,'Customers (2)'!A:I,9,0)</f>
        <v>No</v>
      </c>
      <c r="M198" s="4" t="s">
        <v>176</v>
      </c>
      <c r="N198" s="4" t="str">
        <f>VLOOKUP(M198,'Products (2)'!A:G,2,0)</f>
        <v>Excelsa</v>
      </c>
      <c r="O198" s="4" t="str">
        <f>VLOOKUP(M198,'Products (2)'!A:G,3,0)</f>
        <v>Light</v>
      </c>
      <c r="P198" s="4">
        <f>VLOOKUP(M198,'Products (2)'!A:G,7,0)</f>
        <v>0.98009999999999997</v>
      </c>
      <c r="Q198" s="3">
        <v>6</v>
      </c>
      <c r="R198" s="5">
        <f>INDEX([1]products!$A$1:$G$49,MATCH([1]orders!$D198,[1]products!$A$1:$A$49,0),MATCH([1]orders!K$1,[1]products!$A$1:$G$1,0))</f>
        <v>0.5</v>
      </c>
      <c r="S198" s="6">
        <f>INDEX([1]products!$A$1:$G$49,MATCH([1]orders!$D198,[1]products!$A$1:$A$49,0),MATCH([1]orders!L$1,[1]products!$A$1:$G$1,0))</f>
        <v>8.91</v>
      </c>
      <c r="T198" s="6">
        <f t="shared" si="18"/>
        <v>53.46</v>
      </c>
      <c r="U198" s="22">
        <f t="shared" si="22"/>
        <v>5.8805999999999994</v>
      </c>
      <c r="V198" s="22">
        <f t="shared" si="23"/>
        <v>10.999999999999998</v>
      </c>
    </row>
    <row r="199" spans="1:22" x14ac:dyDescent="0.3">
      <c r="A199" s="1" t="s">
        <v>417</v>
      </c>
      <c r="B199" s="2">
        <v>44339</v>
      </c>
      <c r="C199" s="2" t="str">
        <f t="shared" si="19"/>
        <v>Sunday</v>
      </c>
      <c r="D199" s="2" t="str">
        <f t="shared" si="20"/>
        <v>May</v>
      </c>
      <c r="E199" s="2" t="str">
        <f t="shared" si="21"/>
        <v>2021</v>
      </c>
      <c r="F199" s="3" t="s">
        <v>418</v>
      </c>
      <c r="G199" s="3" t="str">
        <f>VLOOKUP(F200,'Customers (2)'!A:I,2,0)</f>
        <v>Nealson Cuttler</v>
      </c>
      <c r="H199" s="3" t="str">
        <f>VLOOKUP(F199,'Customers (2)'!A:I,3,0)</f>
        <v>ncuttler5g@parallels.com</v>
      </c>
      <c r="I199" s="3">
        <f>VLOOKUP(F199,'Customers (2)'!A:I,4,0)</f>
        <v>0</v>
      </c>
      <c r="J199" s="3" t="str">
        <f>VLOOKUP(F199,'Customers (2)'!A:I,6,0)</f>
        <v>Washington</v>
      </c>
      <c r="K199" s="3" t="str">
        <f>VLOOKUP(F199,'Customers (2)'!A:I,7,0)</f>
        <v>United States</v>
      </c>
      <c r="L199" s="3" t="str">
        <f>VLOOKUP(F199,'Customers (2)'!A:I,9,0)</f>
        <v>No</v>
      </c>
      <c r="M199" s="4" t="s">
        <v>109</v>
      </c>
      <c r="N199" s="4" t="str">
        <f>VLOOKUP(M199,'Products (2)'!A:G,2,0)</f>
        <v>Liberica</v>
      </c>
      <c r="O199" s="4" t="str">
        <f>VLOOKUP(M199,'Products (2)'!A:G,3,0)</f>
        <v>Dark</v>
      </c>
      <c r="P199" s="4">
        <f>VLOOKUP(M199,'Products (2)'!A:G,7,0)</f>
        <v>3.8720499999999998</v>
      </c>
      <c r="Q199" s="3">
        <v>2</v>
      </c>
      <c r="R199" s="5">
        <f>INDEX([1]products!$A$1:$G$49,MATCH([1]orders!$D199,[1]products!$A$1:$A$49,0),MATCH([1]orders!K$1,[1]products!$A$1:$G$1,0))</f>
        <v>2.5</v>
      </c>
      <c r="S199" s="6">
        <f>INDEX([1]products!$A$1:$G$49,MATCH([1]orders!$D199,[1]products!$A$1:$A$49,0),MATCH([1]orders!L$1,[1]products!$A$1:$G$1,0))</f>
        <v>29.784999999999997</v>
      </c>
      <c r="T199" s="6">
        <f t="shared" si="18"/>
        <v>59.569999999999993</v>
      </c>
      <c r="U199" s="22">
        <f t="shared" si="22"/>
        <v>7.7440999999999995</v>
      </c>
      <c r="V199" s="22">
        <f t="shared" si="23"/>
        <v>13</v>
      </c>
    </row>
    <row r="200" spans="1:22" x14ac:dyDescent="0.3">
      <c r="A200" s="1" t="s">
        <v>417</v>
      </c>
      <c r="B200" s="2">
        <v>44339</v>
      </c>
      <c r="C200" s="2" t="str">
        <f t="shared" si="19"/>
        <v>Sunday</v>
      </c>
      <c r="D200" s="2" t="str">
        <f t="shared" si="20"/>
        <v>May</v>
      </c>
      <c r="E200" s="2" t="str">
        <f t="shared" si="21"/>
        <v>2021</v>
      </c>
      <c r="F200" s="3" t="s">
        <v>418</v>
      </c>
      <c r="G200" s="3" t="str">
        <f>VLOOKUP(F201,'Customers (2)'!A:I,2,0)</f>
        <v>Nealson Cuttler</v>
      </c>
      <c r="H200" s="3" t="str">
        <f>VLOOKUP(F200,'Customers (2)'!A:I,3,0)</f>
        <v>ncuttler5g@parallels.com</v>
      </c>
      <c r="I200" s="3">
        <f>VLOOKUP(F200,'Customers (2)'!A:I,4,0)</f>
        <v>0</v>
      </c>
      <c r="J200" s="3" t="str">
        <f>VLOOKUP(F200,'Customers (2)'!A:I,6,0)</f>
        <v>Washington</v>
      </c>
      <c r="K200" s="3" t="str">
        <f>VLOOKUP(F200,'Customers (2)'!A:I,7,0)</f>
        <v>United States</v>
      </c>
      <c r="L200" s="3" t="str">
        <f>VLOOKUP(F200,'Customers (2)'!A:I,9,0)</f>
        <v>No</v>
      </c>
      <c r="M200" s="4" t="s">
        <v>109</v>
      </c>
      <c r="N200" s="4" t="str">
        <f>VLOOKUP(M200,'Products (2)'!A:G,2,0)</f>
        <v>Liberica</v>
      </c>
      <c r="O200" s="4" t="str">
        <f>VLOOKUP(M200,'Products (2)'!A:G,3,0)</f>
        <v>Dark</v>
      </c>
      <c r="P200" s="4">
        <f>VLOOKUP(M200,'Products (2)'!A:G,7,0)</f>
        <v>3.8720499999999998</v>
      </c>
      <c r="Q200" s="3">
        <v>3</v>
      </c>
      <c r="R200" s="5">
        <f>INDEX([1]products!$A$1:$G$49,MATCH([1]orders!$D200,[1]products!$A$1:$A$49,0),MATCH([1]orders!K$1,[1]products!$A$1:$G$1,0))</f>
        <v>2.5</v>
      </c>
      <c r="S200" s="6">
        <f>INDEX([1]products!$A$1:$G$49,MATCH([1]orders!$D200,[1]products!$A$1:$A$49,0),MATCH([1]orders!L$1,[1]products!$A$1:$G$1,0))</f>
        <v>29.784999999999997</v>
      </c>
      <c r="T200" s="6">
        <f t="shared" si="18"/>
        <v>89.35499999999999</v>
      </c>
      <c r="U200" s="22">
        <f t="shared" si="22"/>
        <v>11.616149999999999</v>
      </c>
      <c r="V200" s="22">
        <f t="shared" si="23"/>
        <v>13</v>
      </c>
    </row>
    <row r="201" spans="1:22" x14ac:dyDescent="0.3">
      <c r="A201" s="1" t="s">
        <v>417</v>
      </c>
      <c r="B201" s="2">
        <v>44339</v>
      </c>
      <c r="C201" s="2" t="str">
        <f t="shared" si="19"/>
        <v>Sunday</v>
      </c>
      <c r="D201" s="2" t="str">
        <f t="shared" si="20"/>
        <v>May</v>
      </c>
      <c r="E201" s="2" t="str">
        <f t="shared" si="21"/>
        <v>2021</v>
      </c>
      <c r="F201" s="3" t="s">
        <v>418</v>
      </c>
      <c r="G201" s="3" t="str">
        <f>VLOOKUP(F202,'Customers (2)'!A:I,2,0)</f>
        <v>Nealson Cuttler</v>
      </c>
      <c r="H201" s="3" t="str">
        <f>VLOOKUP(F201,'Customers (2)'!A:I,3,0)</f>
        <v>ncuttler5g@parallels.com</v>
      </c>
      <c r="I201" s="3">
        <f>VLOOKUP(F201,'Customers (2)'!A:I,4,0)</f>
        <v>0</v>
      </c>
      <c r="J201" s="3" t="str">
        <f>VLOOKUP(F201,'Customers (2)'!A:I,6,0)</f>
        <v>Washington</v>
      </c>
      <c r="K201" s="3" t="str">
        <f>VLOOKUP(F201,'Customers (2)'!A:I,7,0)</f>
        <v>United States</v>
      </c>
      <c r="L201" s="3" t="str">
        <f>VLOOKUP(F201,'Customers (2)'!A:I,9,0)</f>
        <v>No</v>
      </c>
      <c r="M201" s="4" t="s">
        <v>83</v>
      </c>
      <c r="N201" s="4" t="str">
        <f>VLOOKUP(M201,'Products (2)'!A:G,2,0)</f>
        <v>Liberica</v>
      </c>
      <c r="O201" s="4" t="str">
        <f>VLOOKUP(M201,'Products (2)'!A:G,3,0)</f>
        <v>Light</v>
      </c>
      <c r="P201" s="4">
        <f>VLOOKUP(M201,'Products (2)'!A:G,7,0)</f>
        <v>1.2363</v>
      </c>
      <c r="Q201" s="3">
        <v>4</v>
      </c>
      <c r="R201" s="5">
        <f>INDEX([1]products!$A$1:$G$49,MATCH([1]orders!$D201,[1]products!$A$1:$A$49,0),MATCH([1]orders!K$1,[1]products!$A$1:$G$1,0))</f>
        <v>0.5</v>
      </c>
      <c r="S201" s="6">
        <f>INDEX([1]products!$A$1:$G$49,MATCH([1]orders!$D201,[1]products!$A$1:$A$49,0),MATCH([1]orders!L$1,[1]products!$A$1:$G$1,0))</f>
        <v>9.51</v>
      </c>
      <c r="T201" s="6">
        <f t="shared" si="18"/>
        <v>38.04</v>
      </c>
      <c r="U201" s="22">
        <f t="shared" si="22"/>
        <v>4.9451999999999998</v>
      </c>
      <c r="V201" s="22">
        <f t="shared" si="23"/>
        <v>13</v>
      </c>
    </row>
    <row r="202" spans="1:22" x14ac:dyDescent="0.3">
      <c r="A202" s="1" t="s">
        <v>417</v>
      </c>
      <c r="B202" s="2">
        <v>44339</v>
      </c>
      <c r="C202" s="2" t="str">
        <f t="shared" si="19"/>
        <v>Sunday</v>
      </c>
      <c r="D202" s="2" t="str">
        <f t="shared" si="20"/>
        <v>May</v>
      </c>
      <c r="E202" s="2" t="str">
        <f t="shared" si="21"/>
        <v>2021</v>
      </c>
      <c r="F202" s="3" t="s">
        <v>418</v>
      </c>
      <c r="G202" s="3" t="str">
        <f>VLOOKUP(F203,'Customers (2)'!A:I,2,0)</f>
        <v>Adriana Lazarus</v>
      </c>
      <c r="H202" s="3" t="str">
        <f>VLOOKUP(F202,'Customers (2)'!A:I,3,0)</f>
        <v>ncuttler5g@parallels.com</v>
      </c>
      <c r="I202" s="3">
        <f>VLOOKUP(F202,'Customers (2)'!A:I,4,0)</f>
        <v>0</v>
      </c>
      <c r="J202" s="3" t="str">
        <f>VLOOKUP(F202,'Customers (2)'!A:I,6,0)</f>
        <v>Washington</v>
      </c>
      <c r="K202" s="3" t="str">
        <f>VLOOKUP(F202,'Customers (2)'!A:I,7,0)</f>
        <v>United States</v>
      </c>
      <c r="L202" s="3" t="str">
        <f>VLOOKUP(F202,'Customers (2)'!A:I,9,0)</f>
        <v>No</v>
      </c>
      <c r="M202" s="4" t="s">
        <v>9</v>
      </c>
      <c r="N202" s="4" t="str">
        <f>VLOOKUP(M202,'Products (2)'!A:G,2,0)</f>
        <v>Excelsa</v>
      </c>
      <c r="O202" s="4" t="str">
        <f>VLOOKUP(M202,'Products (2)'!A:G,3,0)</f>
        <v>Medium</v>
      </c>
      <c r="P202" s="4">
        <f>VLOOKUP(M202,'Products (2)'!A:G,7,0)</f>
        <v>1.5125</v>
      </c>
      <c r="Q202" s="3">
        <v>3</v>
      </c>
      <c r="R202" s="5">
        <f>INDEX([1]products!$A$1:$G$49,MATCH([1]orders!$D202,[1]products!$A$1:$A$49,0),MATCH([1]orders!K$1,[1]products!$A$1:$G$1,0))</f>
        <v>1</v>
      </c>
      <c r="S202" s="6">
        <f>INDEX([1]products!$A$1:$G$49,MATCH([1]orders!$D202,[1]products!$A$1:$A$49,0),MATCH([1]orders!L$1,[1]products!$A$1:$G$1,0))</f>
        <v>13.75</v>
      </c>
      <c r="T202" s="6">
        <f t="shared" si="18"/>
        <v>41.25</v>
      </c>
      <c r="U202" s="22">
        <f t="shared" si="22"/>
        <v>4.5374999999999996</v>
      </c>
      <c r="V202" s="22">
        <f t="shared" si="23"/>
        <v>10.999999999999998</v>
      </c>
    </row>
    <row r="203" spans="1:22" x14ac:dyDescent="0.3">
      <c r="A203" s="1" t="s">
        <v>419</v>
      </c>
      <c r="B203" s="2">
        <v>44294</v>
      </c>
      <c r="C203" s="2" t="str">
        <f t="shared" si="19"/>
        <v>Thursday</v>
      </c>
      <c r="D203" s="2" t="str">
        <f t="shared" si="20"/>
        <v>April</v>
      </c>
      <c r="E203" s="2" t="str">
        <f t="shared" si="21"/>
        <v>2021</v>
      </c>
      <c r="F203" s="3" t="s">
        <v>420</v>
      </c>
      <c r="G203" s="3" t="str">
        <f>VLOOKUP(F204,'Customers (2)'!A:I,2,0)</f>
        <v>Tallie felip</v>
      </c>
      <c r="H203" s="3">
        <f>VLOOKUP(F203,'Customers (2)'!A:I,3,0)</f>
        <v>0</v>
      </c>
      <c r="I203" s="3" t="str">
        <f>VLOOKUP(F203,'Customers (2)'!A:I,4,0)</f>
        <v>+1 (801) 581-0444</v>
      </c>
      <c r="J203" s="3" t="str">
        <f>VLOOKUP(F203,'Customers (2)'!A:I,6,0)</f>
        <v>Ogden</v>
      </c>
      <c r="K203" s="3" t="str">
        <f>VLOOKUP(F203,'Customers (2)'!A:I,7,0)</f>
        <v>United States</v>
      </c>
      <c r="L203" s="3" t="str">
        <f>VLOOKUP(F203,'Customers (2)'!A:I,9,0)</f>
        <v>No</v>
      </c>
      <c r="M203" s="4" t="s">
        <v>83</v>
      </c>
      <c r="N203" s="4" t="str">
        <f>VLOOKUP(M203,'Products (2)'!A:G,2,0)</f>
        <v>Liberica</v>
      </c>
      <c r="O203" s="4" t="str">
        <f>VLOOKUP(M203,'Products (2)'!A:G,3,0)</f>
        <v>Light</v>
      </c>
      <c r="P203" s="4">
        <f>VLOOKUP(M203,'Products (2)'!A:G,7,0)</f>
        <v>1.2363</v>
      </c>
      <c r="Q203" s="3">
        <v>6</v>
      </c>
      <c r="R203" s="5">
        <f>INDEX([1]products!$A$1:$G$49,MATCH([1]orders!$D203,[1]products!$A$1:$A$49,0),MATCH([1]orders!K$1,[1]products!$A$1:$G$1,0))</f>
        <v>0.5</v>
      </c>
      <c r="S203" s="6">
        <f>INDEX([1]products!$A$1:$G$49,MATCH([1]orders!$D203,[1]products!$A$1:$A$49,0),MATCH([1]orders!L$1,[1]products!$A$1:$G$1,0))</f>
        <v>9.51</v>
      </c>
      <c r="T203" s="6">
        <f t="shared" si="18"/>
        <v>57.06</v>
      </c>
      <c r="U203" s="22">
        <f t="shared" si="22"/>
        <v>7.4177999999999997</v>
      </c>
      <c r="V203" s="22">
        <f t="shared" si="23"/>
        <v>12.999999999999998</v>
      </c>
    </row>
    <row r="204" spans="1:22" x14ac:dyDescent="0.3">
      <c r="A204" s="1" t="s">
        <v>421</v>
      </c>
      <c r="B204" s="2">
        <v>44486</v>
      </c>
      <c r="C204" s="2" t="str">
        <f t="shared" si="19"/>
        <v>Sunday</v>
      </c>
      <c r="D204" s="2" t="str">
        <f t="shared" si="20"/>
        <v>October</v>
      </c>
      <c r="E204" s="2" t="str">
        <f t="shared" si="21"/>
        <v>2021</v>
      </c>
      <c r="F204" s="3" t="s">
        <v>422</v>
      </c>
      <c r="G204" s="3" t="str">
        <f>VLOOKUP(F205,'Customers (2)'!A:I,2,0)</f>
        <v>Vanna Le - Count</v>
      </c>
      <c r="H204" s="3" t="str">
        <f>VLOOKUP(F204,'Customers (2)'!A:I,3,0)</f>
        <v>tfelip5m@typepad.com</v>
      </c>
      <c r="I204" s="3" t="str">
        <f>VLOOKUP(F204,'Customers (2)'!A:I,4,0)</f>
        <v>+1 (518) 651-0940</v>
      </c>
      <c r="J204" s="3" t="str">
        <f>VLOOKUP(F204,'Customers (2)'!A:I,6,0)</f>
        <v>Albany</v>
      </c>
      <c r="K204" s="3" t="str">
        <f>VLOOKUP(F204,'Customers (2)'!A:I,7,0)</f>
        <v>United States</v>
      </c>
      <c r="L204" s="3" t="str">
        <f>VLOOKUP(F204,'Customers (2)'!A:I,9,0)</f>
        <v>Yes</v>
      </c>
      <c r="M204" s="4" t="s">
        <v>109</v>
      </c>
      <c r="N204" s="4" t="str">
        <f>VLOOKUP(M204,'Products (2)'!A:G,2,0)</f>
        <v>Liberica</v>
      </c>
      <c r="O204" s="4" t="str">
        <f>VLOOKUP(M204,'Products (2)'!A:G,3,0)</f>
        <v>Dark</v>
      </c>
      <c r="P204" s="4">
        <f>VLOOKUP(M204,'Products (2)'!A:G,7,0)</f>
        <v>3.8720499999999998</v>
      </c>
      <c r="Q204" s="3">
        <v>6</v>
      </c>
      <c r="R204" s="5">
        <f>INDEX([1]products!$A$1:$G$49,MATCH([1]orders!$D204,[1]products!$A$1:$A$49,0),MATCH([1]orders!K$1,[1]products!$A$1:$G$1,0))</f>
        <v>2.5</v>
      </c>
      <c r="S204" s="6">
        <f>INDEX([1]products!$A$1:$G$49,MATCH([1]orders!$D204,[1]products!$A$1:$A$49,0),MATCH([1]orders!L$1,[1]products!$A$1:$G$1,0))</f>
        <v>29.784999999999997</v>
      </c>
      <c r="T204" s="6">
        <f t="shared" si="18"/>
        <v>178.70999999999998</v>
      </c>
      <c r="U204" s="22">
        <f t="shared" si="22"/>
        <v>23.232299999999999</v>
      </c>
      <c r="V204" s="22">
        <f t="shared" si="23"/>
        <v>13</v>
      </c>
    </row>
    <row r="205" spans="1:22" x14ac:dyDescent="0.3">
      <c r="A205" s="1" t="s">
        <v>423</v>
      </c>
      <c r="B205" s="2">
        <v>44608</v>
      </c>
      <c r="C205" s="2" t="str">
        <f t="shared" si="19"/>
        <v>Wednesday</v>
      </c>
      <c r="D205" s="2" t="str">
        <f t="shared" si="20"/>
        <v>February</v>
      </c>
      <c r="E205" s="2" t="str">
        <f t="shared" si="21"/>
        <v>2022</v>
      </c>
      <c r="F205" s="3" t="s">
        <v>424</v>
      </c>
      <c r="G205" s="3" t="str">
        <f>VLOOKUP(F206,'Customers (2)'!A:I,2,0)</f>
        <v>Sarette Ducarel</v>
      </c>
      <c r="H205" s="3" t="str">
        <f>VLOOKUP(F205,'Customers (2)'!A:I,3,0)</f>
        <v>vle5n@disqus.com</v>
      </c>
      <c r="I205" s="3" t="str">
        <f>VLOOKUP(F205,'Customers (2)'!A:I,4,0)</f>
        <v>+1 (864) 694-6658</v>
      </c>
      <c r="J205" s="3" t="str">
        <f>VLOOKUP(F205,'Customers (2)'!A:I,6,0)</f>
        <v>Spartanburg</v>
      </c>
      <c r="K205" s="3" t="str">
        <f>VLOOKUP(F205,'Customers (2)'!A:I,7,0)</f>
        <v>United States</v>
      </c>
      <c r="L205" s="3" t="str">
        <f>VLOOKUP(F205,'Customers (2)'!A:I,9,0)</f>
        <v>No</v>
      </c>
      <c r="M205" s="4" t="s">
        <v>19</v>
      </c>
      <c r="N205" s="4" t="str">
        <f>VLOOKUP(M205,'Products (2)'!A:G,2,0)</f>
        <v>Liberica</v>
      </c>
      <c r="O205" s="4" t="str">
        <f>VLOOKUP(M205,'Products (2)'!A:G,3,0)</f>
        <v>Light</v>
      </c>
      <c r="P205" s="4">
        <f>VLOOKUP(M205,'Products (2)'!A:G,7,0)</f>
        <v>0.61814999999999998</v>
      </c>
      <c r="Q205" s="3">
        <v>1</v>
      </c>
      <c r="R205" s="5">
        <f>INDEX([1]products!$A$1:$G$49,MATCH([1]orders!$D205,[1]products!$A$1:$A$49,0),MATCH([1]orders!K$1,[1]products!$A$1:$G$1,0))</f>
        <v>0.2</v>
      </c>
      <c r="S205" s="6">
        <f>INDEX([1]products!$A$1:$G$49,MATCH([1]orders!$D205,[1]products!$A$1:$A$49,0),MATCH([1]orders!L$1,[1]products!$A$1:$G$1,0))</f>
        <v>4.7549999999999999</v>
      </c>
      <c r="T205" s="6">
        <f t="shared" si="18"/>
        <v>4.7549999999999999</v>
      </c>
      <c r="U205" s="22">
        <f t="shared" si="22"/>
        <v>0.61814999999999998</v>
      </c>
      <c r="V205" s="22">
        <f t="shared" si="23"/>
        <v>13</v>
      </c>
    </row>
    <row r="206" spans="1:22" x14ac:dyDescent="0.3">
      <c r="A206" s="1" t="s">
        <v>425</v>
      </c>
      <c r="B206" s="2">
        <v>44027</v>
      </c>
      <c r="C206" s="2" t="str">
        <f t="shared" si="19"/>
        <v>Wednesday</v>
      </c>
      <c r="D206" s="2" t="str">
        <f t="shared" si="20"/>
        <v>July</v>
      </c>
      <c r="E206" s="2" t="str">
        <f t="shared" si="21"/>
        <v>2020</v>
      </c>
      <c r="F206" s="3" t="s">
        <v>426</v>
      </c>
      <c r="G206" s="3" t="str">
        <f>VLOOKUP(F207,'Customers (2)'!A:I,2,0)</f>
        <v>Kendra Glison</v>
      </c>
      <c r="H206" s="3">
        <f>VLOOKUP(F206,'Customers (2)'!A:I,3,0)</f>
        <v>0</v>
      </c>
      <c r="I206" s="3" t="str">
        <f>VLOOKUP(F206,'Customers (2)'!A:I,4,0)</f>
        <v>+1 (914) 915-4328</v>
      </c>
      <c r="J206" s="3" t="str">
        <f>VLOOKUP(F206,'Customers (2)'!A:I,6,0)</f>
        <v>Staten Island</v>
      </c>
      <c r="K206" s="3" t="str">
        <f>VLOOKUP(F206,'Customers (2)'!A:I,7,0)</f>
        <v>United States</v>
      </c>
      <c r="L206" s="3" t="str">
        <f>VLOOKUP(F206,'Customers (2)'!A:I,9,0)</f>
        <v>No</v>
      </c>
      <c r="M206" s="4" t="s">
        <v>9</v>
      </c>
      <c r="N206" s="4" t="str">
        <f>VLOOKUP(M206,'Products (2)'!A:G,2,0)</f>
        <v>Excelsa</v>
      </c>
      <c r="O206" s="4" t="str">
        <f>VLOOKUP(M206,'Products (2)'!A:G,3,0)</f>
        <v>Medium</v>
      </c>
      <c r="P206" s="4">
        <f>VLOOKUP(M206,'Products (2)'!A:G,7,0)</f>
        <v>1.5125</v>
      </c>
      <c r="Q206" s="3">
        <v>6</v>
      </c>
      <c r="R206" s="5">
        <f>INDEX([1]products!$A$1:$G$49,MATCH([1]orders!$D206,[1]products!$A$1:$A$49,0),MATCH([1]orders!K$1,[1]products!$A$1:$G$1,0))</f>
        <v>1</v>
      </c>
      <c r="S206" s="6">
        <f>INDEX([1]products!$A$1:$G$49,MATCH([1]orders!$D206,[1]products!$A$1:$A$49,0),MATCH([1]orders!L$1,[1]products!$A$1:$G$1,0))</f>
        <v>13.75</v>
      </c>
      <c r="T206" s="6">
        <f t="shared" si="18"/>
        <v>82.5</v>
      </c>
      <c r="U206" s="22">
        <f t="shared" si="22"/>
        <v>9.0749999999999993</v>
      </c>
      <c r="V206" s="22">
        <f t="shared" si="23"/>
        <v>10.999999999999998</v>
      </c>
    </row>
    <row r="207" spans="1:22" x14ac:dyDescent="0.3">
      <c r="A207" s="1" t="s">
        <v>427</v>
      </c>
      <c r="B207" s="2">
        <v>43883</v>
      </c>
      <c r="C207" s="2" t="str">
        <f t="shared" si="19"/>
        <v>Saturday</v>
      </c>
      <c r="D207" s="2" t="str">
        <f t="shared" si="20"/>
        <v>February</v>
      </c>
      <c r="E207" s="2" t="str">
        <f t="shared" si="21"/>
        <v>2020</v>
      </c>
      <c r="F207" s="3" t="s">
        <v>428</v>
      </c>
      <c r="G207" s="3" t="str">
        <f>VLOOKUP(F208,'Customers (2)'!A:I,2,0)</f>
        <v>Nertie Poolman</v>
      </c>
      <c r="H207" s="3">
        <f>VLOOKUP(F207,'Customers (2)'!A:I,3,0)</f>
        <v>0</v>
      </c>
      <c r="I207" s="3" t="str">
        <f>VLOOKUP(F207,'Customers (2)'!A:I,4,0)</f>
        <v>+1 (202) 137-6867</v>
      </c>
      <c r="J207" s="3" t="str">
        <f>VLOOKUP(F207,'Customers (2)'!A:I,6,0)</f>
        <v>Washington</v>
      </c>
      <c r="K207" s="3" t="str">
        <f>VLOOKUP(F207,'Customers (2)'!A:I,7,0)</f>
        <v>United States</v>
      </c>
      <c r="L207" s="3" t="str">
        <f>VLOOKUP(F207,'Customers (2)'!A:I,9,0)</f>
        <v>Yes</v>
      </c>
      <c r="M207" s="4" t="s">
        <v>101</v>
      </c>
      <c r="N207" s="4" t="str">
        <f>VLOOKUP(M207,'Products (2)'!A:G,2,0)</f>
        <v>Robusta</v>
      </c>
      <c r="O207" s="4" t="str">
        <f>VLOOKUP(M207,'Products (2)'!A:G,3,0)</f>
        <v>Dark</v>
      </c>
      <c r="P207" s="4">
        <f>VLOOKUP(M207,'Products (2)'!A:G,7,0)</f>
        <v>0.16109999999999997</v>
      </c>
      <c r="Q207" s="3">
        <v>3</v>
      </c>
      <c r="R207" s="5">
        <f>INDEX([1]products!$A$1:$G$49,MATCH([1]orders!$D207,[1]products!$A$1:$A$49,0),MATCH([1]orders!K$1,[1]products!$A$1:$G$1,0))</f>
        <v>0.2</v>
      </c>
      <c r="S207" s="6">
        <f>INDEX([1]products!$A$1:$G$49,MATCH([1]orders!$D207,[1]products!$A$1:$A$49,0),MATCH([1]orders!L$1,[1]products!$A$1:$G$1,0))</f>
        <v>2.6849999999999996</v>
      </c>
      <c r="T207" s="6">
        <f t="shared" si="18"/>
        <v>8.0549999999999997</v>
      </c>
      <c r="U207" s="22">
        <f t="shared" si="22"/>
        <v>0.4832999999999999</v>
      </c>
      <c r="V207" s="22">
        <f t="shared" si="23"/>
        <v>5.9999999999999991</v>
      </c>
    </row>
    <row r="208" spans="1:22" x14ac:dyDescent="0.3">
      <c r="A208" s="1" t="s">
        <v>429</v>
      </c>
      <c r="B208" s="2">
        <v>44211</v>
      </c>
      <c r="C208" s="2" t="str">
        <f t="shared" si="19"/>
        <v>Friday</v>
      </c>
      <c r="D208" s="2" t="str">
        <f t="shared" si="20"/>
        <v>January</v>
      </c>
      <c r="E208" s="2" t="str">
        <f t="shared" si="21"/>
        <v>2021</v>
      </c>
      <c r="F208" s="3" t="s">
        <v>430</v>
      </c>
      <c r="G208" s="3" t="str">
        <f>VLOOKUP(F209,'Customers (2)'!A:I,2,0)</f>
        <v>Orbadiah Duny</v>
      </c>
      <c r="H208" s="3" t="str">
        <f>VLOOKUP(F208,'Customers (2)'!A:I,3,0)</f>
        <v>npoolman5q@howstuffworks.com</v>
      </c>
      <c r="I208" s="3">
        <f>VLOOKUP(F208,'Customers (2)'!A:I,4,0)</f>
        <v>0</v>
      </c>
      <c r="J208" s="3" t="str">
        <f>VLOOKUP(F208,'Customers (2)'!A:I,6,0)</f>
        <v>Charlotte</v>
      </c>
      <c r="K208" s="3" t="str">
        <f>VLOOKUP(F208,'Customers (2)'!A:I,7,0)</f>
        <v>United States</v>
      </c>
      <c r="L208" s="3" t="str">
        <f>VLOOKUP(F208,'Customers (2)'!A:I,9,0)</f>
        <v>No</v>
      </c>
      <c r="M208" s="4" t="s">
        <v>61</v>
      </c>
      <c r="N208" s="4" t="str">
        <f>VLOOKUP(M208,'Products (2)'!A:G,2,0)</f>
        <v>Arabica</v>
      </c>
      <c r="O208" s="4" t="str">
        <f>VLOOKUP(M208,'Products (2)'!A:G,3,0)</f>
        <v>Medium</v>
      </c>
      <c r="P208" s="4">
        <f>VLOOKUP(M208,'Products (2)'!A:G,7,0)</f>
        <v>1.0125</v>
      </c>
      <c r="Q208" s="3">
        <v>2</v>
      </c>
      <c r="R208" s="5">
        <f>INDEX([1]products!$A$1:$G$49,MATCH([1]orders!$D208,[1]products!$A$1:$A$49,0),MATCH([1]orders!K$1,[1]products!$A$1:$G$1,0))</f>
        <v>1</v>
      </c>
      <c r="S208" s="6">
        <f>INDEX([1]products!$A$1:$G$49,MATCH([1]orders!$D208,[1]products!$A$1:$A$49,0),MATCH([1]orders!L$1,[1]products!$A$1:$G$1,0))</f>
        <v>11.25</v>
      </c>
      <c r="T208" s="6">
        <f t="shared" si="18"/>
        <v>22.5</v>
      </c>
      <c r="U208" s="22">
        <f t="shared" si="22"/>
        <v>2.0249999999999999</v>
      </c>
      <c r="V208" s="22">
        <f t="shared" si="23"/>
        <v>9</v>
      </c>
    </row>
    <row r="209" spans="1:22" x14ac:dyDescent="0.3">
      <c r="A209" s="1" t="s">
        <v>431</v>
      </c>
      <c r="B209" s="2">
        <v>44207</v>
      </c>
      <c r="C209" s="2" t="str">
        <f t="shared" si="19"/>
        <v>Monday</v>
      </c>
      <c r="D209" s="2" t="str">
        <f t="shared" si="20"/>
        <v>January</v>
      </c>
      <c r="E209" s="2" t="str">
        <f t="shared" si="21"/>
        <v>2021</v>
      </c>
      <c r="F209" s="3" t="s">
        <v>432</v>
      </c>
      <c r="G209" s="3" t="str">
        <f>VLOOKUP(F210,'Customers (2)'!A:I,2,0)</f>
        <v>Constance Halfhide</v>
      </c>
      <c r="H209" s="3" t="str">
        <f>VLOOKUP(F209,'Customers (2)'!A:I,3,0)</f>
        <v>oduny5r@constantcontact.com</v>
      </c>
      <c r="I209" s="3" t="str">
        <f>VLOOKUP(F209,'Customers (2)'!A:I,4,0)</f>
        <v>+1 (806) 181-9003</v>
      </c>
      <c r="J209" s="3" t="str">
        <f>VLOOKUP(F209,'Customers (2)'!A:I,6,0)</f>
        <v>Lubbock</v>
      </c>
      <c r="K209" s="3" t="str">
        <f>VLOOKUP(F209,'Customers (2)'!A:I,7,0)</f>
        <v>United States</v>
      </c>
      <c r="L209" s="3" t="str">
        <f>VLOOKUP(F209,'Customers (2)'!A:I,9,0)</f>
        <v>Yes</v>
      </c>
      <c r="M209" s="4" t="s">
        <v>67</v>
      </c>
      <c r="N209" s="4" t="str">
        <f>VLOOKUP(M209,'Products (2)'!A:G,2,0)</f>
        <v>Arabica</v>
      </c>
      <c r="O209" s="4" t="str">
        <f>VLOOKUP(M209,'Products (2)'!A:G,3,0)</f>
        <v>Medium</v>
      </c>
      <c r="P209" s="4">
        <f>VLOOKUP(M209,'Products (2)'!A:G,7,0)</f>
        <v>0.60749999999999993</v>
      </c>
      <c r="Q209" s="3">
        <v>6</v>
      </c>
      <c r="R209" s="5">
        <f>INDEX([1]products!$A$1:$G$49,MATCH([1]orders!$D209,[1]products!$A$1:$A$49,0),MATCH([1]orders!K$1,[1]products!$A$1:$G$1,0))</f>
        <v>0.5</v>
      </c>
      <c r="S209" s="6">
        <f>INDEX([1]products!$A$1:$G$49,MATCH([1]orders!$D209,[1]products!$A$1:$A$49,0),MATCH([1]orders!L$1,[1]products!$A$1:$G$1,0))</f>
        <v>6.75</v>
      </c>
      <c r="T209" s="6">
        <f t="shared" si="18"/>
        <v>40.5</v>
      </c>
      <c r="U209" s="22">
        <f t="shared" si="22"/>
        <v>3.6449999999999996</v>
      </c>
      <c r="V209" s="22">
        <f t="shared" si="23"/>
        <v>8.9999999999999982</v>
      </c>
    </row>
    <row r="210" spans="1:22" x14ac:dyDescent="0.3">
      <c r="A210" s="1" t="s">
        <v>433</v>
      </c>
      <c r="B210" s="2">
        <v>44659</v>
      </c>
      <c r="C210" s="2" t="str">
        <f t="shared" si="19"/>
        <v>Friday</v>
      </c>
      <c r="D210" s="2" t="str">
        <f t="shared" si="20"/>
        <v>April</v>
      </c>
      <c r="E210" s="2" t="str">
        <f t="shared" si="21"/>
        <v>2022</v>
      </c>
      <c r="F210" s="3" t="s">
        <v>434</v>
      </c>
      <c r="G210" s="3" t="str">
        <f>VLOOKUP(F211,'Customers (2)'!A:I,2,0)</f>
        <v>Fransisco Malecky</v>
      </c>
      <c r="H210" s="3" t="str">
        <f>VLOOKUP(F210,'Customers (2)'!A:I,3,0)</f>
        <v>chalfhide5s@google.ru</v>
      </c>
      <c r="I210" s="3" t="str">
        <f>VLOOKUP(F210,'Customers (2)'!A:I,4,0)</f>
        <v>+353 (885) 827-8865</v>
      </c>
      <c r="J210" s="3" t="str">
        <f>VLOOKUP(F210,'Customers (2)'!A:I,6,0)</f>
        <v>Fermoy</v>
      </c>
      <c r="K210" s="3" t="str">
        <f>VLOOKUP(F210,'Customers (2)'!A:I,7,0)</f>
        <v>Ireland</v>
      </c>
      <c r="L210" s="3" t="str">
        <f>VLOOKUP(F210,'Customers (2)'!A:I,9,0)</f>
        <v>Yes</v>
      </c>
      <c r="M210" s="4" t="s">
        <v>16</v>
      </c>
      <c r="N210" s="4" t="str">
        <f>VLOOKUP(M210,'Products (2)'!A:G,2,0)</f>
        <v>Excelsa</v>
      </c>
      <c r="O210" s="4" t="str">
        <f>VLOOKUP(M210,'Products (2)'!A:G,3,0)</f>
        <v>Dark</v>
      </c>
      <c r="P210" s="4">
        <f>VLOOKUP(M210,'Products (2)'!A:G,7,0)</f>
        <v>0.80190000000000006</v>
      </c>
      <c r="Q210" s="3">
        <v>4</v>
      </c>
      <c r="R210" s="5">
        <f>INDEX([1]products!$A$1:$G$49,MATCH([1]orders!$D210,[1]products!$A$1:$A$49,0),MATCH([1]orders!K$1,[1]products!$A$1:$G$1,0))</f>
        <v>0.5</v>
      </c>
      <c r="S210" s="6">
        <f>INDEX([1]products!$A$1:$G$49,MATCH([1]orders!$D210,[1]products!$A$1:$A$49,0),MATCH([1]orders!L$1,[1]products!$A$1:$G$1,0))</f>
        <v>7.29</v>
      </c>
      <c r="T210" s="6">
        <f t="shared" si="18"/>
        <v>29.16</v>
      </c>
      <c r="U210" s="22">
        <f t="shared" si="22"/>
        <v>3.2076000000000002</v>
      </c>
      <c r="V210" s="22">
        <f t="shared" si="23"/>
        <v>11</v>
      </c>
    </row>
    <row r="211" spans="1:22" x14ac:dyDescent="0.3">
      <c r="A211" s="1" t="s">
        <v>435</v>
      </c>
      <c r="B211" s="2">
        <v>44105</v>
      </c>
      <c r="C211" s="2" t="str">
        <f t="shared" si="19"/>
        <v>Thursday</v>
      </c>
      <c r="D211" s="2" t="str">
        <f t="shared" si="20"/>
        <v>October</v>
      </c>
      <c r="E211" s="2" t="str">
        <f t="shared" si="21"/>
        <v>2020</v>
      </c>
      <c r="F211" s="3" t="s">
        <v>436</v>
      </c>
      <c r="G211" s="3" t="str">
        <f>VLOOKUP(F212,'Customers (2)'!A:I,2,0)</f>
        <v>Anselma Attwater</v>
      </c>
      <c r="H211" s="3" t="str">
        <f>VLOOKUP(F211,'Customers (2)'!A:I,3,0)</f>
        <v>fmalecky5t@list-manage.com</v>
      </c>
      <c r="I211" s="3" t="str">
        <f>VLOOKUP(F211,'Customers (2)'!A:I,4,0)</f>
        <v>+44 (738) 660-4264</v>
      </c>
      <c r="J211" s="3" t="str">
        <f>VLOOKUP(F211,'Customers (2)'!A:I,6,0)</f>
        <v>Whitwell</v>
      </c>
      <c r="K211" s="3" t="str">
        <f>VLOOKUP(F211,'Customers (2)'!A:I,7,0)</f>
        <v>United Kingdom</v>
      </c>
      <c r="L211" s="3" t="str">
        <f>VLOOKUP(F211,'Customers (2)'!A:I,9,0)</f>
        <v>No</v>
      </c>
      <c r="M211" s="4" t="s">
        <v>67</v>
      </c>
      <c r="N211" s="4" t="str">
        <f>VLOOKUP(M211,'Products (2)'!A:G,2,0)</f>
        <v>Arabica</v>
      </c>
      <c r="O211" s="4" t="str">
        <f>VLOOKUP(M211,'Products (2)'!A:G,3,0)</f>
        <v>Medium</v>
      </c>
      <c r="P211" s="4">
        <f>VLOOKUP(M211,'Products (2)'!A:G,7,0)</f>
        <v>0.60749999999999993</v>
      </c>
      <c r="Q211" s="3">
        <v>1</v>
      </c>
      <c r="R211" s="5">
        <f>INDEX([1]products!$A$1:$G$49,MATCH([1]orders!$D211,[1]products!$A$1:$A$49,0),MATCH([1]orders!K$1,[1]products!$A$1:$G$1,0))</f>
        <v>0.5</v>
      </c>
      <c r="S211" s="6">
        <f>INDEX([1]products!$A$1:$G$49,MATCH([1]orders!$D211,[1]products!$A$1:$A$49,0),MATCH([1]orders!L$1,[1]products!$A$1:$G$1,0))</f>
        <v>6.75</v>
      </c>
      <c r="T211" s="6">
        <f t="shared" si="18"/>
        <v>6.75</v>
      </c>
      <c r="U211" s="22">
        <f t="shared" si="22"/>
        <v>0.60749999999999993</v>
      </c>
      <c r="V211" s="22">
        <f t="shared" si="23"/>
        <v>8.9999999999999982</v>
      </c>
    </row>
    <row r="212" spans="1:22" x14ac:dyDescent="0.3">
      <c r="A212" s="1" t="s">
        <v>437</v>
      </c>
      <c r="B212" s="2">
        <v>43766</v>
      </c>
      <c r="C212" s="2" t="str">
        <f t="shared" si="19"/>
        <v>Monday</v>
      </c>
      <c r="D212" s="2" t="str">
        <f t="shared" si="20"/>
        <v>October</v>
      </c>
      <c r="E212" s="2" t="str">
        <f t="shared" si="21"/>
        <v>2019</v>
      </c>
      <c r="F212" s="3" t="s">
        <v>438</v>
      </c>
      <c r="G212" s="3" t="str">
        <f>VLOOKUP(F213,'Customers (2)'!A:I,2,0)</f>
        <v>Minette Whellans</v>
      </c>
      <c r="H212" s="3" t="str">
        <f>VLOOKUP(F212,'Customers (2)'!A:I,3,0)</f>
        <v>aattwater5u@wikia.com</v>
      </c>
      <c r="I212" s="3" t="str">
        <f>VLOOKUP(F212,'Customers (2)'!A:I,4,0)</f>
        <v>+1 (434) 821-8618</v>
      </c>
      <c r="J212" s="3" t="str">
        <f>VLOOKUP(F212,'Customers (2)'!A:I,6,0)</f>
        <v>Charlottesville</v>
      </c>
      <c r="K212" s="3" t="str">
        <f>VLOOKUP(F212,'Customers (2)'!A:I,7,0)</f>
        <v>United States</v>
      </c>
      <c r="L212" s="3" t="str">
        <f>VLOOKUP(F212,'Customers (2)'!A:I,9,0)</f>
        <v>Yes</v>
      </c>
      <c r="M212" s="4" t="s">
        <v>13</v>
      </c>
      <c r="N212" s="4" t="str">
        <f>VLOOKUP(M212,'Products (2)'!A:G,2,0)</f>
        <v>Liberica</v>
      </c>
      <c r="O212" s="4" t="str">
        <f>VLOOKUP(M212,'Products (2)'!A:G,3,0)</f>
        <v>Dark</v>
      </c>
      <c r="P212" s="4">
        <f>VLOOKUP(M212,'Products (2)'!A:G,7,0)</f>
        <v>1.6835</v>
      </c>
      <c r="Q212" s="3">
        <v>4</v>
      </c>
      <c r="R212" s="5">
        <f>INDEX([1]products!$A$1:$G$49,MATCH([1]orders!$D212,[1]products!$A$1:$A$49,0),MATCH([1]orders!K$1,[1]products!$A$1:$G$1,0))</f>
        <v>1</v>
      </c>
      <c r="S212" s="6">
        <f>INDEX([1]products!$A$1:$G$49,MATCH([1]orders!$D212,[1]products!$A$1:$A$49,0),MATCH([1]orders!L$1,[1]products!$A$1:$G$1,0))</f>
        <v>12.95</v>
      </c>
      <c r="T212" s="6">
        <f t="shared" si="18"/>
        <v>51.8</v>
      </c>
      <c r="U212" s="22">
        <f t="shared" si="22"/>
        <v>6.734</v>
      </c>
      <c r="V212" s="22">
        <f t="shared" si="23"/>
        <v>13</v>
      </c>
    </row>
    <row r="213" spans="1:22" x14ac:dyDescent="0.3">
      <c r="A213" s="1" t="s">
        <v>439</v>
      </c>
      <c r="B213" s="2">
        <v>44283</v>
      </c>
      <c r="C213" s="2" t="str">
        <f t="shared" si="19"/>
        <v>Sunday</v>
      </c>
      <c r="D213" s="2" t="str">
        <f t="shared" si="20"/>
        <v>March</v>
      </c>
      <c r="E213" s="2" t="str">
        <f t="shared" si="21"/>
        <v>2021</v>
      </c>
      <c r="F213" s="3" t="s">
        <v>440</v>
      </c>
      <c r="G213" s="3" t="str">
        <f>VLOOKUP(F214,'Customers (2)'!A:I,2,0)</f>
        <v>Dael Camilletti</v>
      </c>
      <c r="H213" s="3" t="str">
        <f>VLOOKUP(F213,'Customers (2)'!A:I,3,0)</f>
        <v>mwhellans5v@mapquest.com</v>
      </c>
      <c r="I213" s="3">
        <f>VLOOKUP(F213,'Customers (2)'!A:I,4,0)</f>
        <v>0</v>
      </c>
      <c r="J213" s="3" t="str">
        <f>VLOOKUP(F213,'Customers (2)'!A:I,6,0)</f>
        <v>New York City</v>
      </c>
      <c r="K213" s="3" t="str">
        <f>VLOOKUP(F213,'Customers (2)'!A:I,7,0)</f>
        <v>United States</v>
      </c>
      <c r="L213" s="3" t="str">
        <f>VLOOKUP(F213,'Customers (2)'!A:I,9,0)</f>
        <v>No</v>
      </c>
      <c r="M213" s="4" t="s">
        <v>176</v>
      </c>
      <c r="N213" s="4" t="str">
        <f>VLOOKUP(M213,'Products (2)'!A:G,2,0)</f>
        <v>Excelsa</v>
      </c>
      <c r="O213" s="4" t="str">
        <f>VLOOKUP(M213,'Products (2)'!A:G,3,0)</f>
        <v>Light</v>
      </c>
      <c r="P213" s="4">
        <f>VLOOKUP(M213,'Products (2)'!A:G,7,0)</f>
        <v>0.98009999999999997</v>
      </c>
      <c r="Q213" s="3">
        <v>6</v>
      </c>
      <c r="R213" s="5">
        <f>INDEX([1]products!$A$1:$G$49,MATCH([1]orders!$D213,[1]products!$A$1:$A$49,0),MATCH([1]orders!K$1,[1]products!$A$1:$G$1,0))</f>
        <v>0.5</v>
      </c>
      <c r="S213" s="6">
        <f>INDEX([1]products!$A$1:$G$49,MATCH([1]orders!$D213,[1]products!$A$1:$A$49,0),MATCH([1]orders!L$1,[1]products!$A$1:$G$1,0))</f>
        <v>8.91</v>
      </c>
      <c r="T213" s="6">
        <f t="shared" si="18"/>
        <v>53.46</v>
      </c>
      <c r="U213" s="22">
        <f t="shared" si="22"/>
        <v>5.8805999999999994</v>
      </c>
      <c r="V213" s="22">
        <f t="shared" si="23"/>
        <v>10.999999999999998</v>
      </c>
    </row>
    <row r="214" spans="1:22" x14ac:dyDescent="0.3">
      <c r="A214" s="1" t="s">
        <v>441</v>
      </c>
      <c r="B214" s="2">
        <v>43921</v>
      </c>
      <c r="C214" s="2" t="str">
        <f t="shared" si="19"/>
        <v>Tuesday</v>
      </c>
      <c r="D214" s="2" t="str">
        <f t="shared" si="20"/>
        <v>March</v>
      </c>
      <c r="E214" s="2" t="str">
        <f t="shared" si="21"/>
        <v>2020</v>
      </c>
      <c r="F214" s="3" t="s">
        <v>442</v>
      </c>
      <c r="G214" s="3" t="str">
        <f>VLOOKUP(F215,'Customers (2)'!A:I,2,0)</f>
        <v>Emiline Galgey</v>
      </c>
      <c r="H214" s="3" t="str">
        <f>VLOOKUP(F214,'Customers (2)'!A:I,3,0)</f>
        <v>dcamilletti5w@businesswire.com</v>
      </c>
      <c r="I214" s="3" t="str">
        <f>VLOOKUP(F214,'Customers (2)'!A:I,4,0)</f>
        <v>+1 (540) 722-6065</v>
      </c>
      <c r="J214" s="3" t="str">
        <f>VLOOKUP(F214,'Customers (2)'!A:I,6,0)</f>
        <v>Roanoke</v>
      </c>
      <c r="K214" s="3" t="str">
        <f>VLOOKUP(F214,'Customers (2)'!A:I,7,0)</f>
        <v>United States</v>
      </c>
      <c r="L214" s="3" t="str">
        <f>VLOOKUP(F214,'Customers (2)'!A:I,9,0)</f>
        <v>Yes</v>
      </c>
      <c r="M214" s="4" t="s">
        <v>51</v>
      </c>
      <c r="N214" s="4" t="str">
        <f>VLOOKUP(M214,'Products (2)'!A:G,2,0)</f>
        <v>Excelsa</v>
      </c>
      <c r="O214" s="4" t="str">
        <f>VLOOKUP(M214,'Products (2)'!A:G,3,0)</f>
        <v>Dark</v>
      </c>
      <c r="P214" s="4">
        <f>VLOOKUP(M214,'Products (2)'!A:G,7,0)</f>
        <v>0.40095000000000003</v>
      </c>
      <c r="Q214" s="3">
        <v>4</v>
      </c>
      <c r="R214" s="5">
        <f>INDEX([1]products!$A$1:$G$49,MATCH([1]orders!$D214,[1]products!$A$1:$A$49,0),MATCH([1]orders!K$1,[1]products!$A$1:$G$1,0))</f>
        <v>0.2</v>
      </c>
      <c r="S214" s="6">
        <f>INDEX([1]products!$A$1:$G$49,MATCH([1]orders!$D214,[1]products!$A$1:$A$49,0),MATCH([1]orders!L$1,[1]products!$A$1:$G$1,0))</f>
        <v>3.645</v>
      </c>
      <c r="T214" s="6">
        <f t="shared" si="18"/>
        <v>14.58</v>
      </c>
      <c r="U214" s="22">
        <f t="shared" si="22"/>
        <v>1.6038000000000001</v>
      </c>
      <c r="V214" s="22">
        <f t="shared" si="23"/>
        <v>11</v>
      </c>
    </row>
    <row r="215" spans="1:22" x14ac:dyDescent="0.3">
      <c r="A215" s="1" t="s">
        <v>443</v>
      </c>
      <c r="B215" s="2">
        <v>44646</v>
      </c>
      <c r="C215" s="2" t="str">
        <f t="shared" si="19"/>
        <v>Saturday</v>
      </c>
      <c r="D215" s="2" t="str">
        <f t="shared" si="20"/>
        <v>March</v>
      </c>
      <c r="E215" s="2" t="str">
        <f t="shared" si="21"/>
        <v>2022</v>
      </c>
      <c r="F215" s="3" t="s">
        <v>444</v>
      </c>
      <c r="G215" s="3" t="str">
        <f>VLOOKUP(F216,'Customers (2)'!A:I,2,0)</f>
        <v>Murdock Hame</v>
      </c>
      <c r="H215" s="3" t="str">
        <f>VLOOKUP(F215,'Customers (2)'!A:I,3,0)</f>
        <v>egalgey5x@wufoo.com</v>
      </c>
      <c r="I215" s="3" t="str">
        <f>VLOOKUP(F215,'Customers (2)'!A:I,4,0)</f>
        <v>+1 (718) 311-6732</v>
      </c>
      <c r="J215" s="3" t="str">
        <f>VLOOKUP(F215,'Customers (2)'!A:I,6,0)</f>
        <v>New York City</v>
      </c>
      <c r="K215" s="3" t="str">
        <f>VLOOKUP(F215,'Customers (2)'!A:I,7,0)</f>
        <v>United States</v>
      </c>
      <c r="L215" s="3" t="str">
        <f>VLOOKUP(F215,'Customers (2)'!A:I,9,0)</f>
        <v>No</v>
      </c>
      <c r="M215" s="4" t="s">
        <v>35</v>
      </c>
      <c r="N215" s="4" t="str">
        <f>VLOOKUP(M215,'Products (2)'!A:G,2,0)</f>
        <v>Robusta</v>
      </c>
      <c r="O215" s="4" t="str">
        <f>VLOOKUP(M215,'Products (2)'!A:G,3,0)</f>
        <v>Dark</v>
      </c>
      <c r="P215" s="4">
        <f>VLOOKUP(M215,'Products (2)'!A:G,7,0)</f>
        <v>1.2350999999999999</v>
      </c>
      <c r="Q215" s="3">
        <v>1</v>
      </c>
      <c r="R215" s="5">
        <f>INDEX([1]products!$A$1:$G$49,MATCH([1]orders!$D215,[1]products!$A$1:$A$49,0),MATCH([1]orders!K$1,[1]products!$A$1:$G$1,0))</f>
        <v>2.5</v>
      </c>
      <c r="S215" s="6">
        <f>INDEX([1]products!$A$1:$G$49,MATCH([1]orders!$D215,[1]products!$A$1:$A$49,0),MATCH([1]orders!L$1,[1]products!$A$1:$G$1,0))</f>
        <v>20.584999999999997</v>
      </c>
      <c r="T215" s="6">
        <f t="shared" si="18"/>
        <v>20.584999999999997</v>
      </c>
      <c r="U215" s="22">
        <f t="shared" si="22"/>
        <v>1.2350999999999999</v>
      </c>
      <c r="V215" s="22">
        <f t="shared" si="23"/>
        <v>6.0000000000000009</v>
      </c>
    </row>
    <row r="216" spans="1:22" x14ac:dyDescent="0.3">
      <c r="A216" s="1" t="s">
        <v>445</v>
      </c>
      <c r="B216" s="2">
        <v>43775</v>
      </c>
      <c r="C216" s="2" t="str">
        <f t="shared" si="19"/>
        <v>Wednesday</v>
      </c>
      <c r="D216" s="2" t="str">
        <f t="shared" si="20"/>
        <v>November</v>
      </c>
      <c r="E216" s="2" t="str">
        <f t="shared" si="21"/>
        <v>2019</v>
      </c>
      <c r="F216" s="3" t="s">
        <v>446</v>
      </c>
      <c r="G216" s="3" t="str">
        <f>VLOOKUP(F217,'Customers (2)'!A:I,2,0)</f>
        <v>Ilka Gurnee</v>
      </c>
      <c r="H216" s="3" t="str">
        <f>VLOOKUP(F216,'Customers (2)'!A:I,3,0)</f>
        <v>mhame5y@newsvine.com</v>
      </c>
      <c r="I216" s="3" t="str">
        <f>VLOOKUP(F216,'Customers (2)'!A:I,4,0)</f>
        <v>+353 (649) 297-0884</v>
      </c>
      <c r="J216" s="3" t="str">
        <f>VLOOKUP(F216,'Customers (2)'!A:I,6,0)</f>
        <v>Balally</v>
      </c>
      <c r="K216" s="3" t="str">
        <f>VLOOKUP(F216,'Customers (2)'!A:I,7,0)</f>
        <v>Ireland</v>
      </c>
      <c r="L216" s="3" t="str">
        <f>VLOOKUP(F216,'Customers (2)'!A:I,9,0)</f>
        <v>No</v>
      </c>
      <c r="M216" s="4" t="s">
        <v>132</v>
      </c>
      <c r="N216" s="4" t="str">
        <f>VLOOKUP(M216,'Products (2)'!A:G,2,0)</f>
        <v>Liberica</v>
      </c>
      <c r="O216" s="4" t="str">
        <f>VLOOKUP(M216,'Products (2)'!A:G,3,0)</f>
        <v>Light</v>
      </c>
      <c r="P216" s="4">
        <f>VLOOKUP(M216,'Products (2)'!A:G,7,0)</f>
        <v>2.0605000000000002</v>
      </c>
      <c r="Q216" s="3">
        <v>2</v>
      </c>
      <c r="R216" s="5">
        <f>INDEX([1]products!$A$1:$G$49,MATCH([1]orders!$D216,[1]products!$A$1:$A$49,0),MATCH([1]orders!K$1,[1]products!$A$1:$G$1,0))</f>
        <v>1</v>
      </c>
      <c r="S216" s="6">
        <f>INDEX([1]products!$A$1:$G$49,MATCH([1]orders!$D216,[1]products!$A$1:$A$49,0),MATCH([1]orders!L$1,[1]products!$A$1:$G$1,0))</f>
        <v>15.85</v>
      </c>
      <c r="T216" s="6">
        <f t="shared" si="18"/>
        <v>31.7</v>
      </c>
      <c r="U216" s="22">
        <f t="shared" si="22"/>
        <v>4.1210000000000004</v>
      </c>
      <c r="V216" s="22">
        <f t="shared" si="23"/>
        <v>13</v>
      </c>
    </row>
    <row r="217" spans="1:22" x14ac:dyDescent="0.3">
      <c r="A217" s="1" t="s">
        <v>447</v>
      </c>
      <c r="B217" s="2">
        <v>43829</v>
      </c>
      <c r="C217" s="2" t="str">
        <f t="shared" si="19"/>
        <v>Monday</v>
      </c>
      <c r="D217" s="2" t="str">
        <f t="shared" si="20"/>
        <v>December</v>
      </c>
      <c r="E217" s="2" t="str">
        <f t="shared" si="21"/>
        <v>2019</v>
      </c>
      <c r="F217" s="3" t="s">
        <v>448</v>
      </c>
      <c r="G217" s="3" t="str">
        <f>VLOOKUP(F218,'Customers (2)'!A:I,2,0)</f>
        <v>Alfy Snowding</v>
      </c>
      <c r="H217" s="3" t="str">
        <f>VLOOKUP(F217,'Customers (2)'!A:I,3,0)</f>
        <v>igurnee5z@usnews.com</v>
      </c>
      <c r="I217" s="3" t="str">
        <f>VLOOKUP(F217,'Customers (2)'!A:I,4,0)</f>
        <v>+1 (801) 642-0352</v>
      </c>
      <c r="J217" s="3" t="str">
        <f>VLOOKUP(F217,'Customers (2)'!A:I,6,0)</f>
        <v>Salt Lake City</v>
      </c>
      <c r="K217" s="3" t="str">
        <f>VLOOKUP(F217,'Customers (2)'!A:I,7,0)</f>
        <v>United States</v>
      </c>
      <c r="L217" s="3" t="str">
        <f>VLOOKUP(F217,'Customers (2)'!A:I,9,0)</f>
        <v>No</v>
      </c>
      <c r="M217" s="4" t="s">
        <v>38</v>
      </c>
      <c r="N217" s="4" t="str">
        <f>VLOOKUP(M217,'Products (2)'!A:G,2,0)</f>
        <v>Liberica</v>
      </c>
      <c r="O217" s="4" t="str">
        <f>VLOOKUP(M217,'Products (2)'!A:G,3,0)</f>
        <v>Dark</v>
      </c>
      <c r="P217" s="4">
        <f>VLOOKUP(M217,'Products (2)'!A:G,7,0)</f>
        <v>0.50505</v>
      </c>
      <c r="Q217" s="3">
        <v>6</v>
      </c>
      <c r="R217" s="5">
        <f>INDEX([1]products!$A$1:$G$49,MATCH([1]orders!$D217,[1]products!$A$1:$A$49,0),MATCH([1]orders!K$1,[1]products!$A$1:$G$1,0))</f>
        <v>0.2</v>
      </c>
      <c r="S217" s="6">
        <f>INDEX([1]products!$A$1:$G$49,MATCH([1]orders!$D217,[1]products!$A$1:$A$49,0),MATCH([1]orders!L$1,[1]products!$A$1:$G$1,0))</f>
        <v>3.8849999999999998</v>
      </c>
      <c r="T217" s="6">
        <f t="shared" si="18"/>
        <v>23.31</v>
      </c>
      <c r="U217" s="22">
        <f t="shared" si="22"/>
        <v>3.0303</v>
      </c>
      <c r="V217" s="22">
        <f t="shared" si="23"/>
        <v>13</v>
      </c>
    </row>
    <row r="218" spans="1:22" x14ac:dyDescent="0.3">
      <c r="A218" s="1" t="s">
        <v>449</v>
      </c>
      <c r="B218" s="2">
        <v>44470</v>
      </c>
      <c r="C218" s="2" t="str">
        <f t="shared" si="19"/>
        <v>Friday</v>
      </c>
      <c r="D218" s="2" t="str">
        <f t="shared" si="20"/>
        <v>October</v>
      </c>
      <c r="E218" s="2" t="str">
        <f t="shared" si="21"/>
        <v>2021</v>
      </c>
      <c r="F218" s="3" t="s">
        <v>450</v>
      </c>
      <c r="G218" s="3" t="str">
        <f>VLOOKUP(F219,'Customers (2)'!A:I,2,0)</f>
        <v>Godfry Poinsett</v>
      </c>
      <c r="H218" s="3" t="str">
        <f>VLOOKUP(F218,'Customers (2)'!A:I,3,0)</f>
        <v>asnowding60@comsenz.com</v>
      </c>
      <c r="I218" s="3" t="str">
        <f>VLOOKUP(F218,'Customers (2)'!A:I,4,0)</f>
        <v>+1 (419) 996-2492</v>
      </c>
      <c r="J218" s="3" t="str">
        <f>VLOOKUP(F218,'Customers (2)'!A:I,6,0)</f>
        <v>Toledo</v>
      </c>
      <c r="K218" s="3" t="str">
        <f>VLOOKUP(F218,'Customers (2)'!A:I,7,0)</f>
        <v>United States</v>
      </c>
      <c r="L218" s="3" t="str">
        <f>VLOOKUP(F218,'Customers (2)'!A:I,9,0)</f>
        <v>Yes</v>
      </c>
      <c r="M218" s="4" t="s">
        <v>96</v>
      </c>
      <c r="N218" s="4" t="str">
        <f>VLOOKUP(M218,'Products (2)'!A:G,2,0)</f>
        <v>Liberica</v>
      </c>
      <c r="O218" s="4" t="str">
        <f>VLOOKUP(M218,'Products (2)'!A:G,3,0)</f>
        <v>Medium</v>
      </c>
      <c r="P218" s="4">
        <f>VLOOKUP(M218,'Products (2)'!A:G,7,0)</f>
        <v>1.8915000000000002</v>
      </c>
      <c r="Q218" s="3">
        <v>4</v>
      </c>
      <c r="R218" s="5">
        <f>INDEX([1]products!$A$1:$G$49,MATCH([1]orders!$D218,[1]products!$A$1:$A$49,0),MATCH([1]orders!K$1,[1]products!$A$1:$G$1,0))</f>
        <v>1</v>
      </c>
      <c r="S218" s="6">
        <f>INDEX([1]products!$A$1:$G$49,MATCH([1]orders!$D218,[1]products!$A$1:$A$49,0),MATCH([1]orders!L$1,[1]products!$A$1:$G$1,0))</f>
        <v>14.55</v>
      </c>
      <c r="T218" s="6">
        <f t="shared" si="18"/>
        <v>58.2</v>
      </c>
      <c r="U218" s="22">
        <f t="shared" si="22"/>
        <v>7.5660000000000007</v>
      </c>
      <c r="V218" s="22">
        <f t="shared" si="23"/>
        <v>13</v>
      </c>
    </row>
    <row r="219" spans="1:22" x14ac:dyDescent="0.3">
      <c r="A219" s="1" t="s">
        <v>451</v>
      </c>
      <c r="B219" s="2">
        <v>44174</v>
      </c>
      <c r="C219" s="2" t="str">
        <f t="shared" si="19"/>
        <v>Wednesday</v>
      </c>
      <c r="D219" s="2" t="str">
        <f t="shared" si="20"/>
        <v>December</v>
      </c>
      <c r="E219" s="2" t="str">
        <f t="shared" si="21"/>
        <v>2020</v>
      </c>
      <c r="F219" s="3" t="s">
        <v>452</v>
      </c>
      <c r="G219" s="3" t="str">
        <f>VLOOKUP(F220,'Customers (2)'!A:I,2,0)</f>
        <v>Rem Furman</v>
      </c>
      <c r="H219" s="3" t="str">
        <f>VLOOKUP(F219,'Customers (2)'!A:I,3,0)</f>
        <v>gpoinsett61@berkeley.edu</v>
      </c>
      <c r="I219" s="3" t="str">
        <f>VLOOKUP(F219,'Customers (2)'!A:I,4,0)</f>
        <v>+1 (626) 451-7397</v>
      </c>
      <c r="J219" s="3" t="str">
        <f>VLOOKUP(F219,'Customers (2)'!A:I,6,0)</f>
        <v>Pasadena</v>
      </c>
      <c r="K219" s="3" t="str">
        <f>VLOOKUP(F219,'Customers (2)'!A:I,7,0)</f>
        <v>United States</v>
      </c>
      <c r="L219" s="3" t="str">
        <f>VLOOKUP(F219,'Customers (2)'!A:I,9,0)</f>
        <v>No</v>
      </c>
      <c r="M219" s="4" t="s">
        <v>176</v>
      </c>
      <c r="N219" s="4" t="str">
        <f>VLOOKUP(M219,'Products (2)'!A:G,2,0)</f>
        <v>Excelsa</v>
      </c>
      <c r="O219" s="4" t="str">
        <f>VLOOKUP(M219,'Products (2)'!A:G,3,0)</f>
        <v>Light</v>
      </c>
      <c r="P219" s="4">
        <f>VLOOKUP(M219,'Products (2)'!A:G,7,0)</f>
        <v>0.98009999999999997</v>
      </c>
      <c r="Q219" s="3">
        <v>4</v>
      </c>
      <c r="R219" s="5">
        <f>INDEX([1]products!$A$1:$G$49,MATCH([1]orders!$D219,[1]products!$A$1:$A$49,0),MATCH([1]orders!K$1,[1]products!$A$1:$G$1,0))</f>
        <v>0.5</v>
      </c>
      <c r="S219" s="6">
        <f>INDEX([1]products!$A$1:$G$49,MATCH([1]orders!$D219,[1]products!$A$1:$A$49,0),MATCH([1]orders!L$1,[1]products!$A$1:$G$1,0))</f>
        <v>8.91</v>
      </c>
      <c r="T219" s="6">
        <f t="shared" si="18"/>
        <v>35.64</v>
      </c>
      <c r="U219" s="22">
        <f t="shared" si="22"/>
        <v>3.9203999999999999</v>
      </c>
      <c r="V219" s="22">
        <f t="shared" si="23"/>
        <v>11</v>
      </c>
    </row>
    <row r="220" spans="1:22" x14ac:dyDescent="0.3">
      <c r="A220" s="1" t="s">
        <v>453</v>
      </c>
      <c r="B220" s="2">
        <v>44317</v>
      </c>
      <c r="C220" s="2" t="str">
        <f t="shared" si="19"/>
        <v>Saturday</v>
      </c>
      <c r="D220" s="2" t="str">
        <f t="shared" si="20"/>
        <v>May</v>
      </c>
      <c r="E220" s="2" t="str">
        <f t="shared" si="21"/>
        <v>2021</v>
      </c>
      <c r="F220" s="3" t="s">
        <v>454</v>
      </c>
      <c r="G220" s="3" t="str">
        <f>VLOOKUP(F221,'Customers (2)'!A:I,2,0)</f>
        <v>Charis Crosier</v>
      </c>
      <c r="H220" s="3" t="str">
        <f>VLOOKUP(F220,'Customers (2)'!A:I,3,0)</f>
        <v>rfurman62@t.co</v>
      </c>
      <c r="I220" s="3" t="str">
        <f>VLOOKUP(F220,'Customers (2)'!A:I,4,0)</f>
        <v>+353 (829) 808-4788</v>
      </c>
      <c r="J220" s="3" t="str">
        <f>VLOOKUP(F220,'Customers (2)'!A:I,6,0)</f>
        <v>Kinsale</v>
      </c>
      <c r="K220" s="3" t="str">
        <f>VLOOKUP(F220,'Customers (2)'!A:I,7,0)</f>
        <v>Ireland</v>
      </c>
      <c r="L220" s="3" t="str">
        <f>VLOOKUP(F220,'Customers (2)'!A:I,9,0)</f>
        <v>Yes</v>
      </c>
      <c r="M220" s="4" t="s">
        <v>61</v>
      </c>
      <c r="N220" s="4" t="str">
        <f>VLOOKUP(M220,'Products (2)'!A:G,2,0)</f>
        <v>Arabica</v>
      </c>
      <c r="O220" s="4" t="str">
        <f>VLOOKUP(M220,'Products (2)'!A:G,3,0)</f>
        <v>Medium</v>
      </c>
      <c r="P220" s="4">
        <f>VLOOKUP(M220,'Products (2)'!A:G,7,0)</f>
        <v>1.0125</v>
      </c>
      <c r="Q220" s="3">
        <v>5</v>
      </c>
      <c r="R220" s="5">
        <f>INDEX([1]products!$A$1:$G$49,MATCH([1]orders!$D220,[1]products!$A$1:$A$49,0),MATCH([1]orders!K$1,[1]products!$A$1:$G$1,0))</f>
        <v>1</v>
      </c>
      <c r="S220" s="6">
        <f>INDEX([1]products!$A$1:$G$49,MATCH([1]orders!$D220,[1]products!$A$1:$A$49,0),MATCH([1]orders!L$1,[1]products!$A$1:$G$1,0))</f>
        <v>11.25</v>
      </c>
      <c r="T220" s="6">
        <f t="shared" si="18"/>
        <v>56.25</v>
      </c>
      <c r="U220" s="22">
        <f t="shared" si="22"/>
        <v>5.0625</v>
      </c>
      <c r="V220" s="22">
        <f t="shared" si="23"/>
        <v>9</v>
      </c>
    </row>
    <row r="221" spans="1:22" x14ac:dyDescent="0.3">
      <c r="A221" s="1" t="s">
        <v>455</v>
      </c>
      <c r="B221" s="2">
        <v>44777</v>
      </c>
      <c r="C221" s="2" t="str">
        <f t="shared" si="19"/>
        <v>Thursday</v>
      </c>
      <c r="D221" s="2" t="str">
        <f t="shared" si="20"/>
        <v>August</v>
      </c>
      <c r="E221" s="2" t="str">
        <f t="shared" si="21"/>
        <v>2022</v>
      </c>
      <c r="F221" s="3" t="s">
        <v>456</v>
      </c>
      <c r="G221" s="3" t="str">
        <f>VLOOKUP(F222,'Customers (2)'!A:I,2,0)</f>
        <v>Charis Crosier</v>
      </c>
      <c r="H221" s="3" t="str">
        <f>VLOOKUP(F221,'Customers (2)'!A:I,3,0)</f>
        <v>ccrosier63@xrea.com</v>
      </c>
      <c r="I221" s="3" t="str">
        <f>VLOOKUP(F221,'Customers (2)'!A:I,4,0)</f>
        <v>+1 (816) 578-2743</v>
      </c>
      <c r="J221" s="3" t="str">
        <f>VLOOKUP(F221,'Customers (2)'!A:I,6,0)</f>
        <v>Lees Summit</v>
      </c>
      <c r="K221" s="3" t="str">
        <f>VLOOKUP(F221,'Customers (2)'!A:I,7,0)</f>
        <v>United States</v>
      </c>
      <c r="L221" s="3" t="str">
        <f>VLOOKUP(F221,'Customers (2)'!A:I,9,0)</f>
        <v>No</v>
      </c>
      <c r="M221" s="4" t="s">
        <v>182</v>
      </c>
      <c r="N221" s="4" t="str">
        <f>VLOOKUP(M221,'Products (2)'!A:G,2,0)</f>
        <v>Robusta</v>
      </c>
      <c r="O221" s="4" t="str">
        <f>VLOOKUP(M221,'Products (2)'!A:G,3,0)</f>
        <v>Light</v>
      </c>
      <c r="P221" s="4">
        <f>VLOOKUP(M221,'Products (2)'!A:G,7,0)</f>
        <v>0.21509999999999996</v>
      </c>
      <c r="Q221" s="3">
        <v>3</v>
      </c>
      <c r="R221" s="5">
        <f>INDEX([1]products!$A$1:$G$49,MATCH([1]orders!$D221,[1]products!$A$1:$A$49,0),MATCH([1]orders!K$1,[1]products!$A$1:$G$1,0))</f>
        <v>0.2</v>
      </c>
      <c r="S221" s="6">
        <f>INDEX([1]products!$A$1:$G$49,MATCH([1]orders!$D221,[1]products!$A$1:$A$49,0),MATCH([1]orders!L$1,[1]products!$A$1:$G$1,0))</f>
        <v>3.5849999999999995</v>
      </c>
      <c r="T221" s="6">
        <f t="shared" si="18"/>
        <v>10.754999999999999</v>
      </c>
      <c r="U221" s="22">
        <f t="shared" si="22"/>
        <v>0.64529999999999987</v>
      </c>
      <c r="V221" s="22">
        <f t="shared" si="23"/>
        <v>5.9999999999999991</v>
      </c>
    </row>
    <row r="222" spans="1:22" x14ac:dyDescent="0.3">
      <c r="A222" s="1" t="s">
        <v>455</v>
      </c>
      <c r="B222" s="2">
        <v>44777</v>
      </c>
      <c r="C222" s="2" t="str">
        <f t="shared" si="19"/>
        <v>Thursday</v>
      </c>
      <c r="D222" s="2" t="str">
        <f t="shared" si="20"/>
        <v>August</v>
      </c>
      <c r="E222" s="2" t="str">
        <f t="shared" si="21"/>
        <v>2022</v>
      </c>
      <c r="F222" s="3" t="s">
        <v>456</v>
      </c>
      <c r="G222" s="3" t="str">
        <f>VLOOKUP(F223,'Customers (2)'!A:I,2,0)</f>
        <v>Lenka Rushmer</v>
      </c>
      <c r="H222" s="3" t="str">
        <f>VLOOKUP(F222,'Customers (2)'!A:I,3,0)</f>
        <v>ccrosier63@xrea.com</v>
      </c>
      <c r="I222" s="3" t="str">
        <f>VLOOKUP(F222,'Customers (2)'!A:I,4,0)</f>
        <v>+1 (816) 578-2743</v>
      </c>
      <c r="J222" s="3" t="str">
        <f>VLOOKUP(F222,'Customers (2)'!A:I,6,0)</f>
        <v>Lees Summit</v>
      </c>
      <c r="K222" s="3" t="str">
        <f>VLOOKUP(F222,'Customers (2)'!A:I,7,0)</f>
        <v>United States</v>
      </c>
      <c r="L222" s="3" t="str">
        <f>VLOOKUP(F222,'Customers (2)'!A:I,9,0)</f>
        <v>No</v>
      </c>
      <c r="M222" s="4" t="s">
        <v>162</v>
      </c>
      <c r="N222" s="4" t="str">
        <f>VLOOKUP(M222,'Products (2)'!A:G,2,0)</f>
        <v>Robusta</v>
      </c>
      <c r="O222" s="4" t="str">
        <f>VLOOKUP(M222,'Products (2)'!A:G,3,0)</f>
        <v>Medium</v>
      </c>
      <c r="P222" s="4">
        <f>VLOOKUP(M222,'Products (2)'!A:G,7,0)</f>
        <v>0.17909999999999998</v>
      </c>
      <c r="Q222" s="3">
        <v>5</v>
      </c>
      <c r="R222" s="5">
        <f>INDEX([1]products!$A$1:$G$49,MATCH([1]orders!$D222,[1]products!$A$1:$A$49,0),MATCH([1]orders!K$1,[1]products!$A$1:$G$1,0))</f>
        <v>0.2</v>
      </c>
      <c r="S222" s="6">
        <f>INDEX([1]products!$A$1:$G$49,MATCH([1]orders!$D222,[1]products!$A$1:$A$49,0),MATCH([1]orders!L$1,[1]products!$A$1:$G$1,0))</f>
        <v>2.9849999999999999</v>
      </c>
      <c r="T222" s="6">
        <f t="shared" si="18"/>
        <v>14.924999999999999</v>
      </c>
      <c r="U222" s="22">
        <f t="shared" si="22"/>
        <v>0.89549999999999996</v>
      </c>
      <c r="V222" s="22">
        <f t="shared" si="23"/>
        <v>6.0000000000000009</v>
      </c>
    </row>
    <row r="223" spans="1:22" x14ac:dyDescent="0.3">
      <c r="A223" s="1" t="s">
        <v>457</v>
      </c>
      <c r="B223" s="2">
        <v>44513</v>
      </c>
      <c r="C223" s="2" t="str">
        <f t="shared" si="19"/>
        <v>Saturday</v>
      </c>
      <c r="D223" s="2" t="str">
        <f t="shared" si="20"/>
        <v>November</v>
      </c>
      <c r="E223" s="2" t="str">
        <f t="shared" si="21"/>
        <v>2021</v>
      </c>
      <c r="F223" s="3" t="s">
        <v>458</v>
      </c>
      <c r="G223" s="3" t="str">
        <f>VLOOKUP(F224,'Customers (2)'!A:I,2,0)</f>
        <v>Waneta Edinborough</v>
      </c>
      <c r="H223" s="3" t="str">
        <f>VLOOKUP(F223,'Customers (2)'!A:I,3,0)</f>
        <v>lrushmer65@europa.eu</v>
      </c>
      <c r="I223" s="3" t="str">
        <f>VLOOKUP(F223,'Customers (2)'!A:I,4,0)</f>
        <v>+1 (949) 869-7598</v>
      </c>
      <c r="J223" s="3" t="str">
        <f>VLOOKUP(F223,'Customers (2)'!A:I,6,0)</f>
        <v>Irvine</v>
      </c>
      <c r="K223" s="3" t="str">
        <f>VLOOKUP(F223,'Customers (2)'!A:I,7,0)</f>
        <v>United States</v>
      </c>
      <c r="L223" s="3" t="str">
        <f>VLOOKUP(F223,'Customers (2)'!A:I,9,0)</f>
        <v>Yes</v>
      </c>
      <c r="M223" s="4" t="s">
        <v>6</v>
      </c>
      <c r="N223" s="4" t="str">
        <f>VLOOKUP(M223,'Products (2)'!A:G,2,0)</f>
        <v>Arabica</v>
      </c>
      <c r="O223" s="4" t="str">
        <f>VLOOKUP(M223,'Products (2)'!A:G,3,0)</f>
        <v>Light</v>
      </c>
      <c r="P223" s="4">
        <f>VLOOKUP(M223,'Products (2)'!A:G,7,0)</f>
        <v>1.1655</v>
      </c>
      <c r="Q223" s="3">
        <v>6</v>
      </c>
      <c r="R223" s="5">
        <f>INDEX([1]products!$A$1:$G$49,MATCH([1]orders!$D223,[1]products!$A$1:$A$49,0),MATCH([1]orders!K$1,[1]products!$A$1:$G$1,0))</f>
        <v>1</v>
      </c>
      <c r="S223" s="6">
        <f>INDEX([1]products!$A$1:$G$49,MATCH([1]orders!$D223,[1]products!$A$1:$A$49,0),MATCH([1]orders!L$1,[1]products!$A$1:$G$1,0))</f>
        <v>12.95</v>
      </c>
      <c r="T223" s="6">
        <f t="shared" si="18"/>
        <v>77.699999999999989</v>
      </c>
      <c r="U223" s="22">
        <f t="shared" si="22"/>
        <v>6.9930000000000003</v>
      </c>
      <c r="V223" s="22">
        <f t="shared" si="23"/>
        <v>9.0000000000000018</v>
      </c>
    </row>
    <row r="224" spans="1:22" x14ac:dyDescent="0.3">
      <c r="A224" s="1" t="s">
        <v>459</v>
      </c>
      <c r="B224" s="2">
        <v>44090</v>
      </c>
      <c r="C224" s="2" t="str">
        <f t="shared" si="19"/>
        <v>Wednesday</v>
      </c>
      <c r="D224" s="2" t="str">
        <f t="shared" si="20"/>
        <v>September</v>
      </c>
      <c r="E224" s="2" t="str">
        <f t="shared" si="21"/>
        <v>2020</v>
      </c>
      <c r="F224" s="3" t="s">
        <v>460</v>
      </c>
      <c r="G224" s="3" t="str">
        <f>VLOOKUP(F225,'Customers (2)'!A:I,2,0)</f>
        <v>Bobbe Piggott</v>
      </c>
      <c r="H224" s="3" t="str">
        <f>VLOOKUP(F224,'Customers (2)'!A:I,3,0)</f>
        <v>wedinborough66@github.io</v>
      </c>
      <c r="I224" s="3" t="str">
        <f>VLOOKUP(F224,'Customers (2)'!A:I,4,0)</f>
        <v>+1 (516) 445-4950</v>
      </c>
      <c r="J224" s="3" t="str">
        <f>VLOOKUP(F224,'Customers (2)'!A:I,6,0)</f>
        <v>Hicksville</v>
      </c>
      <c r="K224" s="3" t="str">
        <f>VLOOKUP(F224,'Customers (2)'!A:I,7,0)</f>
        <v>United States</v>
      </c>
      <c r="L224" s="3" t="str">
        <f>VLOOKUP(F224,'Customers (2)'!A:I,9,0)</f>
        <v>No</v>
      </c>
      <c r="M224" s="4" t="s">
        <v>123</v>
      </c>
      <c r="N224" s="4" t="str">
        <f>VLOOKUP(M224,'Products (2)'!A:G,2,0)</f>
        <v>Liberica</v>
      </c>
      <c r="O224" s="4" t="str">
        <f>VLOOKUP(M224,'Products (2)'!A:G,3,0)</f>
        <v>Dark</v>
      </c>
      <c r="P224" s="4">
        <f>VLOOKUP(M224,'Products (2)'!A:G,7,0)</f>
        <v>1.0101</v>
      </c>
      <c r="Q224" s="3">
        <v>3</v>
      </c>
      <c r="R224" s="5">
        <f>INDEX([1]products!$A$1:$G$49,MATCH([1]orders!$D224,[1]products!$A$1:$A$49,0),MATCH([1]orders!K$1,[1]products!$A$1:$G$1,0))</f>
        <v>0.5</v>
      </c>
      <c r="S224" s="6">
        <f>INDEX([1]products!$A$1:$G$49,MATCH([1]orders!$D224,[1]products!$A$1:$A$49,0),MATCH([1]orders!L$1,[1]products!$A$1:$G$1,0))</f>
        <v>7.77</v>
      </c>
      <c r="T224" s="6">
        <f t="shared" si="18"/>
        <v>23.31</v>
      </c>
      <c r="U224" s="22">
        <f t="shared" si="22"/>
        <v>3.0303</v>
      </c>
      <c r="V224" s="22">
        <f t="shared" si="23"/>
        <v>13</v>
      </c>
    </row>
    <row r="225" spans="1:22" x14ac:dyDescent="0.3">
      <c r="A225" s="1" t="s">
        <v>461</v>
      </c>
      <c r="B225" s="2">
        <v>44109</v>
      </c>
      <c r="C225" s="2" t="str">
        <f t="shared" si="19"/>
        <v>Monday</v>
      </c>
      <c r="D225" s="2" t="str">
        <f t="shared" si="20"/>
        <v>October</v>
      </c>
      <c r="E225" s="2" t="str">
        <f t="shared" si="21"/>
        <v>2020</v>
      </c>
      <c r="F225" s="3" t="s">
        <v>462</v>
      </c>
      <c r="G225" s="3" t="str">
        <f>VLOOKUP(F226,'Customers (2)'!A:I,2,0)</f>
        <v>Ketty Bromehead</v>
      </c>
      <c r="H225" s="3">
        <f>VLOOKUP(F225,'Customers (2)'!A:I,3,0)</f>
        <v>0</v>
      </c>
      <c r="I225" s="3" t="str">
        <f>VLOOKUP(F225,'Customers (2)'!A:I,4,0)</f>
        <v>+1 (202) 650-1803</v>
      </c>
      <c r="J225" s="3" t="str">
        <f>VLOOKUP(F225,'Customers (2)'!A:I,6,0)</f>
        <v>Washington</v>
      </c>
      <c r="K225" s="3" t="str">
        <f>VLOOKUP(F225,'Customers (2)'!A:I,7,0)</f>
        <v>United States</v>
      </c>
      <c r="L225" s="3" t="str">
        <f>VLOOKUP(F225,'Customers (2)'!A:I,9,0)</f>
        <v>Yes</v>
      </c>
      <c r="M225" s="4" t="s">
        <v>137</v>
      </c>
      <c r="N225" s="4" t="str">
        <f>VLOOKUP(M225,'Products (2)'!A:G,2,0)</f>
        <v>Excelsa</v>
      </c>
      <c r="O225" s="4" t="str">
        <f>VLOOKUP(M225,'Products (2)'!A:G,3,0)</f>
        <v>Light</v>
      </c>
      <c r="P225" s="4">
        <f>VLOOKUP(M225,'Products (2)'!A:G,7,0)</f>
        <v>1.6335</v>
      </c>
      <c r="Q225" s="3">
        <v>4</v>
      </c>
      <c r="R225" s="5">
        <f>INDEX([1]products!$A$1:$G$49,MATCH([1]orders!$D225,[1]products!$A$1:$A$49,0),MATCH([1]orders!K$1,[1]products!$A$1:$G$1,0))</f>
        <v>1</v>
      </c>
      <c r="S225" s="6">
        <f>INDEX([1]products!$A$1:$G$49,MATCH([1]orders!$D225,[1]products!$A$1:$A$49,0),MATCH([1]orders!L$1,[1]products!$A$1:$G$1,0))</f>
        <v>14.85</v>
      </c>
      <c r="T225" s="6">
        <f t="shared" si="18"/>
        <v>59.4</v>
      </c>
      <c r="U225" s="22">
        <f t="shared" si="22"/>
        <v>6.5339999999999998</v>
      </c>
      <c r="V225" s="22">
        <f t="shared" si="23"/>
        <v>11</v>
      </c>
    </row>
    <row r="226" spans="1:22" x14ac:dyDescent="0.3">
      <c r="A226" s="1" t="s">
        <v>463</v>
      </c>
      <c r="B226" s="2">
        <v>43836</v>
      </c>
      <c r="C226" s="2" t="str">
        <f t="shared" si="19"/>
        <v>Monday</v>
      </c>
      <c r="D226" s="2" t="str">
        <f t="shared" si="20"/>
        <v>January</v>
      </c>
      <c r="E226" s="2" t="str">
        <f t="shared" si="21"/>
        <v>2020</v>
      </c>
      <c r="F226" s="3" t="s">
        <v>464</v>
      </c>
      <c r="G226" s="3" t="str">
        <f>VLOOKUP(F227,'Customers (2)'!A:I,2,0)</f>
        <v>Elsbeth Westerman</v>
      </c>
      <c r="H226" s="3" t="str">
        <f>VLOOKUP(F226,'Customers (2)'!A:I,3,0)</f>
        <v>kbromehead68@un.org</v>
      </c>
      <c r="I226" s="3" t="str">
        <f>VLOOKUP(F226,'Customers (2)'!A:I,4,0)</f>
        <v>+1 (646) 586-9964</v>
      </c>
      <c r="J226" s="3" t="str">
        <f>VLOOKUP(F226,'Customers (2)'!A:I,6,0)</f>
        <v>New York City</v>
      </c>
      <c r="K226" s="3" t="str">
        <f>VLOOKUP(F226,'Customers (2)'!A:I,7,0)</f>
        <v>United States</v>
      </c>
      <c r="L226" s="3" t="str">
        <f>VLOOKUP(F226,'Customers (2)'!A:I,9,0)</f>
        <v>Yes</v>
      </c>
      <c r="M226" s="4" t="s">
        <v>109</v>
      </c>
      <c r="N226" s="4" t="str">
        <f>VLOOKUP(M226,'Products (2)'!A:G,2,0)</f>
        <v>Liberica</v>
      </c>
      <c r="O226" s="4" t="str">
        <f>VLOOKUP(M226,'Products (2)'!A:G,3,0)</f>
        <v>Dark</v>
      </c>
      <c r="P226" s="4">
        <f>VLOOKUP(M226,'Products (2)'!A:G,7,0)</f>
        <v>3.8720499999999998</v>
      </c>
      <c r="Q226" s="3">
        <v>4</v>
      </c>
      <c r="R226" s="5">
        <f>INDEX([1]products!$A$1:$G$49,MATCH([1]orders!$D226,[1]products!$A$1:$A$49,0),MATCH([1]orders!K$1,[1]products!$A$1:$G$1,0))</f>
        <v>2.5</v>
      </c>
      <c r="S226" s="6">
        <f>INDEX([1]products!$A$1:$G$49,MATCH([1]orders!$D226,[1]products!$A$1:$A$49,0),MATCH([1]orders!L$1,[1]products!$A$1:$G$1,0))</f>
        <v>29.784999999999997</v>
      </c>
      <c r="T226" s="6">
        <f t="shared" si="18"/>
        <v>119.13999999999999</v>
      </c>
      <c r="U226" s="22">
        <f t="shared" si="22"/>
        <v>15.488199999999999</v>
      </c>
      <c r="V226" s="22">
        <f t="shared" si="23"/>
        <v>13</v>
      </c>
    </row>
    <row r="227" spans="1:22" x14ac:dyDescent="0.3">
      <c r="A227" s="1" t="s">
        <v>465</v>
      </c>
      <c r="B227" s="2">
        <v>44337</v>
      </c>
      <c r="C227" s="2" t="str">
        <f t="shared" si="19"/>
        <v>Friday</v>
      </c>
      <c r="D227" s="2" t="str">
        <f t="shared" si="20"/>
        <v>May</v>
      </c>
      <c r="E227" s="2" t="str">
        <f t="shared" si="21"/>
        <v>2021</v>
      </c>
      <c r="F227" s="3" t="s">
        <v>466</v>
      </c>
      <c r="G227" s="3" t="str">
        <f>VLOOKUP(F228,'Customers (2)'!A:I,2,0)</f>
        <v>Anabelle Hutchens</v>
      </c>
      <c r="H227" s="3" t="str">
        <f>VLOOKUP(F227,'Customers (2)'!A:I,3,0)</f>
        <v>ewesterman69@si.edu</v>
      </c>
      <c r="I227" s="3" t="str">
        <f>VLOOKUP(F227,'Customers (2)'!A:I,4,0)</f>
        <v>+353 (343) 455-4020</v>
      </c>
      <c r="J227" s="3" t="str">
        <f>VLOOKUP(F227,'Customers (2)'!A:I,6,0)</f>
        <v>Newmarket on Fergus</v>
      </c>
      <c r="K227" s="3" t="str">
        <f>VLOOKUP(F227,'Customers (2)'!A:I,7,0)</f>
        <v>Ireland</v>
      </c>
      <c r="L227" s="3" t="str">
        <f>VLOOKUP(F227,'Customers (2)'!A:I,9,0)</f>
        <v>No</v>
      </c>
      <c r="M227" s="4" t="s">
        <v>182</v>
      </c>
      <c r="N227" s="4" t="str">
        <f>VLOOKUP(M227,'Products (2)'!A:G,2,0)</f>
        <v>Robusta</v>
      </c>
      <c r="O227" s="4" t="str">
        <f>VLOOKUP(M227,'Products (2)'!A:G,3,0)</f>
        <v>Light</v>
      </c>
      <c r="P227" s="4">
        <f>VLOOKUP(M227,'Products (2)'!A:G,7,0)</f>
        <v>0.21509999999999996</v>
      </c>
      <c r="Q227" s="3">
        <v>4</v>
      </c>
      <c r="R227" s="5">
        <f>INDEX([1]products!$A$1:$G$49,MATCH([1]orders!$D227,[1]products!$A$1:$A$49,0),MATCH([1]orders!K$1,[1]products!$A$1:$G$1,0))</f>
        <v>0.2</v>
      </c>
      <c r="S227" s="6">
        <f>INDEX([1]products!$A$1:$G$49,MATCH([1]orders!$D227,[1]products!$A$1:$A$49,0),MATCH([1]orders!L$1,[1]products!$A$1:$G$1,0))</f>
        <v>3.5849999999999995</v>
      </c>
      <c r="T227" s="6">
        <f t="shared" si="18"/>
        <v>14.339999999999998</v>
      </c>
      <c r="U227" s="22">
        <f t="shared" si="22"/>
        <v>0.86039999999999983</v>
      </c>
      <c r="V227" s="22">
        <f t="shared" si="23"/>
        <v>6</v>
      </c>
    </row>
    <row r="228" spans="1:22" x14ac:dyDescent="0.3">
      <c r="A228" s="1" t="s">
        <v>467</v>
      </c>
      <c r="B228" s="2">
        <v>43887</v>
      </c>
      <c r="C228" s="2" t="str">
        <f t="shared" si="19"/>
        <v>Wednesday</v>
      </c>
      <c r="D228" s="2" t="str">
        <f t="shared" si="20"/>
        <v>February</v>
      </c>
      <c r="E228" s="2" t="str">
        <f t="shared" si="21"/>
        <v>2020</v>
      </c>
      <c r="F228" s="3" t="s">
        <v>468</v>
      </c>
      <c r="G228" s="3" t="str">
        <f>VLOOKUP(F229,'Customers (2)'!A:I,2,0)</f>
        <v>Noak Wyvill</v>
      </c>
      <c r="H228" s="3" t="str">
        <f>VLOOKUP(F228,'Customers (2)'!A:I,3,0)</f>
        <v>ahutchens6a@amazonaws.com</v>
      </c>
      <c r="I228" s="3" t="str">
        <f>VLOOKUP(F228,'Customers (2)'!A:I,4,0)</f>
        <v>+1 (913) 108-5997</v>
      </c>
      <c r="J228" s="3" t="str">
        <f>VLOOKUP(F228,'Customers (2)'!A:I,6,0)</f>
        <v>Shawnee Mission</v>
      </c>
      <c r="K228" s="3" t="str">
        <f>VLOOKUP(F228,'Customers (2)'!A:I,7,0)</f>
        <v>United States</v>
      </c>
      <c r="L228" s="3" t="str">
        <f>VLOOKUP(F228,'Customers (2)'!A:I,9,0)</f>
        <v>No</v>
      </c>
      <c r="M228" s="4" t="s">
        <v>171</v>
      </c>
      <c r="N228" s="4" t="str">
        <f>VLOOKUP(M228,'Products (2)'!A:G,2,0)</f>
        <v>Arabica</v>
      </c>
      <c r="O228" s="4" t="str">
        <f>VLOOKUP(M228,'Products (2)'!A:G,3,0)</f>
        <v>Medium</v>
      </c>
      <c r="P228" s="4">
        <f>VLOOKUP(M228,'Products (2)'!A:G,7,0)</f>
        <v>2.3287499999999994</v>
      </c>
      <c r="Q228" s="3">
        <v>5</v>
      </c>
      <c r="R228" s="5">
        <f>INDEX([1]products!$A$1:$G$49,MATCH([1]orders!$D228,[1]products!$A$1:$A$49,0),MATCH([1]orders!K$1,[1]products!$A$1:$G$1,0))</f>
        <v>2.5</v>
      </c>
      <c r="S228" s="6">
        <f>INDEX([1]products!$A$1:$G$49,MATCH([1]orders!$D228,[1]products!$A$1:$A$49,0),MATCH([1]orders!L$1,[1]products!$A$1:$G$1,0))</f>
        <v>25.874999999999996</v>
      </c>
      <c r="T228" s="6">
        <f t="shared" si="18"/>
        <v>129.37499999999997</v>
      </c>
      <c r="U228" s="22">
        <f t="shared" si="22"/>
        <v>11.643749999999997</v>
      </c>
      <c r="V228" s="22">
        <f t="shared" si="23"/>
        <v>9</v>
      </c>
    </row>
    <row r="229" spans="1:22" x14ac:dyDescent="0.3">
      <c r="A229" s="1" t="s">
        <v>469</v>
      </c>
      <c r="B229" s="2">
        <v>43880</v>
      </c>
      <c r="C229" s="2" t="str">
        <f t="shared" si="19"/>
        <v>Wednesday</v>
      </c>
      <c r="D229" s="2" t="str">
        <f t="shared" si="20"/>
        <v>February</v>
      </c>
      <c r="E229" s="2" t="str">
        <f t="shared" si="21"/>
        <v>2020</v>
      </c>
      <c r="F229" s="3" t="s">
        <v>470</v>
      </c>
      <c r="G229" s="3" t="str">
        <f>VLOOKUP(F230,'Customers (2)'!A:I,2,0)</f>
        <v>Beltran Mathon</v>
      </c>
      <c r="H229" s="3" t="str">
        <f>VLOOKUP(F229,'Customers (2)'!A:I,3,0)</f>
        <v>nwyvill6b@naver.com</v>
      </c>
      <c r="I229" s="3" t="str">
        <f>VLOOKUP(F229,'Customers (2)'!A:I,4,0)</f>
        <v>+44 (872) 383-2829</v>
      </c>
      <c r="J229" s="3" t="str">
        <f>VLOOKUP(F229,'Customers (2)'!A:I,6,0)</f>
        <v>Edinburgh</v>
      </c>
      <c r="K229" s="3" t="str">
        <f>VLOOKUP(F229,'Customers (2)'!A:I,7,0)</f>
        <v>United Kingdom</v>
      </c>
      <c r="L229" s="3" t="str">
        <f>VLOOKUP(F229,'Customers (2)'!A:I,9,0)</f>
        <v>Yes</v>
      </c>
      <c r="M229" s="4" t="s">
        <v>101</v>
      </c>
      <c r="N229" s="4" t="str">
        <f>VLOOKUP(M229,'Products (2)'!A:G,2,0)</f>
        <v>Robusta</v>
      </c>
      <c r="O229" s="4" t="str">
        <f>VLOOKUP(M229,'Products (2)'!A:G,3,0)</f>
        <v>Dark</v>
      </c>
      <c r="P229" s="4">
        <f>VLOOKUP(M229,'Products (2)'!A:G,7,0)</f>
        <v>0.16109999999999997</v>
      </c>
      <c r="Q229" s="3">
        <v>6</v>
      </c>
      <c r="R229" s="5">
        <f>INDEX([1]products!$A$1:$G$49,MATCH([1]orders!$D229,[1]products!$A$1:$A$49,0),MATCH([1]orders!K$1,[1]products!$A$1:$G$1,0))</f>
        <v>0.2</v>
      </c>
      <c r="S229" s="6">
        <f>INDEX([1]products!$A$1:$G$49,MATCH([1]orders!$D229,[1]products!$A$1:$A$49,0),MATCH([1]orders!L$1,[1]products!$A$1:$G$1,0))</f>
        <v>2.6849999999999996</v>
      </c>
      <c r="T229" s="6">
        <f t="shared" si="18"/>
        <v>16.11</v>
      </c>
      <c r="U229" s="22">
        <f t="shared" si="22"/>
        <v>0.96659999999999979</v>
      </c>
      <c r="V229" s="22">
        <f t="shared" si="23"/>
        <v>5.9999999999999991</v>
      </c>
    </row>
    <row r="230" spans="1:22" x14ac:dyDescent="0.3">
      <c r="A230" s="1" t="s">
        <v>471</v>
      </c>
      <c r="B230" s="2">
        <v>44376</v>
      </c>
      <c r="C230" s="2" t="str">
        <f t="shared" si="19"/>
        <v>Tuesday</v>
      </c>
      <c r="D230" s="2" t="str">
        <f t="shared" si="20"/>
        <v>June</v>
      </c>
      <c r="E230" s="2" t="str">
        <f t="shared" si="21"/>
        <v>2021</v>
      </c>
      <c r="F230" s="3" t="s">
        <v>472</v>
      </c>
      <c r="G230" s="3" t="str">
        <f>VLOOKUP(F231,'Customers (2)'!A:I,2,0)</f>
        <v>Kristos Streight</v>
      </c>
      <c r="H230" s="3" t="str">
        <f>VLOOKUP(F230,'Customers (2)'!A:I,3,0)</f>
        <v>bmathon6c@barnesandnoble.com</v>
      </c>
      <c r="I230" s="3" t="str">
        <f>VLOOKUP(F230,'Customers (2)'!A:I,4,0)</f>
        <v>+1 (916) 915-5069</v>
      </c>
      <c r="J230" s="3" t="str">
        <f>VLOOKUP(F230,'Customers (2)'!A:I,6,0)</f>
        <v>Sacramento</v>
      </c>
      <c r="K230" s="3" t="str">
        <f>VLOOKUP(F230,'Customers (2)'!A:I,7,0)</f>
        <v>United States</v>
      </c>
      <c r="L230" s="3" t="str">
        <f>VLOOKUP(F230,'Customers (2)'!A:I,9,0)</f>
        <v>No</v>
      </c>
      <c r="M230" s="4" t="s">
        <v>182</v>
      </c>
      <c r="N230" s="4" t="str">
        <f>VLOOKUP(M230,'Products (2)'!A:G,2,0)</f>
        <v>Robusta</v>
      </c>
      <c r="O230" s="4" t="str">
        <f>VLOOKUP(M230,'Products (2)'!A:G,3,0)</f>
        <v>Light</v>
      </c>
      <c r="P230" s="4">
        <f>VLOOKUP(M230,'Products (2)'!A:G,7,0)</f>
        <v>0.21509999999999996</v>
      </c>
      <c r="Q230" s="3">
        <v>5</v>
      </c>
      <c r="R230" s="5">
        <f>INDEX([1]products!$A$1:$G$49,MATCH([1]orders!$D230,[1]products!$A$1:$A$49,0),MATCH([1]orders!K$1,[1]products!$A$1:$G$1,0))</f>
        <v>0.2</v>
      </c>
      <c r="S230" s="6">
        <f>INDEX([1]products!$A$1:$G$49,MATCH([1]orders!$D230,[1]products!$A$1:$A$49,0),MATCH([1]orders!L$1,[1]products!$A$1:$G$1,0))</f>
        <v>3.5849999999999995</v>
      </c>
      <c r="T230" s="6">
        <f t="shared" si="18"/>
        <v>17.924999999999997</v>
      </c>
      <c r="U230" s="22">
        <f t="shared" si="22"/>
        <v>1.0754999999999999</v>
      </c>
      <c r="V230" s="22">
        <f t="shared" si="23"/>
        <v>6.0000000000000009</v>
      </c>
    </row>
    <row r="231" spans="1:22" x14ac:dyDescent="0.3">
      <c r="A231" s="1" t="s">
        <v>473</v>
      </c>
      <c r="B231" s="2">
        <v>44282</v>
      </c>
      <c r="C231" s="2" t="str">
        <f t="shared" si="19"/>
        <v>Saturday</v>
      </c>
      <c r="D231" s="2" t="str">
        <f t="shared" si="20"/>
        <v>March</v>
      </c>
      <c r="E231" s="2" t="str">
        <f t="shared" si="21"/>
        <v>2021</v>
      </c>
      <c r="F231" s="3" t="s">
        <v>474</v>
      </c>
      <c r="G231" s="3" t="str">
        <f>VLOOKUP(F232,'Customers (2)'!A:I,2,0)</f>
        <v>Portie Cutchie</v>
      </c>
      <c r="H231" s="3" t="str">
        <f>VLOOKUP(F231,'Customers (2)'!A:I,3,0)</f>
        <v>kstreight6d@about.com</v>
      </c>
      <c r="I231" s="3" t="str">
        <f>VLOOKUP(F231,'Customers (2)'!A:I,4,0)</f>
        <v>+1 (570) 873-3891</v>
      </c>
      <c r="J231" s="3" t="str">
        <f>VLOOKUP(F231,'Customers (2)'!A:I,6,0)</f>
        <v>Wilkes Barre</v>
      </c>
      <c r="K231" s="3" t="str">
        <f>VLOOKUP(F231,'Customers (2)'!A:I,7,0)</f>
        <v>United States</v>
      </c>
      <c r="L231" s="3" t="str">
        <f>VLOOKUP(F231,'Customers (2)'!A:I,9,0)</f>
        <v>No</v>
      </c>
      <c r="M231" s="4" t="s">
        <v>77</v>
      </c>
      <c r="N231" s="4" t="str">
        <f>VLOOKUP(M231,'Products (2)'!A:G,2,0)</f>
        <v>Liberica</v>
      </c>
      <c r="O231" s="4" t="str">
        <f>VLOOKUP(M231,'Products (2)'!A:G,3,0)</f>
        <v>Medium</v>
      </c>
      <c r="P231" s="4">
        <f>VLOOKUP(M231,'Products (2)'!A:G,7,0)</f>
        <v>0.56745000000000001</v>
      </c>
      <c r="Q231" s="3">
        <v>2</v>
      </c>
      <c r="R231" s="5">
        <f>INDEX([1]products!$A$1:$G$49,MATCH([1]orders!$D231,[1]products!$A$1:$A$49,0),MATCH([1]orders!K$1,[1]products!$A$1:$G$1,0))</f>
        <v>0.2</v>
      </c>
      <c r="S231" s="6">
        <f>INDEX([1]products!$A$1:$G$49,MATCH([1]orders!$D231,[1]products!$A$1:$A$49,0),MATCH([1]orders!L$1,[1]products!$A$1:$G$1,0))</f>
        <v>4.3650000000000002</v>
      </c>
      <c r="T231" s="6">
        <f t="shared" si="18"/>
        <v>8.73</v>
      </c>
      <c r="U231" s="22">
        <f t="shared" si="22"/>
        <v>1.1349</v>
      </c>
      <c r="V231" s="22">
        <f t="shared" si="23"/>
        <v>13</v>
      </c>
    </row>
    <row r="232" spans="1:22" x14ac:dyDescent="0.3">
      <c r="A232" s="1" t="s">
        <v>475</v>
      </c>
      <c r="B232" s="2">
        <v>44496</v>
      </c>
      <c r="C232" s="2" t="str">
        <f t="shared" si="19"/>
        <v>Wednesday</v>
      </c>
      <c r="D232" s="2" t="str">
        <f t="shared" si="20"/>
        <v>October</v>
      </c>
      <c r="E232" s="2" t="str">
        <f t="shared" si="21"/>
        <v>2021</v>
      </c>
      <c r="F232" s="3" t="s">
        <v>476</v>
      </c>
      <c r="G232" s="3" t="str">
        <f>VLOOKUP(F233,'Customers (2)'!A:I,2,0)</f>
        <v>Sinclare Edsell</v>
      </c>
      <c r="H232" s="3" t="str">
        <f>VLOOKUP(F232,'Customers (2)'!A:I,3,0)</f>
        <v>pcutchie6e@globo.com</v>
      </c>
      <c r="I232" s="3" t="str">
        <f>VLOOKUP(F232,'Customers (2)'!A:I,4,0)</f>
        <v>+1 (336) 679-7755</v>
      </c>
      <c r="J232" s="3" t="str">
        <f>VLOOKUP(F232,'Customers (2)'!A:I,6,0)</f>
        <v>Greensboro</v>
      </c>
      <c r="K232" s="3" t="str">
        <f>VLOOKUP(F232,'Customers (2)'!A:I,7,0)</f>
        <v>United States</v>
      </c>
      <c r="L232" s="3" t="str">
        <f>VLOOKUP(F232,'Customers (2)'!A:I,9,0)</f>
        <v>No</v>
      </c>
      <c r="M232" s="4" t="s">
        <v>171</v>
      </c>
      <c r="N232" s="4" t="str">
        <f>VLOOKUP(M232,'Products (2)'!A:G,2,0)</f>
        <v>Arabica</v>
      </c>
      <c r="O232" s="4" t="str">
        <f>VLOOKUP(M232,'Products (2)'!A:G,3,0)</f>
        <v>Medium</v>
      </c>
      <c r="P232" s="4">
        <f>VLOOKUP(M232,'Products (2)'!A:G,7,0)</f>
        <v>2.3287499999999994</v>
      </c>
      <c r="Q232" s="3">
        <v>2</v>
      </c>
      <c r="R232" s="5">
        <f>INDEX([1]products!$A$1:$G$49,MATCH([1]orders!$D232,[1]products!$A$1:$A$49,0),MATCH([1]orders!K$1,[1]products!$A$1:$G$1,0))</f>
        <v>2.5</v>
      </c>
      <c r="S232" s="6">
        <f>INDEX([1]products!$A$1:$G$49,MATCH([1]orders!$D232,[1]products!$A$1:$A$49,0),MATCH([1]orders!L$1,[1]products!$A$1:$G$1,0))</f>
        <v>25.874999999999996</v>
      </c>
      <c r="T232" s="6">
        <f t="shared" si="18"/>
        <v>51.749999999999993</v>
      </c>
      <c r="U232" s="22">
        <f t="shared" si="22"/>
        <v>4.6574999999999989</v>
      </c>
      <c r="V232" s="22">
        <f t="shared" si="23"/>
        <v>9</v>
      </c>
    </row>
    <row r="233" spans="1:22" x14ac:dyDescent="0.3">
      <c r="A233" s="1" t="s">
        <v>477</v>
      </c>
      <c r="B233" s="2">
        <v>43628</v>
      </c>
      <c r="C233" s="2" t="str">
        <f t="shared" si="19"/>
        <v>Wednesday</v>
      </c>
      <c r="D233" s="2" t="str">
        <f t="shared" si="20"/>
        <v>June</v>
      </c>
      <c r="E233" s="2" t="str">
        <f t="shared" si="21"/>
        <v>2019</v>
      </c>
      <c r="F233" s="3" t="s">
        <v>478</v>
      </c>
      <c r="G233" s="3" t="str">
        <f>VLOOKUP(F234,'Customers (2)'!A:I,2,0)</f>
        <v>Conny Gheraldi</v>
      </c>
      <c r="H233" s="3">
        <f>VLOOKUP(F233,'Customers (2)'!A:I,3,0)</f>
        <v>0</v>
      </c>
      <c r="I233" s="3" t="str">
        <f>VLOOKUP(F233,'Customers (2)'!A:I,4,0)</f>
        <v>+1 (302) 746-8950</v>
      </c>
      <c r="J233" s="3" t="str">
        <f>VLOOKUP(F233,'Customers (2)'!A:I,6,0)</f>
        <v>Newark</v>
      </c>
      <c r="K233" s="3" t="str">
        <f>VLOOKUP(F233,'Customers (2)'!A:I,7,0)</f>
        <v>United States</v>
      </c>
      <c r="L233" s="3" t="str">
        <f>VLOOKUP(F233,'Customers (2)'!A:I,9,0)</f>
        <v>Yes</v>
      </c>
      <c r="M233" s="4" t="s">
        <v>77</v>
      </c>
      <c r="N233" s="4" t="str">
        <f>VLOOKUP(M233,'Products (2)'!A:G,2,0)</f>
        <v>Liberica</v>
      </c>
      <c r="O233" s="4" t="str">
        <f>VLOOKUP(M233,'Products (2)'!A:G,3,0)</f>
        <v>Medium</v>
      </c>
      <c r="P233" s="4">
        <f>VLOOKUP(M233,'Products (2)'!A:G,7,0)</f>
        <v>0.56745000000000001</v>
      </c>
      <c r="Q233" s="3">
        <v>2</v>
      </c>
      <c r="R233" s="5">
        <f>INDEX([1]products!$A$1:$G$49,MATCH([1]orders!$D233,[1]products!$A$1:$A$49,0),MATCH([1]orders!K$1,[1]products!$A$1:$G$1,0))</f>
        <v>0.2</v>
      </c>
      <c r="S233" s="6">
        <f>INDEX([1]products!$A$1:$G$49,MATCH([1]orders!$D233,[1]products!$A$1:$A$49,0),MATCH([1]orders!L$1,[1]products!$A$1:$G$1,0))</f>
        <v>4.3650000000000002</v>
      </c>
      <c r="T233" s="6">
        <f t="shared" si="18"/>
        <v>8.73</v>
      </c>
      <c r="U233" s="22">
        <f t="shared" si="22"/>
        <v>1.1349</v>
      </c>
      <c r="V233" s="22">
        <f t="shared" si="23"/>
        <v>13</v>
      </c>
    </row>
    <row r="234" spans="1:22" x14ac:dyDescent="0.3">
      <c r="A234" s="1" t="s">
        <v>479</v>
      </c>
      <c r="B234" s="2">
        <v>44010</v>
      </c>
      <c r="C234" s="2" t="str">
        <f t="shared" si="19"/>
        <v>Sunday</v>
      </c>
      <c r="D234" s="2" t="str">
        <f t="shared" si="20"/>
        <v>June</v>
      </c>
      <c r="E234" s="2" t="str">
        <f t="shared" si="21"/>
        <v>2020</v>
      </c>
      <c r="F234" s="3" t="s">
        <v>480</v>
      </c>
      <c r="G234" s="3" t="str">
        <f>VLOOKUP(F235,'Customers (2)'!A:I,2,0)</f>
        <v>Beryle Kenwell</v>
      </c>
      <c r="H234" s="3" t="str">
        <f>VLOOKUP(F234,'Customers (2)'!A:I,3,0)</f>
        <v>cgheraldi6g@opera.com</v>
      </c>
      <c r="I234" s="3" t="str">
        <f>VLOOKUP(F234,'Customers (2)'!A:I,4,0)</f>
        <v>+44 (494) 875-2364</v>
      </c>
      <c r="J234" s="3" t="str">
        <f>VLOOKUP(F234,'Customers (2)'!A:I,6,0)</f>
        <v>Kinloch</v>
      </c>
      <c r="K234" s="3" t="str">
        <f>VLOOKUP(F234,'Customers (2)'!A:I,7,0)</f>
        <v>United Kingdom</v>
      </c>
      <c r="L234" s="3" t="str">
        <f>VLOOKUP(F234,'Customers (2)'!A:I,9,0)</f>
        <v>No</v>
      </c>
      <c r="M234" s="4" t="s">
        <v>19</v>
      </c>
      <c r="N234" s="4" t="str">
        <f>VLOOKUP(M234,'Products (2)'!A:G,2,0)</f>
        <v>Liberica</v>
      </c>
      <c r="O234" s="4" t="str">
        <f>VLOOKUP(M234,'Products (2)'!A:G,3,0)</f>
        <v>Light</v>
      </c>
      <c r="P234" s="4">
        <f>VLOOKUP(M234,'Products (2)'!A:G,7,0)</f>
        <v>0.61814999999999998</v>
      </c>
      <c r="Q234" s="3">
        <v>5</v>
      </c>
      <c r="R234" s="5">
        <f>INDEX([1]products!$A$1:$G$49,MATCH([1]orders!$D234,[1]products!$A$1:$A$49,0),MATCH([1]orders!K$1,[1]products!$A$1:$G$1,0))</f>
        <v>0.2</v>
      </c>
      <c r="S234" s="6">
        <f>INDEX([1]products!$A$1:$G$49,MATCH([1]orders!$D234,[1]products!$A$1:$A$49,0),MATCH([1]orders!L$1,[1]products!$A$1:$G$1,0))</f>
        <v>4.7549999999999999</v>
      </c>
      <c r="T234" s="6">
        <f t="shared" si="18"/>
        <v>23.774999999999999</v>
      </c>
      <c r="U234" s="22">
        <f t="shared" si="22"/>
        <v>3.0907499999999999</v>
      </c>
      <c r="V234" s="22">
        <f t="shared" si="23"/>
        <v>13</v>
      </c>
    </row>
    <row r="235" spans="1:22" x14ac:dyDescent="0.3">
      <c r="A235" s="1" t="s">
        <v>481</v>
      </c>
      <c r="B235" s="2">
        <v>44278</v>
      </c>
      <c r="C235" s="2" t="str">
        <f t="shared" si="19"/>
        <v>Tuesday</v>
      </c>
      <c r="D235" s="2" t="str">
        <f t="shared" si="20"/>
        <v>March</v>
      </c>
      <c r="E235" s="2" t="str">
        <f t="shared" si="21"/>
        <v>2021</v>
      </c>
      <c r="F235" s="3" t="s">
        <v>482</v>
      </c>
      <c r="G235" s="3" t="str">
        <f>VLOOKUP(F236,'Customers (2)'!A:I,2,0)</f>
        <v>Tomas Sutty</v>
      </c>
      <c r="H235" s="3" t="str">
        <f>VLOOKUP(F235,'Customers (2)'!A:I,3,0)</f>
        <v>bkenwell6h@over-blog.com</v>
      </c>
      <c r="I235" s="3" t="str">
        <f>VLOOKUP(F235,'Customers (2)'!A:I,4,0)</f>
        <v>+1 (808) 836-6023</v>
      </c>
      <c r="J235" s="3" t="str">
        <f>VLOOKUP(F235,'Customers (2)'!A:I,6,0)</f>
        <v>Honolulu</v>
      </c>
      <c r="K235" s="3" t="str">
        <f>VLOOKUP(F235,'Customers (2)'!A:I,7,0)</f>
        <v>United States</v>
      </c>
      <c r="L235" s="3" t="str">
        <f>VLOOKUP(F235,'Customers (2)'!A:I,9,0)</f>
        <v>No</v>
      </c>
      <c r="M235" s="4" t="s">
        <v>64</v>
      </c>
      <c r="N235" s="4" t="str">
        <f>VLOOKUP(M235,'Products (2)'!A:G,2,0)</f>
        <v>Excelsa</v>
      </c>
      <c r="O235" s="4" t="str">
        <f>VLOOKUP(M235,'Products (2)'!A:G,3,0)</f>
        <v>Medium</v>
      </c>
      <c r="P235" s="4">
        <f>VLOOKUP(M235,'Products (2)'!A:G,7,0)</f>
        <v>0.45374999999999999</v>
      </c>
      <c r="Q235" s="3">
        <v>5</v>
      </c>
      <c r="R235" s="5">
        <f>INDEX([1]products!$A$1:$G$49,MATCH([1]orders!$D235,[1]products!$A$1:$A$49,0),MATCH([1]orders!K$1,[1]products!$A$1:$G$1,0))</f>
        <v>0.2</v>
      </c>
      <c r="S235" s="6">
        <f>INDEX([1]products!$A$1:$G$49,MATCH([1]orders!$D235,[1]products!$A$1:$A$49,0),MATCH([1]orders!L$1,[1]products!$A$1:$G$1,0))</f>
        <v>4.125</v>
      </c>
      <c r="T235" s="6">
        <f t="shared" si="18"/>
        <v>20.625</v>
      </c>
      <c r="U235" s="22">
        <f t="shared" si="22"/>
        <v>2.2687499999999998</v>
      </c>
      <c r="V235" s="22">
        <f t="shared" si="23"/>
        <v>10.999999999999998</v>
      </c>
    </row>
    <row r="236" spans="1:22" x14ac:dyDescent="0.3">
      <c r="A236" s="1" t="s">
        <v>483</v>
      </c>
      <c r="B236" s="2">
        <v>44602</v>
      </c>
      <c r="C236" s="2" t="str">
        <f t="shared" si="19"/>
        <v>Thursday</v>
      </c>
      <c r="D236" s="2" t="str">
        <f t="shared" si="20"/>
        <v>February</v>
      </c>
      <c r="E236" s="2" t="str">
        <f t="shared" si="21"/>
        <v>2022</v>
      </c>
      <c r="F236" s="3" t="s">
        <v>484</v>
      </c>
      <c r="G236" s="3" t="str">
        <f>VLOOKUP(F237,'Customers (2)'!A:I,2,0)</f>
        <v>Samuele Ales0</v>
      </c>
      <c r="H236" s="3" t="str">
        <f>VLOOKUP(F236,'Customers (2)'!A:I,3,0)</f>
        <v>tsutty6i@google.es</v>
      </c>
      <c r="I236" s="3" t="str">
        <f>VLOOKUP(F236,'Customers (2)'!A:I,4,0)</f>
        <v>+1 (212) 586-1957</v>
      </c>
      <c r="J236" s="3" t="str">
        <f>VLOOKUP(F236,'Customers (2)'!A:I,6,0)</f>
        <v>New York City</v>
      </c>
      <c r="K236" s="3" t="str">
        <f>VLOOKUP(F236,'Customers (2)'!A:I,7,0)</f>
        <v>United States</v>
      </c>
      <c r="L236" s="3" t="str">
        <f>VLOOKUP(F236,'Customers (2)'!A:I,9,0)</f>
        <v>No</v>
      </c>
      <c r="M236" s="4" t="s">
        <v>104</v>
      </c>
      <c r="N236" s="4" t="str">
        <f>VLOOKUP(M236,'Products (2)'!A:G,2,0)</f>
        <v>Liberica</v>
      </c>
      <c r="O236" s="4" t="str">
        <f>VLOOKUP(M236,'Products (2)'!A:G,3,0)</f>
        <v>Light</v>
      </c>
      <c r="P236" s="4">
        <f>VLOOKUP(M236,'Products (2)'!A:G,7,0)</f>
        <v>4.7391499999999995</v>
      </c>
      <c r="Q236" s="3">
        <v>1</v>
      </c>
      <c r="R236" s="5">
        <f>INDEX([1]products!$A$1:$G$49,MATCH([1]orders!$D236,[1]products!$A$1:$A$49,0),MATCH([1]orders!K$1,[1]products!$A$1:$G$1,0))</f>
        <v>2.5</v>
      </c>
      <c r="S236" s="6">
        <f>INDEX([1]products!$A$1:$G$49,MATCH([1]orders!$D236,[1]products!$A$1:$A$49,0),MATCH([1]orders!L$1,[1]products!$A$1:$G$1,0))</f>
        <v>36.454999999999998</v>
      </c>
      <c r="T236" s="6">
        <f t="shared" si="18"/>
        <v>36.454999999999998</v>
      </c>
      <c r="U236" s="22">
        <f t="shared" si="22"/>
        <v>4.7391499999999995</v>
      </c>
      <c r="V236" s="22">
        <f t="shared" si="23"/>
        <v>13</v>
      </c>
    </row>
    <row r="237" spans="1:22" x14ac:dyDescent="0.3">
      <c r="A237" s="1" t="s">
        <v>485</v>
      </c>
      <c r="B237" s="2">
        <v>43571</v>
      </c>
      <c r="C237" s="2" t="str">
        <f t="shared" si="19"/>
        <v>Tuesday</v>
      </c>
      <c r="D237" s="2" t="str">
        <f t="shared" si="20"/>
        <v>April</v>
      </c>
      <c r="E237" s="2" t="str">
        <f t="shared" si="21"/>
        <v>2019</v>
      </c>
      <c r="F237" s="3" t="s">
        <v>486</v>
      </c>
      <c r="G237" s="3" t="str">
        <f>VLOOKUP(F238,'Customers (2)'!A:I,2,0)</f>
        <v>Carlie Harce</v>
      </c>
      <c r="H237" s="3">
        <f>VLOOKUP(F237,'Customers (2)'!A:I,3,0)</f>
        <v>0</v>
      </c>
      <c r="I237" s="3">
        <f>VLOOKUP(F237,'Customers (2)'!A:I,4,0)</f>
        <v>0</v>
      </c>
      <c r="J237" s="3" t="str">
        <f>VLOOKUP(F237,'Customers (2)'!A:I,6,0)</f>
        <v>Ballinroad</v>
      </c>
      <c r="K237" s="3" t="str">
        <f>VLOOKUP(F237,'Customers (2)'!A:I,7,0)</f>
        <v>Ireland</v>
      </c>
      <c r="L237" s="3" t="str">
        <f>VLOOKUP(F237,'Customers (2)'!A:I,9,0)</f>
        <v>No</v>
      </c>
      <c r="M237" s="4" t="s">
        <v>104</v>
      </c>
      <c r="N237" s="4" t="str">
        <f>VLOOKUP(M237,'Products (2)'!A:G,2,0)</f>
        <v>Liberica</v>
      </c>
      <c r="O237" s="4" t="str">
        <f>VLOOKUP(M237,'Products (2)'!A:G,3,0)</f>
        <v>Light</v>
      </c>
      <c r="P237" s="4">
        <f>VLOOKUP(M237,'Products (2)'!A:G,7,0)</f>
        <v>4.7391499999999995</v>
      </c>
      <c r="Q237" s="3">
        <v>5</v>
      </c>
      <c r="R237" s="5">
        <f>INDEX([1]products!$A$1:$G$49,MATCH([1]orders!$D237,[1]products!$A$1:$A$49,0),MATCH([1]orders!K$1,[1]products!$A$1:$G$1,0))</f>
        <v>2.5</v>
      </c>
      <c r="S237" s="6">
        <f>INDEX([1]products!$A$1:$G$49,MATCH([1]orders!$D237,[1]products!$A$1:$A$49,0),MATCH([1]orders!L$1,[1]products!$A$1:$G$1,0))</f>
        <v>36.454999999999998</v>
      </c>
      <c r="T237" s="6">
        <f t="shared" si="18"/>
        <v>182.27499999999998</v>
      </c>
      <c r="U237" s="22">
        <f t="shared" si="22"/>
        <v>23.695749999999997</v>
      </c>
      <c r="V237" s="22">
        <f t="shared" si="23"/>
        <v>13</v>
      </c>
    </row>
    <row r="238" spans="1:22" x14ac:dyDescent="0.3">
      <c r="A238" s="1" t="s">
        <v>487</v>
      </c>
      <c r="B238" s="2">
        <v>43873</v>
      </c>
      <c r="C238" s="2" t="str">
        <f t="shared" si="19"/>
        <v>Wednesday</v>
      </c>
      <c r="D238" s="2" t="str">
        <f t="shared" si="20"/>
        <v>February</v>
      </c>
      <c r="E238" s="2" t="str">
        <f t="shared" si="21"/>
        <v>2020</v>
      </c>
      <c r="F238" s="3" t="s">
        <v>488</v>
      </c>
      <c r="G238" s="3" t="str">
        <f>VLOOKUP(F239,'Customers (2)'!A:I,2,0)</f>
        <v>Craggy Bril</v>
      </c>
      <c r="H238" s="3" t="str">
        <f>VLOOKUP(F238,'Customers (2)'!A:I,3,0)</f>
        <v>charce6k@cafepress.com</v>
      </c>
      <c r="I238" s="3" t="str">
        <f>VLOOKUP(F238,'Customers (2)'!A:I,4,0)</f>
        <v>+353 (444) 423-0673</v>
      </c>
      <c r="J238" s="3" t="str">
        <f>VLOOKUP(F238,'Customers (2)'!A:I,6,0)</f>
        <v>D煤n Laoghaire</v>
      </c>
      <c r="K238" s="3" t="str">
        <f>VLOOKUP(F238,'Customers (2)'!A:I,7,0)</f>
        <v>Ireland</v>
      </c>
      <c r="L238" s="3" t="str">
        <f>VLOOKUP(F238,'Customers (2)'!A:I,9,0)</f>
        <v>No</v>
      </c>
      <c r="M238" s="4" t="s">
        <v>109</v>
      </c>
      <c r="N238" s="4" t="str">
        <f>VLOOKUP(M238,'Products (2)'!A:G,2,0)</f>
        <v>Liberica</v>
      </c>
      <c r="O238" s="4" t="str">
        <f>VLOOKUP(M238,'Products (2)'!A:G,3,0)</f>
        <v>Dark</v>
      </c>
      <c r="P238" s="4">
        <f>VLOOKUP(M238,'Products (2)'!A:G,7,0)</f>
        <v>3.8720499999999998</v>
      </c>
      <c r="Q238" s="3">
        <v>3</v>
      </c>
      <c r="R238" s="5">
        <f>INDEX([1]products!$A$1:$G$49,MATCH([1]orders!$D238,[1]products!$A$1:$A$49,0),MATCH([1]orders!K$1,[1]products!$A$1:$G$1,0))</f>
        <v>2.5</v>
      </c>
      <c r="S238" s="6">
        <f>INDEX([1]products!$A$1:$G$49,MATCH([1]orders!$D238,[1]products!$A$1:$A$49,0),MATCH([1]orders!L$1,[1]products!$A$1:$G$1,0))</f>
        <v>29.784999999999997</v>
      </c>
      <c r="T238" s="6">
        <f t="shared" si="18"/>
        <v>89.35499999999999</v>
      </c>
      <c r="U238" s="22">
        <f t="shared" si="22"/>
        <v>11.616149999999999</v>
      </c>
      <c r="V238" s="22">
        <f t="shared" si="23"/>
        <v>13</v>
      </c>
    </row>
    <row r="239" spans="1:22" x14ac:dyDescent="0.3">
      <c r="A239" s="1" t="s">
        <v>489</v>
      </c>
      <c r="B239" s="2">
        <v>44563</v>
      </c>
      <c r="C239" s="2" t="str">
        <f t="shared" si="19"/>
        <v>Sunday</v>
      </c>
      <c r="D239" s="2" t="str">
        <f t="shared" si="20"/>
        <v>January</v>
      </c>
      <c r="E239" s="2" t="str">
        <f t="shared" si="21"/>
        <v>2022</v>
      </c>
      <c r="F239" s="3" t="s">
        <v>490</v>
      </c>
      <c r="G239" s="3" t="str">
        <f>VLOOKUP(F240,'Customers (2)'!A:I,2,0)</f>
        <v>Friederike Drysdale</v>
      </c>
      <c r="H239" s="3">
        <f>VLOOKUP(F239,'Customers (2)'!A:I,3,0)</f>
        <v>0</v>
      </c>
      <c r="I239" s="3" t="str">
        <f>VLOOKUP(F239,'Customers (2)'!A:I,4,0)</f>
        <v>+1 (513) 461-0440</v>
      </c>
      <c r="J239" s="3" t="str">
        <f>VLOOKUP(F239,'Customers (2)'!A:I,6,0)</f>
        <v>Cincinnati</v>
      </c>
      <c r="K239" s="3" t="str">
        <f>VLOOKUP(F239,'Customers (2)'!A:I,7,0)</f>
        <v>United States</v>
      </c>
      <c r="L239" s="3" t="str">
        <f>VLOOKUP(F239,'Customers (2)'!A:I,9,0)</f>
        <v>Yes</v>
      </c>
      <c r="M239" s="4" t="s">
        <v>182</v>
      </c>
      <c r="N239" s="4" t="str">
        <f>VLOOKUP(M239,'Products (2)'!A:G,2,0)</f>
        <v>Robusta</v>
      </c>
      <c r="O239" s="4" t="str">
        <f>VLOOKUP(M239,'Products (2)'!A:G,3,0)</f>
        <v>Light</v>
      </c>
      <c r="P239" s="4">
        <f>VLOOKUP(M239,'Products (2)'!A:G,7,0)</f>
        <v>0.21509999999999996</v>
      </c>
      <c r="Q239" s="3">
        <v>1</v>
      </c>
      <c r="R239" s="5">
        <f>INDEX([1]products!$A$1:$G$49,MATCH([1]orders!$D239,[1]products!$A$1:$A$49,0),MATCH([1]orders!K$1,[1]products!$A$1:$G$1,0))</f>
        <v>0.2</v>
      </c>
      <c r="S239" s="6">
        <f>INDEX([1]products!$A$1:$G$49,MATCH([1]orders!$D239,[1]products!$A$1:$A$49,0),MATCH([1]orders!L$1,[1]products!$A$1:$G$1,0))</f>
        <v>3.5849999999999995</v>
      </c>
      <c r="T239" s="6">
        <f t="shared" si="18"/>
        <v>3.5849999999999995</v>
      </c>
      <c r="U239" s="22">
        <f t="shared" si="22"/>
        <v>0.21509999999999996</v>
      </c>
      <c r="V239" s="22">
        <f t="shared" si="23"/>
        <v>6</v>
      </c>
    </row>
    <row r="240" spans="1:22" x14ac:dyDescent="0.3">
      <c r="A240" s="1" t="s">
        <v>491</v>
      </c>
      <c r="B240" s="2">
        <v>44172</v>
      </c>
      <c r="C240" s="2" t="str">
        <f t="shared" si="19"/>
        <v>Monday</v>
      </c>
      <c r="D240" s="2" t="str">
        <f t="shared" si="20"/>
        <v>December</v>
      </c>
      <c r="E240" s="2" t="str">
        <f t="shared" si="21"/>
        <v>2020</v>
      </c>
      <c r="F240" s="3" t="s">
        <v>492</v>
      </c>
      <c r="G240" s="3" t="str">
        <f>VLOOKUP(F241,'Customers (2)'!A:I,2,0)</f>
        <v>Devon Magowan</v>
      </c>
      <c r="H240" s="3" t="str">
        <f>VLOOKUP(F240,'Customers (2)'!A:I,3,0)</f>
        <v>fdrysdale6m@symantec.com</v>
      </c>
      <c r="I240" s="3" t="str">
        <f>VLOOKUP(F240,'Customers (2)'!A:I,4,0)</f>
        <v>+1 (989) 215-5282</v>
      </c>
      <c r="J240" s="3" t="str">
        <f>VLOOKUP(F240,'Customers (2)'!A:I,6,0)</f>
        <v>Midland</v>
      </c>
      <c r="K240" s="3" t="str">
        <f>VLOOKUP(F240,'Customers (2)'!A:I,7,0)</f>
        <v>United States</v>
      </c>
      <c r="L240" s="3" t="str">
        <f>VLOOKUP(F240,'Customers (2)'!A:I,9,0)</f>
        <v>Yes</v>
      </c>
      <c r="M240" s="4" t="s">
        <v>41</v>
      </c>
      <c r="N240" s="4" t="str">
        <f>VLOOKUP(M240,'Products (2)'!A:G,2,0)</f>
        <v>Robusta</v>
      </c>
      <c r="O240" s="4" t="str">
        <f>VLOOKUP(M240,'Products (2)'!A:G,3,0)</f>
        <v>Medium</v>
      </c>
      <c r="P240" s="4">
        <f>VLOOKUP(M240,'Products (2)'!A:G,7,0)</f>
        <v>1.3730999999999998</v>
      </c>
      <c r="Q240" s="3">
        <v>2</v>
      </c>
      <c r="R240" s="5">
        <f>INDEX([1]products!$A$1:$G$49,MATCH([1]orders!$D240,[1]products!$A$1:$A$49,0),MATCH([1]orders!K$1,[1]products!$A$1:$G$1,0))</f>
        <v>2.5</v>
      </c>
      <c r="S240" s="6">
        <f>INDEX([1]products!$A$1:$G$49,MATCH([1]orders!$D240,[1]products!$A$1:$A$49,0),MATCH([1]orders!L$1,[1]products!$A$1:$G$1,0))</f>
        <v>22.884999999999998</v>
      </c>
      <c r="T240" s="6">
        <f t="shared" si="18"/>
        <v>45.769999999999996</v>
      </c>
      <c r="U240" s="22">
        <f t="shared" si="22"/>
        <v>2.7461999999999995</v>
      </c>
      <c r="V240" s="22">
        <f t="shared" si="23"/>
        <v>6</v>
      </c>
    </row>
    <row r="241" spans="1:22" x14ac:dyDescent="0.3">
      <c r="A241" s="1" t="s">
        <v>493</v>
      </c>
      <c r="B241" s="2">
        <v>43881</v>
      </c>
      <c r="C241" s="2" t="str">
        <f t="shared" si="19"/>
        <v>Thursday</v>
      </c>
      <c r="D241" s="2" t="str">
        <f t="shared" si="20"/>
        <v>February</v>
      </c>
      <c r="E241" s="2" t="str">
        <f t="shared" si="21"/>
        <v>2020</v>
      </c>
      <c r="F241" s="3" t="s">
        <v>494</v>
      </c>
      <c r="G241" s="3" t="str">
        <f>VLOOKUP(F242,'Customers (2)'!A:I,2,0)</f>
        <v>Codi Littrell</v>
      </c>
      <c r="H241" s="3" t="str">
        <f>VLOOKUP(F241,'Customers (2)'!A:I,3,0)</f>
        <v>dmagowan6n@fc2.com</v>
      </c>
      <c r="I241" s="3" t="str">
        <f>VLOOKUP(F241,'Customers (2)'!A:I,4,0)</f>
        <v>+1 (307) 159-5237</v>
      </c>
      <c r="J241" s="3" t="str">
        <f>VLOOKUP(F241,'Customers (2)'!A:I,6,0)</f>
        <v>Cheyenne</v>
      </c>
      <c r="K241" s="3" t="str">
        <f>VLOOKUP(F241,'Customers (2)'!A:I,7,0)</f>
        <v>United States</v>
      </c>
      <c r="L241" s="3" t="str">
        <f>VLOOKUP(F241,'Customers (2)'!A:I,9,0)</f>
        <v>No</v>
      </c>
      <c r="M241" s="4" t="s">
        <v>137</v>
      </c>
      <c r="N241" s="4" t="str">
        <f>VLOOKUP(M241,'Products (2)'!A:G,2,0)</f>
        <v>Excelsa</v>
      </c>
      <c r="O241" s="4" t="str">
        <f>VLOOKUP(M241,'Products (2)'!A:G,3,0)</f>
        <v>Light</v>
      </c>
      <c r="P241" s="4">
        <f>VLOOKUP(M241,'Products (2)'!A:G,7,0)</f>
        <v>1.6335</v>
      </c>
      <c r="Q241" s="3">
        <v>4</v>
      </c>
      <c r="R241" s="5">
        <f>INDEX([1]products!$A$1:$G$49,MATCH([1]orders!$D241,[1]products!$A$1:$A$49,0),MATCH([1]orders!K$1,[1]products!$A$1:$G$1,0))</f>
        <v>1</v>
      </c>
      <c r="S241" s="6">
        <f>INDEX([1]products!$A$1:$G$49,MATCH([1]orders!$D241,[1]products!$A$1:$A$49,0),MATCH([1]orders!L$1,[1]products!$A$1:$G$1,0))</f>
        <v>14.85</v>
      </c>
      <c r="T241" s="6">
        <f t="shared" si="18"/>
        <v>59.4</v>
      </c>
      <c r="U241" s="22">
        <f t="shared" si="22"/>
        <v>6.5339999999999998</v>
      </c>
      <c r="V241" s="22">
        <f t="shared" si="23"/>
        <v>11</v>
      </c>
    </row>
    <row r="242" spans="1:22" x14ac:dyDescent="0.3">
      <c r="A242" s="1" t="s">
        <v>495</v>
      </c>
      <c r="B242" s="2">
        <v>43993</v>
      </c>
      <c r="C242" s="2" t="str">
        <f t="shared" si="19"/>
        <v>Thursday</v>
      </c>
      <c r="D242" s="2" t="str">
        <f t="shared" si="20"/>
        <v>June</v>
      </c>
      <c r="E242" s="2" t="str">
        <f t="shared" si="21"/>
        <v>2020</v>
      </c>
      <c r="F242" s="3" t="s">
        <v>496</v>
      </c>
      <c r="G242" s="3" t="str">
        <f>VLOOKUP(F243,'Customers (2)'!A:I,2,0)</f>
        <v>Christel Speak</v>
      </c>
      <c r="H242" s="3">
        <f>VLOOKUP(F242,'Customers (2)'!A:I,3,0)</f>
        <v>0</v>
      </c>
      <c r="I242" s="3">
        <f>VLOOKUP(F242,'Customers (2)'!A:I,4,0)</f>
        <v>0</v>
      </c>
      <c r="J242" s="3" t="str">
        <f>VLOOKUP(F242,'Customers (2)'!A:I,6,0)</f>
        <v>Atlanta</v>
      </c>
      <c r="K242" s="3" t="str">
        <f>VLOOKUP(F242,'Customers (2)'!A:I,7,0)</f>
        <v>United States</v>
      </c>
      <c r="L242" s="3" t="str">
        <f>VLOOKUP(F242,'Customers (2)'!A:I,9,0)</f>
        <v>Yes</v>
      </c>
      <c r="M242" s="4" t="s">
        <v>171</v>
      </c>
      <c r="N242" s="4" t="str">
        <f>VLOOKUP(M242,'Products (2)'!A:G,2,0)</f>
        <v>Arabica</v>
      </c>
      <c r="O242" s="4" t="str">
        <f>VLOOKUP(M242,'Products (2)'!A:G,3,0)</f>
        <v>Medium</v>
      </c>
      <c r="P242" s="4">
        <f>VLOOKUP(M242,'Products (2)'!A:G,7,0)</f>
        <v>2.3287499999999994</v>
      </c>
      <c r="Q242" s="3">
        <v>6</v>
      </c>
      <c r="R242" s="5">
        <f>INDEX([1]products!$A$1:$G$49,MATCH([1]orders!$D242,[1]products!$A$1:$A$49,0),MATCH([1]orders!K$1,[1]products!$A$1:$G$1,0))</f>
        <v>2.5</v>
      </c>
      <c r="S242" s="6">
        <f>INDEX([1]products!$A$1:$G$49,MATCH([1]orders!$D242,[1]products!$A$1:$A$49,0),MATCH([1]orders!L$1,[1]products!$A$1:$G$1,0))</f>
        <v>25.874999999999996</v>
      </c>
      <c r="T242" s="6">
        <f t="shared" si="18"/>
        <v>155.24999999999997</v>
      </c>
      <c r="U242" s="22">
        <f t="shared" si="22"/>
        <v>13.972499999999997</v>
      </c>
      <c r="V242" s="22">
        <f t="shared" si="23"/>
        <v>9</v>
      </c>
    </row>
    <row r="243" spans="1:22" x14ac:dyDescent="0.3">
      <c r="A243" s="1" t="s">
        <v>497</v>
      </c>
      <c r="B243" s="2">
        <v>44082</v>
      </c>
      <c r="C243" s="2" t="str">
        <f t="shared" si="19"/>
        <v>Tuesday</v>
      </c>
      <c r="D243" s="2" t="str">
        <f t="shared" si="20"/>
        <v>September</v>
      </c>
      <c r="E243" s="2" t="str">
        <f t="shared" si="21"/>
        <v>2020</v>
      </c>
      <c r="F243" s="3" t="s">
        <v>498</v>
      </c>
      <c r="G243" s="3" t="str">
        <f>VLOOKUP(F244,'Customers (2)'!A:I,2,0)</f>
        <v>Sibella Rushbrooke</v>
      </c>
      <c r="H243" s="3">
        <f>VLOOKUP(F243,'Customers (2)'!A:I,3,0)</f>
        <v>0</v>
      </c>
      <c r="I243" s="3" t="str">
        <f>VLOOKUP(F243,'Customers (2)'!A:I,4,0)</f>
        <v>+1 (678) 222-0967</v>
      </c>
      <c r="J243" s="3" t="str">
        <f>VLOOKUP(F243,'Customers (2)'!A:I,6,0)</f>
        <v>Duluth</v>
      </c>
      <c r="K243" s="3" t="str">
        <f>VLOOKUP(F243,'Customers (2)'!A:I,7,0)</f>
        <v>United States</v>
      </c>
      <c r="L243" s="3" t="str">
        <f>VLOOKUP(F243,'Customers (2)'!A:I,9,0)</f>
        <v>No</v>
      </c>
      <c r="M243" s="4" t="s">
        <v>41</v>
      </c>
      <c r="N243" s="4" t="str">
        <f>VLOOKUP(M243,'Products (2)'!A:G,2,0)</f>
        <v>Robusta</v>
      </c>
      <c r="O243" s="4" t="str">
        <f>VLOOKUP(M243,'Products (2)'!A:G,3,0)</f>
        <v>Medium</v>
      </c>
      <c r="P243" s="4">
        <f>VLOOKUP(M243,'Products (2)'!A:G,7,0)</f>
        <v>1.3730999999999998</v>
      </c>
      <c r="Q243" s="3">
        <v>2</v>
      </c>
      <c r="R243" s="5">
        <f>INDEX([1]products!$A$1:$G$49,MATCH([1]orders!$D243,[1]products!$A$1:$A$49,0),MATCH([1]orders!K$1,[1]products!$A$1:$G$1,0))</f>
        <v>2.5</v>
      </c>
      <c r="S243" s="6">
        <f>INDEX([1]products!$A$1:$G$49,MATCH([1]orders!$D243,[1]products!$A$1:$A$49,0),MATCH([1]orders!L$1,[1]products!$A$1:$G$1,0))</f>
        <v>22.884999999999998</v>
      </c>
      <c r="T243" s="6">
        <f t="shared" si="18"/>
        <v>45.769999999999996</v>
      </c>
      <c r="U243" s="22">
        <f t="shared" si="22"/>
        <v>2.7461999999999995</v>
      </c>
      <c r="V243" s="22">
        <f t="shared" si="23"/>
        <v>6</v>
      </c>
    </row>
    <row r="244" spans="1:22" x14ac:dyDescent="0.3">
      <c r="A244" s="1" t="s">
        <v>499</v>
      </c>
      <c r="B244" s="2">
        <v>43918</v>
      </c>
      <c r="C244" s="2" t="str">
        <f t="shared" si="19"/>
        <v>Saturday</v>
      </c>
      <c r="D244" s="2" t="str">
        <f t="shared" si="20"/>
        <v>March</v>
      </c>
      <c r="E244" s="2" t="str">
        <f t="shared" si="21"/>
        <v>2020</v>
      </c>
      <c r="F244" s="3" t="s">
        <v>500</v>
      </c>
      <c r="G244" s="3" t="str">
        <f>VLOOKUP(F245,'Customers (2)'!A:I,2,0)</f>
        <v>Tammie Drynan</v>
      </c>
      <c r="H244" s="3" t="str">
        <f>VLOOKUP(F244,'Customers (2)'!A:I,3,0)</f>
        <v>srushbrooke6q@youku.com</v>
      </c>
      <c r="I244" s="3" t="str">
        <f>VLOOKUP(F244,'Customers (2)'!A:I,4,0)</f>
        <v>+1 (916) 214-5665</v>
      </c>
      <c r="J244" s="3" t="str">
        <f>VLOOKUP(F244,'Customers (2)'!A:I,6,0)</f>
        <v>Sacramento</v>
      </c>
      <c r="K244" s="3" t="str">
        <f>VLOOKUP(F244,'Customers (2)'!A:I,7,0)</f>
        <v>United States</v>
      </c>
      <c r="L244" s="3" t="str">
        <f>VLOOKUP(F244,'Customers (2)'!A:I,9,0)</f>
        <v>Yes</v>
      </c>
      <c r="M244" s="4" t="s">
        <v>245</v>
      </c>
      <c r="N244" s="4" t="str">
        <f>VLOOKUP(M244,'Products (2)'!A:G,2,0)</f>
        <v>Excelsa</v>
      </c>
      <c r="O244" s="4" t="str">
        <f>VLOOKUP(M244,'Products (2)'!A:G,3,0)</f>
        <v>Dark</v>
      </c>
      <c r="P244" s="4">
        <f>VLOOKUP(M244,'Products (2)'!A:G,7,0)</f>
        <v>1.3365</v>
      </c>
      <c r="Q244" s="3">
        <v>3</v>
      </c>
      <c r="R244" s="5">
        <f>INDEX([1]products!$A$1:$G$49,MATCH([1]orders!$D244,[1]products!$A$1:$A$49,0),MATCH([1]orders!K$1,[1]products!$A$1:$G$1,0))</f>
        <v>1</v>
      </c>
      <c r="S244" s="6">
        <f>INDEX([1]products!$A$1:$G$49,MATCH([1]orders!$D244,[1]products!$A$1:$A$49,0),MATCH([1]orders!L$1,[1]products!$A$1:$G$1,0))</f>
        <v>12.15</v>
      </c>
      <c r="T244" s="6">
        <f t="shared" si="18"/>
        <v>36.450000000000003</v>
      </c>
      <c r="U244" s="22">
        <f t="shared" si="22"/>
        <v>4.0095000000000001</v>
      </c>
      <c r="V244" s="22">
        <f t="shared" si="23"/>
        <v>10.999999999999998</v>
      </c>
    </row>
    <row r="245" spans="1:22" x14ac:dyDescent="0.3">
      <c r="A245" s="1" t="s">
        <v>501</v>
      </c>
      <c r="B245" s="2">
        <v>44114</v>
      </c>
      <c r="C245" s="2" t="str">
        <f t="shared" si="19"/>
        <v>Saturday</v>
      </c>
      <c r="D245" s="2" t="str">
        <f t="shared" si="20"/>
        <v>October</v>
      </c>
      <c r="E245" s="2" t="str">
        <f t="shared" si="21"/>
        <v>2020</v>
      </c>
      <c r="F245" s="3" t="s">
        <v>502</v>
      </c>
      <c r="G245" s="3" t="str">
        <f>VLOOKUP(F246,'Customers (2)'!A:I,2,0)</f>
        <v>Effie Yurkov</v>
      </c>
      <c r="H245" s="3" t="str">
        <f>VLOOKUP(F245,'Customers (2)'!A:I,3,0)</f>
        <v>tdrynan6r@deviantart.com</v>
      </c>
      <c r="I245" s="3" t="str">
        <f>VLOOKUP(F245,'Customers (2)'!A:I,4,0)</f>
        <v>+1 (813) 619-0579</v>
      </c>
      <c r="J245" s="3" t="str">
        <f>VLOOKUP(F245,'Customers (2)'!A:I,6,0)</f>
        <v>Tampa</v>
      </c>
      <c r="K245" s="3" t="str">
        <f>VLOOKUP(F245,'Customers (2)'!A:I,7,0)</f>
        <v>United States</v>
      </c>
      <c r="L245" s="3" t="str">
        <f>VLOOKUP(F245,'Customers (2)'!A:I,9,0)</f>
        <v>Yes</v>
      </c>
      <c r="M245" s="4" t="s">
        <v>16</v>
      </c>
      <c r="N245" s="4" t="str">
        <f>VLOOKUP(M245,'Products (2)'!A:G,2,0)</f>
        <v>Excelsa</v>
      </c>
      <c r="O245" s="4" t="str">
        <f>VLOOKUP(M245,'Products (2)'!A:G,3,0)</f>
        <v>Dark</v>
      </c>
      <c r="P245" s="4">
        <f>VLOOKUP(M245,'Products (2)'!A:G,7,0)</f>
        <v>0.80190000000000006</v>
      </c>
      <c r="Q245" s="3">
        <v>4</v>
      </c>
      <c r="R245" s="5">
        <f>INDEX([1]products!$A$1:$G$49,MATCH([1]orders!$D245,[1]products!$A$1:$A$49,0),MATCH([1]orders!K$1,[1]products!$A$1:$G$1,0))</f>
        <v>0.5</v>
      </c>
      <c r="S245" s="6">
        <f>INDEX([1]products!$A$1:$G$49,MATCH([1]orders!$D245,[1]products!$A$1:$A$49,0),MATCH([1]orders!L$1,[1]products!$A$1:$G$1,0))</f>
        <v>7.29</v>
      </c>
      <c r="T245" s="6">
        <f t="shared" si="18"/>
        <v>29.16</v>
      </c>
      <c r="U245" s="22">
        <f t="shared" si="22"/>
        <v>3.2076000000000002</v>
      </c>
      <c r="V245" s="22">
        <f t="shared" si="23"/>
        <v>11</v>
      </c>
    </row>
    <row r="246" spans="1:22" x14ac:dyDescent="0.3">
      <c r="A246" s="1" t="s">
        <v>503</v>
      </c>
      <c r="B246" s="2">
        <v>44702</v>
      </c>
      <c r="C246" s="2" t="str">
        <f t="shared" si="19"/>
        <v>Saturday</v>
      </c>
      <c r="D246" s="2" t="str">
        <f t="shared" si="20"/>
        <v>May</v>
      </c>
      <c r="E246" s="2" t="str">
        <f t="shared" si="21"/>
        <v>2022</v>
      </c>
      <c r="F246" s="3" t="s">
        <v>504</v>
      </c>
      <c r="G246" s="3" t="str">
        <f>VLOOKUP(F247,'Customers (2)'!A:I,2,0)</f>
        <v>Lexie Mallan</v>
      </c>
      <c r="H246" s="3" t="str">
        <f>VLOOKUP(F246,'Customers (2)'!A:I,3,0)</f>
        <v>eyurkov6s@hud.gov</v>
      </c>
      <c r="I246" s="3" t="str">
        <f>VLOOKUP(F246,'Customers (2)'!A:I,4,0)</f>
        <v>+1 (808) 320-5976</v>
      </c>
      <c r="J246" s="3" t="str">
        <f>VLOOKUP(F246,'Customers (2)'!A:I,6,0)</f>
        <v>Honolulu</v>
      </c>
      <c r="K246" s="3" t="str">
        <f>VLOOKUP(F246,'Customers (2)'!A:I,7,0)</f>
        <v>United States</v>
      </c>
      <c r="L246" s="3" t="str">
        <f>VLOOKUP(F246,'Customers (2)'!A:I,9,0)</f>
        <v>No</v>
      </c>
      <c r="M246" s="4" t="s">
        <v>197</v>
      </c>
      <c r="N246" s="4" t="str">
        <f>VLOOKUP(M246,'Products (2)'!A:G,2,0)</f>
        <v>Liberica</v>
      </c>
      <c r="O246" s="4" t="str">
        <f>VLOOKUP(M246,'Products (2)'!A:G,3,0)</f>
        <v>Medium</v>
      </c>
      <c r="P246" s="4">
        <f>VLOOKUP(M246,'Products (2)'!A:G,7,0)</f>
        <v>4.3504499999999995</v>
      </c>
      <c r="Q246" s="3">
        <v>4</v>
      </c>
      <c r="R246" s="5">
        <f>INDEX([1]products!$A$1:$G$49,MATCH([1]orders!$D246,[1]products!$A$1:$A$49,0),MATCH([1]orders!K$1,[1]products!$A$1:$G$1,0))</f>
        <v>2.5</v>
      </c>
      <c r="S246" s="6">
        <f>INDEX([1]products!$A$1:$G$49,MATCH([1]orders!$D246,[1]products!$A$1:$A$49,0),MATCH([1]orders!L$1,[1]products!$A$1:$G$1,0))</f>
        <v>33.464999999999996</v>
      </c>
      <c r="T246" s="6">
        <f t="shared" si="18"/>
        <v>133.85999999999999</v>
      </c>
      <c r="U246" s="22">
        <f t="shared" si="22"/>
        <v>17.401799999999998</v>
      </c>
      <c r="V246" s="22">
        <f t="shared" si="23"/>
        <v>13</v>
      </c>
    </row>
    <row r="247" spans="1:22" x14ac:dyDescent="0.3">
      <c r="A247" s="1" t="s">
        <v>505</v>
      </c>
      <c r="B247" s="2">
        <v>43951</v>
      </c>
      <c r="C247" s="2" t="str">
        <f t="shared" si="19"/>
        <v>Thursday</v>
      </c>
      <c r="D247" s="2" t="str">
        <f t="shared" si="20"/>
        <v>April</v>
      </c>
      <c r="E247" s="2" t="str">
        <f t="shared" si="21"/>
        <v>2020</v>
      </c>
      <c r="F247" s="3" t="s">
        <v>506</v>
      </c>
      <c r="G247" s="3" t="str">
        <f>VLOOKUP(F248,'Customers (2)'!A:I,2,0)</f>
        <v>Georgena Bentjens</v>
      </c>
      <c r="H247" s="3" t="str">
        <f>VLOOKUP(F247,'Customers (2)'!A:I,3,0)</f>
        <v>lmallan6t@state.gov</v>
      </c>
      <c r="I247" s="3" t="str">
        <f>VLOOKUP(F247,'Customers (2)'!A:I,4,0)</f>
        <v>+1 (225) 484-4771</v>
      </c>
      <c r="J247" s="3" t="str">
        <f>VLOOKUP(F247,'Customers (2)'!A:I,6,0)</f>
        <v>Baton Rouge</v>
      </c>
      <c r="K247" s="3" t="str">
        <f>VLOOKUP(F247,'Customers (2)'!A:I,7,0)</f>
        <v>United States</v>
      </c>
      <c r="L247" s="3" t="str">
        <f>VLOOKUP(F247,'Customers (2)'!A:I,9,0)</f>
        <v>Yes</v>
      </c>
      <c r="M247" s="4" t="s">
        <v>19</v>
      </c>
      <c r="N247" s="4" t="str">
        <f>VLOOKUP(M247,'Products (2)'!A:G,2,0)</f>
        <v>Liberica</v>
      </c>
      <c r="O247" s="4" t="str">
        <f>VLOOKUP(M247,'Products (2)'!A:G,3,0)</f>
        <v>Light</v>
      </c>
      <c r="P247" s="4">
        <f>VLOOKUP(M247,'Products (2)'!A:G,7,0)</f>
        <v>0.61814999999999998</v>
      </c>
      <c r="Q247" s="3">
        <v>5</v>
      </c>
      <c r="R247" s="5">
        <f>INDEX([1]products!$A$1:$G$49,MATCH([1]orders!$D247,[1]products!$A$1:$A$49,0),MATCH([1]orders!K$1,[1]products!$A$1:$G$1,0))</f>
        <v>0.2</v>
      </c>
      <c r="S247" s="6">
        <f>INDEX([1]products!$A$1:$G$49,MATCH([1]orders!$D247,[1]products!$A$1:$A$49,0),MATCH([1]orders!L$1,[1]products!$A$1:$G$1,0))</f>
        <v>4.7549999999999999</v>
      </c>
      <c r="T247" s="6">
        <f t="shared" si="18"/>
        <v>23.774999999999999</v>
      </c>
      <c r="U247" s="22">
        <f t="shared" si="22"/>
        <v>3.0907499999999999</v>
      </c>
      <c r="V247" s="22">
        <f t="shared" si="23"/>
        <v>13</v>
      </c>
    </row>
    <row r="248" spans="1:22" x14ac:dyDescent="0.3">
      <c r="A248" s="1" t="s">
        <v>507</v>
      </c>
      <c r="B248" s="2">
        <v>44542</v>
      </c>
      <c r="C248" s="2" t="str">
        <f t="shared" si="19"/>
        <v>Sunday</v>
      </c>
      <c r="D248" s="2" t="str">
        <f t="shared" si="20"/>
        <v>December</v>
      </c>
      <c r="E248" s="2" t="str">
        <f t="shared" si="21"/>
        <v>2021</v>
      </c>
      <c r="F248" s="3" t="s">
        <v>508</v>
      </c>
      <c r="G248" s="3" t="str">
        <f>VLOOKUP(F249,'Customers (2)'!A:I,2,0)</f>
        <v>Delmar Beasant</v>
      </c>
      <c r="H248" s="3" t="str">
        <f>VLOOKUP(F248,'Customers (2)'!A:I,3,0)</f>
        <v>gbentjens6u@netlog.com</v>
      </c>
      <c r="I248" s="3" t="str">
        <f>VLOOKUP(F248,'Customers (2)'!A:I,4,0)</f>
        <v>+44 (610) 153-1208</v>
      </c>
      <c r="J248" s="3" t="str">
        <f>VLOOKUP(F248,'Customers (2)'!A:I,6,0)</f>
        <v>Newbiggin</v>
      </c>
      <c r="K248" s="3" t="str">
        <f>VLOOKUP(F248,'Customers (2)'!A:I,7,0)</f>
        <v>United Kingdom</v>
      </c>
      <c r="L248" s="3" t="str">
        <f>VLOOKUP(F248,'Customers (2)'!A:I,9,0)</f>
        <v>No</v>
      </c>
      <c r="M248" s="4" t="s">
        <v>13</v>
      </c>
      <c r="N248" s="4" t="str">
        <f>VLOOKUP(M248,'Products (2)'!A:G,2,0)</f>
        <v>Liberica</v>
      </c>
      <c r="O248" s="4" t="str">
        <f>VLOOKUP(M248,'Products (2)'!A:G,3,0)</f>
        <v>Dark</v>
      </c>
      <c r="P248" s="4">
        <f>VLOOKUP(M248,'Products (2)'!A:G,7,0)</f>
        <v>1.6835</v>
      </c>
      <c r="Q248" s="3">
        <v>3</v>
      </c>
      <c r="R248" s="5">
        <f>INDEX([1]products!$A$1:$G$49,MATCH([1]orders!$D248,[1]products!$A$1:$A$49,0),MATCH([1]orders!K$1,[1]products!$A$1:$G$1,0))</f>
        <v>1</v>
      </c>
      <c r="S248" s="6">
        <f>INDEX([1]products!$A$1:$G$49,MATCH([1]orders!$D248,[1]products!$A$1:$A$49,0),MATCH([1]orders!L$1,[1]products!$A$1:$G$1,0))</f>
        <v>12.95</v>
      </c>
      <c r="T248" s="6">
        <f t="shared" si="18"/>
        <v>38.849999999999994</v>
      </c>
      <c r="U248" s="22">
        <f t="shared" si="22"/>
        <v>5.0504999999999995</v>
      </c>
      <c r="V248" s="22">
        <f t="shared" si="23"/>
        <v>13</v>
      </c>
    </row>
    <row r="249" spans="1:22" x14ac:dyDescent="0.3">
      <c r="A249" s="1" t="s">
        <v>509</v>
      </c>
      <c r="B249" s="2">
        <v>44131</v>
      </c>
      <c r="C249" s="2" t="str">
        <f t="shared" si="19"/>
        <v>Tuesday</v>
      </c>
      <c r="D249" s="2" t="str">
        <f t="shared" si="20"/>
        <v>October</v>
      </c>
      <c r="E249" s="2" t="str">
        <f t="shared" si="21"/>
        <v>2020</v>
      </c>
      <c r="F249" s="3" t="s">
        <v>510</v>
      </c>
      <c r="G249" s="3" t="str">
        <f>VLOOKUP(F250,'Customers (2)'!A:I,2,0)</f>
        <v>Lyn Entwistle</v>
      </c>
      <c r="H249" s="3">
        <f>VLOOKUP(F249,'Customers (2)'!A:I,3,0)</f>
        <v>0</v>
      </c>
      <c r="I249" s="3" t="str">
        <f>VLOOKUP(F249,'Customers (2)'!A:I,4,0)</f>
        <v>+353 (382) 208-0531</v>
      </c>
      <c r="J249" s="3" t="str">
        <f>VLOOKUP(F249,'Customers (2)'!A:I,6,0)</f>
        <v>Kilkenny</v>
      </c>
      <c r="K249" s="3" t="str">
        <f>VLOOKUP(F249,'Customers (2)'!A:I,7,0)</f>
        <v>Ireland</v>
      </c>
      <c r="L249" s="3" t="str">
        <f>VLOOKUP(F249,'Customers (2)'!A:I,9,0)</f>
        <v>Yes</v>
      </c>
      <c r="M249" s="4" t="s">
        <v>182</v>
      </c>
      <c r="N249" s="4" t="str">
        <f>VLOOKUP(M249,'Products (2)'!A:G,2,0)</f>
        <v>Robusta</v>
      </c>
      <c r="O249" s="4" t="str">
        <f>VLOOKUP(M249,'Products (2)'!A:G,3,0)</f>
        <v>Light</v>
      </c>
      <c r="P249" s="4">
        <f>VLOOKUP(M249,'Products (2)'!A:G,7,0)</f>
        <v>0.21509999999999996</v>
      </c>
      <c r="Q249" s="3">
        <v>6</v>
      </c>
      <c r="R249" s="5">
        <f>INDEX([1]products!$A$1:$G$49,MATCH([1]orders!$D249,[1]products!$A$1:$A$49,0),MATCH([1]orders!K$1,[1]products!$A$1:$G$1,0))</f>
        <v>0.2</v>
      </c>
      <c r="S249" s="6">
        <f>INDEX([1]products!$A$1:$G$49,MATCH([1]orders!$D249,[1]products!$A$1:$A$49,0),MATCH([1]orders!L$1,[1]products!$A$1:$G$1,0))</f>
        <v>3.5849999999999995</v>
      </c>
      <c r="T249" s="6">
        <f t="shared" si="18"/>
        <v>21.509999999999998</v>
      </c>
      <c r="U249" s="22">
        <f t="shared" si="22"/>
        <v>1.2905999999999997</v>
      </c>
      <c r="V249" s="22">
        <f t="shared" si="23"/>
        <v>5.9999999999999991</v>
      </c>
    </row>
    <row r="250" spans="1:22" x14ac:dyDescent="0.3">
      <c r="A250" s="1" t="s">
        <v>511</v>
      </c>
      <c r="B250" s="2">
        <v>44019</v>
      </c>
      <c r="C250" s="2" t="str">
        <f t="shared" si="19"/>
        <v>Tuesday</v>
      </c>
      <c r="D250" s="2" t="str">
        <f t="shared" si="20"/>
        <v>July</v>
      </c>
      <c r="E250" s="2" t="str">
        <f t="shared" si="21"/>
        <v>2020</v>
      </c>
      <c r="F250" s="3" t="s">
        <v>512</v>
      </c>
      <c r="G250" s="3" t="str">
        <f>VLOOKUP(F251,'Customers (2)'!A:I,2,0)</f>
        <v>Zacharias Kiffe</v>
      </c>
      <c r="H250" s="3" t="str">
        <f>VLOOKUP(F250,'Customers (2)'!A:I,3,0)</f>
        <v>lentwistle6w@omniture.com</v>
      </c>
      <c r="I250" s="3" t="str">
        <f>VLOOKUP(F250,'Customers (2)'!A:I,4,0)</f>
        <v>+1 (612) 972-1256</v>
      </c>
      <c r="J250" s="3" t="str">
        <f>VLOOKUP(F250,'Customers (2)'!A:I,6,0)</f>
        <v>Minneapolis</v>
      </c>
      <c r="K250" s="3" t="str">
        <f>VLOOKUP(F250,'Customers (2)'!A:I,7,0)</f>
        <v>United States</v>
      </c>
      <c r="L250" s="3" t="str">
        <f>VLOOKUP(F250,'Customers (2)'!A:I,9,0)</f>
        <v>Yes</v>
      </c>
      <c r="M250" s="4" t="s">
        <v>27</v>
      </c>
      <c r="N250" s="4" t="str">
        <f>VLOOKUP(M250,'Products (2)'!A:G,2,0)</f>
        <v>Arabica</v>
      </c>
      <c r="O250" s="4" t="str">
        <f>VLOOKUP(M250,'Products (2)'!A:G,3,0)</f>
        <v>Dark</v>
      </c>
      <c r="P250" s="4">
        <f>VLOOKUP(M250,'Products (2)'!A:G,7,0)</f>
        <v>0.89549999999999985</v>
      </c>
      <c r="Q250" s="3">
        <v>1</v>
      </c>
      <c r="R250" s="5">
        <f>INDEX([1]products!$A$1:$G$49,MATCH([1]orders!$D250,[1]products!$A$1:$A$49,0),MATCH([1]orders!K$1,[1]products!$A$1:$G$1,0))</f>
        <v>1</v>
      </c>
      <c r="S250" s="6">
        <f>INDEX([1]products!$A$1:$G$49,MATCH([1]orders!$D250,[1]products!$A$1:$A$49,0),MATCH([1]orders!L$1,[1]products!$A$1:$G$1,0))</f>
        <v>9.9499999999999993</v>
      </c>
      <c r="T250" s="6">
        <f t="shared" si="18"/>
        <v>9.9499999999999993</v>
      </c>
      <c r="U250" s="22">
        <f t="shared" si="22"/>
        <v>0.89549999999999985</v>
      </c>
      <c r="V250" s="22">
        <f t="shared" si="23"/>
        <v>9</v>
      </c>
    </row>
    <row r="251" spans="1:22" x14ac:dyDescent="0.3">
      <c r="A251" s="1" t="s">
        <v>513</v>
      </c>
      <c r="B251" s="2">
        <v>43861</v>
      </c>
      <c r="C251" s="2" t="str">
        <f t="shared" si="19"/>
        <v>Friday</v>
      </c>
      <c r="D251" s="2" t="str">
        <f t="shared" si="20"/>
        <v>January</v>
      </c>
      <c r="E251" s="2" t="str">
        <f t="shared" si="21"/>
        <v>2020</v>
      </c>
      <c r="F251" s="3" t="s">
        <v>514</v>
      </c>
      <c r="G251" s="3" t="str">
        <f>VLOOKUP(F252,'Customers (2)'!A:I,2,0)</f>
        <v>Mercedes Acott</v>
      </c>
      <c r="H251" s="3" t="str">
        <f>VLOOKUP(F251,'Customers (2)'!A:I,3,0)</f>
        <v>zkiffe74@cyberchimps.com</v>
      </c>
      <c r="I251" s="3" t="str">
        <f>VLOOKUP(F251,'Customers (2)'!A:I,4,0)</f>
        <v>+1 (414) 703-7269</v>
      </c>
      <c r="J251" s="3" t="str">
        <f>VLOOKUP(F251,'Customers (2)'!A:I,6,0)</f>
        <v>Milwaukee</v>
      </c>
      <c r="K251" s="3" t="str">
        <f>VLOOKUP(F251,'Customers (2)'!A:I,7,0)</f>
        <v>United States</v>
      </c>
      <c r="L251" s="3" t="str">
        <f>VLOOKUP(F251,'Customers (2)'!A:I,9,0)</f>
        <v>Yes</v>
      </c>
      <c r="M251" s="4" t="s">
        <v>132</v>
      </c>
      <c r="N251" s="4" t="str">
        <f>VLOOKUP(M251,'Products (2)'!A:G,2,0)</f>
        <v>Liberica</v>
      </c>
      <c r="O251" s="4" t="str">
        <f>VLOOKUP(M251,'Products (2)'!A:G,3,0)</f>
        <v>Light</v>
      </c>
      <c r="P251" s="4">
        <f>VLOOKUP(M251,'Products (2)'!A:G,7,0)</f>
        <v>2.0605000000000002</v>
      </c>
      <c r="Q251" s="3">
        <v>1</v>
      </c>
      <c r="R251" s="5">
        <f>INDEX([1]products!$A$1:$G$49,MATCH([1]orders!$D251,[1]products!$A$1:$A$49,0),MATCH([1]orders!K$1,[1]products!$A$1:$G$1,0))</f>
        <v>1</v>
      </c>
      <c r="S251" s="6">
        <f>INDEX([1]products!$A$1:$G$49,MATCH([1]orders!$D251,[1]products!$A$1:$A$49,0),MATCH([1]orders!L$1,[1]products!$A$1:$G$1,0))</f>
        <v>15.85</v>
      </c>
      <c r="T251" s="6">
        <f t="shared" si="18"/>
        <v>15.85</v>
      </c>
      <c r="U251" s="22">
        <f t="shared" si="22"/>
        <v>2.0605000000000002</v>
      </c>
      <c r="V251" s="22">
        <f t="shared" si="23"/>
        <v>13</v>
      </c>
    </row>
    <row r="252" spans="1:22" x14ac:dyDescent="0.3">
      <c r="A252" s="1" t="s">
        <v>515</v>
      </c>
      <c r="B252" s="2">
        <v>43879</v>
      </c>
      <c r="C252" s="2" t="str">
        <f t="shared" si="19"/>
        <v>Tuesday</v>
      </c>
      <c r="D252" s="2" t="str">
        <f t="shared" si="20"/>
        <v>February</v>
      </c>
      <c r="E252" s="2" t="str">
        <f t="shared" si="21"/>
        <v>2020</v>
      </c>
      <c r="F252" s="3" t="s">
        <v>516</v>
      </c>
      <c r="G252" s="3" t="str">
        <f>VLOOKUP(F253,'Customers (2)'!A:I,2,0)</f>
        <v>Connor Heaviside</v>
      </c>
      <c r="H252" s="3" t="str">
        <f>VLOOKUP(F252,'Customers (2)'!A:I,3,0)</f>
        <v>macott6y@pagesperso-orange.fr</v>
      </c>
      <c r="I252" s="3" t="str">
        <f>VLOOKUP(F252,'Customers (2)'!A:I,4,0)</f>
        <v>+1 (704) 892-0605</v>
      </c>
      <c r="J252" s="3" t="str">
        <f>VLOOKUP(F252,'Customers (2)'!A:I,6,0)</f>
        <v>Charlotte</v>
      </c>
      <c r="K252" s="3" t="str">
        <f>VLOOKUP(F252,'Customers (2)'!A:I,7,0)</f>
        <v>United States</v>
      </c>
      <c r="L252" s="3" t="str">
        <f>VLOOKUP(F252,'Customers (2)'!A:I,9,0)</f>
        <v>Yes</v>
      </c>
      <c r="M252" s="4" t="s">
        <v>162</v>
      </c>
      <c r="N252" s="4" t="str">
        <f>VLOOKUP(M252,'Products (2)'!A:G,2,0)</f>
        <v>Robusta</v>
      </c>
      <c r="O252" s="4" t="str">
        <f>VLOOKUP(M252,'Products (2)'!A:G,3,0)</f>
        <v>Medium</v>
      </c>
      <c r="P252" s="4">
        <f>VLOOKUP(M252,'Products (2)'!A:G,7,0)</f>
        <v>0.17909999999999998</v>
      </c>
      <c r="Q252" s="3">
        <v>1</v>
      </c>
      <c r="R252" s="5">
        <f>INDEX([1]products!$A$1:$G$49,MATCH([1]orders!$D252,[1]products!$A$1:$A$49,0),MATCH([1]orders!K$1,[1]products!$A$1:$G$1,0))</f>
        <v>0.2</v>
      </c>
      <c r="S252" s="6">
        <f>INDEX([1]products!$A$1:$G$49,MATCH([1]orders!$D252,[1]products!$A$1:$A$49,0),MATCH([1]orders!L$1,[1]products!$A$1:$G$1,0))</f>
        <v>2.9849999999999999</v>
      </c>
      <c r="T252" s="6">
        <f t="shared" si="18"/>
        <v>2.9849999999999999</v>
      </c>
      <c r="U252" s="22">
        <f t="shared" si="22"/>
        <v>0.17909999999999998</v>
      </c>
      <c r="V252" s="22">
        <f t="shared" si="23"/>
        <v>6</v>
      </c>
    </row>
    <row r="253" spans="1:22" x14ac:dyDescent="0.3">
      <c r="A253" s="1" t="s">
        <v>517</v>
      </c>
      <c r="B253" s="2">
        <v>44360</v>
      </c>
      <c r="C253" s="2" t="str">
        <f t="shared" si="19"/>
        <v>Sunday</v>
      </c>
      <c r="D253" s="2" t="str">
        <f t="shared" si="20"/>
        <v>June</v>
      </c>
      <c r="E253" s="2" t="str">
        <f t="shared" si="21"/>
        <v>2021</v>
      </c>
      <c r="F253" s="3" t="s">
        <v>518</v>
      </c>
      <c r="G253" s="3" t="str">
        <f>VLOOKUP(F254,'Customers (2)'!A:I,2,0)</f>
        <v>Devy Bulbrook</v>
      </c>
      <c r="H253" s="3" t="str">
        <f>VLOOKUP(F253,'Customers (2)'!A:I,3,0)</f>
        <v>cheaviside6z@rediff.com</v>
      </c>
      <c r="I253" s="3" t="str">
        <f>VLOOKUP(F253,'Customers (2)'!A:I,4,0)</f>
        <v>+1 (602) 260-2399</v>
      </c>
      <c r="J253" s="3" t="str">
        <f>VLOOKUP(F253,'Customers (2)'!A:I,6,0)</f>
        <v>Phoenix</v>
      </c>
      <c r="K253" s="3" t="str">
        <f>VLOOKUP(F253,'Customers (2)'!A:I,7,0)</f>
        <v>United States</v>
      </c>
      <c r="L253" s="3" t="str">
        <f>VLOOKUP(F253,'Customers (2)'!A:I,9,0)</f>
        <v>Yes</v>
      </c>
      <c r="M253" s="4" t="s">
        <v>9</v>
      </c>
      <c r="N253" s="4" t="str">
        <f>VLOOKUP(M253,'Products (2)'!A:G,2,0)</f>
        <v>Excelsa</v>
      </c>
      <c r="O253" s="4" t="str">
        <f>VLOOKUP(M253,'Products (2)'!A:G,3,0)</f>
        <v>Medium</v>
      </c>
      <c r="P253" s="4">
        <f>VLOOKUP(M253,'Products (2)'!A:G,7,0)</f>
        <v>1.5125</v>
      </c>
      <c r="Q253" s="3">
        <v>5</v>
      </c>
      <c r="R253" s="5">
        <f>INDEX([1]products!$A$1:$G$49,MATCH([1]orders!$D253,[1]products!$A$1:$A$49,0),MATCH([1]orders!K$1,[1]products!$A$1:$G$1,0))</f>
        <v>1</v>
      </c>
      <c r="S253" s="6">
        <f>INDEX([1]products!$A$1:$G$49,MATCH([1]orders!$D253,[1]products!$A$1:$A$49,0),MATCH([1]orders!L$1,[1]products!$A$1:$G$1,0))</f>
        <v>13.75</v>
      </c>
      <c r="T253" s="6">
        <f t="shared" si="18"/>
        <v>68.75</v>
      </c>
      <c r="U253" s="22">
        <f t="shared" si="22"/>
        <v>7.5625</v>
      </c>
      <c r="V253" s="22">
        <f t="shared" si="23"/>
        <v>11</v>
      </c>
    </row>
    <row r="254" spans="1:22" x14ac:dyDescent="0.3">
      <c r="A254" s="1" t="s">
        <v>519</v>
      </c>
      <c r="B254" s="2">
        <v>44779</v>
      </c>
      <c r="C254" s="2" t="str">
        <f t="shared" si="19"/>
        <v>Saturday</v>
      </c>
      <c r="D254" s="2" t="str">
        <f t="shared" si="20"/>
        <v>August</v>
      </c>
      <c r="E254" s="2" t="str">
        <f t="shared" si="21"/>
        <v>2022</v>
      </c>
      <c r="F254" s="3" t="s">
        <v>520</v>
      </c>
      <c r="G254" s="3" t="str">
        <f>VLOOKUP(F255,'Customers (2)'!A:I,2,0)</f>
        <v>Leia Kernan</v>
      </c>
      <c r="H254" s="3">
        <f>VLOOKUP(F254,'Customers (2)'!A:I,3,0)</f>
        <v>0</v>
      </c>
      <c r="I254" s="3" t="str">
        <f>VLOOKUP(F254,'Customers (2)'!A:I,4,0)</f>
        <v>+1 (212) 360-7479</v>
      </c>
      <c r="J254" s="3" t="str">
        <f>VLOOKUP(F254,'Customers (2)'!A:I,6,0)</f>
        <v>Jamaica</v>
      </c>
      <c r="K254" s="3" t="str">
        <f>VLOOKUP(F254,'Customers (2)'!A:I,7,0)</f>
        <v>United States</v>
      </c>
      <c r="L254" s="3" t="str">
        <f>VLOOKUP(F254,'Customers (2)'!A:I,9,0)</f>
        <v>No</v>
      </c>
      <c r="M254" s="4" t="s">
        <v>27</v>
      </c>
      <c r="N254" s="4" t="str">
        <f>VLOOKUP(M254,'Products (2)'!A:G,2,0)</f>
        <v>Arabica</v>
      </c>
      <c r="O254" s="4" t="str">
        <f>VLOOKUP(M254,'Products (2)'!A:G,3,0)</f>
        <v>Dark</v>
      </c>
      <c r="P254" s="4">
        <f>VLOOKUP(M254,'Products (2)'!A:G,7,0)</f>
        <v>0.89549999999999985</v>
      </c>
      <c r="Q254" s="3">
        <v>3</v>
      </c>
      <c r="R254" s="5">
        <f>INDEX([1]products!$A$1:$G$49,MATCH([1]orders!$D254,[1]products!$A$1:$A$49,0),MATCH([1]orders!K$1,[1]products!$A$1:$G$1,0))</f>
        <v>1</v>
      </c>
      <c r="S254" s="6">
        <f>INDEX([1]products!$A$1:$G$49,MATCH([1]orders!$D254,[1]products!$A$1:$A$49,0),MATCH([1]orders!L$1,[1]products!$A$1:$G$1,0))</f>
        <v>9.9499999999999993</v>
      </c>
      <c r="T254" s="6">
        <f t="shared" si="18"/>
        <v>29.849999999999998</v>
      </c>
      <c r="U254" s="22">
        <f t="shared" si="22"/>
        <v>2.6864999999999997</v>
      </c>
      <c r="V254" s="22">
        <f t="shared" si="23"/>
        <v>9</v>
      </c>
    </row>
    <row r="255" spans="1:22" x14ac:dyDescent="0.3">
      <c r="A255" s="1" t="s">
        <v>521</v>
      </c>
      <c r="B255" s="2">
        <v>44523</v>
      </c>
      <c r="C255" s="2" t="str">
        <f t="shared" si="19"/>
        <v>Tuesday</v>
      </c>
      <c r="D255" s="2" t="str">
        <f t="shared" si="20"/>
        <v>November</v>
      </c>
      <c r="E255" s="2" t="str">
        <f t="shared" si="21"/>
        <v>2021</v>
      </c>
      <c r="F255" s="3" t="s">
        <v>522</v>
      </c>
      <c r="G255" s="3" t="str">
        <f>VLOOKUP(F256,'Customers (2)'!A:I,2,0)</f>
        <v>Rosaline McLae</v>
      </c>
      <c r="H255" s="3" t="str">
        <f>VLOOKUP(F255,'Customers (2)'!A:I,3,0)</f>
        <v>lkernan71@wsj.com</v>
      </c>
      <c r="I255" s="3" t="str">
        <f>VLOOKUP(F255,'Customers (2)'!A:I,4,0)</f>
        <v>+1 (217) 146-0949</v>
      </c>
      <c r="J255" s="3" t="str">
        <f>VLOOKUP(F255,'Customers (2)'!A:I,6,0)</f>
        <v>Champaign</v>
      </c>
      <c r="K255" s="3" t="str">
        <f>VLOOKUP(F255,'Customers (2)'!A:I,7,0)</f>
        <v>United States</v>
      </c>
      <c r="L255" s="3" t="str">
        <f>VLOOKUP(F255,'Customers (2)'!A:I,9,0)</f>
        <v>No</v>
      </c>
      <c r="M255" s="4" t="s">
        <v>96</v>
      </c>
      <c r="N255" s="4" t="str">
        <f>VLOOKUP(M255,'Products (2)'!A:G,2,0)</f>
        <v>Liberica</v>
      </c>
      <c r="O255" s="4" t="str">
        <f>VLOOKUP(M255,'Products (2)'!A:G,3,0)</f>
        <v>Medium</v>
      </c>
      <c r="P255" s="4">
        <f>VLOOKUP(M255,'Products (2)'!A:G,7,0)</f>
        <v>1.8915000000000002</v>
      </c>
      <c r="Q255" s="3">
        <v>4</v>
      </c>
      <c r="R255" s="5">
        <f>INDEX([1]products!$A$1:$G$49,MATCH([1]orders!$D255,[1]products!$A$1:$A$49,0),MATCH([1]orders!K$1,[1]products!$A$1:$G$1,0))</f>
        <v>1</v>
      </c>
      <c r="S255" s="6">
        <f>INDEX([1]products!$A$1:$G$49,MATCH([1]orders!$D255,[1]products!$A$1:$A$49,0),MATCH([1]orders!L$1,[1]products!$A$1:$G$1,0))</f>
        <v>14.55</v>
      </c>
      <c r="T255" s="6">
        <f t="shared" si="18"/>
        <v>58.2</v>
      </c>
      <c r="U255" s="22">
        <f t="shared" si="22"/>
        <v>7.5660000000000007</v>
      </c>
      <c r="V255" s="22">
        <f t="shared" si="23"/>
        <v>13</v>
      </c>
    </row>
    <row r="256" spans="1:22" x14ac:dyDescent="0.3">
      <c r="A256" s="1" t="s">
        <v>523</v>
      </c>
      <c r="B256" s="2">
        <v>44482</v>
      </c>
      <c r="C256" s="2" t="str">
        <f t="shared" si="19"/>
        <v>Wednesday</v>
      </c>
      <c r="D256" s="2" t="str">
        <f t="shared" si="20"/>
        <v>October</v>
      </c>
      <c r="E256" s="2" t="str">
        <f t="shared" si="21"/>
        <v>2021</v>
      </c>
      <c r="F256" s="3" t="s">
        <v>524</v>
      </c>
      <c r="G256" s="3" t="str">
        <f>VLOOKUP(F257,'Customers (2)'!A:I,2,0)</f>
        <v>Cleve Blowfelde</v>
      </c>
      <c r="H256" s="3" t="str">
        <f>VLOOKUP(F256,'Customers (2)'!A:I,3,0)</f>
        <v>rmclae72@dailymotion.com</v>
      </c>
      <c r="I256" s="3">
        <f>VLOOKUP(F256,'Customers (2)'!A:I,4,0)</f>
        <v>0</v>
      </c>
      <c r="J256" s="3" t="str">
        <f>VLOOKUP(F256,'Customers (2)'!A:I,6,0)</f>
        <v>Swindon</v>
      </c>
      <c r="K256" s="3" t="str">
        <f>VLOOKUP(F256,'Customers (2)'!A:I,7,0)</f>
        <v>United Kingdom</v>
      </c>
      <c r="L256" s="3" t="str">
        <f>VLOOKUP(F256,'Customers (2)'!A:I,9,0)</f>
        <v>No</v>
      </c>
      <c r="M256" s="4" t="s">
        <v>157</v>
      </c>
      <c r="N256" s="4" t="str">
        <f>VLOOKUP(M256,'Products (2)'!A:G,2,0)</f>
        <v>Robusta</v>
      </c>
      <c r="O256" s="4" t="str">
        <f>VLOOKUP(M256,'Products (2)'!A:G,3,0)</f>
        <v>Light</v>
      </c>
      <c r="P256" s="4">
        <f>VLOOKUP(M256,'Products (2)'!A:G,7,0)</f>
        <v>0.43019999999999992</v>
      </c>
      <c r="Q256" s="3">
        <v>4</v>
      </c>
      <c r="R256" s="5">
        <f>INDEX([1]products!$A$1:$G$49,MATCH([1]orders!$D256,[1]products!$A$1:$A$49,0),MATCH([1]orders!K$1,[1]products!$A$1:$G$1,0))</f>
        <v>0.5</v>
      </c>
      <c r="S256" s="6">
        <f>INDEX([1]products!$A$1:$G$49,MATCH([1]orders!$D256,[1]products!$A$1:$A$49,0),MATCH([1]orders!L$1,[1]products!$A$1:$G$1,0))</f>
        <v>7.169999999999999</v>
      </c>
      <c r="T256" s="6">
        <f t="shared" si="18"/>
        <v>28.679999999999996</v>
      </c>
      <c r="U256" s="22">
        <f t="shared" si="22"/>
        <v>1.7207999999999997</v>
      </c>
      <c r="V256" s="22">
        <f t="shared" si="23"/>
        <v>6</v>
      </c>
    </row>
    <row r="257" spans="1:22" x14ac:dyDescent="0.3">
      <c r="A257" s="1" t="s">
        <v>525</v>
      </c>
      <c r="B257" s="2">
        <v>44439</v>
      </c>
      <c r="C257" s="2" t="str">
        <f t="shared" si="19"/>
        <v>Tuesday</v>
      </c>
      <c r="D257" s="2" t="str">
        <f t="shared" si="20"/>
        <v>August</v>
      </c>
      <c r="E257" s="2" t="str">
        <f t="shared" si="21"/>
        <v>2021</v>
      </c>
      <c r="F257" s="3" t="s">
        <v>526</v>
      </c>
      <c r="G257" s="3" t="str">
        <f>VLOOKUP(F258,'Customers (2)'!A:I,2,0)</f>
        <v>Zacharias Kiffe</v>
      </c>
      <c r="H257" s="3" t="str">
        <f>VLOOKUP(F257,'Customers (2)'!A:I,3,0)</f>
        <v>cblowfelde73@ustream.tv</v>
      </c>
      <c r="I257" s="3" t="str">
        <f>VLOOKUP(F257,'Customers (2)'!A:I,4,0)</f>
        <v>+1 (520) 951-0585</v>
      </c>
      <c r="J257" s="3" t="str">
        <f>VLOOKUP(F257,'Customers (2)'!A:I,6,0)</f>
        <v>Tucson</v>
      </c>
      <c r="K257" s="3" t="str">
        <f>VLOOKUP(F257,'Customers (2)'!A:I,7,0)</f>
        <v>United States</v>
      </c>
      <c r="L257" s="3" t="str">
        <f>VLOOKUP(F257,'Customers (2)'!A:I,9,0)</f>
        <v>No</v>
      </c>
      <c r="M257" s="4" t="s">
        <v>157</v>
      </c>
      <c r="N257" s="4" t="str">
        <f>VLOOKUP(M257,'Products (2)'!A:G,2,0)</f>
        <v>Robusta</v>
      </c>
      <c r="O257" s="4" t="str">
        <f>VLOOKUP(M257,'Products (2)'!A:G,3,0)</f>
        <v>Light</v>
      </c>
      <c r="P257" s="4">
        <f>VLOOKUP(M257,'Products (2)'!A:G,7,0)</f>
        <v>0.43019999999999992</v>
      </c>
      <c r="Q257" s="3">
        <v>3</v>
      </c>
      <c r="R257" s="5">
        <f>INDEX([1]products!$A$1:$G$49,MATCH([1]orders!$D257,[1]products!$A$1:$A$49,0),MATCH([1]orders!K$1,[1]products!$A$1:$G$1,0))</f>
        <v>0.5</v>
      </c>
      <c r="S257" s="6">
        <f>INDEX([1]products!$A$1:$G$49,MATCH([1]orders!$D257,[1]products!$A$1:$A$49,0),MATCH([1]orders!L$1,[1]products!$A$1:$G$1,0))</f>
        <v>7.169999999999999</v>
      </c>
      <c r="T257" s="6">
        <f t="shared" si="18"/>
        <v>21.509999999999998</v>
      </c>
      <c r="U257" s="22">
        <f t="shared" si="22"/>
        <v>1.2905999999999997</v>
      </c>
      <c r="V257" s="22">
        <f t="shared" si="23"/>
        <v>5.9999999999999991</v>
      </c>
    </row>
    <row r="258" spans="1:22" x14ac:dyDescent="0.3">
      <c r="A258" s="1" t="s">
        <v>527</v>
      </c>
      <c r="B258" s="2">
        <v>43846</v>
      </c>
      <c r="C258" s="2" t="str">
        <f t="shared" si="19"/>
        <v>Thursday</v>
      </c>
      <c r="D258" s="2" t="str">
        <f t="shared" si="20"/>
        <v>January</v>
      </c>
      <c r="E258" s="2" t="str">
        <f t="shared" si="21"/>
        <v>2020</v>
      </c>
      <c r="F258" s="3" t="s">
        <v>514</v>
      </c>
      <c r="G258" s="3" t="str">
        <f>VLOOKUP(F259,'Customers (2)'!A:I,2,0)</f>
        <v>Denyse O'Calleran</v>
      </c>
      <c r="H258" s="3" t="str">
        <f>VLOOKUP(F258,'Customers (2)'!A:I,3,0)</f>
        <v>zkiffe74@cyberchimps.com</v>
      </c>
      <c r="I258" s="3" t="str">
        <f>VLOOKUP(F258,'Customers (2)'!A:I,4,0)</f>
        <v>+1 (414) 703-7269</v>
      </c>
      <c r="J258" s="3" t="str">
        <f>VLOOKUP(F258,'Customers (2)'!A:I,6,0)</f>
        <v>Milwaukee</v>
      </c>
      <c r="K258" s="3" t="str">
        <f>VLOOKUP(F258,'Customers (2)'!A:I,7,0)</f>
        <v>United States</v>
      </c>
      <c r="L258" s="3" t="str">
        <f>VLOOKUP(F258,'Customers (2)'!A:I,9,0)</f>
        <v>Yes</v>
      </c>
      <c r="M258" s="4" t="s">
        <v>78</v>
      </c>
      <c r="N258" s="4" t="str">
        <f>VLOOKUP(M258,'Products (2)'!A:G,2,0)</f>
        <v>Liberica</v>
      </c>
      <c r="O258" s="4" t="str">
        <f>VLOOKUP(M258,'Products (2)'!A:G,3,0)</f>
        <v>Medium</v>
      </c>
      <c r="P258" s="4">
        <f>VLOOKUP(M258,'Products (2)'!A:G,7,0)</f>
        <v>1.1349</v>
      </c>
      <c r="Q258" s="3">
        <v>2</v>
      </c>
      <c r="R258" s="5">
        <f>INDEX([1]products!$A$1:$G$49,MATCH([1]orders!$D258,[1]products!$A$1:$A$49,0),MATCH([1]orders!K$1,[1]products!$A$1:$G$1,0))</f>
        <v>0.5</v>
      </c>
      <c r="S258" s="6">
        <f>INDEX([1]products!$A$1:$G$49,MATCH([1]orders!$D258,[1]products!$A$1:$A$49,0),MATCH([1]orders!L$1,[1]products!$A$1:$G$1,0))</f>
        <v>8.73</v>
      </c>
      <c r="T258" s="6">
        <f t="shared" ref="T258:T321" si="24">Q258*S258</f>
        <v>17.46</v>
      </c>
      <c r="U258" s="22">
        <f t="shared" si="22"/>
        <v>2.2698</v>
      </c>
      <c r="V258" s="22">
        <f t="shared" si="23"/>
        <v>13</v>
      </c>
    </row>
    <row r="259" spans="1:22" x14ac:dyDescent="0.3">
      <c r="A259" s="1" t="s">
        <v>528</v>
      </c>
      <c r="B259" s="2">
        <v>44676</v>
      </c>
      <c r="C259" s="2" t="str">
        <f t="shared" ref="C259:C322" si="25">TEXT(B259,"dddd")</f>
        <v>Monday</v>
      </c>
      <c r="D259" s="2" t="str">
        <f t="shared" ref="D259:D322" si="26">TEXT(B259,"MMMM")</f>
        <v>April</v>
      </c>
      <c r="E259" s="2" t="str">
        <f t="shared" ref="E259:E322" si="27">TEXT(B259,"YYYY")</f>
        <v>2022</v>
      </c>
      <c r="F259" s="3" t="s">
        <v>529</v>
      </c>
      <c r="G259" s="3" t="str">
        <f>VLOOKUP(F260,'Customers (2)'!A:I,2,0)</f>
        <v>Cobby Cromwell</v>
      </c>
      <c r="H259" s="3" t="str">
        <f>VLOOKUP(F259,'Customers (2)'!A:I,3,0)</f>
        <v>docalleran75@ucla.edu</v>
      </c>
      <c r="I259" s="3" t="str">
        <f>VLOOKUP(F259,'Customers (2)'!A:I,4,0)</f>
        <v>+1 (954) 368-3867</v>
      </c>
      <c r="J259" s="3" t="str">
        <f>VLOOKUP(F259,'Customers (2)'!A:I,6,0)</f>
        <v>Pompano Beach</v>
      </c>
      <c r="K259" s="3" t="str">
        <f>VLOOKUP(F259,'Customers (2)'!A:I,7,0)</f>
        <v>United States</v>
      </c>
      <c r="L259" s="3" t="str">
        <f>VLOOKUP(F259,'Customers (2)'!A:I,9,0)</f>
        <v>Yes</v>
      </c>
      <c r="M259" s="4" t="s">
        <v>530</v>
      </c>
      <c r="N259" s="4" t="str">
        <f>VLOOKUP(M259,'Products (2)'!A:G,2,0)</f>
        <v>Excelsa</v>
      </c>
      <c r="O259" s="4" t="str">
        <f>VLOOKUP(M259,'Products (2)'!A:G,3,0)</f>
        <v>Dark</v>
      </c>
      <c r="P259" s="4">
        <f>VLOOKUP(M259,'Products (2)'!A:G,7,0)</f>
        <v>3.07395</v>
      </c>
      <c r="Q259" s="3">
        <v>1</v>
      </c>
      <c r="R259" s="5">
        <f>INDEX([1]products!$A$1:$G$49,MATCH([1]orders!$D259,[1]products!$A$1:$A$49,0),MATCH([1]orders!K$1,[1]products!$A$1:$G$1,0))</f>
        <v>2.5</v>
      </c>
      <c r="S259" s="6">
        <f>INDEX([1]products!$A$1:$G$49,MATCH([1]orders!$D259,[1]products!$A$1:$A$49,0),MATCH([1]orders!L$1,[1]products!$A$1:$G$1,0))</f>
        <v>27.945</v>
      </c>
      <c r="T259" s="6">
        <f t="shared" si="24"/>
        <v>27.945</v>
      </c>
      <c r="U259" s="22">
        <f t="shared" ref="U259:U322" si="28">Q259*P259</f>
        <v>3.07395</v>
      </c>
      <c r="V259" s="22">
        <f t="shared" ref="V259:V322" si="29">U259/T259*100</f>
        <v>11</v>
      </c>
    </row>
    <row r="260" spans="1:22" x14ac:dyDescent="0.3">
      <c r="A260" s="1" t="s">
        <v>531</v>
      </c>
      <c r="B260" s="2">
        <v>44513</v>
      </c>
      <c r="C260" s="2" t="str">
        <f t="shared" si="25"/>
        <v>Saturday</v>
      </c>
      <c r="D260" s="2" t="str">
        <f t="shared" si="26"/>
        <v>November</v>
      </c>
      <c r="E260" s="2" t="str">
        <f t="shared" si="27"/>
        <v>2021</v>
      </c>
      <c r="F260" s="3" t="s">
        <v>532</v>
      </c>
      <c r="G260" s="3" t="str">
        <f>VLOOKUP(F261,'Customers (2)'!A:I,2,0)</f>
        <v>Irv Hay</v>
      </c>
      <c r="H260" s="3" t="str">
        <f>VLOOKUP(F260,'Customers (2)'!A:I,3,0)</f>
        <v>ccromwell76@desdev.cn</v>
      </c>
      <c r="I260" s="3" t="str">
        <f>VLOOKUP(F260,'Customers (2)'!A:I,4,0)</f>
        <v>+1 (562) 516-6052</v>
      </c>
      <c r="J260" s="3" t="str">
        <f>VLOOKUP(F260,'Customers (2)'!A:I,6,0)</f>
        <v>Whittier</v>
      </c>
      <c r="K260" s="3" t="str">
        <f>VLOOKUP(F260,'Customers (2)'!A:I,7,0)</f>
        <v>United States</v>
      </c>
      <c r="L260" s="3" t="str">
        <f>VLOOKUP(F260,'Customers (2)'!A:I,9,0)</f>
        <v>No</v>
      </c>
      <c r="M260" s="4" t="s">
        <v>530</v>
      </c>
      <c r="N260" s="4" t="str">
        <f>VLOOKUP(M260,'Products (2)'!A:G,2,0)</f>
        <v>Excelsa</v>
      </c>
      <c r="O260" s="4" t="str">
        <f>VLOOKUP(M260,'Products (2)'!A:G,3,0)</f>
        <v>Dark</v>
      </c>
      <c r="P260" s="4">
        <f>VLOOKUP(M260,'Products (2)'!A:G,7,0)</f>
        <v>3.07395</v>
      </c>
      <c r="Q260" s="3">
        <v>5</v>
      </c>
      <c r="R260" s="5">
        <f>INDEX([1]products!$A$1:$G$49,MATCH([1]orders!$D260,[1]products!$A$1:$A$49,0),MATCH([1]orders!K$1,[1]products!$A$1:$G$1,0))</f>
        <v>2.5</v>
      </c>
      <c r="S260" s="6">
        <f>INDEX([1]products!$A$1:$G$49,MATCH([1]orders!$D260,[1]products!$A$1:$A$49,0),MATCH([1]orders!L$1,[1]products!$A$1:$G$1,0))</f>
        <v>27.945</v>
      </c>
      <c r="T260" s="6">
        <f t="shared" si="24"/>
        <v>139.72499999999999</v>
      </c>
      <c r="U260" s="22">
        <f t="shared" si="28"/>
        <v>15.36975</v>
      </c>
      <c r="V260" s="22">
        <f t="shared" si="29"/>
        <v>11</v>
      </c>
    </row>
    <row r="261" spans="1:22" x14ac:dyDescent="0.3">
      <c r="A261" s="1" t="s">
        <v>533</v>
      </c>
      <c r="B261" s="2">
        <v>44355</v>
      </c>
      <c r="C261" s="2" t="str">
        <f t="shared" si="25"/>
        <v>Tuesday</v>
      </c>
      <c r="D261" s="2" t="str">
        <f t="shared" si="26"/>
        <v>June</v>
      </c>
      <c r="E261" s="2" t="str">
        <f t="shared" si="27"/>
        <v>2021</v>
      </c>
      <c r="F261" s="3" t="s">
        <v>534</v>
      </c>
      <c r="G261" s="3" t="str">
        <f>VLOOKUP(F262,'Customers (2)'!A:I,2,0)</f>
        <v>Tani Taffarello</v>
      </c>
      <c r="H261" s="3" t="str">
        <f>VLOOKUP(F261,'Customers (2)'!A:I,3,0)</f>
        <v>ihay77@lulu.com</v>
      </c>
      <c r="I261" s="3" t="str">
        <f>VLOOKUP(F261,'Customers (2)'!A:I,4,0)</f>
        <v>+44 (878) 199-6257</v>
      </c>
      <c r="J261" s="3" t="str">
        <f>VLOOKUP(F261,'Customers (2)'!A:I,6,0)</f>
        <v>Sheffield</v>
      </c>
      <c r="K261" s="3" t="str">
        <f>VLOOKUP(F261,'Customers (2)'!A:I,7,0)</f>
        <v>United Kingdom</v>
      </c>
      <c r="L261" s="3" t="str">
        <f>VLOOKUP(F261,'Customers (2)'!A:I,9,0)</f>
        <v>No</v>
      </c>
      <c r="M261" s="4" t="s">
        <v>162</v>
      </c>
      <c r="N261" s="4" t="str">
        <f>VLOOKUP(M261,'Products (2)'!A:G,2,0)</f>
        <v>Robusta</v>
      </c>
      <c r="O261" s="4" t="str">
        <f>VLOOKUP(M261,'Products (2)'!A:G,3,0)</f>
        <v>Medium</v>
      </c>
      <c r="P261" s="4">
        <f>VLOOKUP(M261,'Products (2)'!A:G,7,0)</f>
        <v>0.17909999999999998</v>
      </c>
      <c r="Q261" s="3">
        <v>2</v>
      </c>
      <c r="R261" s="5">
        <f>INDEX([1]products!$A$1:$G$49,MATCH([1]orders!$D261,[1]products!$A$1:$A$49,0),MATCH([1]orders!K$1,[1]products!$A$1:$G$1,0))</f>
        <v>0.2</v>
      </c>
      <c r="S261" s="6">
        <f>INDEX([1]products!$A$1:$G$49,MATCH([1]orders!$D261,[1]products!$A$1:$A$49,0),MATCH([1]orders!L$1,[1]products!$A$1:$G$1,0))</f>
        <v>2.9849999999999999</v>
      </c>
      <c r="T261" s="6">
        <f t="shared" si="24"/>
        <v>5.97</v>
      </c>
      <c r="U261" s="22">
        <f t="shared" si="28"/>
        <v>0.35819999999999996</v>
      </c>
      <c r="V261" s="22">
        <f t="shared" si="29"/>
        <v>6</v>
      </c>
    </row>
    <row r="262" spans="1:22" x14ac:dyDescent="0.3">
      <c r="A262" s="1" t="s">
        <v>535</v>
      </c>
      <c r="B262" s="2">
        <v>44156</v>
      </c>
      <c r="C262" s="2" t="str">
        <f t="shared" si="25"/>
        <v>Saturday</v>
      </c>
      <c r="D262" s="2" t="str">
        <f t="shared" si="26"/>
        <v>November</v>
      </c>
      <c r="E262" s="2" t="str">
        <f t="shared" si="27"/>
        <v>2020</v>
      </c>
      <c r="F262" s="3" t="s">
        <v>536</v>
      </c>
      <c r="G262" s="3" t="str">
        <f>VLOOKUP(F263,'Customers (2)'!A:I,2,0)</f>
        <v>Monique Canty</v>
      </c>
      <c r="H262" s="3" t="str">
        <f>VLOOKUP(F262,'Customers (2)'!A:I,3,0)</f>
        <v>ttaffarello78@sciencedaily.com</v>
      </c>
      <c r="I262" s="3">
        <f>VLOOKUP(F262,'Customers (2)'!A:I,4,0)</f>
        <v>0</v>
      </c>
      <c r="J262" s="3" t="str">
        <f>VLOOKUP(F262,'Customers (2)'!A:I,6,0)</f>
        <v>Saint Louis</v>
      </c>
      <c r="K262" s="3" t="str">
        <f>VLOOKUP(F262,'Customers (2)'!A:I,7,0)</f>
        <v>United States</v>
      </c>
      <c r="L262" s="3" t="str">
        <f>VLOOKUP(F262,'Customers (2)'!A:I,9,0)</f>
        <v>Yes</v>
      </c>
      <c r="M262" s="4" t="s">
        <v>10</v>
      </c>
      <c r="N262" s="4" t="str">
        <f>VLOOKUP(M262,'Products (2)'!A:G,2,0)</f>
        <v>Robusta</v>
      </c>
      <c r="O262" s="4" t="str">
        <f>VLOOKUP(M262,'Products (2)'!A:G,3,0)</f>
        <v>Light</v>
      </c>
      <c r="P262" s="4">
        <f>VLOOKUP(M262,'Products (2)'!A:G,7,0)</f>
        <v>1.6490999999999998</v>
      </c>
      <c r="Q262" s="3">
        <v>1</v>
      </c>
      <c r="R262" s="5">
        <f>INDEX([1]products!$A$1:$G$49,MATCH([1]orders!$D262,[1]products!$A$1:$A$49,0),MATCH([1]orders!K$1,[1]products!$A$1:$G$1,0))</f>
        <v>2.5</v>
      </c>
      <c r="S262" s="6">
        <f>INDEX([1]products!$A$1:$G$49,MATCH([1]orders!$D262,[1]products!$A$1:$A$49,0),MATCH([1]orders!L$1,[1]products!$A$1:$G$1,0))</f>
        <v>27.484999999999996</v>
      </c>
      <c r="T262" s="6">
        <f t="shared" si="24"/>
        <v>27.484999999999996</v>
      </c>
      <c r="U262" s="22">
        <f t="shared" si="28"/>
        <v>1.6490999999999998</v>
      </c>
      <c r="V262" s="22">
        <f t="shared" si="29"/>
        <v>6.0000000000000009</v>
      </c>
    </row>
    <row r="263" spans="1:22" x14ac:dyDescent="0.3">
      <c r="A263" s="1" t="s">
        <v>537</v>
      </c>
      <c r="B263" s="2">
        <v>43538</v>
      </c>
      <c r="C263" s="2" t="str">
        <f t="shared" si="25"/>
        <v>Thursday</v>
      </c>
      <c r="D263" s="2" t="str">
        <f t="shared" si="26"/>
        <v>March</v>
      </c>
      <c r="E263" s="2" t="str">
        <f t="shared" si="27"/>
        <v>2019</v>
      </c>
      <c r="F263" s="3" t="s">
        <v>538</v>
      </c>
      <c r="G263" s="3" t="str">
        <f>VLOOKUP(F264,'Customers (2)'!A:I,2,0)</f>
        <v>Javier Kopke</v>
      </c>
      <c r="H263" s="3" t="str">
        <f>VLOOKUP(F263,'Customers (2)'!A:I,3,0)</f>
        <v>mcanty79@jigsy.com</v>
      </c>
      <c r="I263" s="3" t="str">
        <f>VLOOKUP(F263,'Customers (2)'!A:I,4,0)</f>
        <v>+1 (814) 215-3753</v>
      </c>
      <c r="J263" s="3" t="str">
        <f>VLOOKUP(F263,'Customers (2)'!A:I,6,0)</f>
        <v>Erie</v>
      </c>
      <c r="K263" s="3" t="str">
        <f>VLOOKUP(F263,'Customers (2)'!A:I,7,0)</f>
        <v>United States</v>
      </c>
      <c r="L263" s="3" t="str">
        <f>VLOOKUP(F263,'Customers (2)'!A:I,9,0)</f>
        <v>Yes</v>
      </c>
      <c r="M263" s="4" t="s">
        <v>189</v>
      </c>
      <c r="N263" s="4" t="str">
        <f>VLOOKUP(M263,'Products (2)'!A:G,2,0)</f>
        <v>Robusta</v>
      </c>
      <c r="O263" s="4" t="str">
        <f>VLOOKUP(M263,'Products (2)'!A:G,3,0)</f>
        <v>Light</v>
      </c>
      <c r="P263" s="4">
        <f>VLOOKUP(M263,'Products (2)'!A:G,7,0)</f>
        <v>0.71699999999999997</v>
      </c>
      <c r="Q263" s="3">
        <v>5</v>
      </c>
      <c r="R263" s="5">
        <f>INDEX([1]products!$A$1:$G$49,MATCH([1]orders!$D263,[1]products!$A$1:$A$49,0),MATCH([1]orders!K$1,[1]products!$A$1:$G$1,0))</f>
        <v>1</v>
      </c>
      <c r="S263" s="6">
        <f>INDEX([1]products!$A$1:$G$49,MATCH([1]orders!$D263,[1]products!$A$1:$A$49,0),MATCH([1]orders!L$1,[1]products!$A$1:$G$1,0))</f>
        <v>11.95</v>
      </c>
      <c r="T263" s="6">
        <f t="shared" si="24"/>
        <v>59.75</v>
      </c>
      <c r="U263" s="22">
        <f t="shared" si="28"/>
        <v>3.585</v>
      </c>
      <c r="V263" s="22">
        <f t="shared" si="29"/>
        <v>6</v>
      </c>
    </row>
    <row r="264" spans="1:22" x14ac:dyDescent="0.3">
      <c r="A264" s="1" t="s">
        <v>539</v>
      </c>
      <c r="B264" s="2">
        <v>43693</v>
      </c>
      <c r="C264" s="2" t="str">
        <f t="shared" si="25"/>
        <v>Friday</v>
      </c>
      <c r="D264" s="2" t="str">
        <f t="shared" si="26"/>
        <v>August</v>
      </c>
      <c r="E264" s="2" t="str">
        <f t="shared" si="27"/>
        <v>2019</v>
      </c>
      <c r="F264" s="3" t="s">
        <v>540</v>
      </c>
      <c r="G264" s="3" t="str">
        <f>VLOOKUP(F265,'Customers (2)'!A:I,2,0)</f>
        <v>Mar McIver</v>
      </c>
      <c r="H264" s="3" t="str">
        <f>VLOOKUP(F264,'Customers (2)'!A:I,3,0)</f>
        <v>jkopke7a@auda.org.au</v>
      </c>
      <c r="I264" s="3" t="str">
        <f>VLOOKUP(F264,'Customers (2)'!A:I,4,0)</f>
        <v>+1 (253) 638-4435</v>
      </c>
      <c r="J264" s="3" t="str">
        <f>VLOOKUP(F264,'Customers (2)'!A:I,6,0)</f>
        <v>Tacoma</v>
      </c>
      <c r="K264" s="3" t="str">
        <f>VLOOKUP(F264,'Customers (2)'!A:I,7,0)</f>
        <v>United States</v>
      </c>
      <c r="L264" s="3" t="str">
        <f>VLOOKUP(F264,'Customers (2)'!A:I,9,0)</f>
        <v>No</v>
      </c>
      <c r="M264" s="4" t="s">
        <v>9</v>
      </c>
      <c r="N264" s="4" t="str">
        <f>VLOOKUP(M264,'Products (2)'!A:G,2,0)</f>
        <v>Excelsa</v>
      </c>
      <c r="O264" s="4" t="str">
        <f>VLOOKUP(M264,'Products (2)'!A:G,3,0)</f>
        <v>Medium</v>
      </c>
      <c r="P264" s="4">
        <f>VLOOKUP(M264,'Products (2)'!A:G,7,0)</f>
        <v>1.5125</v>
      </c>
      <c r="Q264" s="3">
        <v>3</v>
      </c>
      <c r="R264" s="5">
        <f>INDEX([1]products!$A$1:$G$49,MATCH([1]orders!$D264,[1]products!$A$1:$A$49,0),MATCH([1]orders!K$1,[1]products!$A$1:$G$1,0))</f>
        <v>1</v>
      </c>
      <c r="S264" s="6">
        <f>INDEX([1]products!$A$1:$G$49,MATCH([1]orders!$D264,[1]products!$A$1:$A$49,0),MATCH([1]orders!L$1,[1]products!$A$1:$G$1,0))</f>
        <v>13.75</v>
      </c>
      <c r="T264" s="6">
        <f t="shared" si="24"/>
        <v>41.25</v>
      </c>
      <c r="U264" s="22">
        <f t="shared" si="28"/>
        <v>4.5374999999999996</v>
      </c>
      <c r="V264" s="22">
        <f t="shared" si="29"/>
        <v>10.999999999999998</v>
      </c>
    </row>
    <row r="265" spans="1:22" x14ac:dyDescent="0.3">
      <c r="A265" s="1" t="s">
        <v>541</v>
      </c>
      <c r="B265" s="2">
        <v>43577</v>
      </c>
      <c r="C265" s="2" t="str">
        <f t="shared" si="25"/>
        <v>Monday</v>
      </c>
      <c r="D265" s="2" t="str">
        <f t="shared" si="26"/>
        <v>April</v>
      </c>
      <c r="E265" s="2" t="str">
        <f t="shared" si="27"/>
        <v>2019</v>
      </c>
      <c r="F265" s="3" t="s">
        <v>542</v>
      </c>
      <c r="G265" s="3" t="str">
        <f>VLOOKUP(F266,'Customers (2)'!A:I,2,0)</f>
        <v>Arabella Fransewich</v>
      </c>
      <c r="H265" s="3">
        <f>VLOOKUP(F265,'Customers (2)'!A:I,3,0)</f>
        <v>0</v>
      </c>
      <c r="I265" s="3" t="str">
        <f>VLOOKUP(F265,'Customers (2)'!A:I,4,0)</f>
        <v>+1 (571) 479-3812</v>
      </c>
      <c r="J265" s="3" t="str">
        <f>VLOOKUP(F265,'Customers (2)'!A:I,6,0)</f>
        <v>Richmond</v>
      </c>
      <c r="K265" s="3" t="str">
        <f>VLOOKUP(F265,'Customers (2)'!A:I,7,0)</f>
        <v>United States</v>
      </c>
      <c r="L265" s="3" t="str">
        <f>VLOOKUP(F265,'Customers (2)'!A:I,9,0)</f>
        <v>No</v>
      </c>
      <c r="M265" s="4" t="s">
        <v>197</v>
      </c>
      <c r="N265" s="4" t="str">
        <f>VLOOKUP(M265,'Products (2)'!A:G,2,0)</f>
        <v>Liberica</v>
      </c>
      <c r="O265" s="4" t="str">
        <f>VLOOKUP(M265,'Products (2)'!A:G,3,0)</f>
        <v>Medium</v>
      </c>
      <c r="P265" s="4">
        <f>VLOOKUP(M265,'Products (2)'!A:G,7,0)</f>
        <v>4.3504499999999995</v>
      </c>
      <c r="Q265" s="3">
        <v>4</v>
      </c>
      <c r="R265" s="5">
        <f>INDEX([1]products!$A$1:$G$49,MATCH([1]orders!$D265,[1]products!$A$1:$A$49,0),MATCH([1]orders!K$1,[1]products!$A$1:$G$1,0))</f>
        <v>2.5</v>
      </c>
      <c r="S265" s="6">
        <f>INDEX([1]products!$A$1:$G$49,MATCH([1]orders!$D265,[1]products!$A$1:$A$49,0),MATCH([1]orders!L$1,[1]products!$A$1:$G$1,0))</f>
        <v>33.464999999999996</v>
      </c>
      <c r="T265" s="6">
        <f t="shared" si="24"/>
        <v>133.85999999999999</v>
      </c>
      <c r="U265" s="22">
        <f t="shared" si="28"/>
        <v>17.401799999999998</v>
      </c>
      <c r="V265" s="22">
        <f t="shared" si="29"/>
        <v>13</v>
      </c>
    </row>
    <row r="266" spans="1:22" x14ac:dyDescent="0.3">
      <c r="A266" s="1" t="s">
        <v>543</v>
      </c>
      <c r="B266" s="2">
        <v>44683</v>
      </c>
      <c r="C266" s="2" t="str">
        <f t="shared" si="25"/>
        <v>Monday</v>
      </c>
      <c r="D266" s="2" t="str">
        <f t="shared" si="26"/>
        <v>May</v>
      </c>
      <c r="E266" s="2" t="str">
        <f t="shared" si="27"/>
        <v>2022</v>
      </c>
      <c r="F266" s="3" t="s">
        <v>544</v>
      </c>
      <c r="G266" s="3" t="str">
        <f>VLOOKUP(F267,'Customers (2)'!A:I,2,0)</f>
        <v>Violette Hellmore</v>
      </c>
      <c r="H266" s="3">
        <f>VLOOKUP(F266,'Customers (2)'!A:I,3,0)</f>
        <v>0</v>
      </c>
      <c r="I266" s="3" t="str">
        <f>VLOOKUP(F266,'Customers (2)'!A:I,4,0)</f>
        <v>+353 (336) 656-6944</v>
      </c>
      <c r="J266" s="3" t="str">
        <f>VLOOKUP(F266,'Customers (2)'!A:I,6,0)</f>
        <v>Kinsealy-Drinan</v>
      </c>
      <c r="K266" s="3" t="str">
        <f>VLOOKUP(F266,'Customers (2)'!A:I,7,0)</f>
        <v>Ireland</v>
      </c>
      <c r="L266" s="3" t="str">
        <f>VLOOKUP(F266,'Customers (2)'!A:I,9,0)</f>
        <v>Yes</v>
      </c>
      <c r="M266" s="4" t="s">
        <v>189</v>
      </c>
      <c r="N266" s="4" t="str">
        <f>VLOOKUP(M266,'Products (2)'!A:G,2,0)</f>
        <v>Robusta</v>
      </c>
      <c r="O266" s="4" t="str">
        <f>VLOOKUP(M266,'Products (2)'!A:G,3,0)</f>
        <v>Light</v>
      </c>
      <c r="P266" s="4">
        <f>VLOOKUP(M266,'Products (2)'!A:G,7,0)</f>
        <v>0.71699999999999997</v>
      </c>
      <c r="Q266" s="3">
        <v>5</v>
      </c>
      <c r="R266" s="5">
        <f>INDEX([1]products!$A$1:$G$49,MATCH([1]orders!$D266,[1]products!$A$1:$A$49,0),MATCH([1]orders!K$1,[1]products!$A$1:$G$1,0))</f>
        <v>1</v>
      </c>
      <c r="S266" s="6">
        <f>INDEX([1]products!$A$1:$G$49,MATCH([1]orders!$D266,[1]products!$A$1:$A$49,0),MATCH([1]orders!L$1,[1]products!$A$1:$G$1,0))</f>
        <v>11.95</v>
      </c>
      <c r="T266" s="6">
        <f t="shared" si="24"/>
        <v>59.75</v>
      </c>
      <c r="U266" s="22">
        <f t="shared" si="28"/>
        <v>3.585</v>
      </c>
      <c r="V266" s="22">
        <f t="shared" si="29"/>
        <v>6</v>
      </c>
    </row>
    <row r="267" spans="1:22" x14ac:dyDescent="0.3">
      <c r="A267" s="1" t="s">
        <v>545</v>
      </c>
      <c r="B267" s="2">
        <v>43872</v>
      </c>
      <c r="C267" s="2" t="str">
        <f t="shared" si="25"/>
        <v>Tuesday</v>
      </c>
      <c r="D267" s="2" t="str">
        <f t="shared" si="26"/>
        <v>February</v>
      </c>
      <c r="E267" s="2" t="str">
        <f t="shared" si="27"/>
        <v>2020</v>
      </c>
      <c r="F267" s="3" t="s">
        <v>546</v>
      </c>
      <c r="G267" s="3" t="str">
        <f>VLOOKUP(F268,'Customers (2)'!A:I,2,0)</f>
        <v>Myles Seawright</v>
      </c>
      <c r="H267" s="3" t="str">
        <f>VLOOKUP(F267,'Customers (2)'!A:I,3,0)</f>
        <v>vhellmore7d@bbc.co.uk</v>
      </c>
      <c r="I267" s="3" t="str">
        <f>VLOOKUP(F267,'Customers (2)'!A:I,4,0)</f>
        <v>+1 (501) 899-4038</v>
      </c>
      <c r="J267" s="3" t="str">
        <f>VLOOKUP(F267,'Customers (2)'!A:I,6,0)</f>
        <v>Little Rock</v>
      </c>
      <c r="K267" s="3" t="str">
        <f>VLOOKUP(F267,'Customers (2)'!A:I,7,0)</f>
        <v>United States</v>
      </c>
      <c r="L267" s="3" t="str">
        <f>VLOOKUP(F267,'Customers (2)'!A:I,9,0)</f>
        <v>Yes</v>
      </c>
      <c r="M267" s="4" t="s">
        <v>72</v>
      </c>
      <c r="N267" s="4" t="str">
        <f>VLOOKUP(M267,'Products (2)'!A:G,2,0)</f>
        <v>Arabica</v>
      </c>
      <c r="O267" s="4" t="str">
        <f>VLOOKUP(M267,'Products (2)'!A:G,3,0)</f>
        <v>Dark</v>
      </c>
      <c r="P267" s="4">
        <f>VLOOKUP(M267,'Products (2)'!A:G,7,0)</f>
        <v>0.5373</v>
      </c>
      <c r="Q267" s="3">
        <v>1</v>
      </c>
      <c r="R267" s="5">
        <f>INDEX([1]products!$A$1:$G$49,MATCH([1]orders!$D267,[1]products!$A$1:$A$49,0),MATCH([1]orders!K$1,[1]products!$A$1:$G$1,0))</f>
        <v>0.5</v>
      </c>
      <c r="S267" s="6">
        <f>INDEX([1]products!$A$1:$G$49,MATCH([1]orders!$D267,[1]products!$A$1:$A$49,0),MATCH([1]orders!L$1,[1]products!$A$1:$G$1,0))</f>
        <v>5.97</v>
      </c>
      <c r="T267" s="6">
        <f t="shared" si="24"/>
        <v>5.97</v>
      </c>
      <c r="U267" s="22">
        <f t="shared" si="28"/>
        <v>0.5373</v>
      </c>
      <c r="V267" s="22">
        <f t="shared" si="29"/>
        <v>9.0000000000000018</v>
      </c>
    </row>
    <row r="268" spans="1:22" x14ac:dyDescent="0.3">
      <c r="A268" s="1" t="s">
        <v>547</v>
      </c>
      <c r="B268" s="2">
        <v>44283</v>
      </c>
      <c r="C268" s="2" t="str">
        <f t="shared" si="25"/>
        <v>Sunday</v>
      </c>
      <c r="D268" s="2" t="str">
        <f t="shared" si="26"/>
        <v>March</v>
      </c>
      <c r="E268" s="2" t="str">
        <f t="shared" si="27"/>
        <v>2021</v>
      </c>
      <c r="F268" s="3" t="s">
        <v>548</v>
      </c>
      <c r="G268" s="3" t="str">
        <f>VLOOKUP(F269,'Customers (2)'!A:I,2,0)</f>
        <v>Silvana Northeast</v>
      </c>
      <c r="H268" s="3" t="str">
        <f>VLOOKUP(F268,'Customers (2)'!A:I,3,0)</f>
        <v>mseawright7e@nbcnews.com</v>
      </c>
      <c r="I268" s="3" t="str">
        <f>VLOOKUP(F268,'Customers (2)'!A:I,4,0)</f>
        <v>+44 (638) 528-2467</v>
      </c>
      <c r="J268" s="3" t="str">
        <f>VLOOKUP(F268,'Customers (2)'!A:I,6,0)</f>
        <v>Newton</v>
      </c>
      <c r="K268" s="3" t="str">
        <f>VLOOKUP(F268,'Customers (2)'!A:I,7,0)</f>
        <v>United Kingdom</v>
      </c>
      <c r="L268" s="3" t="str">
        <f>VLOOKUP(F268,'Customers (2)'!A:I,9,0)</f>
        <v>No</v>
      </c>
      <c r="M268" s="4" t="s">
        <v>245</v>
      </c>
      <c r="N268" s="4" t="str">
        <f>VLOOKUP(M268,'Products (2)'!A:G,2,0)</f>
        <v>Excelsa</v>
      </c>
      <c r="O268" s="4" t="str">
        <f>VLOOKUP(M268,'Products (2)'!A:G,3,0)</f>
        <v>Dark</v>
      </c>
      <c r="P268" s="4">
        <f>VLOOKUP(M268,'Products (2)'!A:G,7,0)</f>
        <v>1.3365</v>
      </c>
      <c r="Q268" s="3">
        <v>2</v>
      </c>
      <c r="R268" s="5">
        <f>INDEX([1]products!$A$1:$G$49,MATCH([1]orders!$D268,[1]products!$A$1:$A$49,0),MATCH([1]orders!K$1,[1]products!$A$1:$G$1,0))</f>
        <v>1</v>
      </c>
      <c r="S268" s="6">
        <f>INDEX([1]products!$A$1:$G$49,MATCH([1]orders!$D268,[1]products!$A$1:$A$49,0),MATCH([1]orders!L$1,[1]products!$A$1:$G$1,0))</f>
        <v>12.15</v>
      </c>
      <c r="T268" s="6">
        <f t="shared" si="24"/>
        <v>24.3</v>
      </c>
      <c r="U268" s="22">
        <f t="shared" si="28"/>
        <v>2.673</v>
      </c>
      <c r="V268" s="22">
        <f t="shared" si="29"/>
        <v>11</v>
      </c>
    </row>
    <row r="269" spans="1:22" x14ac:dyDescent="0.3">
      <c r="A269" s="1" t="s">
        <v>549</v>
      </c>
      <c r="B269" s="2">
        <v>44324</v>
      </c>
      <c r="C269" s="2" t="str">
        <f t="shared" si="25"/>
        <v>Saturday</v>
      </c>
      <c r="D269" s="2" t="str">
        <f t="shared" si="26"/>
        <v>May</v>
      </c>
      <c r="E269" s="2" t="str">
        <f t="shared" si="27"/>
        <v>2021</v>
      </c>
      <c r="F269" s="3" t="s">
        <v>550</v>
      </c>
      <c r="G269" s="3" t="str">
        <f>VLOOKUP(F270,'Customers (2)'!A:I,2,0)</f>
        <v>Anselma Attwater</v>
      </c>
      <c r="H269" s="3" t="str">
        <f>VLOOKUP(F269,'Customers (2)'!A:I,3,0)</f>
        <v>snortheast7f@mashable.com</v>
      </c>
      <c r="I269" s="3" t="str">
        <f>VLOOKUP(F269,'Customers (2)'!A:I,4,0)</f>
        <v>+1 (775) 344-1930</v>
      </c>
      <c r="J269" s="3" t="str">
        <f>VLOOKUP(F269,'Customers (2)'!A:I,6,0)</f>
        <v>Sparks</v>
      </c>
      <c r="K269" s="3" t="str">
        <f>VLOOKUP(F269,'Customers (2)'!A:I,7,0)</f>
        <v>United States</v>
      </c>
      <c r="L269" s="3" t="str">
        <f>VLOOKUP(F269,'Customers (2)'!A:I,9,0)</f>
        <v>Yes</v>
      </c>
      <c r="M269" s="4" t="s">
        <v>51</v>
      </c>
      <c r="N269" s="4" t="str">
        <f>VLOOKUP(M269,'Products (2)'!A:G,2,0)</f>
        <v>Excelsa</v>
      </c>
      <c r="O269" s="4" t="str">
        <f>VLOOKUP(M269,'Products (2)'!A:G,3,0)</f>
        <v>Dark</v>
      </c>
      <c r="P269" s="4">
        <f>VLOOKUP(M269,'Products (2)'!A:G,7,0)</f>
        <v>0.40095000000000003</v>
      </c>
      <c r="Q269" s="3">
        <v>6</v>
      </c>
      <c r="R269" s="5">
        <f>INDEX([1]products!$A$1:$G$49,MATCH([1]orders!$D269,[1]products!$A$1:$A$49,0),MATCH([1]orders!K$1,[1]products!$A$1:$G$1,0))</f>
        <v>0.2</v>
      </c>
      <c r="S269" s="6">
        <f>INDEX([1]products!$A$1:$G$49,MATCH([1]orders!$D269,[1]products!$A$1:$A$49,0),MATCH([1]orders!L$1,[1]products!$A$1:$G$1,0))</f>
        <v>3.645</v>
      </c>
      <c r="T269" s="6">
        <f t="shared" si="24"/>
        <v>21.87</v>
      </c>
      <c r="U269" s="22">
        <f t="shared" si="28"/>
        <v>2.4057000000000004</v>
      </c>
      <c r="V269" s="22">
        <f t="shared" si="29"/>
        <v>11.000000000000002</v>
      </c>
    </row>
    <row r="270" spans="1:22" x14ac:dyDescent="0.3">
      <c r="A270" s="1" t="s">
        <v>551</v>
      </c>
      <c r="B270" s="2">
        <v>43790</v>
      </c>
      <c r="C270" s="2" t="str">
        <f t="shared" si="25"/>
        <v>Thursday</v>
      </c>
      <c r="D270" s="2" t="str">
        <f t="shared" si="26"/>
        <v>November</v>
      </c>
      <c r="E270" s="2" t="str">
        <f t="shared" si="27"/>
        <v>2019</v>
      </c>
      <c r="F270" s="3" t="s">
        <v>438</v>
      </c>
      <c r="G270" s="3" t="str">
        <f>VLOOKUP(F271,'Customers (2)'!A:I,2,0)</f>
        <v>Monica Fearon</v>
      </c>
      <c r="H270" s="3" t="str">
        <f>VLOOKUP(F270,'Customers (2)'!A:I,3,0)</f>
        <v>aattwater5u@wikia.com</v>
      </c>
      <c r="I270" s="3" t="str">
        <f>VLOOKUP(F270,'Customers (2)'!A:I,4,0)</f>
        <v>+1 (434) 821-8618</v>
      </c>
      <c r="J270" s="3" t="str">
        <f>VLOOKUP(F270,'Customers (2)'!A:I,6,0)</f>
        <v>Charlottesville</v>
      </c>
      <c r="K270" s="3" t="str">
        <f>VLOOKUP(F270,'Customers (2)'!A:I,7,0)</f>
        <v>United States</v>
      </c>
      <c r="L270" s="3" t="str">
        <f>VLOOKUP(F270,'Customers (2)'!A:I,9,0)</f>
        <v>Yes</v>
      </c>
      <c r="M270" s="4" t="s">
        <v>27</v>
      </c>
      <c r="N270" s="4" t="str">
        <f>VLOOKUP(M270,'Products (2)'!A:G,2,0)</f>
        <v>Arabica</v>
      </c>
      <c r="O270" s="4" t="str">
        <f>VLOOKUP(M270,'Products (2)'!A:G,3,0)</f>
        <v>Dark</v>
      </c>
      <c r="P270" s="4">
        <f>VLOOKUP(M270,'Products (2)'!A:G,7,0)</f>
        <v>0.89549999999999985</v>
      </c>
      <c r="Q270" s="3">
        <v>2</v>
      </c>
      <c r="R270" s="5">
        <f>INDEX([1]products!$A$1:$G$49,MATCH([1]orders!$D270,[1]products!$A$1:$A$49,0),MATCH([1]orders!K$1,[1]products!$A$1:$G$1,0))</f>
        <v>1</v>
      </c>
      <c r="S270" s="6">
        <f>INDEX([1]products!$A$1:$G$49,MATCH([1]orders!$D270,[1]products!$A$1:$A$49,0),MATCH([1]orders!L$1,[1]products!$A$1:$G$1,0))</f>
        <v>9.9499999999999993</v>
      </c>
      <c r="T270" s="6">
        <f t="shared" si="24"/>
        <v>19.899999999999999</v>
      </c>
      <c r="U270" s="22">
        <f t="shared" si="28"/>
        <v>1.7909999999999997</v>
      </c>
      <c r="V270" s="22">
        <f t="shared" si="29"/>
        <v>9</v>
      </c>
    </row>
    <row r="271" spans="1:22" x14ac:dyDescent="0.3">
      <c r="A271" s="1" t="s">
        <v>552</v>
      </c>
      <c r="B271" s="2">
        <v>44333</v>
      </c>
      <c r="C271" s="2" t="str">
        <f t="shared" si="25"/>
        <v>Monday</v>
      </c>
      <c r="D271" s="2" t="str">
        <f t="shared" si="26"/>
        <v>May</v>
      </c>
      <c r="E271" s="2" t="str">
        <f t="shared" si="27"/>
        <v>2021</v>
      </c>
      <c r="F271" s="3" t="s">
        <v>553</v>
      </c>
      <c r="G271" s="3" t="str">
        <f>VLOOKUP(F272,'Customers (2)'!A:I,2,0)</f>
        <v>Barney Chisnell</v>
      </c>
      <c r="H271" s="3" t="str">
        <f>VLOOKUP(F271,'Customers (2)'!A:I,3,0)</f>
        <v>mfearon7h@reverbnation.com</v>
      </c>
      <c r="I271" s="3" t="str">
        <f>VLOOKUP(F271,'Customers (2)'!A:I,4,0)</f>
        <v>+1 (972) 686-6332</v>
      </c>
      <c r="J271" s="3" t="str">
        <f>VLOOKUP(F271,'Customers (2)'!A:I,6,0)</f>
        <v>Denton</v>
      </c>
      <c r="K271" s="3" t="str">
        <f>VLOOKUP(F271,'Customers (2)'!A:I,7,0)</f>
        <v>United States</v>
      </c>
      <c r="L271" s="3" t="str">
        <f>VLOOKUP(F271,'Customers (2)'!A:I,9,0)</f>
        <v>No</v>
      </c>
      <c r="M271" s="4" t="s">
        <v>54</v>
      </c>
      <c r="N271" s="4" t="str">
        <f>VLOOKUP(M271,'Products (2)'!A:G,2,0)</f>
        <v>Arabica</v>
      </c>
      <c r="O271" s="4" t="str">
        <f>VLOOKUP(M271,'Products (2)'!A:G,3,0)</f>
        <v>Dark</v>
      </c>
      <c r="P271" s="4">
        <f>VLOOKUP(M271,'Products (2)'!A:G,7,0)</f>
        <v>0.26865</v>
      </c>
      <c r="Q271" s="3">
        <v>2</v>
      </c>
      <c r="R271" s="5">
        <f>INDEX([1]products!$A$1:$G$49,MATCH([1]orders!$D271,[1]products!$A$1:$A$49,0),MATCH([1]orders!K$1,[1]products!$A$1:$G$1,0))</f>
        <v>0.2</v>
      </c>
      <c r="S271" s="6">
        <f>INDEX([1]products!$A$1:$G$49,MATCH([1]orders!$D271,[1]products!$A$1:$A$49,0),MATCH([1]orders!L$1,[1]products!$A$1:$G$1,0))</f>
        <v>2.9849999999999999</v>
      </c>
      <c r="T271" s="6">
        <f t="shared" si="24"/>
        <v>5.97</v>
      </c>
      <c r="U271" s="22">
        <f t="shared" si="28"/>
        <v>0.5373</v>
      </c>
      <c r="V271" s="22">
        <f t="shared" si="29"/>
        <v>9.0000000000000018</v>
      </c>
    </row>
    <row r="272" spans="1:22" x14ac:dyDescent="0.3">
      <c r="A272" s="1" t="s">
        <v>554</v>
      </c>
      <c r="B272" s="2">
        <v>43655</v>
      </c>
      <c r="C272" s="2" t="str">
        <f t="shared" si="25"/>
        <v>Tuesday</v>
      </c>
      <c r="D272" s="2" t="str">
        <f t="shared" si="26"/>
        <v>July</v>
      </c>
      <c r="E272" s="2" t="str">
        <f t="shared" si="27"/>
        <v>2019</v>
      </c>
      <c r="F272" s="3" t="s">
        <v>555</v>
      </c>
      <c r="G272" s="3" t="str">
        <f>VLOOKUP(F273,'Customers (2)'!A:I,2,0)</f>
        <v>Jasper Sisneros</v>
      </c>
      <c r="H272" s="3">
        <f>VLOOKUP(F272,'Customers (2)'!A:I,3,0)</f>
        <v>0</v>
      </c>
      <c r="I272" s="3">
        <f>VLOOKUP(F272,'Customers (2)'!A:I,4,0)</f>
        <v>0</v>
      </c>
      <c r="J272" s="3" t="str">
        <f>VLOOKUP(F272,'Customers (2)'!A:I,6,0)</f>
        <v>Tullamore</v>
      </c>
      <c r="K272" s="3" t="str">
        <f>VLOOKUP(F272,'Customers (2)'!A:I,7,0)</f>
        <v>Ireland</v>
      </c>
      <c r="L272" s="3" t="str">
        <f>VLOOKUP(F272,'Customers (2)'!A:I,9,0)</f>
        <v>Yes</v>
      </c>
      <c r="M272" s="4" t="s">
        <v>16</v>
      </c>
      <c r="N272" s="4" t="str">
        <f>VLOOKUP(M272,'Products (2)'!A:G,2,0)</f>
        <v>Excelsa</v>
      </c>
      <c r="O272" s="4" t="str">
        <f>VLOOKUP(M272,'Products (2)'!A:G,3,0)</f>
        <v>Dark</v>
      </c>
      <c r="P272" s="4">
        <f>VLOOKUP(M272,'Products (2)'!A:G,7,0)</f>
        <v>0.80190000000000006</v>
      </c>
      <c r="Q272" s="3">
        <v>1</v>
      </c>
      <c r="R272" s="5">
        <f>INDEX([1]products!$A$1:$G$49,MATCH([1]orders!$D272,[1]products!$A$1:$A$49,0),MATCH([1]orders!K$1,[1]products!$A$1:$G$1,0))</f>
        <v>0.5</v>
      </c>
      <c r="S272" s="6">
        <f>INDEX([1]products!$A$1:$G$49,MATCH([1]orders!$D272,[1]products!$A$1:$A$49,0),MATCH([1]orders!L$1,[1]products!$A$1:$G$1,0))</f>
        <v>7.29</v>
      </c>
      <c r="T272" s="6">
        <f t="shared" si="24"/>
        <v>7.29</v>
      </c>
      <c r="U272" s="22">
        <f t="shared" si="28"/>
        <v>0.80190000000000006</v>
      </c>
      <c r="V272" s="22">
        <f t="shared" si="29"/>
        <v>11</v>
      </c>
    </row>
    <row r="273" spans="1:22" x14ac:dyDescent="0.3">
      <c r="A273" s="1" t="s">
        <v>556</v>
      </c>
      <c r="B273" s="2">
        <v>43971</v>
      </c>
      <c r="C273" s="2" t="str">
        <f t="shared" si="25"/>
        <v>Wednesday</v>
      </c>
      <c r="D273" s="2" t="str">
        <f t="shared" si="26"/>
        <v>May</v>
      </c>
      <c r="E273" s="2" t="str">
        <f t="shared" si="27"/>
        <v>2020</v>
      </c>
      <c r="F273" s="3" t="s">
        <v>557</v>
      </c>
      <c r="G273" s="3" t="str">
        <f>VLOOKUP(F274,'Customers (2)'!A:I,2,0)</f>
        <v>Zachariah Carlson</v>
      </c>
      <c r="H273" s="3" t="str">
        <f>VLOOKUP(F273,'Customers (2)'!A:I,3,0)</f>
        <v>jsisneros7j@a8.net</v>
      </c>
      <c r="I273" s="3" t="str">
        <f>VLOOKUP(F273,'Customers (2)'!A:I,4,0)</f>
        <v>+1 (919) 448-8909</v>
      </c>
      <c r="J273" s="3" t="str">
        <f>VLOOKUP(F273,'Customers (2)'!A:I,6,0)</f>
        <v>Raleigh</v>
      </c>
      <c r="K273" s="3" t="str">
        <f>VLOOKUP(F273,'Customers (2)'!A:I,7,0)</f>
        <v>United States</v>
      </c>
      <c r="L273" s="3" t="str">
        <f>VLOOKUP(F273,'Customers (2)'!A:I,9,0)</f>
        <v>Yes</v>
      </c>
      <c r="M273" s="4" t="s">
        <v>54</v>
      </c>
      <c r="N273" s="4" t="str">
        <f>VLOOKUP(M273,'Products (2)'!A:G,2,0)</f>
        <v>Arabica</v>
      </c>
      <c r="O273" s="4" t="str">
        <f>VLOOKUP(M273,'Products (2)'!A:G,3,0)</f>
        <v>Dark</v>
      </c>
      <c r="P273" s="4">
        <f>VLOOKUP(M273,'Products (2)'!A:G,7,0)</f>
        <v>0.26865</v>
      </c>
      <c r="Q273" s="3">
        <v>4</v>
      </c>
      <c r="R273" s="5">
        <f>INDEX([1]products!$A$1:$G$49,MATCH([1]orders!$D273,[1]products!$A$1:$A$49,0),MATCH([1]orders!K$1,[1]products!$A$1:$G$1,0))</f>
        <v>0.2</v>
      </c>
      <c r="S273" s="6">
        <f>INDEX([1]products!$A$1:$G$49,MATCH([1]orders!$D273,[1]products!$A$1:$A$49,0),MATCH([1]orders!L$1,[1]products!$A$1:$G$1,0))</f>
        <v>2.9849999999999999</v>
      </c>
      <c r="T273" s="6">
        <f t="shared" si="24"/>
        <v>11.94</v>
      </c>
      <c r="U273" s="22">
        <f t="shared" si="28"/>
        <v>1.0746</v>
      </c>
      <c r="V273" s="22">
        <f t="shared" si="29"/>
        <v>9.0000000000000018</v>
      </c>
    </row>
    <row r="274" spans="1:22" x14ac:dyDescent="0.3">
      <c r="A274" s="1" t="s">
        <v>558</v>
      </c>
      <c r="B274" s="2">
        <v>44435</v>
      </c>
      <c r="C274" s="2" t="str">
        <f t="shared" si="25"/>
        <v>Friday</v>
      </c>
      <c r="D274" s="2" t="str">
        <f t="shared" si="26"/>
        <v>August</v>
      </c>
      <c r="E274" s="2" t="str">
        <f t="shared" si="27"/>
        <v>2021</v>
      </c>
      <c r="F274" s="3" t="s">
        <v>559</v>
      </c>
      <c r="G274" s="3" t="str">
        <f>VLOOKUP(F275,'Customers (2)'!A:I,2,0)</f>
        <v>Warner Maddox</v>
      </c>
      <c r="H274" s="3" t="str">
        <f>VLOOKUP(F274,'Customers (2)'!A:I,3,0)</f>
        <v>zcarlson7k@bigcartel.com</v>
      </c>
      <c r="I274" s="3" t="str">
        <f>VLOOKUP(F274,'Customers (2)'!A:I,4,0)</f>
        <v>+353 (259) 651-4128</v>
      </c>
      <c r="J274" s="3" t="str">
        <f>VLOOKUP(F274,'Customers (2)'!A:I,6,0)</f>
        <v>Shankill</v>
      </c>
      <c r="K274" s="3" t="str">
        <f>VLOOKUP(F274,'Customers (2)'!A:I,7,0)</f>
        <v>Ireland</v>
      </c>
      <c r="L274" s="3" t="str">
        <f>VLOOKUP(F274,'Customers (2)'!A:I,9,0)</f>
        <v>Yes</v>
      </c>
      <c r="M274" s="4" t="s">
        <v>189</v>
      </c>
      <c r="N274" s="4" t="str">
        <f>VLOOKUP(M274,'Products (2)'!A:G,2,0)</f>
        <v>Robusta</v>
      </c>
      <c r="O274" s="4" t="str">
        <f>VLOOKUP(M274,'Products (2)'!A:G,3,0)</f>
        <v>Light</v>
      </c>
      <c r="P274" s="4">
        <f>VLOOKUP(M274,'Products (2)'!A:G,7,0)</f>
        <v>0.71699999999999997</v>
      </c>
      <c r="Q274" s="3">
        <v>6</v>
      </c>
      <c r="R274" s="5">
        <f>INDEX([1]products!$A$1:$G$49,MATCH([1]orders!$D274,[1]products!$A$1:$A$49,0),MATCH([1]orders!K$1,[1]products!$A$1:$G$1,0))</f>
        <v>1</v>
      </c>
      <c r="S274" s="6">
        <f>INDEX([1]products!$A$1:$G$49,MATCH([1]orders!$D274,[1]products!$A$1:$A$49,0),MATCH([1]orders!L$1,[1]products!$A$1:$G$1,0))</f>
        <v>11.95</v>
      </c>
      <c r="T274" s="6">
        <f t="shared" si="24"/>
        <v>71.699999999999989</v>
      </c>
      <c r="U274" s="22">
        <f t="shared" si="28"/>
        <v>4.3019999999999996</v>
      </c>
      <c r="V274" s="22">
        <f t="shared" si="29"/>
        <v>6.0000000000000009</v>
      </c>
    </row>
    <row r="275" spans="1:22" x14ac:dyDescent="0.3">
      <c r="A275" s="1" t="s">
        <v>560</v>
      </c>
      <c r="B275" s="2">
        <v>44681</v>
      </c>
      <c r="C275" s="2" t="str">
        <f t="shared" si="25"/>
        <v>Saturday</v>
      </c>
      <c r="D275" s="2" t="str">
        <f t="shared" si="26"/>
        <v>April</v>
      </c>
      <c r="E275" s="2" t="str">
        <f t="shared" si="27"/>
        <v>2022</v>
      </c>
      <c r="F275" s="3" t="s">
        <v>561</v>
      </c>
      <c r="G275" s="3" t="str">
        <f>VLOOKUP(F276,'Customers (2)'!A:I,2,0)</f>
        <v>Donnie Hedlestone</v>
      </c>
      <c r="H275" s="3" t="str">
        <f>VLOOKUP(F275,'Customers (2)'!A:I,3,0)</f>
        <v>wmaddox7l@timesonline.co.uk</v>
      </c>
      <c r="I275" s="3" t="str">
        <f>VLOOKUP(F275,'Customers (2)'!A:I,4,0)</f>
        <v>+1 (917) 310-4684</v>
      </c>
      <c r="J275" s="3" t="str">
        <f>VLOOKUP(F275,'Customers (2)'!A:I,6,0)</f>
        <v>New York City</v>
      </c>
      <c r="K275" s="3" t="str">
        <f>VLOOKUP(F275,'Customers (2)'!A:I,7,0)</f>
        <v>United States</v>
      </c>
      <c r="L275" s="3" t="str">
        <f>VLOOKUP(F275,'Customers (2)'!A:I,9,0)</f>
        <v>No</v>
      </c>
      <c r="M275" s="4" t="s">
        <v>115</v>
      </c>
      <c r="N275" s="4" t="str">
        <f>VLOOKUP(M275,'Products (2)'!A:G,2,0)</f>
        <v>Arabica</v>
      </c>
      <c r="O275" s="4" t="str">
        <f>VLOOKUP(M275,'Products (2)'!A:G,3,0)</f>
        <v>Light</v>
      </c>
      <c r="P275" s="4">
        <f>VLOOKUP(M275,'Products (2)'!A:G,7,0)</f>
        <v>0.34964999999999996</v>
      </c>
      <c r="Q275" s="3">
        <v>2</v>
      </c>
      <c r="R275" s="5">
        <f>INDEX([1]products!$A$1:$G$49,MATCH([1]orders!$D275,[1]products!$A$1:$A$49,0),MATCH([1]orders!K$1,[1]products!$A$1:$G$1,0))</f>
        <v>0.2</v>
      </c>
      <c r="S275" s="6">
        <f>INDEX([1]products!$A$1:$G$49,MATCH([1]orders!$D275,[1]products!$A$1:$A$49,0),MATCH([1]orders!L$1,[1]products!$A$1:$G$1,0))</f>
        <v>3.8849999999999998</v>
      </c>
      <c r="T275" s="6">
        <f t="shared" si="24"/>
        <v>7.77</v>
      </c>
      <c r="U275" s="22">
        <f t="shared" si="28"/>
        <v>0.69929999999999992</v>
      </c>
      <c r="V275" s="22">
        <f t="shared" si="29"/>
        <v>9</v>
      </c>
    </row>
    <row r="276" spans="1:22" x14ac:dyDescent="0.3">
      <c r="A276" s="1" t="s">
        <v>562</v>
      </c>
      <c r="B276" s="2">
        <v>43985</v>
      </c>
      <c r="C276" s="2" t="str">
        <f t="shared" si="25"/>
        <v>Wednesday</v>
      </c>
      <c r="D276" s="2" t="str">
        <f t="shared" si="26"/>
        <v>June</v>
      </c>
      <c r="E276" s="2" t="str">
        <f t="shared" si="27"/>
        <v>2020</v>
      </c>
      <c r="F276" s="3" t="s">
        <v>563</v>
      </c>
      <c r="G276" s="3" t="str">
        <f>VLOOKUP(F277,'Customers (2)'!A:I,2,0)</f>
        <v>Teddi Crowthe</v>
      </c>
      <c r="H276" s="3" t="str">
        <f>VLOOKUP(F276,'Customers (2)'!A:I,3,0)</f>
        <v>dhedlestone7m@craigslist.org</v>
      </c>
      <c r="I276" s="3" t="str">
        <f>VLOOKUP(F276,'Customers (2)'!A:I,4,0)</f>
        <v>+1 (203) 768-3169</v>
      </c>
      <c r="J276" s="3" t="str">
        <f>VLOOKUP(F276,'Customers (2)'!A:I,6,0)</f>
        <v>Stamford</v>
      </c>
      <c r="K276" s="3" t="str">
        <f>VLOOKUP(F276,'Customers (2)'!A:I,7,0)</f>
        <v>United States</v>
      </c>
      <c r="L276" s="3" t="str">
        <f>VLOOKUP(F276,'Customers (2)'!A:I,9,0)</f>
        <v>No</v>
      </c>
      <c r="M276" s="4" t="s">
        <v>171</v>
      </c>
      <c r="N276" s="4" t="str">
        <f>VLOOKUP(M276,'Products (2)'!A:G,2,0)</f>
        <v>Arabica</v>
      </c>
      <c r="O276" s="4" t="str">
        <f>VLOOKUP(M276,'Products (2)'!A:G,3,0)</f>
        <v>Medium</v>
      </c>
      <c r="P276" s="4">
        <f>VLOOKUP(M276,'Products (2)'!A:G,7,0)</f>
        <v>2.3287499999999994</v>
      </c>
      <c r="Q276" s="3">
        <v>1</v>
      </c>
      <c r="R276" s="5">
        <f>INDEX([1]products!$A$1:$G$49,MATCH([1]orders!$D276,[1]products!$A$1:$A$49,0),MATCH([1]orders!K$1,[1]products!$A$1:$G$1,0))</f>
        <v>2.5</v>
      </c>
      <c r="S276" s="6">
        <f>INDEX([1]products!$A$1:$G$49,MATCH([1]orders!$D276,[1]products!$A$1:$A$49,0),MATCH([1]orders!L$1,[1]products!$A$1:$G$1,0))</f>
        <v>25.874999999999996</v>
      </c>
      <c r="T276" s="6">
        <f t="shared" si="24"/>
        <v>25.874999999999996</v>
      </c>
      <c r="U276" s="22">
        <f t="shared" si="28"/>
        <v>2.3287499999999994</v>
      </c>
      <c r="V276" s="22">
        <f t="shared" si="29"/>
        <v>9</v>
      </c>
    </row>
    <row r="277" spans="1:22" x14ac:dyDescent="0.3">
      <c r="A277" s="1" t="s">
        <v>564</v>
      </c>
      <c r="B277" s="2">
        <v>44725</v>
      </c>
      <c r="C277" s="2" t="str">
        <f t="shared" si="25"/>
        <v>Monday</v>
      </c>
      <c r="D277" s="2" t="str">
        <f t="shared" si="26"/>
        <v>June</v>
      </c>
      <c r="E277" s="2" t="str">
        <f t="shared" si="27"/>
        <v>2022</v>
      </c>
      <c r="F277" s="3" t="s">
        <v>565</v>
      </c>
      <c r="G277" s="3" t="str">
        <f>VLOOKUP(F278,'Customers (2)'!A:I,2,0)</f>
        <v>Dorelia Bury</v>
      </c>
      <c r="H277" s="3" t="str">
        <f>VLOOKUP(F277,'Customers (2)'!A:I,3,0)</f>
        <v>tcrowthe7n@europa.eu</v>
      </c>
      <c r="I277" s="3" t="str">
        <f>VLOOKUP(F277,'Customers (2)'!A:I,4,0)</f>
        <v>+1 (419) 561-6809</v>
      </c>
      <c r="J277" s="3" t="str">
        <f>VLOOKUP(F277,'Customers (2)'!A:I,6,0)</f>
        <v>Toledo</v>
      </c>
      <c r="K277" s="3" t="str">
        <f>VLOOKUP(F277,'Customers (2)'!A:I,7,0)</f>
        <v>United States</v>
      </c>
      <c r="L277" s="3" t="str">
        <f>VLOOKUP(F277,'Customers (2)'!A:I,9,0)</f>
        <v>No</v>
      </c>
      <c r="M277" s="4" t="s">
        <v>30</v>
      </c>
      <c r="N277" s="4" t="str">
        <f>VLOOKUP(M277,'Products (2)'!A:G,2,0)</f>
        <v>Excelsa</v>
      </c>
      <c r="O277" s="4" t="str">
        <f>VLOOKUP(M277,'Products (2)'!A:G,3,0)</f>
        <v>Light</v>
      </c>
      <c r="P277" s="4">
        <f>VLOOKUP(M277,'Products (2)'!A:G,7,0)</f>
        <v>3.7570499999999996</v>
      </c>
      <c r="Q277" s="3">
        <v>6</v>
      </c>
      <c r="R277" s="5">
        <f>INDEX([1]products!$A$1:$G$49,MATCH([1]orders!$D277,[1]products!$A$1:$A$49,0),MATCH([1]orders!K$1,[1]products!$A$1:$G$1,0))</f>
        <v>2.5</v>
      </c>
      <c r="S277" s="6">
        <f>INDEX([1]products!$A$1:$G$49,MATCH([1]orders!$D277,[1]products!$A$1:$A$49,0),MATCH([1]orders!L$1,[1]products!$A$1:$G$1,0))</f>
        <v>34.154999999999994</v>
      </c>
      <c r="T277" s="6">
        <f t="shared" si="24"/>
        <v>204.92999999999995</v>
      </c>
      <c r="U277" s="22">
        <f t="shared" si="28"/>
        <v>22.542299999999997</v>
      </c>
      <c r="V277" s="22">
        <f t="shared" si="29"/>
        <v>11.000000000000002</v>
      </c>
    </row>
    <row r="278" spans="1:22" x14ac:dyDescent="0.3">
      <c r="A278" s="1" t="s">
        <v>566</v>
      </c>
      <c r="B278" s="2">
        <v>43992</v>
      </c>
      <c r="C278" s="2" t="str">
        <f t="shared" si="25"/>
        <v>Wednesday</v>
      </c>
      <c r="D278" s="2" t="str">
        <f t="shared" si="26"/>
        <v>June</v>
      </c>
      <c r="E278" s="2" t="str">
        <f t="shared" si="27"/>
        <v>2020</v>
      </c>
      <c r="F278" s="3" t="s">
        <v>567</v>
      </c>
      <c r="G278" s="3" t="str">
        <f>VLOOKUP(F279,'Customers (2)'!A:I,2,0)</f>
        <v>Gussy Broadbear</v>
      </c>
      <c r="H278" s="3" t="str">
        <f>VLOOKUP(F278,'Customers (2)'!A:I,3,0)</f>
        <v>dbury7o@tinyurl.com</v>
      </c>
      <c r="I278" s="3" t="str">
        <f>VLOOKUP(F278,'Customers (2)'!A:I,4,0)</f>
        <v>+353 (262) 842-7103</v>
      </c>
      <c r="J278" s="3" t="str">
        <f>VLOOKUP(F278,'Customers (2)'!A:I,6,0)</f>
        <v>Castleblayney</v>
      </c>
      <c r="K278" s="3" t="str">
        <f>VLOOKUP(F278,'Customers (2)'!A:I,7,0)</f>
        <v>Ireland</v>
      </c>
      <c r="L278" s="3" t="str">
        <f>VLOOKUP(F278,'Customers (2)'!A:I,9,0)</f>
        <v>Yes</v>
      </c>
      <c r="M278" s="4" t="s">
        <v>10</v>
      </c>
      <c r="N278" s="4" t="str">
        <f>VLOOKUP(M278,'Products (2)'!A:G,2,0)</f>
        <v>Robusta</v>
      </c>
      <c r="O278" s="4" t="str">
        <f>VLOOKUP(M278,'Products (2)'!A:G,3,0)</f>
        <v>Light</v>
      </c>
      <c r="P278" s="4">
        <f>VLOOKUP(M278,'Products (2)'!A:G,7,0)</f>
        <v>1.6490999999999998</v>
      </c>
      <c r="Q278" s="3">
        <v>4</v>
      </c>
      <c r="R278" s="5">
        <f>INDEX([1]products!$A$1:$G$49,MATCH([1]orders!$D278,[1]products!$A$1:$A$49,0),MATCH([1]orders!K$1,[1]products!$A$1:$G$1,0))</f>
        <v>2.5</v>
      </c>
      <c r="S278" s="6">
        <f>INDEX([1]products!$A$1:$G$49,MATCH([1]orders!$D278,[1]products!$A$1:$A$49,0),MATCH([1]orders!L$1,[1]products!$A$1:$G$1,0))</f>
        <v>27.484999999999996</v>
      </c>
      <c r="T278" s="6">
        <f t="shared" si="24"/>
        <v>109.93999999999998</v>
      </c>
      <c r="U278" s="22">
        <f t="shared" si="28"/>
        <v>6.5963999999999992</v>
      </c>
      <c r="V278" s="22">
        <f t="shared" si="29"/>
        <v>6.0000000000000009</v>
      </c>
    </row>
    <row r="279" spans="1:22" x14ac:dyDescent="0.3">
      <c r="A279" s="1" t="s">
        <v>568</v>
      </c>
      <c r="B279" s="2">
        <v>44183</v>
      </c>
      <c r="C279" s="2" t="str">
        <f t="shared" si="25"/>
        <v>Friday</v>
      </c>
      <c r="D279" s="2" t="str">
        <f t="shared" si="26"/>
        <v>December</v>
      </c>
      <c r="E279" s="2" t="str">
        <f t="shared" si="27"/>
        <v>2020</v>
      </c>
      <c r="F279" s="3" t="s">
        <v>569</v>
      </c>
      <c r="G279" s="3" t="str">
        <f>VLOOKUP(F280,'Customers (2)'!A:I,2,0)</f>
        <v>Emlynne Palfrey</v>
      </c>
      <c r="H279" s="3" t="str">
        <f>VLOOKUP(F279,'Customers (2)'!A:I,3,0)</f>
        <v>gbroadbear7p@omniture.com</v>
      </c>
      <c r="I279" s="3" t="str">
        <f>VLOOKUP(F279,'Customers (2)'!A:I,4,0)</f>
        <v>+1 (573) 758-1104</v>
      </c>
      <c r="J279" s="3" t="str">
        <f>VLOOKUP(F279,'Customers (2)'!A:I,6,0)</f>
        <v>Columbia</v>
      </c>
      <c r="K279" s="3" t="str">
        <f>VLOOKUP(F279,'Customers (2)'!A:I,7,0)</f>
        <v>United States</v>
      </c>
      <c r="L279" s="3" t="str">
        <f>VLOOKUP(F279,'Customers (2)'!A:I,9,0)</f>
        <v>No</v>
      </c>
      <c r="M279" s="4" t="s">
        <v>137</v>
      </c>
      <c r="N279" s="4" t="str">
        <f>VLOOKUP(M279,'Products (2)'!A:G,2,0)</f>
        <v>Excelsa</v>
      </c>
      <c r="O279" s="4" t="str">
        <f>VLOOKUP(M279,'Products (2)'!A:G,3,0)</f>
        <v>Light</v>
      </c>
      <c r="P279" s="4">
        <f>VLOOKUP(M279,'Products (2)'!A:G,7,0)</f>
        <v>1.6335</v>
      </c>
      <c r="Q279" s="3">
        <v>6</v>
      </c>
      <c r="R279" s="5">
        <f>INDEX([1]products!$A$1:$G$49,MATCH([1]orders!$D279,[1]products!$A$1:$A$49,0),MATCH([1]orders!K$1,[1]products!$A$1:$G$1,0))</f>
        <v>1</v>
      </c>
      <c r="S279" s="6">
        <f>INDEX([1]products!$A$1:$G$49,MATCH([1]orders!$D279,[1]products!$A$1:$A$49,0),MATCH([1]orders!L$1,[1]products!$A$1:$G$1,0))</f>
        <v>14.85</v>
      </c>
      <c r="T279" s="6">
        <f t="shared" si="24"/>
        <v>89.1</v>
      </c>
      <c r="U279" s="22">
        <f t="shared" si="28"/>
        <v>9.8010000000000002</v>
      </c>
      <c r="V279" s="22">
        <f t="shared" si="29"/>
        <v>11.000000000000002</v>
      </c>
    </row>
    <row r="280" spans="1:22" x14ac:dyDescent="0.3">
      <c r="A280" s="1" t="s">
        <v>570</v>
      </c>
      <c r="B280" s="2">
        <v>43708</v>
      </c>
      <c r="C280" s="2" t="str">
        <f t="shared" si="25"/>
        <v>Saturday</v>
      </c>
      <c r="D280" s="2" t="str">
        <f t="shared" si="26"/>
        <v>August</v>
      </c>
      <c r="E280" s="2" t="str">
        <f t="shared" si="27"/>
        <v>2019</v>
      </c>
      <c r="F280" s="3" t="s">
        <v>571</v>
      </c>
      <c r="G280" s="3" t="str">
        <f>VLOOKUP(F281,'Customers (2)'!A:I,2,0)</f>
        <v>Parsifal Metrick</v>
      </c>
      <c r="H280" s="3" t="str">
        <f>VLOOKUP(F280,'Customers (2)'!A:I,3,0)</f>
        <v>epalfrey7q@devhub.com</v>
      </c>
      <c r="I280" s="3" t="str">
        <f>VLOOKUP(F280,'Customers (2)'!A:I,4,0)</f>
        <v>+1 (260) 500-7893</v>
      </c>
      <c r="J280" s="3" t="str">
        <f>VLOOKUP(F280,'Customers (2)'!A:I,6,0)</f>
        <v>Fort Wayne</v>
      </c>
      <c r="K280" s="3" t="str">
        <f>VLOOKUP(F280,'Customers (2)'!A:I,7,0)</f>
        <v>United States</v>
      </c>
      <c r="L280" s="3" t="str">
        <f>VLOOKUP(F280,'Customers (2)'!A:I,9,0)</f>
        <v>Yes</v>
      </c>
      <c r="M280" s="4" t="s">
        <v>115</v>
      </c>
      <c r="N280" s="4" t="str">
        <f>VLOOKUP(M280,'Products (2)'!A:G,2,0)</f>
        <v>Arabica</v>
      </c>
      <c r="O280" s="4" t="str">
        <f>VLOOKUP(M280,'Products (2)'!A:G,3,0)</f>
        <v>Light</v>
      </c>
      <c r="P280" s="4">
        <f>VLOOKUP(M280,'Products (2)'!A:G,7,0)</f>
        <v>0.34964999999999996</v>
      </c>
      <c r="Q280" s="3">
        <v>2</v>
      </c>
      <c r="R280" s="5">
        <f>INDEX([1]products!$A$1:$G$49,MATCH([1]orders!$D280,[1]products!$A$1:$A$49,0),MATCH([1]orders!K$1,[1]products!$A$1:$G$1,0))</f>
        <v>0.2</v>
      </c>
      <c r="S280" s="6">
        <f>INDEX([1]products!$A$1:$G$49,MATCH([1]orders!$D280,[1]products!$A$1:$A$49,0),MATCH([1]orders!L$1,[1]products!$A$1:$G$1,0))</f>
        <v>3.8849999999999998</v>
      </c>
      <c r="T280" s="6">
        <f t="shared" si="24"/>
        <v>7.77</v>
      </c>
      <c r="U280" s="22">
        <f t="shared" si="28"/>
        <v>0.69929999999999992</v>
      </c>
      <c r="V280" s="22">
        <f t="shared" si="29"/>
        <v>9</v>
      </c>
    </row>
    <row r="281" spans="1:22" x14ac:dyDescent="0.3">
      <c r="A281" s="1" t="s">
        <v>572</v>
      </c>
      <c r="B281" s="2">
        <v>43521</v>
      </c>
      <c r="C281" s="2" t="str">
        <f t="shared" si="25"/>
        <v>Monday</v>
      </c>
      <c r="D281" s="2" t="str">
        <f t="shared" si="26"/>
        <v>February</v>
      </c>
      <c r="E281" s="2" t="str">
        <f t="shared" si="27"/>
        <v>2019</v>
      </c>
      <c r="F281" s="3" t="s">
        <v>573</v>
      </c>
      <c r="G281" s="3" t="str">
        <f>VLOOKUP(F282,'Customers (2)'!A:I,2,0)</f>
        <v>Christopher Grieveson</v>
      </c>
      <c r="H281" s="3" t="str">
        <f>VLOOKUP(F281,'Customers (2)'!A:I,3,0)</f>
        <v>pmetrick7r@rakuten.co.jp</v>
      </c>
      <c r="I281" s="3" t="str">
        <f>VLOOKUP(F281,'Customers (2)'!A:I,4,0)</f>
        <v>+1 (314) 572-2164</v>
      </c>
      <c r="J281" s="3" t="str">
        <f>VLOOKUP(F281,'Customers (2)'!A:I,6,0)</f>
        <v>Saint Louis</v>
      </c>
      <c r="K281" s="3" t="str">
        <f>VLOOKUP(F281,'Customers (2)'!A:I,7,0)</f>
        <v>United States</v>
      </c>
      <c r="L281" s="3" t="str">
        <f>VLOOKUP(F281,'Customers (2)'!A:I,9,0)</f>
        <v>Yes</v>
      </c>
      <c r="M281" s="4" t="s">
        <v>197</v>
      </c>
      <c r="N281" s="4" t="str">
        <f>VLOOKUP(M281,'Products (2)'!A:G,2,0)</f>
        <v>Liberica</v>
      </c>
      <c r="O281" s="4" t="str">
        <f>VLOOKUP(M281,'Products (2)'!A:G,3,0)</f>
        <v>Medium</v>
      </c>
      <c r="P281" s="4">
        <f>VLOOKUP(M281,'Products (2)'!A:G,7,0)</f>
        <v>4.3504499999999995</v>
      </c>
      <c r="Q281" s="3">
        <v>1</v>
      </c>
      <c r="R281" s="5">
        <f>INDEX([1]products!$A$1:$G$49,MATCH([1]orders!$D281,[1]products!$A$1:$A$49,0),MATCH([1]orders!K$1,[1]products!$A$1:$G$1,0))</f>
        <v>2.5</v>
      </c>
      <c r="S281" s="6">
        <f>INDEX([1]products!$A$1:$G$49,MATCH([1]orders!$D281,[1]products!$A$1:$A$49,0),MATCH([1]orders!L$1,[1]products!$A$1:$G$1,0))</f>
        <v>33.464999999999996</v>
      </c>
      <c r="T281" s="6">
        <f t="shared" si="24"/>
        <v>33.464999999999996</v>
      </c>
      <c r="U281" s="22">
        <f t="shared" si="28"/>
        <v>4.3504499999999995</v>
      </c>
      <c r="V281" s="22">
        <f t="shared" si="29"/>
        <v>13</v>
      </c>
    </row>
    <row r="282" spans="1:22" x14ac:dyDescent="0.3">
      <c r="A282" s="1" t="s">
        <v>574</v>
      </c>
      <c r="B282" s="2">
        <v>44234</v>
      </c>
      <c r="C282" s="2" t="str">
        <f t="shared" si="25"/>
        <v>Sunday</v>
      </c>
      <c r="D282" s="2" t="str">
        <f t="shared" si="26"/>
        <v>February</v>
      </c>
      <c r="E282" s="2" t="str">
        <f t="shared" si="27"/>
        <v>2021</v>
      </c>
      <c r="F282" s="3" t="s">
        <v>575</v>
      </c>
      <c r="G282" s="3" t="str">
        <f>VLOOKUP(F283,'Customers (2)'!A:I,2,0)</f>
        <v>Karlan Karby</v>
      </c>
      <c r="H282" s="3">
        <f>VLOOKUP(F282,'Customers (2)'!A:I,3,0)</f>
        <v>0</v>
      </c>
      <c r="I282" s="3" t="str">
        <f>VLOOKUP(F282,'Customers (2)'!A:I,4,0)</f>
        <v>+1 (208) 826-3825</v>
      </c>
      <c r="J282" s="3" t="str">
        <f>VLOOKUP(F282,'Customers (2)'!A:I,6,0)</f>
        <v>Portland</v>
      </c>
      <c r="K282" s="3" t="str">
        <f>VLOOKUP(F282,'Customers (2)'!A:I,7,0)</f>
        <v>United States</v>
      </c>
      <c r="L282" s="3" t="str">
        <f>VLOOKUP(F282,'Customers (2)'!A:I,9,0)</f>
        <v>Yes</v>
      </c>
      <c r="M282" s="4" t="s">
        <v>3</v>
      </c>
      <c r="N282" s="4" t="str">
        <f>VLOOKUP(M282,'Products (2)'!A:G,2,0)</f>
        <v>Excelsa</v>
      </c>
      <c r="O282" s="4" t="str">
        <f>VLOOKUP(M282,'Products (2)'!A:G,3,0)</f>
        <v>Medium</v>
      </c>
      <c r="P282" s="4">
        <f>VLOOKUP(M282,'Products (2)'!A:G,7,0)</f>
        <v>0.90749999999999997</v>
      </c>
      <c r="Q282" s="3">
        <v>5</v>
      </c>
      <c r="R282" s="5">
        <f>INDEX([1]products!$A$1:$G$49,MATCH([1]orders!$D282,[1]products!$A$1:$A$49,0),MATCH([1]orders!K$1,[1]products!$A$1:$G$1,0))</f>
        <v>0.5</v>
      </c>
      <c r="S282" s="6">
        <f>INDEX([1]products!$A$1:$G$49,MATCH([1]orders!$D282,[1]products!$A$1:$A$49,0),MATCH([1]orders!L$1,[1]products!$A$1:$G$1,0))</f>
        <v>8.25</v>
      </c>
      <c r="T282" s="6">
        <f t="shared" si="24"/>
        <v>41.25</v>
      </c>
      <c r="U282" s="22">
        <f t="shared" si="28"/>
        <v>4.5374999999999996</v>
      </c>
      <c r="V282" s="22">
        <f t="shared" si="29"/>
        <v>10.999999999999998</v>
      </c>
    </row>
    <row r="283" spans="1:22" x14ac:dyDescent="0.3">
      <c r="A283" s="1" t="s">
        <v>576</v>
      </c>
      <c r="B283" s="2">
        <v>44210</v>
      </c>
      <c r="C283" s="2" t="str">
        <f t="shared" si="25"/>
        <v>Thursday</v>
      </c>
      <c r="D283" s="2" t="str">
        <f t="shared" si="26"/>
        <v>January</v>
      </c>
      <c r="E283" s="2" t="str">
        <f t="shared" si="27"/>
        <v>2021</v>
      </c>
      <c r="F283" s="3" t="s">
        <v>577</v>
      </c>
      <c r="G283" s="3" t="str">
        <f>VLOOKUP(F284,'Customers (2)'!A:I,2,0)</f>
        <v>Flory Crumpe</v>
      </c>
      <c r="H283" s="3" t="str">
        <f>VLOOKUP(F283,'Customers (2)'!A:I,3,0)</f>
        <v>kkarby7t@sbwire.com</v>
      </c>
      <c r="I283" s="3" t="str">
        <f>VLOOKUP(F283,'Customers (2)'!A:I,4,0)</f>
        <v>+1 (303) 516-4935</v>
      </c>
      <c r="J283" s="3" t="str">
        <f>VLOOKUP(F283,'Customers (2)'!A:I,6,0)</f>
        <v>Boulder</v>
      </c>
      <c r="K283" s="3" t="str">
        <f>VLOOKUP(F283,'Customers (2)'!A:I,7,0)</f>
        <v>United States</v>
      </c>
      <c r="L283" s="3" t="str">
        <f>VLOOKUP(F283,'Customers (2)'!A:I,9,0)</f>
        <v>Yes</v>
      </c>
      <c r="M283" s="4" t="s">
        <v>137</v>
      </c>
      <c r="N283" s="4" t="str">
        <f>VLOOKUP(M283,'Products (2)'!A:G,2,0)</f>
        <v>Excelsa</v>
      </c>
      <c r="O283" s="4" t="str">
        <f>VLOOKUP(M283,'Products (2)'!A:G,3,0)</f>
        <v>Light</v>
      </c>
      <c r="P283" s="4">
        <f>VLOOKUP(M283,'Products (2)'!A:G,7,0)</f>
        <v>1.6335</v>
      </c>
      <c r="Q283" s="3">
        <v>4</v>
      </c>
      <c r="R283" s="5">
        <f>INDEX([1]products!$A$1:$G$49,MATCH([1]orders!$D283,[1]products!$A$1:$A$49,0),MATCH([1]orders!K$1,[1]products!$A$1:$G$1,0))</f>
        <v>1</v>
      </c>
      <c r="S283" s="6">
        <f>INDEX([1]products!$A$1:$G$49,MATCH([1]orders!$D283,[1]products!$A$1:$A$49,0),MATCH([1]orders!L$1,[1]products!$A$1:$G$1,0))</f>
        <v>14.85</v>
      </c>
      <c r="T283" s="6">
        <f t="shared" si="24"/>
        <v>59.4</v>
      </c>
      <c r="U283" s="22">
        <f t="shared" si="28"/>
        <v>6.5339999999999998</v>
      </c>
      <c r="V283" s="22">
        <f t="shared" si="29"/>
        <v>11</v>
      </c>
    </row>
    <row r="284" spans="1:22" x14ac:dyDescent="0.3">
      <c r="A284" s="1" t="s">
        <v>578</v>
      </c>
      <c r="B284" s="2">
        <v>43520</v>
      </c>
      <c r="C284" s="2" t="str">
        <f t="shared" si="25"/>
        <v>Sunday</v>
      </c>
      <c r="D284" s="2" t="str">
        <f t="shared" si="26"/>
        <v>February</v>
      </c>
      <c r="E284" s="2" t="str">
        <f t="shared" si="27"/>
        <v>2019</v>
      </c>
      <c r="F284" s="3" t="s">
        <v>579</v>
      </c>
      <c r="G284" s="3" t="str">
        <f>VLOOKUP(F285,'Customers (2)'!A:I,2,0)</f>
        <v>Amity Chatto</v>
      </c>
      <c r="H284" s="3" t="str">
        <f>VLOOKUP(F284,'Customers (2)'!A:I,3,0)</f>
        <v>fcrumpe7u@ftc.gov</v>
      </c>
      <c r="I284" s="3" t="str">
        <f>VLOOKUP(F284,'Customers (2)'!A:I,4,0)</f>
        <v>+44 (564) 507-1056</v>
      </c>
      <c r="J284" s="3" t="str">
        <f>VLOOKUP(F284,'Customers (2)'!A:I,6,0)</f>
        <v>Norton</v>
      </c>
      <c r="K284" s="3" t="str">
        <f>VLOOKUP(F284,'Customers (2)'!A:I,7,0)</f>
        <v>United Kingdom</v>
      </c>
      <c r="L284" s="3" t="str">
        <f>VLOOKUP(F284,'Customers (2)'!A:I,9,0)</f>
        <v>No</v>
      </c>
      <c r="M284" s="4" t="s">
        <v>192</v>
      </c>
      <c r="N284" s="4" t="str">
        <f>VLOOKUP(M284,'Products (2)'!A:G,2,0)</f>
        <v>Arabica</v>
      </c>
      <c r="O284" s="4" t="str">
        <f>VLOOKUP(M284,'Products (2)'!A:G,3,0)</f>
        <v>Light</v>
      </c>
      <c r="P284" s="4">
        <f>VLOOKUP(M284,'Products (2)'!A:G,7,0)</f>
        <v>0.69929999999999992</v>
      </c>
      <c r="Q284" s="3">
        <v>1</v>
      </c>
      <c r="R284" s="5">
        <f>INDEX([1]products!$A$1:$G$49,MATCH([1]orders!$D284,[1]products!$A$1:$A$49,0),MATCH([1]orders!K$1,[1]products!$A$1:$G$1,0))</f>
        <v>0.5</v>
      </c>
      <c r="S284" s="6">
        <f>INDEX([1]products!$A$1:$G$49,MATCH([1]orders!$D284,[1]products!$A$1:$A$49,0),MATCH([1]orders!L$1,[1]products!$A$1:$G$1,0))</f>
        <v>7.77</v>
      </c>
      <c r="T284" s="6">
        <f t="shared" si="24"/>
        <v>7.77</v>
      </c>
      <c r="U284" s="22">
        <f t="shared" si="28"/>
        <v>0.69929999999999992</v>
      </c>
      <c r="V284" s="22">
        <f t="shared" si="29"/>
        <v>9</v>
      </c>
    </row>
    <row r="285" spans="1:22" x14ac:dyDescent="0.3">
      <c r="A285" s="1" t="s">
        <v>580</v>
      </c>
      <c r="B285" s="2">
        <v>43639</v>
      </c>
      <c r="C285" s="2" t="str">
        <f t="shared" si="25"/>
        <v>Sunday</v>
      </c>
      <c r="D285" s="2" t="str">
        <f t="shared" si="26"/>
        <v>June</v>
      </c>
      <c r="E285" s="2" t="str">
        <f t="shared" si="27"/>
        <v>2019</v>
      </c>
      <c r="F285" s="3" t="s">
        <v>581</v>
      </c>
      <c r="G285" s="3" t="str">
        <f>VLOOKUP(F286,'Customers (2)'!A:I,2,0)</f>
        <v>Nanine McCarthy</v>
      </c>
      <c r="H285" s="3" t="str">
        <f>VLOOKUP(F285,'Customers (2)'!A:I,3,0)</f>
        <v>achatto7v@sakura.ne.jp</v>
      </c>
      <c r="I285" s="3" t="str">
        <f>VLOOKUP(F285,'Customers (2)'!A:I,4,0)</f>
        <v>+44 (522) 740-3583</v>
      </c>
      <c r="J285" s="3" t="str">
        <f>VLOOKUP(F285,'Customers (2)'!A:I,6,0)</f>
        <v>Sheffield</v>
      </c>
      <c r="K285" s="3" t="str">
        <f>VLOOKUP(F285,'Customers (2)'!A:I,7,0)</f>
        <v>United Kingdom</v>
      </c>
      <c r="L285" s="3" t="str">
        <f>VLOOKUP(F285,'Customers (2)'!A:I,9,0)</f>
        <v>Yes</v>
      </c>
      <c r="M285" s="4" t="s">
        <v>146</v>
      </c>
      <c r="N285" s="4" t="str">
        <f>VLOOKUP(M285,'Products (2)'!A:G,2,0)</f>
        <v>Robusta</v>
      </c>
      <c r="O285" s="4" t="str">
        <f>VLOOKUP(M285,'Products (2)'!A:G,3,0)</f>
        <v>Dark</v>
      </c>
      <c r="P285" s="4">
        <f>VLOOKUP(M285,'Products (2)'!A:G,7,0)</f>
        <v>0.32219999999999993</v>
      </c>
      <c r="Q285" s="3">
        <v>1</v>
      </c>
      <c r="R285" s="5">
        <f>INDEX([1]products!$A$1:$G$49,MATCH([1]orders!$D285,[1]products!$A$1:$A$49,0),MATCH([1]orders!K$1,[1]products!$A$1:$G$1,0))</f>
        <v>0.5</v>
      </c>
      <c r="S285" s="6">
        <f>INDEX([1]products!$A$1:$G$49,MATCH([1]orders!$D285,[1]products!$A$1:$A$49,0),MATCH([1]orders!L$1,[1]products!$A$1:$G$1,0))</f>
        <v>5.3699999999999992</v>
      </c>
      <c r="T285" s="6">
        <f t="shared" si="24"/>
        <v>5.3699999999999992</v>
      </c>
      <c r="U285" s="22">
        <f t="shared" si="28"/>
        <v>0.32219999999999993</v>
      </c>
      <c r="V285" s="22">
        <f t="shared" si="29"/>
        <v>6</v>
      </c>
    </row>
    <row r="286" spans="1:22" x14ac:dyDescent="0.3">
      <c r="A286" s="1" t="s">
        <v>582</v>
      </c>
      <c r="B286" s="2">
        <v>43960</v>
      </c>
      <c r="C286" s="2" t="str">
        <f t="shared" si="25"/>
        <v>Saturday</v>
      </c>
      <c r="D286" s="2" t="str">
        <f t="shared" si="26"/>
        <v>May</v>
      </c>
      <c r="E286" s="2" t="str">
        <f t="shared" si="27"/>
        <v>2020</v>
      </c>
      <c r="F286" s="3" t="s">
        <v>583</v>
      </c>
      <c r="G286" s="3" t="str">
        <f>VLOOKUP(F287,'Customers (2)'!A:I,2,0)</f>
        <v>Lyndsey Megany</v>
      </c>
      <c r="H286" s="3">
        <f>VLOOKUP(F286,'Customers (2)'!A:I,3,0)</f>
        <v>0</v>
      </c>
      <c r="I286" s="3" t="str">
        <f>VLOOKUP(F286,'Customers (2)'!A:I,4,0)</f>
        <v>+1 (502) 913-2943</v>
      </c>
      <c r="J286" s="3" t="str">
        <f>VLOOKUP(F286,'Customers (2)'!A:I,6,0)</f>
        <v>Louisville</v>
      </c>
      <c r="K286" s="3" t="str">
        <f>VLOOKUP(F286,'Customers (2)'!A:I,7,0)</f>
        <v>United States</v>
      </c>
      <c r="L286" s="3" t="str">
        <f>VLOOKUP(F286,'Customers (2)'!A:I,9,0)</f>
        <v>No</v>
      </c>
      <c r="M286" s="4" t="s">
        <v>112</v>
      </c>
      <c r="N286" s="4" t="str">
        <f>VLOOKUP(M286,'Products (2)'!A:G,2,0)</f>
        <v>Excelsa</v>
      </c>
      <c r="O286" s="4" t="str">
        <f>VLOOKUP(M286,'Products (2)'!A:G,3,0)</f>
        <v>Medium</v>
      </c>
      <c r="P286" s="4">
        <f>VLOOKUP(M286,'Products (2)'!A:G,7,0)</f>
        <v>3.4787499999999998</v>
      </c>
      <c r="Q286" s="3">
        <v>3</v>
      </c>
      <c r="R286" s="5">
        <f>INDEX([1]products!$A$1:$G$49,MATCH([1]orders!$D286,[1]products!$A$1:$A$49,0),MATCH([1]orders!K$1,[1]products!$A$1:$G$1,0))</f>
        <v>2.5</v>
      </c>
      <c r="S286" s="6">
        <f>INDEX([1]products!$A$1:$G$49,MATCH([1]orders!$D286,[1]products!$A$1:$A$49,0),MATCH([1]orders!L$1,[1]products!$A$1:$G$1,0))</f>
        <v>31.624999999999996</v>
      </c>
      <c r="T286" s="6">
        <f t="shared" si="24"/>
        <v>94.874999999999986</v>
      </c>
      <c r="U286" s="22">
        <f t="shared" si="28"/>
        <v>10.436249999999999</v>
      </c>
      <c r="V286" s="22">
        <f t="shared" si="29"/>
        <v>11.000000000000002</v>
      </c>
    </row>
    <row r="287" spans="1:22" x14ac:dyDescent="0.3">
      <c r="A287" s="1" t="s">
        <v>584</v>
      </c>
      <c r="B287" s="2">
        <v>44030</v>
      </c>
      <c r="C287" s="2" t="str">
        <f t="shared" si="25"/>
        <v>Saturday</v>
      </c>
      <c r="D287" s="2" t="str">
        <f t="shared" si="26"/>
        <v>July</v>
      </c>
      <c r="E287" s="2" t="str">
        <f t="shared" si="27"/>
        <v>2020</v>
      </c>
      <c r="F287" s="3" t="s">
        <v>585</v>
      </c>
      <c r="G287" s="3" t="str">
        <f>VLOOKUP(F288,'Customers (2)'!A:I,2,0)</f>
        <v>Byram Mergue</v>
      </c>
      <c r="H287" s="3">
        <f>VLOOKUP(F287,'Customers (2)'!A:I,3,0)</f>
        <v>0</v>
      </c>
      <c r="I287" s="3" t="str">
        <f>VLOOKUP(F287,'Customers (2)'!A:I,4,0)</f>
        <v>+1 (716) 790-4379</v>
      </c>
      <c r="J287" s="3" t="str">
        <f>VLOOKUP(F287,'Customers (2)'!A:I,6,0)</f>
        <v>Buffalo</v>
      </c>
      <c r="K287" s="3" t="str">
        <f>VLOOKUP(F287,'Customers (2)'!A:I,7,0)</f>
        <v>United States</v>
      </c>
      <c r="L287" s="3" t="str">
        <f>VLOOKUP(F287,'Customers (2)'!A:I,9,0)</f>
        <v>No</v>
      </c>
      <c r="M287" s="4" t="s">
        <v>104</v>
      </c>
      <c r="N287" s="4" t="str">
        <f>VLOOKUP(M287,'Products (2)'!A:G,2,0)</f>
        <v>Liberica</v>
      </c>
      <c r="O287" s="4" t="str">
        <f>VLOOKUP(M287,'Products (2)'!A:G,3,0)</f>
        <v>Light</v>
      </c>
      <c r="P287" s="4">
        <f>VLOOKUP(M287,'Products (2)'!A:G,7,0)</f>
        <v>4.7391499999999995</v>
      </c>
      <c r="Q287" s="3">
        <v>1</v>
      </c>
      <c r="R287" s="5">
        <f>INDEX([1]products!$A$1:$G$49,MATCH([1]orders!$D287,[1]products!$A$1:$A$49,0),MATCH([1]orders!K$1,[1]products!$A$1:$G$1,0))</f>
        <v>2.5</v>
      </c>
      <c r="S287" s="6">
        <f>INDEX([1]products!$A$1:$G$49,MATCH([1]orders!$D287,[1]products!$A$1:$A$49,0),MATCH([1]orders!L$1,[1]products!$A$1:$G$1,0))</f>
        <v>36.454999999999998</v>
      </c>
      <c r="T287" s="6">
        <f t="shared" si="24"/>
        <v>36.454999999999998</v>
      </c>
      <c r="U287" s="22">
        <f t="shared" si="28"/>
        <v>4.7391499999999995</v>
      </c>
      <c r="V287" s="22">
        <f t="shared" si="29"/>
        <v>13</v>
      </c>
    </row>
    <row r="288" spans="1:22" x14ac:dyDescent="0.3">
      <c r="A288" s="1" t="s">
        <v>586</v>
      </c>
      <c r="B288" s="2">
        <v>43755</v>
      </c>
      <c r="C288" s="2" t="str">
        <f t="shared" si="25"/>
        <v>Thursday</v>
      </c>
      <c r="D288" s="2" t="str">
        <f t="shared" si="26"/>
        <v>October</v>
      </c>
      <c r="E288" s="2" t="str">
        <f t="shared" si="27"/>
        <v>2019</v>
      </c>
      <c r="F288" s="3" t="s">
        <v>587</v>
      </c>
      <c r="G288" s="3" t="str">
        <f>VLOOKUP(F289,'Customers (2)'!A:I,2,0)</f>
        <v>Kerr Patise</v>
      </c>
      <c r="H288" s="3" t="str">
        <f>VLOOKUP(F288,'Customers (2)'!A:I,3,0)</f>
        <v>bmergue7y@umn.edu</v>
      </c>
      <c r="I288" s="3">
        <f>VLOOKUP(F288,'Customers (2)'!A:I,4,0)</f>
        <v>0</v>
      </c>
      <c r="J288" s="3" t="str">
        <f>VLOOKUP(F288,'Customers (2)'!A:I,6,0)</f>
        <v>Canton</v>
      </c>
      <c r="K288" s="3" t="str">
        <f>VLOOKUP(F288,'Customers (2)'!A:I,7,0)</f>
        <v>United States</v>
      </c>
      <c r="L288" s="3" t="str">
        <f>VLOOKUP(F288,'Customers (2)'!A:I,9,0)</f>
        <v>Yes</v>
      </c>
      <c r="M288" s="4" t="s">
        <v>44</v>
      </c>
      <c r="N288" s="4" t="str">
        <f>VLOOKUP(M288,'Products (2)'!A:G,2,0)</f>
        <v>Arabica</v>
      </c>
      <c r="O288" s="4" t="str">
        <f>VLOOKUP(M288,'Products (2)'!A:G,3,0)</f>
        <v>Medium</v>
      </c>
      <c r="P288" s="4">
        <f>VLOOKUP(M288,'Products (2)'!A:G,7,0)</f>
        <v>0.30374999999999996</v>
      </c>
      <c r="Q288" s="3">
        <v>4</v>
      </c>
      <c r="R288" s="5">
        <f>INDEX([1]products!$A$1:$G$49,MATCH([1]orders!$D288,[1]products!$A$1:$A$49,0),MATCH([1]orders!K$1,[1]products!$A$1:$G$1,0))</f>
        <v>0.2</v>
      </c>
      <c r="S288" s="6">
        <f>INDEX([1]products!$A$1:$G$49,MATCH([1]orders!$D288,[1]products!$A$1:$A$49,0),MATCH([1]orders!L$1,[1]products!$A$1:$G$1,0))</f>
        <v>3.375</v>
      </c>
      <c r="T288" s="6">
        <f t="shared" si="24"/>
        <v>13.5</v>
      </c>
      <c r="U288" s="22">
        <f t="shared" si="28"/>
        <v>1.2149999999999999</v>
      </c>
      <c r="V288" s="22">
        <f t="shared" si="29"/>
        <v>8.9999999999999982</v>
      </c>
    </row>
    <row r="289" spans="1:22" x14ac:dyDescent="0.3">
      <c r="A289" s="1" t="s">
        <v>588</v>
      </c>
      <c r="B289" s="2">
        <v>44697</v>
      </c>
      <c r="C289" s="2" t="str">
        <f t="shared" si="25"/>
        <v>Monday</v>
      </c>
      <c r="D289" s="2" t="str">
        <f t="shared" si="26"/>
        <v>May</v>
      </c>
      <c r="E289" s="2" t="str">
        <f t="shared" si="27"/>
        <v>2022</v>
      </c>
      <c r="F289" s="3" t="s">
        <v>589</v>
      </c>
      <c r="G289" s="3" t="str">
        <f>VLOOKUP(F290,'Customers (2)'!A:I,2,0)</f>
        <v>Mathew Goulter</v>
      </c>
      <c r="H289" s="3" t="str">
        <f>VLOOKUP(F289,'Customers (2)'!A:I,3,0)</f>
        <v>kpatise7z@jigsy.com</v>
      </c>
      <c r="I289" s="3" t="str">
        <f>VLOOKUP(F289,'Customers (2)'!A:I,4,0)</f>
        <v>+1 (617) 552-8968</v>
      </c>
      <c r="J289" s="3" t="str">
        <f>VLOOKUP(F289,'Customers (2)'!A:I,6,0)</f>
        <v>Boston</v>
      </c>
      <c r="K289" s="3" t="str">
        <f>VLOOKUP(F289,'Customers (2)'!A:I,7,0)</f>
        <v>United States</v>
      </c>
      <c r="L289" s="3" t="str">
        <f>VLOOKUP(F289,'Customers (2)'!A:I,9,0)</f>
        <v>No</v>
      </c>
      <c r="M289" s="4" t="s">
        <v>182</v>
      </c>
      <c r="N289" s="4" t="str">
        <f>VLOOKUP(M289,'Products (2)'!A:G,2,0)</f>
        <v>Robusta</v>
      </c>
      <c r="O289" s="4" t="str">
        <f>VLOOKUP(M289,'Products (2)'!A:G,3,0)</f>
        <v>Light</v>
      </c>
      <c r="P289" s="4">
        <f>VLOOKUP(M289,'Products (2)'!A:G,7,0)</f>
        <v>0.21509999999999996</v>
      </c>
      <c r="Q289" s="3">
        <v>4</v>
      </c>
      <c r="R289" s="5">
        <f>INDEX([1]products!$A$1:$G$49,MATCH([1]orders!$D289,[1]products!$A$1:$A$49,0),MATCH([1]orders!K$1,[1]products!$A$1:$G$1,0))</f>
        <v>0.2</v>
      </c>
      <c r="S289" s="6">
        <f>INDEX([1]products!$A$1:$G$49,MATCH([1]orders!$D289,[1]products!$A$1:$A$49,0),MATCH([1]orders!L$1,[1]products!$A$1:$G$1,0))</f>
        <v>3.5849999999999995</v>
      </c>
      <c r="T289" s="6">
        <f t="shared" si="24"/>
        <v>14.339999999999998</v>
      </c>
      <c r="U289" s="22">
        <f t="shared" si="28"/>
        <v>0.86039999999999983</v>
      </c>
      <c r="V289" s="22">
        <f t="shared" si="29"/>
        <v>6</v>
      </c>
    </row>
    <row r="290" spans="1:22" x14ac:dyDescent="0.3">
      <c r="A290" s="1" t="s">
        <v>590</v>
      </c>
      <c r="B290" s="2">
        <v>44279</v>
      </c>
      <c r="C290" s="2" t="str">
        <f t="shared" si="25"/>
        <v>Wednesday</v>
      </c>
      <c r="D290" s="2" t="str">
        <f t="shared" si="26"/>
        <v>March</v>
      </c>
      <c r="E290" s="2" t="str">
        <f t="shared" si="27"/>
        <v>2021</v>
      </c>
      <c r="F290" s="3" t="s">
        <v>591</v>
      </c>
      <c r="G290" s="3" t="str">
        <f>VLOOKUP(F291,'Customers (2)'!A:I,2,0)</f>
        <v>Marris Grcic</v>
      </c>
      <c r="H290" s="3">
        <f>VLOOKUP(F290,'Customers (2)'!A:I,3,0)</f>
        <v>0</v>
      </c>
      <c r="I290" s="3" t="str">
        <f>VLOOKUP(F290,'Customers (2)'!A:I,4,0)</f>
        <v>+353 (968) 887-1849</v>
      </c>
      <c r="J290" s="3" t="str">
        <f>VLOOKUP(F290,'Customers (2)'!A:I,6,0)</f>
        <v>Kinlough</v>
      </c>
      <c r="K290" s="3" t="str">
        <f>VLOOKUP(F290,'Customers (2)'!A:I,7,0)</f>
        <v>Ireland</v>
      </c>
      <c r="L290" s="3" t="str">
        <f>VLOOKUP(F290,'Customers (2)'!A:I,9,0)</f>
        <v>Yes</v>
      </c>
      <c r="M290" s="4" t="s">
        <v>3</v>
      </c>
      <c r="N290" s="4" t="str">
        <f>VLOOKUP(M290,'Products (2)'!A:G,2,0)</f>
        <v>Excelsa</v>
      </c>
      <c r="O290" s="4" t="str">
        <f>VLOOKUP(M290,'Products (2)'!A:G,3,0)</f>
        <v>Medium</v>
      </c>
      <c r="P290" s="4">
        <f>VLOOKUP(M290,'Products (2)'!A:G,7,0)</f>
        <v>0.90749999999999997</v>
      </c>
      <c r="Q290" s="3">
        <v>1</v>
      </c>
      <c r="R290" s="5">
        <f>INDEX([1]products!$A$1:$G$49,MATCH([1]orders!$D290,[1]products!$A$1:$A$49,0),MATCH([1]orders!K$1,[1]products!$A$1:$G$1,0))</f>
        <v>0.5</v>
      </c>
      <c r="S290" s="6">
        <f>INDEX([1]products!$A$1:$G$49,MATCH([1]orders!$D290,[1]products!$A$1:$A$49,0),MATCH([1]orders!L$1,[1]products!$A$1:$G$1,0))</f>
        <v>8.25</v>
      </c>
      <c r="T290" s="6">
        <f t="shared" si="24"/>
        <v>8.25</v>
      </c>
      <c r="U290" s="22">
        <f t="shared" si="28"/>
        <v>0.90749999999999997</v>
      </c>
      <c r="V290" s="22">
        <f t="shared" si="29"/>
        <v>11</v>
      </c>
    </row>
    <row r="291" spans="1:22" x14ac:dyDescent="0.3">
      <c r="A291" s="1" t="s">
        <v>592</v>
      </c>
      <c r="B291" s="2">
        <v>43772</v>
      </c>
      <c r="C291" s="2" t="str">
        <f t="shared" si="25"/>
        <v>Sunday</v>
      </c>
      <c r="D291" s="2" t="str">
        <f t="shared" si="26"/>
        <v>November</v>
      </c>
      <c r="E291" s="2" t="str">
        <f t="shared" si="27"/>
        <v>2019</v>
      </c>
      <c r="F291" s="3" t="s">
        <v>593</v>
      </c>
      <c r="G291" s="3" t="str">
        <f>VLOOKUP(F292,'Customers (2)'!A:I,2,0)</f>
        <v>Domeniga Duke</v>
      </c>
      <c r="H291" s="3">
        <f>VLOOKUP(F291,'Customers (2)'!A:I,3,0)</f>
        <v>0</v>
      </c>
      <c r="I291" s="3">
        <f>VLOOKUP(F291,'Customers (2)'!A:I,4,0)</f>
        <v>0</v>
      </c>
      <c r="J291" s="3" t="str">
        <f>VLOOKUP(F291,'Customers (2)'!A:I,6,0)</f>
        <v>Lynchburg</v>
      </c>
      <c r="K291" s="3" t="str">
        <f>VLOOKUP(F291,'Customers (2)'!A:I,7,0)</f>
        <v>United States</v>
      </c>
      <c r="L291" s="3" t="str">
        <f>VLOOKUP(F291,'Customers (2)'!A:I,9,0)</f>
        <v>Yes</v>
      </c>
      <c r="M291" s="4" t="s">
        <v>101</v>
      </c>
      <c r="N291" s="4" t="str">
        <f>VLOOKUP(M291,'Products (2)'!A:G,2,0)</f>
        <v>Robusta</v>
      </c>
      <c r="O291" s="4" t="str">
        <f>VLOOKUP(M291,'Products (2)'!A:G,3,0)</f>
        <v>Dark</v>
      </c>
      <c r="P291" s="4">
        <f>VLOOKUP(M291,'Products (2)'!A:G,7,0)</f>
        <v>0.16109999999999997</v>
      </c>
      <c r="Q291" s="3">
        <v>5</v>
      </c>
      <c r="R291" s="5">
        <f>INDEX([1]products!$A$1:$G$49,MATCH([1]orders!$D291,[1]products!$A$1:$A$49,0),MATCH([1]orders!K$1,[1]products!$A$1:$G$1,0))</f>
        <v>0.2</v>
      </c>
      <c r="S291" s="6">
        <f>INDEX([1]products!$A$1:$G$49,MATCH([1]orders!$D291,[1]products!$A$1:$A$49,0),MATCH([1]orders!L$1,[1]products!$A$1:$G$1,0))</f>
        <v>2.6849999999999996</v>
      </c>
      <c r="T291" s="6">
        <f t="shared" si="24"/>
        <v>13.424999999999997</v>
      </c>
      <c r="U291" s="22">
        <f t="shared" si="28"/>
        <v>0.80549999999999988</v>
      </c>
      <c r="V291" s="22">
        <f t="shared" si="29"/>
        <v>6.0000000000000009</v>
      </c>
    </row>
    <row r="292" spans="1:22" x14ac:dyDescent="0.3">
      <c r="A292" s="1" t="s">
        <v>594</v>
      </c>
      <c r="B292" s="2">
        <v>44497</v>
      </c>
      <c r="C292" s="2" t="str">
        <f t="shared" si="25"/>
        <v>Thursday</v>
      </c>
      <c r="D292" s="2" t="str">
        <f t="shared" si="26"/>
        <v>October</v>
      </c>
      <c r="E292" s="2" t="str">
        <f t="shared" si="27"/>
        <v>2021</v>
      </c>
      <c r="F292" s="3" t="s">
        <v>595</v>
      </c>
      <c r="G292" s="3" t="str">
        <f>VLOOKUP(F293,'Customers (2)'!A:I,2,0)</f>
        <v>Violante Skouling</v>
      </c>
      <c r="H292" s="3" t="str">
        <f>VLOOKUP(F292,'Customers (2)'!A:I,3,0)</f>
        <v>dduke82@vkontakte.ru</v>
      </c>
      <c r="I292" s="3" t="str">
        <f>VLOOKUP(F292,'Customers (2)'!A:I,4,0)</f>
        <v>+1 (626) 268-7265</v>
      </c>
      <c r="J292" s="3" t="str">
        <f>VLOOKUP(F292,'Customers (2)'!A:I,6,0)</f>
        <v>Los Angeles</v>
      </c>
      <c r="K292" s="3" t="str">
        <f>VLOOKUP(F292,'Customers (2)'!A:I,7,0)</f>
        <v>United States</v>
      </c>
      <c r="L292" s="3" t="str">
        <f>VLOOKUP(F292,'Customers (2)'!A:I,9,0)</f>
        <v>No</v>
      </c>
      <c r="M292" s="4" t="s">
        <v>27</v>
      </c>
      <c r="N292" s="4" t="str">
        <f>VLOOKUP(M292,'Products (2)'!A:G,2,0)</f>
        <v>Arabica</v>
      </c>
      <c r="O292" s="4" t="str">
        <f>VLOOKUP(M292,'Products (2)'!A:G,3,0)</f>
        <v>Dark</v>
      </c>
      <c r="P292" s="4">
        <f>VLOOKUP(M292,'Products (2)'!A:G,7,0)</f>
        <v>0.89549999999999985</v>
      </c>
      <c r="Q292" s="3">
        <v>5</v>
      </c>
      <c r="R292" s="5">
        <f>INDEX([1]products!$A$1:$G$49,MATCH([1]orders!$D292,[1]products!$A$1:$A$49,0),MATCH([1]orders!K$1,[1]products!$A$1:$G$1,0))</f>
        <v>1</v>
      </c>
      <c r="S292" s="6">
        <f>INDEX([1]products!$A$1:$G$49,MATCH([1]orders!$D292,[1]products!$A$1:$A$49,0),MATCH([1]orders!L$1,[1]products!$A$1:$G$1,0))</f>
        <v>9.9499999999999993</v>
      </c>
      <c r="T292" s="6">
        <f t="shared" si="24"/>
        <v>49.75</v>
      </c>
      <c r="U292" s="22">
        <f t="shared" si="28"/>
        <v>4.4774999999999991</v>
      </c>
      <c r="V292" s="22">
        <f t="shared" si="29"/>
        <v>8.9999999999999982</v>
      </c>
    </row>
    <row r="293" spans="1:22" x14ac:dyDescent="0.3">
      <c r="A293" s="1" t="s">
        <v>596</v>
      </c>
      <c r="B293" s="2">
        <v>44181</v>
      </c>
      <c r="C293" s="2" t="str">
        <f t="shared" si="25"/>
        <v>Wednesday</v>
      </c>
      <c r="D293" s="2" t="str">
        <f t="shared" si="26"/>
        <v>December</v>
      </c>
      <c r="E293" s="2" t="str">
        <f t="shared" si="27"/>
        <v>2020</v>
      </c>
      <c r="F293" s="3" t="s">
        <v>597</v>
      </c>
      <c r="G293" s="3" t="str">
        <f>VLOOKUP(F294,'Customers (2)'!A:I,2,0)</f>
        <v>Isidore Hussey</v>
      </c>
      <c r="H293" s="3">
        <f>VLOOKUP(F293,'Customers (2)'!A:I,3,0)</f>
        <v>0</v>
      </c>
      <c r="I293" s="3">
        <f>VLOOKUP(F293,'Customers (2)'!A:I,4,0)</f>
        <v>0</v>
      </c>
      <c r="J293" s="3" t="str">
        <f>VLOOKUP(F293,'Customers (2)'!A:I,6,0)</f>
        <v>Drumcondra</v>
      </c>
      <c r="K293" s="3" t="str">
        <f>VLOOKUP(F293,'Customers (2)'!A:I,7,0)</f>
        <v>Ireland</v>
      </c>
      <c r="L293" s="3" t="str">
        <f>VLOOKUP(F293,'Customers (2)'!A:I,9,0)</f>
        <v>No</v>
      </c>
      <c r="M293" s="4" t="s">
        <v>3</v>
      </c>
      <c r="N293" s="4" t="str">
        <f>VLOOKUP(M293,'Products (2)'!A:G,2,0)</f>
        <v>Excelsa</v>
      </c>
      <c r="O293" s="4" t="str">
        <f>VLOOKUP(M293,'Products (2)'!A:G,3,0)</f>
        <v>Medium</v>
      </c>
      <c r="P293" s="4">
        <f>VLOOKUP(M293,'Products (2)'!A:G,7,0)</f>
        <v>0.90749999999999997</v>
      </c>
      <c r="Q293" s="3">
        <v>2</v>
      </c>
      <c r="R293" s="5">
        <f>INDEX([1]products!$A$1:$G$49,MATCH([1]orders!$D293,[1]products!$A$1:$A$49,0),MATCH([1]orders!K$1,[1]products!$A$1:$G$1,0))</f>
        <v>0.5</v>
      </c>
      <c r="S293" s="6">
        <f>INDEX([1]products!$A$1:$G$49,MATCH([1]orders!$D293,[1]products!$A$1:$A$49,0),MATCH([1]orders!L$1,[1]products!$A$1:$G$1,0))</f>
        <v>8.25</v>
      </c>
      <c r="T293" s="6">
        <f t="shared" si="24"/>
        <v>16.5</v>
      </c>
      <c r="U293" s="22">
        <f t="shared" si="28"/>
        <v>1.8149999999999999</v>
      </c>
      <c r="V293" s="22">
        <f t="shared" si="29"/>
        <v>11</v>
      </c>
    </row>
    <row r="294" spans="1:22" x14ac:dyDescent="0.3">
      <c r="A294" s="1" t="s">
        <v>598</v>
      </c>
      <c r="B294" s="2">
        <v>44529</v>
      </c>
      <c r="C294" s="2" t="str">
        <f t="shared" si="25"/>
        <v>Monday</v>
      </c>
      <c r="D294" s="2" t="str">
        <f t="shared" si="26"/>
        <v>November</v>
      </c>
      <c r="E294" s="2" t="str">
        <f t="shared" si="27"/>
        <v>2021</v>
      </c>
      <c r="F294" s="3" t="s">
        <v>599</v>
      </c>
      <c r="G294" s="3" t="str">
        <f>VLOOKUP(F295,'Customers (2)'!A:I,2,0)</f>
        <v>Cassie Pinkerton</v>
      </c>
      <c r="H294" s="3" t="str">
        <f>VLOOKUP(F294,'Customers (2)'!A:I,3,0)</f>
        <v>ihussey84@mapy.cz</v>
      </c>
      <c r="I294" s="3">
        <f>VLOOKUP(F294,'Customers (2)'!A:I,4,0)</f>
        <v>0</v>
      </c>
      <c r="J294" s="3" t="str">
        <f>VLOOKUP(F294,'Customers (2)'!A:I,6,0)</f>
        <v>Birmingham</v>
      </c>
      <c r="K294" s="3" t="str">
        <f>VLOOKUP(F294,'Customers (2)'!A:I,7,0)</f>
        <v>United States</v>
      </c>
      <c r="L294" s="3" t="str">
        <f>VLOOKUP(F294,'Customers (2)'!A:I,9,0)</f>
        <v>No</v>
      </c>
      <c r="M294" s="4" t="s">
        <v>72</v>
      </c>
      <c r="N294" s="4" t="str">
        <f>VLOOKUP(M294,'Products (2)'!A:G,2,0)</f>
        <v>Arabica</v>
      </c>
      <c r="O294" s="4" t="str">
        <f>VLOOKUP(M294,'Products (2)'!A:G,3,0)</f>
        <v>Dark</v>
      </c>
      <c r="P294" s="4">
        <f>VLOOKUP(M294,'Products (2)'!A:G,7,0)</f>
        <v>0.5373</v>
      </c>
      <c r="Q294" s="3">
        <v>3</v>
      </c>
      <c r="R294" s="5">
        <f>INDEX([1]products!$A$1:$G$49,MATCH([1]orders!$D294,[1]products!$A$1:$A$49,0),MATCH([1]orders!K$1,[1]products!$A$1:$G$1,0))</f>
        <v>0.5</v>
      </c>
      <c r="S294" s="6">
        <f>INDEX([1]products!$A$1:$G$49,MATCH([1]orders!$D294,[1]products!$A$1:$A$49,0),MATCH([1]orders!L$1,[1]products!$A$1:$G$1,0))</f>
        <v>5.97</v>
      </c>
      <c r="T294" s="6">
        <f t="shared" si="24"/>
        <v>17.91</v>
      </c>
      <c r="U294" s="22">
        <f t="shared" si="28"/>
        <v>1.6118999999999999</v>
      </c>
      <c r="V294" s="22">
        <f t="shared" si="29"/>
        <v>9</v>
      </c>
    </row>
    <row r="295" spans="1:22" x14ac:dyDescent="0.3">
      <c r="A295" s="1" t="s">
        <v>600</v>
      </c>
      <c r="B295" s="2">
        <v>44275</v>
      </c>
      <c r="C295" s="2" t="str">
        <f t="shared" si="25"/>
        <v>Saturday</v>
      </c>
      <c r="D295" s="2" t="str">
        <f t="shared" si="26"/>
        <v>March</v>
      </c>
      <c r="E295" s="2" t="str">
        <f t="shared" si="27"/>
        <v>2021</v>
      </c>
      <c r="F295" s="3" t="s">
        <v>601</v>
      </c>
      <c r="G295" s="3" t="str">
        <f>VLOOKUP(F296,'Customers (2)'!A:I,2,0)</f>
        <v>Micki Fero</v>
      </c>
      <c r="H295" s="3" t="str">
        <f>VLOOKUP(F295,'Customers (2)'!A:I,3,0)</f>
        <v>cpinkerton85@upenn.edu</v>
      </c>
      <c r="I295" s="3" t="str">
        <f>VLOOKUP(F295,'Customers (2)'!A:I,4,0)</f>
        <v>+1 (202) 727-7464</v>
      </c>
      <c r="J295" s="3" t="str">
        <f>VLOOKUP(F295,'Customers (2)'!A:I,6,0)</f>
        <v>Alexandria</v>
      </c>
      <c r="K295" s="3" t="str">
        <f>VLOOKUP(F295,'Customers (2)'!A:I,7,0)</f>
        <v>United States</v>
      </c>
      <c r="L295" s="3" t="str">
        <f>VLOOKUP(F295,'Customers (2)'!A:I,9,0)</f>
        <v>No</v>
      </c>
      <c r="M295" s="4" t="s">
        <v>72</v>
      </c>
      <c r="N295" s="4" t="str">
        <f>VLOOKUP(M295,'Products (2)'!A:G,2,0)</f>
        <v>Arabica</v>
      </c>
      <c r="O295" s="4" t="str">
        <f>VLOOKUP(M295,'Products (2)'!A:G,3,0)</f>
        <v>Dark</v>
      </c>
      <c r="P295" s="4">
        <f>VLOOKUP(M295,'Products (2)'!A:G,7,0)</f>
        <v>0.5373</v>
      </c>
      <c r="Q295" s="3">
        <v>5</v>
      </c>
      <c r="R295" s="5">
        <f>INDEX([1]products!$A$1:$G$49,MATCH([1]orders!$D295,[1]products!$A$1:$A$49,0),MATCH([1]orders!K$1,[1]products!$A$1:$G$1,0))</f>
        <v>0.5</v>
      </c>
      <c r="S295" s="6">
        <f>INDEX([1]products!$A$1:$G$49,MATCH([1]orders!$D295,[1]products!$A$1:$A$49,0),MATCH([1]orders!L$1,[1]products!$A$1:$G$1,0))</f>
        <v>5.97</v>
      </c>
      <c r="T295" s="6">
        <f t="shared" si="24"/>
        <v>29.849999999999998</v>
      </c>
      <c r="U295" s="22">
        <f t="shared" si="28"/>
        <v>2.6865000000000001</v>
      </c>
      <c r="V295" s="22">
        <f t="shared" si="29"/>
        <v>9.0000000000000018</v>
      </c>
    </row>
    <row r="296" spans="1:22" x14ac:dyDescent="0.3">
      <c r="A296" s="1" t="s">
        <v>602</v>
      </c>
      <c r="B296" s="2">
        <v>44659</v>
      </c>
      <c r="C296" s="2" t="str">
        <f t="shared" si="25"/>
        <v>Friday</v>
      </c>
      <c r="D296" s="2" t="str">
        <f t="shared" si="26"/>
        <v>April</v>
      </c>
      <c r="E296" s="2" t="str">
        <f t="shared" si="27"/>
        <v>2022</v>
      </c>
      <c r="F296" s="3" t="s">
        <v>603</v>
      </c>
      <c r="G296" s="3" t="str">
        <f>VLOOKUP(F297,'Customers (2)'!A:I,2,0)</f>
        <v>Cybill Graddell</v>
      </c>
      <c r="H296" s="3">
        <f>VLOOKUP(F296,'Customers (2)'!A:I,3,0)</f>
        <v>0</v>
      </c>
      <c r="I296" s="3" t="str">
        <f>VLOOKUP(F296,'Customers (2)'!A:I,4,0)</f>
        <v>+1 (203) 722-1559</v>
      </c>
      <c r="J296" s="3" t="str">
        <f>VLOOKUP(F296,'Customers (2)'!A:I,6,0)</f>
        <v>Danbury</v>
      </c>
      <c r="K296" s="3" t="str">
        <f>VLOOKUP(F296,'Customers (2)'!A:I,7,0)</f>
        <v>United States</v>
      </c>
      <c r="L296" s="3" t="str">
        <f>VLOOKUP(F296,'Customers (2)'!A:I,9,0)</f>
        <v>No</v>
      </c>
      <c r="M296" s="4" t="s">
        <v>137</v>
      </c>
      <c r="N296" s="4" t="str">
        <f>VLOOKUP(M296,'Products (2)'!A:G,2,0)</f>
        <v>Excelsa</v>
      </c>
      <c r="O296" s="4" t="str">
        <f>VLOOKUP(M296,'Products (2)'!A:G,3,0)</f>
        <v>Light</v>
      </c>
      <c r="P296" s="4">
        <f>VLOOKUP(M296,'Products (2)'!A:G,7,0)</f>
        <v>1.6335</v>
      </c>
      <c r="Q296" s="3">
        <v>3</v>
      </c>
      <c r="R296" s="5">
        <f>INDEX([1]products!$A$1:$G$49,MATCH([1]orders!$D296,[1]products!$A$1:$A$49,0),MATCH([1]orders!K$1,[1]products!$A$1:$G$1,0))</f>
        <v>1</v>
      </c>
      <c r="S296" s="6">
        <f>INDEX([1]products!$A$1:$G$49,MATCH([1]orders!$D296,[1]products!$A$1:$A$49,0),MATCH([1]orders!L$1,[1]products!$A$1:$G$1,0))</f>
        <v>14.85</v>
      </c>
      <c r="T296" s="6">
        <f t="shared" si="24"/>
        <v>44.55</v>
      </c>
      <c r="U296" s="22">
        <f t="shared" si="28"/>
        <v>4.9005000000000001</v>
      </c>
      <c r="V296" s="22">
        <f t="shared" si="29"/>
        <v>11.000000000000002</v>
      </c>
    </row>
    <row r="297" spans="1:22" x14ac:dyDescent="0.3">
      <c r="A297" s="1" t="s">
        <v>604</v>
      </c>
      <c r="B297" s="2">
        <v>44057</v>
      </c>
      <c r="C297" s="2" t="str">
        <f t="shared" si="25"/>
        <v>Friday</v>
      </c>
      <c r="D297" s="2" t="str">
        <f t="shared" si="26"/>
        <v>August</v>
      </c>
      <c r="E297" s="2" t="str">
        <f t="shared" si="27"/>
        <v>2020</v>
      </c>
      <c r="F297" s="3" t="s">
        <v>605</v>
      </c>
      <c r="G297" s="3" t="str">
        <f>VLOOKUP(F298,'Customers (2)'!A:I,2,0)</f>
        <v>Dorian Vizor</v>
      </c>
      <c r="H297" s="3">
        <f>VLOOKUP(F297,'Customers (2)'!A:I,3,0)</f>
        <v>0</v>
      </c>
      <c r="I297" s="3">
        <f>VLOOKUP(F297,'Customers (2)'!A:I,4,0)</f>
        <v>0</v>
      </c>
      <c r="J297" s="3" t="str">
        <f>VLOOKUP(F297,'Customers (2)'!A:I,6,0)</f>
        <v>Albany</v>
      </c>
      <c r="K297" s="3" t="str">
        <f>VLOOKUP(F297,'Customers (2)'!A:I,7,0)</f>
        <v>United States</v>
      </c>
      <c r="L297" s="3" t="str">
        <f>VLOOKUP(F297,'Customers (2)'!A:I,9,0)</f>
        <v>No</v>
      </c>
      <c r="M297" s="4" t="s">
        <v>9</v>
      </c>
      <c r="N297" s="4" t="str">
        <f>VLOOKUP(M297,'Products (2)'!A:G,2,0)</f>
        <v>Excelsa</v>
      </c>
      <c r="O297" s="4" t="str">
        <f>VLOOKUP(M297,'Products (2)'!A:G,3,0)</f>
        <v>Medium</v>
      </c>
      <c r="P297" s="4">
        <f>VLOOKUP(M297,'Products (2)'!A:G,7,0)</f>
        <v>1.5125</v>
      </c>
      <c r="Q297" s="3">
        <v>2</v>
      </c>
      <c r="R297" s="5">
        <f>INDEX([1]products!$A$1:$G$49,MATCH([1]orders!$D297,[1]products!$A$1:$A$49,0),MATCH([1]orders!K$1,[1]products!$A$1:$G$1,0))</f>
        <v>1</v>
      </c>
      <c r="S297" s="6">
        <f>INDEX([1]products!$A$1:$G$49,MATCH([1]orders!$D297,[1]products!$A$1:$A$49,0),MATCH([1]orders!L$1,[1]products!$A$1:$G$1,0))</f>
        <v>13.75</v>
      </c>
      <c r="T297" s="6">
        <f t="shared" si="24"/>
        <v>27.5</v>
      </c>
      <c r="U297" s="22">
        <f t="shared" si="28"/>
        <v>3.0249999999999999</v>
      </c>
      <c r="V297" s="22">
        <f t="shared" si="29"/>
        <v>11</v>
      </c>
    </row>
    <row r="298" spans="1:22" x14ac:dyDescent="0.3">
      <c r="A298" s="1" t="s">
        <v>606</v>
      </c>
      <c r="B298" s="2">
        <v>43597</v>
      </c>
      <c r="C298" s="2" t="str">
        <f t="shared" si="25"/>
        <v>Sunday</v>
      </c>
      <c r="D298" s="2" t="str">
        <f t="shared" si="26"/>
        <v>May</v>
      </c>
      <c r="E298" s="2" t="str">
        <f t="shared" si="27"/>
        <v>2019</v>
      </c>
      <c r="F298" s="3" t="s">
        <v>607</v>
      </c>
      <c r="G298" s="3" t="str">
        <f>VLOOKUP(F299,'Customers (2)'!A:I,2,0)</f>
        <v>Eddi Sedgebeer</v>
      </c>
      <c r="H298" s="3" t="str">
        <f>VLOOKUP(F298,'Customers (2)'!A:I,3,0)</f>
        <v>dvizor88@furl.net</v>
      </c>
      <c r="I298" s="3" t="str">
        <f>VLOOKUP(F298,'Customers (2)'!A:I,4,0)</f>
        <v>+1 (941) 130-0581</v>
      </c>
      <c r="J298" s="3" t="str">
        <f>VLOOKUP(F298,'Customers (2)'!A:I,6,0)</f>
        <v>Naples</v>
      </c>
      <c r="K298" s="3" t="str">
        <f>VLOOKUP(F298,'Customers (2)'!A:I,7,0)</f>
        <v>United States</v>
      </c>
      <c r="L298" s="3" t="str">
        <f>VLOOKUP(F298,'Customers (2)'!A:I,9,0)</f>
        <v>Yes</v>
      </c>
      <c r="M298" s="4" t="s">
        <v>22</v>
      </c>
      <c r="N298" s="4" t="str">
        <f>VLOOKUP(M298,'Products (2)'!A:G,2,0)</f>
        <v>Robusta</v>
      </c>
      <c r="O298" s="4" t="str">
        <f>VLOOKUP(M298,'Products (2)'!A:G,3,0)</f>
        <v>Medium</v>
      </c>
      <c r="P298" s="4">
        <f>VLOOKUP(M298,'Products (2)'!A:G,7,0)</f>
        <v>0.35819999999999996</v>
      </c>
      <c r="Q298" s="3">
        <v>6</v>
      </c>
      <c r="R298" s="5">
        <f>INDEX([1]products!$A$1:$G$49,MATCH([1]orders!$D298,[1]products!$A$1:$A$49,0),MATCH([1]orders!K$1,[1]products!$A$1:$G$1,0))</f>
        <v>0.5</v>
      </c>
      <c r="S298" s="6">
        <f>INDEX([1]products!$A$1:$G$49,MATCH([1]orders!$D298,[1]products!$A$1:$A$49,0),MATCH([1]orders!L$1,[1]products!$A$1:$G$1,0))</f>
        <v>5.97</v>
      </c>
      <c r="T298" s="6">
        <f t="shared" si="24"/>
        <v>35.82</v>
      </c>
      <c r="U298" s="22">
        <f t="shared" si="28"/>
        <v>2.1491999999999996</v>
      </c>
      <c r="V298" s="22">
        <f t="shared" si="29"/>
        <v>5.9999999999999982</v>
      </c>
    </row>
    <row r="299" spans="1:22" x14ac:dyDescent="0.3">
      <c r="A299" s="1" t="s">
        <v>608</v>
      </c>
      <c r="B299" s="2">
        <v>44258</v>
      </c>
      <c r="C299" s="2" t="str">
        <f t="shared" si="25"/>
        <v>Wednesday</v>
      </c>
      <c r="D299" s="2" t="str">
        <f t="shared" si="26"/>
        <v>March</v>
      </c>
      <c r="E299" s="2" t="str">
        <f t="shared" si="27"/>
        <v>2021</v>
      </c>
      <c r="F299" s="3" t="s">
        <v>609</v>
      </c>
      <c r="G299" s="3" t="str">
        <f>VLOOKUP(F300,'Customers (2)'!A:I,2,0)</f>
        <v>Ken Lestrange</v>
      </c>
      <c r="H299" s="3" t="str">
        <f>VLOOKUP(F299,'Customers (2)'!A:I,3,0)</f>
        <v>esedgebeer89@oaic.gov.au</v>
      </c>
      <c r="I299" s="3" t="str">
        <f>VLOOKUP(F299,'Customers (2)'!A:I,4,0)</f>
        <v>+1 (305) 898-4252</v>
      </c>
      <c r="J299" s="3" t="str">
        <f>VLOOKUP(F299,'Customers (2)'!A:I,6,0)</f>
        <v>Miami Beach</v>
      </c>
      <c r="K299" s="3" t="str">
        <f>VLOOKUP(F299,'Customers (2)'!A:I,7,0)</f>
        <v>United States</v>
      </c>
      <c r="L299" s="3" t="str">
        <f>VLOOKUP(F299,'Customers (2)'!A:I,9,0)</f>
        <v>Yes</v>
      </c>
      <c r="M299" s="4" t="s">
        <v>146</v>
      </c>
      <c r="N299" s="4" t="str">
        <f>VLOOKUP(M299,'Products (2)'!A:G,2,0)</f>
        <v>Robusta</v>
      </c>
      <c r="O299" s="4" t="str">
        <f>VLOOKUP(M299,'Products (2)'!A:G,3,0)</f>
        <v>Dark</v>
      </c>
      <c r="P299" s="4">
        <f>VLOOKUP(M299,'Products (2)'!A:G,7,0)</f>
        <v>0.32219999999999993</v>
      </c>
      <c r="Q299" s="3">
        <v>3</v>
      </c>
      <c r="R299" s="5">
        <f>INDEX([1]products!$A$1:$G$49,MATCH([1]orders!$D299,[1]products!$A$1:$A$49,0),MATCH([1]orders!K$1,[1]products!$A$1:$G$1,0))</f>
        <v>0.5</v>
      </c>
      <c r="S299" s="6">
        <f>INDEX([1]products!$A$1:$G$49,MATCH([1]orders!$D299,[1]products!$A$1:$A$49,0),MATCH([1]orders!L$1,[1]products!$A$1:$G$1,0))</f>
        <v>5.3699999999999992</v>
      </c>
      <c r="T299" s="6">
        <f t="shared" si="24"/>
        <v>16.11</v>
      </c>
      <c r="U299" s="22">
        <f t="shared" si="28"/>
        <v>0.96659999999999979</v>
      </c>
      <c r="V299" s="22">
        <f t="shared" si="29"/>
        <v>5.9999999999999991</v>
      </c>
    </row>
    <row r="300" spans="1:22" x14ac:dyDescent="0.3">
      <c r="A300" s="1" t="s">
        <v>610</v>
      </c>
      <c r="B300" s="2">
        <v>43872</v>
      </c>
      <c r="C300" s="2" t="str">
        <f t="shared" si="25"/>
        <v>Tuesday</v>
      </c>
      <c r="D300" s="2" t="str">
        <f t="shared" si="26"/>
        <v>February</v>
      </c>
      <c r="E300" s="2" t="str">
        <f t="shared" si="27"/>
        <v>2020</v>
      </c>
      <c r="F300" s="3" t="s">
        <v>611</v>
      </c>
      <c r="G300" s="3" t="str">
        <f>VLOOKUP(F301,'Customers (2)'!A:I,2,0)</f>
        <v>Lacee Tanti</v>
      </c>
      <c r="H300" s="3" t="str">
        <f>VLOOKUP(F300,'Customers (2)'!A:I,3,0)</f>
        <v>klestrange8a@lulu.com</v>
      </c>
      <c r="I300" s="3" t="str">
        <f>VLOOKUP(F300,'Customers (2)'!A:I,4,0)</f>
        <v>+1 (404) 479-6402</v>
      </c>
      <c r="J300" s="3" t="str">
        <f>VLOOKUP(F300,'Customers (2)'!A:I,6,0)</f>
        <v>Atlanta</v>
      </c>
      <c r="K300" s="3" t="str">
        <f>VLOOKUP(F300,'Customers (2)'!A:I,7,0)</f>
        <v>United States</v>
      </c>
      <c r="L300" s="3" t="str">
        <f>VLOOKUP(F300,'Customers (2)'!A:I,9,0)</f>
        <v>Yes</v>
      </c>
      <c r="M300" s="4" t="s">
        <v>254</v>
      </c>
      <c r="N300" s="4" t="str">
        <f>VLOOKUP(M300,'Products (2)'!A:G,2,0)</f>
        <v>Excelsa</v>
      </c>
      <c r="O300" s="4" t="str">
        <f>VLOOKUP(M300,'Products (2)'!A:G,3,0)</f>
        <v>Light</v>
      </c>
      <c r="P300" s="4">
        <f>VLOOKUP(M300,'Products (2)'!A:G,7,0)</f>
        <v>0.49004999999999999</v>
      </c>
      <c r="Q300" s="3">
        <v>6</v>
      </c>
      <c r="R300" s="5">
        <f>INDEX([1]products!$A$1:$G$49,MATCH([1]orders!$D300,[1]products!$A$1:$A$49,0),MATCH([1]orders!K$1,[1]products!$A$1:$G$1,0))</f>
        <v>0.2</v>
      </c>
      <c r="S300" s="6">
        <f>INDEX([1]products!$A$1:$G$49,MATCH([1]orders!$D300,[1]products!$A$1:$A$49,0),MATCH([1]orders!L$1,[1]products!$A$1:$G$1,0))</f>
        <v>4.4550000000000001</v>
      </c>
      <c r="T300" s="6">
        <f t="shared" si="24"/>
        <v>26.73</v>
      </c>
      <c r="U300" s="22">
        <f t="shared" si="28"/>
        <v>2.9402999999999997</v>
      </c>
      <c r="V300" s="22">
        <f t="shared" si="29"/>
        <v>10.999999999999998</v>
      </c>
    </row>
    <row r="301" spans="1:22" x14ac:dyDescent="0.3">
      <c r="A301" s="1" t="s">
        <v>612</v>
      </c>
      <c r="B301" s="2">
        <v>43582</v>
      </c>
      <c r="C301" s="2" t="str">
        <f t="shared" si="25"/>
        <v>Saturday</v>
      </c>
      <c r="D301" s="2" t="str">
        <f t="shared" si="26"/>
        <v>April</v>
      </c>
      <c r="E301" s="2" t="str">
        <f t="shared" si="27"/>
        <v>2019</v>
      </c>
      <c r="F301" s="3" t="s">
        <v>613</v>
      </c>
      <c r="G301" s="3" t="str">
        <f>VLOOKUP(F302,'Customers (2)'!A:I,2,0)</f>
        <v>Arel De Lasci</v>
      </c>
      <c r="H301" s="3" t="str">
        <f>VLOOKUP(F301,'Customers (2)'!A:I,3,0)</f>
        <v>ltanti8b@techcrunch.com</v>
      </c>
      <c r="I301" s="3" t="str">
        <f>VLOOKUP(F301,'Customers (2)'!A:I,4,0)</f>
        <v>+1 (361) 383-8015</v>
      </c>
      <c r="J301" s="3" t="str">
        <f>VLOOKUP(F301,'Customers (2)'!A:I,6,0)</f>
        <v>Corpus Christi</v>
      </c>
      <c r="K301" s="3" t="str">
        <f>VLOOKUP(F301,'Customers (2)'!A:I,7,0)</f>
        <v>United States</v>
      </c>
      <c r="L301" s="3" t="str">
        <f>VLOOKUP(F301,'Customers (2)'!A:I,9,0)</f>
        <v>Yes</v>
      </c>
      <c r="M301" s="4" t="s">
        <v>30</v>
      </c>
      <c r="N301" s="4" t="str">
        <f>VLOOKUP(M301,'Products (2)'!A:G,2,0)</f>
        <v>Excelsa</v>
      </c>
      <c r="O301" s="4" t="str">
        <f>VLOOKUP(M301,'Products (2)'!A:G,3,0)</f>
        <v>Light</v>
      </c>
      <c r="P301" s="4">
        <f>VLOOKUP(M301,'Products (2)'!A:G,7,0)</f>
        <v>3.7570499999999996</v>
      </c>
      <c r="Q301" s="3">
        <v>6</v>
      </c>
      <c r="R301" s="5">
        <f>INDEX([1]products!$A$1:$G$49,MATCH([1]orders!$D301,[1]products!$A$1:$A$49,0),MATCH([1]orders!K$1,[1]products!$A$1:$G$1,0))</f>
        <v>2.5</v>
      </c>
      <c r="S301" s="6">
        <f>INDEX([1]products!$A$1:$G$49,MATCH([1]orders!$D301,[1]products!$A$1:$A$49,0),MATCH([1]orders!L$1,[1]products!$A$1:$G$1,0))</f>
        <v>34.154999999999994</v>
      </c>
      <c r="T301" s="6">
        <f t="shared" si="24"/>
        <v>204.92999999999995</v>
      </c>
      <c r="U301" s="22">
        <f t="shared" si="28"/>
        <v>22.542299999999997</v>
      </c>
      <c r="V301" s="22">
        <f t="shared" si="29"/>
        <v>11.000000000000002</v>
      </c>
    </row>
    <row r="302" spans="1:22" x14ac:dyDescent="0.3">
      <c r="A302" s="1" t="s">
        <v>614</v>
      </c>
      <c r="B302" s="2">
        <v>44646</v>
      </c>
      <c r="C302" s="2" t="str">
        <f t="shared" si="25"/>
        <v>Saturday</v>
      </c>
      <c r="D302" s="2" t="str">
        <f t="shared" si="26"/>
        <v>March</v>
      </c>
      <c r="E302" s="2" t="str">
        <f t="shared" si="27"/>
        <v>2022</v>
      </c>
      <c r="F302" s="3" t="s">
        <v>615</v>
      </c>
      <c r="G302" s="3" t="str">
        <f>VLOOKUP(F303,'Customers (2)'!A:I,2,0)</f>
        <v>Trescha Jedrachowicz</v>
      </c>
      <c r="H302" s="3" t="str">
        <f>VLOOKUP(F302,'Customers (2)'!A:I,3,0)</f>
        <v>ade8c@1und1.de</v>
      </c>
      <c r="I302" s="3" t="str">
        <f>VLOOKUP(F302,'Customers (2)'!A:I,4,0)</f>
        <v>+1 (808) 868-6669</v>
      </c>
      <c r="J302" s="3" t="str">
        <f>VLOOKUP(F302,'Customers (2)'!A:I,6,0)</f>
        <v>Honolulu</v>
      </c>
      <c r="K302" s="3" t="str">
        <f>VLOOKUP(F302,'Customers (2)'!A:I,7,0)</f>
        <v>United States</v>
      </c>
      <c r="L302" s="3" t="str">
        <f>VLOOKUP(F302,'Customers (2)'!A:I,9,0)</f>
        <v>Yes</v>
      </c>
      <c r="M302" s="4" t="s">
        <v>6</v>
      </c>
      <c r="N302" s="4" t="str">
        <f>VLOOKUP(M302,'Products (2)'!A:G,2,0)</f>
        <v>Arabica</v>
      </c>
      <c r="O302" s="4" t="str">
        <f>VLOOKUP(M302,'Products (2)'!A:G,3,0)</f>
        <v>Light</v>
      </c>
      <c r="P302" s="4">
        <f>VLOOKUP(M302,'Products (2)'!A:G,7,0)</f>
        <v>1.1655</v>
      </c>
      <c r="Q302" s="3">
        <v>3</v>
      </c>
      <c r="R302" s="5">
        <f>INDEX([1]products!$A$1:$G$49,MATCH([1]orders!$D302,[1]products!$A$1:$A$49,0),MATCH([1]orders!K$1,[1]products!$A$1:$G$1,0))</f>
        <v>1</v>
      </c>
      <c r="S302" s="6">
        <f>INDEX([1]products!$A$1:$G$49,MATCH([1]orders!$D302,[1]products!$A$1:$A$49,0),MATCH([1]orders!L$1,[1]products!$A$1:$G$1,0))</f>
        <v>12.95</v>
      </c>
      <c r="T302" s="6">
        <f t="shared" si="24"/>
        <v>38.849999999999994</v>
      </c>
      <c r="U302" s="22">
        <f t="shared" si="28"/>
        <v>3.4965000000000002</v>
      </c>
      <c r="V302" s="22">
        <f t="shared" si="29"/>
        <v>9.0000000000000018</v>
      </c>
    </row>
    <row r="303" spans="1:22" x14ac:dyDescent="0.3">
      <c r="A303" s="1" t="s">
        <v>616</v>
      </c>
      <c r="B303" s="2">
        <v>44102</v>
      </c>
      <c r="C303" s="2" t="str">
        <f t="shared" si="25"/>
        <v>Monday</v>
      </c>
      <c r="D303" s="2" t="str">
        <f t="shared" si="26"/>
        <v>September</v>
      </c>
      <c r="E303" s="2" t="str">
        <f t="shared" si="27"/>
        <v>2020</v>
      </c>
      <c r="F303" s="3" t="s">
        <v>617</v>
      </c>
      <c r="G303" s="3" t="str">
        <f>VLOOKUP(F304,'Customers (2)'!A:I,2,0)</f>
        <v>Perkin Stonner</v>
      </c>
      <c r="H303" s="3" t="str">
        <f>VLOOKUP(F303,'Customers (2)'!A:I,3,0)</f>
        <v>tjedrachowicz8d@acquirethisname.com</v>
      </c>
      <c r="I303" s="3" t="str">
        <f>VLOOKUP(F303,'Customers (2)'!A:I,4,0)</f>
        <v>+1 (512) 635-4547</v>
      </c>
      <c r="J303" s="3" t="str">
        <f>VLOOKUP(F303,'Customers (2)'!A:I,6,0)</f>
        <v>Austin</v>
      </c>
      <c r="K303" s="3" t="str">
        <f>VLOOKUP(F303,'Customers (2)'!A:I,7,0)</f>
        <v>United States</v>
      </c>
      <c r="L303" s="3" t="str">
        <f>VLOOKUP(F303,'Customers (2)'!A:I,9,0)</f>
        <v>Yes</v>
      </c>
      <c r="M303" s="4" t="s">
        <v>38</v>
      </c>
      <c r="N303" s="4" t="str">
        <f>VLOOKUP(M303,'Products (2)'!A:G,2,0)</f>
        <v>Liberica</v>
      </c>
      <c r="O303" s="4" t="str">
        <f>VLOOKUP(M303,'Products (2)'!A:G,3,0)</f>
        <v>Dark</v>
      </c>
      <c r="P303" s="4">
        <f>VLOOKUP(M303,'Products (2)'!A:G,7,0)</f>
        <v>0.50505</v>
      </c>
      <c r="Q303" s="3">
        <v>4</v>
      </c>
      <c r="R303" s="5">
        <f>INDEX([1]products!$A$1:$G$49,MATCH([1]orders!$D303,[1]products!$A$1:$A$49,0),MATCH([1]orders!K$1,[1]products!$A$1:$G$1,0))</f>
        <v>0.2</v>
      </c>
      <c r="S303" s="6">
        <f>INDEX([1]products!$A$1:$G$49,MATCH([1]orders!$D303,[1]products!$A$1:$A$49,0),MATCH([1]orders!L$1,[1]products!$A$1:$G$1,0))</f>
        <v>3.8849999999999998</v>
      </c>
      <c r="T303" s="6">
        <f t="shared" si="24"/>
        <v>15.54</v>
      </c>
      <c r="U303" s="22">
        <f t="shared" si="28"/>
        <v>2.0202</v>
      </c>
      <c r="V303" s="22">
        <f t="shared" si="29"/>
        <v>13</v>
      </c>
    </row>
    <row r="304" spans="1:22" x14ac:dyDescent="0.3">
      <c r="A304" s="1" t="s">
        <v>618</v>
      </c>
      <c r="B304" s="2">
        <v>43762</v>
      </c>
      <c r="C304" s="2" t="str">
        <f t="shared" si="25"/>
        <v>Thursday</v>
      </c>
      <c r="D304" s="2" t="str">
        <f t="shared" si="26"/>
        <v>October</v>
      </c>
      <c r="E304" s="2" t="str">
        <f t="shared" si="27"/>
        <v>2019</v>
      </c>
      <c r="F304" s="3" t="s">
        <v>619</v>
      </c>
      <c r="G304" s="3" t="str">
        <f>VLOOKUP(F305,'Customers (2)'!A:I,2,0)</f>
        <v>Darrin Tingly</v>
      </c>
      <c r="H304" s="3" t="str">
        <f>VLOOKUP(F304,'Customers (2)'!A:I,3,0)</f>
        <v>pstonner8e@moonfruit.com</v>
      </c>
      <c r="I304" s="3" t="str">
        <f>VLOOKUP(F304,'Customers (2)'!A:I,4,0)</f>
        <v>+1 (410) 158-5285</v>
      </c>
      <c r="J304" s="3" t="str">
        <f>VLOOKUP(F304,'Customers (2)'!A:I,6,0)</f>
        <v>Baltimore</v>
      </c>
      <c r="K304" s="3" t="str">
        <f>VLOOKUP(F304,'Customers (2)'!A:I,7,0)</f>
        <v>United States</v>
      </c>
      <c r="L304" s="3" t="str">
        <f>VLOOKUP(F304,'Customers (2)'!A:I,9,0)</f>
        <v>No</v>
      </c>
      <c r="M304" s="4" t="s">
        <v>67</v>
      </c>
      <c r="N304" s="4" t="str">
        <f>VLOOKUP(M304,'Products (2)'!A:G,2,0)</f>
        <v>Arabica</v>
      </c>
      <c r="O304" s="4" t="str">
        <f>VLOOKUP(M304,'Products (2)'!A:G,3,0)</f>
        <v>Medium</v>
      </c>
      <c r="P304" s="4">
        <f>VLOOKUP(M304,'Products (2)'!A:G,7,0)</f>
        <v>0.60749999999999993</v>
      </c>
      <c r="Q304" s="3">
        <v>1</v>
      </c>
      <c r="R304" s="5">
        <f>INDEX([1]products!$A$1:$G$49,MATCH([1]orders!$D304,[1]products!$A$1:$A$49,0),MATCH([1]orders!K$1,[1]products!$A$1:$G$1,0))</f>
        <v>0.5</v>
      </c>
      <c r="S304" s="6">
        <f>INDEX([1]products!$A$1:$G$49,MATCH([1]orders!$D304,[1]products!$A$1:$A$49,0),MATCH([1]orders!L$1,[1]products!$A$1:$G$1,0))</f>
        <v>6.75</v>
      </c>
      <c r="T304" s="6">
        <f t="shared" si="24"/>
        <v>6.75</v>
      </c>
      <c r="U304" s="22">
        <f t="shared" si="28"/>
        <v>0.60749999999999993</v>
      </c>
      <c r="V304" s="22">
        <f t="shared" si="29"/>
        <v>8.9999999999999982</v>
      </c>
    </row>
    <row r="305" spans="1:22" x14ac:dyDescent="0.3">
      <c r="A305" s="1" t="s">
        <v>620</v>
      </c>
      <c r="B305" s="2">
        <v>44412</v>
      </c>
      <c r="C305" s="2" t="str">
        <f t="shared" si="25"/>
        <v>Wednesday</v>
      </c>
      <c r="D305" s="2" t="str">
        <f t="shared" si="26"/>
        <v>August</v>
      </c>
      <c r="E305" s="2" t="str">
        <f t="shared" si="27"/>
        <v>2021</v>
      </c>
      <c r="F305" s="3" t="s">
        <v>621</v>
      </c>
      <c r="G305" s="3" t="str">
        <f>VLOOKUP(F306,'Customers (2)'!A:I,2,0)</f>
        <v>Claudetta Rushe</v>
      </c>
      <c r="H305" s="3" t="str">
        <f>VLOOKUP(F305,'Customers (2)'!A:I,3,0)</f>
        <v>dtingly8f@goo.ne.jp</v>
      </c>
      <c r="I305" s="3">
        <f>VLOOKUP(F305,'Customers (2)'!A:I,4,0)</f>
        <v>0</v>
      </c>
      <c r="J305" s="3" t="str">
        <f>VLOOKUP(F305,'Customers (2)'!A:I,6,0)</f>
        <v>Lexington</v>
      </c>
      <c r="K305" s="3" t="str">
        <f>VLOOKUP(F305,'Customers (2)'!A:I,7,0)</f>
        <v>United States</v>
      </c>
      <c r="L305" s="3" t="str">
        <f>VLOOKUP(F305,'Customers (2)'!A:I,9,0)</f>
        <v>Yes</v>
      </c>
      <c r="M305" s="4" t="s">
        <v>530</v>
      </c>
      <c r="N305" s="4" t="str">
        <f>VLOOKUP(M305,'Products (2)'!A:G,2,0)</f>
        <v>Excelsa</v>
      </c>
      <c r="O305" s="4" t="str">
        <f>VLOOKUP(M305,'Products (2)'!A:G,3,0)</f>
        <v>Dark</v>
      </c>
      <c r="P305" s="4">
        <f>VLOOKUP(M305,'Products (2)'!A:G,7,0)</f>
        <v>3.07395</v>
      </c>
      <c r="Q305" s="3">
        <v>4</v>
      </c>
      <c r="R305" s="5">
        <f>INDEX([1]products!$A$1:$G$49,MATCH([1]orders!$D305,[1]products!$A$1:$A$49,0),MATCH([1]orders!K$1,[1]products!$A$1:$G$1,0))</f>
        <v>2.5</v>
      </c>
      <c r="S305" s="6">
        <f>INDEX([1]products!$A$1:$G$49,MATCH([1]orders!$D305,[1]products!$A$1:$A$49,0),MATCH([1]orders!L$1,[1]products!$A$1:$G$1,0))</f>
        <v>27.945</v>
      </c>
      <c r="T305" s="6">
        <f t="shared" si="24"/>
        <v>111.78</v>
      </c>
      <c r="U305" s="22">
        <f t="shared" si="28"/>
        <v>12.2958</v>
      </c>
      <c r="V305" s="22">
        <f t="shared" si="29"/>
        <v>11</v>
      </c>
    </row>
    <row r="306" spans="1:22" x14ac:dyDescent="0.3">
      <c r="A306" s="1" t="s">
        <v>622</v>
      </c>
      <c r="B306" s="2">
        <v>43828</v>
      </c>
      <c r="C306" s="2" t="str">
        <f t="shared" si="25"/>
        <v>Sunday</v>
      </c>
      <c r="D306" s="2" t="str">
        <f t="shared" si="26"/>
        <v>December</v>
      </c>
      <c r="E306" s="2" t="str">
        <f t="shared" si="27"/>
        <v>2019</v>
      </c>
      <c r="F306" s="3" t="s">
        <v>623</v>
      </c>
      <c r="G306" s="3" t="str">
        <f>VLOOKUP(F307,'Customers (2)'!A:I,2,0)</f>
        <v>Benn Checci</v>
      </c>
      <c r="H306" s="3" t="str">
        <f>VLOOKUP(F306,'Customers (2)'!A:I,3,0)</f>
        <v>crushe8n@about.me</v>
      </c>
      <c r="I306" s="3" t="str">
        <f>VLOOKUP(F306,'Customers (2)'!A:I,4,0)</f>
        <v>+1 (704) 883-8274</v>
      </c>
      <c r="J306" s="3" t="str">
        <f>VLOOKUP(F306,'Customers (2)'!A:I,6,0)</f>
        <v>Charlotte</v>
      </c>
      <c r="K306" s="3" t="str">
        <f>VLOOKUP(F306,'Customers (2)'!A:I,7,0)</f>
        <v>United States</v>
      </c>
      <c r="L306" s="3" t="str">
        <f>VLOOKUP(F306,'Customers (2)'!A:I,9,0)</f>
        <v>Yes</v>
      </c>
      <c r="M306" s="4" t="s">
        <v>115</v>
      </c>
      <c r="N306" s="4" t="str">
        <f>VLOOKUP(M306,'Products (2)'!A:G,2,0)</f>
        <v>Arabica</v>
      </c>
      <c r="O306" s="4" t="str">
        <f>VLOOKUP(M306,'Products (2)'!A:G,3,0)</f>
        <v>Light</v>
      </c>
      <c r="P306" s="4">
        <f>VLOOKUP(M306,'Products (2)'!A:G,7,0)</f>
        <v>0.34964999999999996</v>
      </c>
      <c r="Q306" s="3">
        <v>1</v>
      </c>
      <c r="R306" s="5">
        <f>INDEX([1]products!$A$1:$G$49,MATCH([1]orders!$D306,[1]products!$A$1:$A$49,0),MATCH([1]orders!K$1,[1]products!$A$1:$G$1,0))</f>
        <v>0.2</v>
      </c>
      <c r="S306" s="6">
        <f>INDEX([1]products!$A$1:$G$49,MATCH([1]orders!$D306,[1]products!$A$1:$A$49,0),MATCH([1]orders!L$1,[1]products!$A$1:$G$1,0))</f>
        <v>3.8849999999999998</v>
      </c>
      <c r="T306" s="6">
        <f t="shared" si="24"/>
        <v>3.8849999999999998</v>
      </c>
      <c r="U306" s="22">
        <f t="shared" si="28"/>
        <v>0.34964999999999996</v>
      </c>
      <c r="V306" s="22">
        <f t="shared" si="29"/>
        <v>9</v>
      </c>
    </row>
    <row r="307" spans="1:22" x14ac:dyDescent="0.3">
      <c r="A307" s="1" t="s">
        <v>624</v>
      </c>
      <c r="B307" s="2">
        <v>43796</v>
      </c>
      <c r="C307" s="2" t="str">
        <f t="shared" si="25"/>
        <v>Wednesday</v>
      </c>
      <c r="D307" s="2" t="str">
        <f t="shared" si="26"/>
        <v>November</v>
      </c>
      <c r="E307" s="2" t="str">
        <f t="shared" si="27"/>
        <v>2019</v>
      </c>
      <c r="F307" s="3" t="s">
        <v>625</v>
      </c>
      <c r="G307" s="3" t="str">
        <f>VLOOKUP(F308,'Customers (2)'!A:I,2,0)</f>
        <v>Janifer Bagot</v>
      </c>
      <c r="H307" s="3" t="str">
        <f>VLOOKUP(F307,'Customers (2)'!A:I,3,0)</f>
        <v>bchecci8h@usa.gov</v>
      </c>
      <c r="I307" s="3" t="str">
        <f>VLOOKUP(F307,'Customers (2)'!A:I,4,0)</f>
        <v>+44 (237) 377-1917</v>
      </c>
      <c r="J307" s="3" t="str">
        <f>VLOOKUP(F307,'Customers (2)'!A:I,6,0)</f>
        <v>Eaton</v>
      </c>
      <c r="K307" s="3" t="str">
        <f>VLOOKUP(F307,'Customers (2)'!A:I,7,0)</f>
        <v>United Kingdom</v>
      </c>
      <c r="L307" s="3" t="str">
        <f>VLOOKUP(F307,'Customers (2)'!A:I,9,0)</f>
        <v>No</v>
      </c>
      <c r="M307" s="4" t="s">
        <v>77</v>
      </c>
      <c r="N307" s="4" t="str">
        <f>VLOOKUP(M307,'Products (2)'!A:G,2,0)</f>
        <v>Liberica</v>
      </c>
      <c r="O307" s="4" t="str">
        <f>VLOOKUP(M307,'Products (2)'!A:G,3,0)</f>
        <v>Medium</v>
      </c>
      <c r="P307" s="4">
        <f>VLOOKUP(M307,'Products (2)'!A:G,7,0)</f>
        <v>0.56745000000000001</v>
      </c>
      <c r="Q307" s="3">
        <v>5</v>
      </c>
      <c r="R307" s="5">
        <f>INDEX([1]products!$A$1:$G$49,MATCH([1]orders!$D307,[1]products!$A$1:$A$49,0),MATCH([1]orders!K$1,[1]products!$A$1:$G$1,0))</f>
        <v>0.2</v>
      </c>
      <c r="S307" s="6">
        <f>INDEX([1]products!$A$1:$G$49,MATCH([1]orders!$D307,[1]products!$A$1:$A$49,0),MATCH([1]orders!L$1,[1]products!$A$1:$G$1,0))</f>
        <v>4.3650000000000002</v>
      </c>
      <c r="T307" s="6">
        <f t="shared" si="24"/>
        <v>21.825000000000003</v>
      </c>
      <c r="U307" s="22">
        <f t="shared" si="28"/>
        <v>2.83725</v>
      </c>
      <c r="V307" s="22">
        <f t="shared" si="29"/>
        <v>12.999999999999998</v>
      </c>
    </row>
    <row r="308" spans="1:22" x14ac:dyDescent="0.3">
      <c r="A308" s="1" t="s">
        <v>626</v>
      </c>
      <c r="B308" s="2">
        <v>43890</v>
      </c>
      <c r="C308" s="2" t="str">
        <f t="shared" si="25"/>
        <v>Saturday</v>
      </c>
      <c r="D308" s="2" t="str">
        <f t="shared" si="26"/>
        <v>February</v>
      </c>
      <c r="E308" s="2" t="str">
        <f t="shared" si="27"/>
        <v>2020</v>
      </c>
      <c r="F308" s="3" t="s">
        <v>627</v>
      </c>
      <c r="G308" s="3" t="str">
        <f>VLOOKUP(F309,'Customers (2)'!A:I,2,0)</f>
        <v>Ermin Beeble</v>
      </c>
      <c r="H308" s="3" t="str">
        <f>VLOOKUP(F308,'Customers (2)'!A:I,3,0)</f>
        <v>jbagot8i@mac.com</v>
      </c>
      <c r="I308" s="3" t="str">
        <f>VLOOKUP(F308,'Customers (2)'!A:I,4,0)</f>
        <v>+1 (402) 659-3815</v>
      </c>
      <c r="J308" s="3" t="str">
        <f>VLOOKUP(F308,'Customers (2)'!A:I,6,0)</f>
        <v>Lincoln</v>
      </c>
      <c r="K308" s="3" t="str">
        <f>VLOOKUP(F308,'Customers (2)'!A:I,7,0)</f>
        <v>United States</v>
      </c>
      <c r="L308" s="3" t="str">
        <f>VLOOKUP(F308,'Customers (2)'!A:I,9,0)</f>
        <v>No</v>
      </c>
      <c r="M308" s="4" t="s">
        <v>162</v>
      </c>
      <c r="N308" s="4" t="str">
        <f>VLOOKUP(M308,'Products (2)'!A:G,2,0)</f>
        <v>Robusta</v>
      </c>
      <c r="O308" s="4" t="str">
        <f>VLOOKUP(M308,'Products (2)'!A:G,3,0)</f>
        <v>Medium</v>
      </c>
      <c r="P308" s="4">
        <f>VLOOKUP(M308,'Products (2)'!A:G,7,0)</f>
        <v>0.17909999999999998</v>
      </c>
      <c r="Q308" s="3">
        <v>5</v>
      </c>
      <c r="R308" s="5">
        <f>INDEX([1]products!$A$1:$G$49,MATCH([1]orders!$D308,[1]products!$A$1:$A$49,0),MATCH([1]orders!K$1,[1]products!$A$1:$G$1,0))</f>
        <v>0.2</v>
      </c>
      <c r="S308" s="6">
        <f>INDEX([1]products!$A$1:$G$49,MATCH([1]orders!$D308,[1]products!$A$1:$A$49,0),MATCH([1]orders!L$1,[1]products!$A$1:$G$1,0))</f>
        <v>2.9849999999999999</v>
      </c>
      <c r="T308" s="6">
        <f t="shared" si="24"/>
        <v>14.924999999999999</v>
      </c>
      <c r="U308" s="22">
        <f t="shared" si="28"/>
        <v>0.89549999999999996</v>
      </c>
      <c r="V308" s="22">
        <f t="shared" si="29"/>
        <v>6.0000000000000009</v>
      </c>
    </row>
    <row r="309" spans="1:22" x14ac:dyDescent="0.3">
      <c r="A309" s="1" t="s">
        <v>628</v>
      </c>
      <c r="B309" s="2">
        <v>44227</v>
      </c>
      <c r="C309" s="2" t="str">
        <f t="shared" si="25"/>
        <v>Sunday</v>
      </c>
      <c r="D309" s="2" t="str">
        <f t="shared" si="26"/>
        <v>January</v>
      </c>
      <c r="E309" s="2" t="str">
        <f t="shared" si="27"/>
        <v>2021</v>
      </c>
      <c r="F309" s="3" t="s">
        <v>629</v>
      </c>
      <c r="G309" s="3" t="str">
        <f>VLOOKUP(F310,'Customers (2)'!A:I,2,0)</f>
        <v>Cos Fluin</v>
      </c>
      <c r="H309" s="3" t="str">
        <f>VLOOKUP(F309,'Customers (2)'!A:I,3,0)</f>
        <v>ebeeble8j@soundcloud.com</v>
      </c>
      <c r="I309" s="3" t="str">
        <f>VLOOKUP(F309,'Customers (2)'!A:I,4,0)</f>
        <v>+1 (513) 141-9892</v>
      </c>
      <c r="J309" s="3" t="str">
        <f>VLOOKUP(F309,'Customers (2)'!A:I,6,0)</f>
        <v>Cincinnati</v>
      </c>
      <c r="K309" s="3" t="str">
        <f>VLOOKUP(F309,'Customers (2)'!A:I,7,0)</f>
        <v>United States</v>
      </c>
      <c r="L309" s="3" t="str">
        <f>VLOOKUP(F309,'Customers (2)'!A:I,9,0)</f>
        <v>Yes</v>
      </c>
      <c r="M309" s="4" t="s">
        <v>61</v>
      </c>
      <c r="N309" s="4" t="str">
        <f>VLOOKUP(M309,'Products (2)'!A:G,2,0)</f>
        <v>Arabica</v>
      </c>
      <c r="O309" s="4" t="str">
        <f>VLOOKUP(M309,'Products (2)'!A:G,3,0)</f>
        <v>Medium</v>
      </c>
      <c r="P309" s="4">
        <f>VLOOKUP(M309,'Products (2)'!A:G,7,0)</f>
        <v>1.0125</v>
      </c>
      <c r="Q309" s="3">
        <v>3</v>
      </c>
      <c r="R309" s="5">
        <f>INDEX([1]products!$A$1:$G$49,MATCH([1]orders!$D309,[1]products!$A$1:$A$49,0),MATCH([1]orders!K$1,[1]products!$A$1:$G$1,0))</f>
        <v>1</v>
      </c>
      <c r="S309" s="6">
        <f>INDEX([1]products!$A$1:$G$49,MATCH([1]orders!$D309,[1]products!$A$1:$A$49,0),MATCH([1]orders!L$1,[1]products!$A$1:$G$1,0))</f>
        <v>11.25</v>
      </c>
      <c r="T309" s="6">
        <f t="shared" si="24"/>
        <v>33.75</v>
      </c>
      <c r="U309" s="22">
        <f t="shared" si="28"/>
        <v>3.0374999999999996</v>
      </c>
      <c r="V309" s="22">
        <f t="shared" si="29"/>
        <v>8.9999999999999982</v>
      </c>
    </row>
    <row r="310" spans="1:22" x14ac:dyDescent="0.3">
      <c r="A310" s="1" t="s">
        <v>630</v>
      </c>
      <c r="B310" s="2">
        <v>44729</v>
      </c>
      <c r="C310" s="2" t="str">
        <f t="shared" si="25"/>
        <v>Friday</v>
      </c>
      <c r="D310" s="2" t="str">
        <f t="shared" si="26"/>
        <v>June</v>
      </c>
      <c r="E310" s="2" t="str">
        <f t="shared" si="27"/>
        <v>2022</v>
      </c>
      <c r="F310" s="3" t="s">
        <v>631</v>
      </c>
      <c r="G310" s="3" t="str">
        <f>VLOOKUP(F311,'Customers (2)'!A:I,2,0)</f>
        <v>Eveleen Bletsor</v>
      </c>
      <c r="H310" s="3" t="str">
        <f>VLOOKUP(F310,'Customers (2)'!A:I,3,0)</f>
        <v>cfluin8k@flickr.com</v>
      </c>
      <c r="I310" s="3">
        <f>VLOOKUP(F310,'Customers (2)'!A:I,4,0)</f>
        <v>0</v>
      </c>
      <c r="J310" s="3" t="str">
        <f>VLOOKUP(F310,'Customers (2)'!A:I,6,0)</f>
        <v>Sheffield</v>
      </c>
      <c r="K310" s="3" t="str">
        <f>VLOOKUP(F310,'Customers (2)'!A:I,7,0)</f>
        <v>United Kingdom</v>
      </c>
      <c r="L310" s="3" t="str">
        <f>VLOOKUP(F310,'Customers (2)'!A:I,9,0)</f>
        <v>No</v>
      </c>
      <c r="M310" s="4" t="s">
        <v>61</v>
      </c>
      <c r="N310" s="4" t="str">
        <f>VLOOKUP(M310,'Products (2)'!A:G,2,0)</f>
        <v>Arabica</v>
      </c>
      <c r="O310" s="4" t="str">
        <f>VLOOKUP(M310,'Products (2)'!A:G,3,0)</f>
        <v>Medium</v>
      </c>
      <c r="P310" s="4">
        <f>VLOOKUP(M310,'Products (2)'!A:G,7,0)</f>
        <v>1.0125</v>
      </c>
      <c r="Q310" s="3">
        <v>3</v>
      </c>
      <c r="R310" s="5">
        <f>INDEX([1]products!$A$1:$G$49,MATCH([1]orders!$D310,[1]products!$A$1:$A$49,0),MATCH([1]orders!K$1,[1]products!$A$1:$G$1,0))</f>
        <v>1</v>
      </c>
      <c r="S310" s="6">
        <f>INDEX([1]products!$A$1:$G$49,MATCH([1]orders!$D310,[1]products!$A$1:$A$49,0),MATCH([1]orders!L$1,[1]products!$A$1:$G$1,0))</f>
        <v>11.25</v>
      </c>
      <c r="T310" s="6">
        <f t="shared" si="24"/>
        <v>33.75</v>
      </c>
      <c r="U310" s="22">
        <f t="shared" si="28"/>
        <v>3.0374999999999996</v>
      </c>
      <c r="V310" s="22">
        <f t="shared" si="29"/>
        <v>8.9999999999999982</v>
      </c>
    </row>
    <row r="311" spans="1:22" x14ac:dyDescent="0.3">
      <c r="A311" s="1" t="s">
        <v>632</v>
      </c>
      <c r="B311" s="2">
        <v>43864</v>
      </c>
      <c r="C311" s="2" t="str">
        <f t="shared" si="25"/>
        <v>Monday</v>
      </c>
      <c r="D311" s="2" t="str">
        <f t="shared" si="26"/>
        <v>February</v>
      </c>
      <c r="E311" s="2" t="str">
        <f t="shared" si="27"/>
        <v>2020</v>
      </c>
      <c r="F311" s="3" t="s">
        <v>633</v>
      </c>
      <c r="G311" s="3" t="str">
        <f>VLOOKUP(F312,'Customers (2)'!A:I,2,0)</f>
        <v>Paola Brydell</v>
      </c>
      <c r="H311" s="3" t="str">
        <f>VLOOKUP(F311,'Customers (2)'!A:I,3,0)</f>
        <v>ebletsor8l@vinaora.com</v>
      </c>
      <c r="I311" s="3" t="str">
        <f>VLOOKUP(F311,'Customers (2)'!A:I,4,0)</f>
        <v>+1 (860) 182-4246</v>
      </c>
      <c r="J311" s="3" t="str">
        <f>VLOOKUP(F311,'Customers (2)'!A:I,6,0)</f>
        <v>West Hartford</v>
      </c>
      <c r="K311" s="3" t="str">
        <f>VLOOKUP(F311,'Customers (2)'!A:I,7,0)</f>
        <v>United States</v>
      </c>
      <c r="L311" s="3" t="str">
        <f>VLOOKUP(F311,'Customers (2)'!A:I,9,0)</f>
        <v>Yes</v>
      </c>
      <c r="M311" s="4" t="s">
        <v>77</v>
      </c>
      <c r="N311" s="4" t="str">
        <f>VLOOKUP(M311,'Products (2)'!A:G,2,0)</f>
        <v>Liberica</v>
      </c>
      <c r="O311" s="4" t="str">
        <f>VLOOKUP(M311,'Products (2)'!A:G,3,0)</f>
        <v>Medium</v>
      </c>
      <c r="P311" s="4">
        <f>VLOOKUP(M311,'Products (2)'!A:G,7,0)</f>
        <v>0.56745000000000001</v>
      </c>
      <c r="Q311" s="3">
        <v>6</v>
      </c>
      <c r="R311" s="5">
        <f>INDEX([1]products!$A$1:$G$49,MATCH([1]orders!$D311,[1]products!$A$1:$A$49,0),MATCH([1]orders!K$1,[1]products!$A$1:$G$1,0))</f>
        <v>0.2</v>
      </c>
      <c r="S311" s="6">
        <f>INDEX([1]products!$A$1:$G$49,MATCH([1]orders!$D311,[1]products!$A$1:$A$49,0),MATCH([1]orders!L$1,[1]products!$A$1:$G$1,0))</f>
        <v>4.3650000000000002</v>
      </c>
      <c r="T311" s="6">
        <f t="shared" si="24"/>
        <v>26.19</v>
      </c>
      <c r="U311" s="22">
        <f t="shared" si="28"/>
        <v>3.4047000000000001</v>
      </c>
      <c r="V311" s="22">
        <f t="shared" si="29"/>
        <v>13</v>
      </c>
    </row>
    <row r="312" spans="1:22" x14ac:dyDescent="0.3">
      <c r="A312" s="1" t="s">
        <v>634</v>
      </c>
      <c r="B312" s="2">
        <v>44586</v>
      </c>
      <c r="C312" s="2" t="str">
        <f t="shared" si="25"/>
        <v>Tuesday</v>
      </c>
      <c r="D312" s="2" t="str">
        <f t="shared" si="26"/>
        <v>January</v>
      </c>
      <c r="E312" s="2" t="str">
        <f t="shared" si="27"/>
        <v>2022</v>
      </c>
      <c r="F312" s="3" t="s">
        <v>635</v>
      </c>
      <c r="G312" s="3" t="str">
        <f>VLOOKUP(F313,'Customers (2)'!A:I,2,0)</f>
        <v>Claudetta Rushe</v>
      </c>
      <c r="H312" s="3" t="str">
        <f>VLOOKUP(F312,'Customers (2)'!A:I,3,0)</f>
        <v>pbrydell8m@bloglovin.com</v>
      </c>
      <c r="I312" s="3" t="str">
        <f>VLOOKUP(F312,'Customers (2)'!A:I,4,0)</f>
        <v>+353 (522) 527-0155</v>
      </c>
      <c r="J312" s="3" t="str">
        <f>VLOOKUP(F312,'Customers (2)'!A:I,6,0)</f>
        <v>Listowel</v>
      </c>
      <c r="K312" s="3" t="str">
        <f>VLOOKUP(F312,'Customers (2)'!A:I,7,0)</f>
        <v>Ireland</v>
      </c>
      <c r="L312" s="3" t="str">
        <f>VLOOKUP(F312,'Customers (2)'!A:I,9,0)</f>
        <v>No</v>
      </c>
      <c r="M312" s="4" t="s">
        <v>137</v>
      </c>
      <c r="N312" s="4" t="str">
        <f>VLOOKUP(M312,'Products (2)'!A:G,2,0)</f>
        <v>Excelsa</v>
      </c>
      <c r="O312" s="4" t="str">
        <f>VLOOKUP(M312,'Products (2)'!A:G,3,0)</f>
        <v>Light</v>
      </c>
      <c r="P312" s="4">
        <f>VLOOKUP(M312,'Products (2)'!A:G,7,0)</f>
        <v>1.6335</v>
      </c>
      <c r="Q312" s="3">
        <v>1</v>
      </c>
      <c r="R312" s="5">
        <f>INDEX([1]products!$A$1:$G$49,MATCH([1]orders!$D312,[1]products!$A$1:$A$49,0),MATCH([1]orders!K$1,[1]products!$A$1:$G$1,0))</f>
        <v>1</v>
      </c>
      <c r="S312" s="6">
        <f>INDEX([1]products!$A$1:$G$49,MATCH([1]orders!$D312,[1]products!$A$1:$A$49,0),MATCH([1]orders!L$1,[1]products!$A$1:$G$1,0))</f>
        <v>14.85</v>
      </c>
      <c r="T312" s="6">
        <f t="shared" si="24"/>
        <v>14.85</v>
      </c>
      <c r="U312" s="22">
        <f t="shared" si="28"/>
        <v>1.6335</v>
      </c>
      <c r="V312" s="22">
        <f t="shared" si="29"/>
        <v>11</v>
      </c>
    </row>
    <row r="313" spans="1:22" x14ac:dyDescent="0.3">
      <c r="A313" s="1" t="s">
        <v>636</v>
      </c>
      <c r="B313" s="2">
        <v>43951</v>
      </c>
      <c r="C313" s="2" t="str">
        <f t="shared" si="25"/>
        <v>Thursday</v>
      </c>
      <c r="D313" s="2" t="str">
        <f t="shared" si="26"/>
        <v>April</v>
      </c>
      <c r="E313" s="2" t="str">
        <f t="shared" si="27"/>
        <v>2020</v>
      </c>
      <c r="F313" s="3" t="s">
        <v>623</v>
      </c>
      <c r="G313" s="3" t="str">
        <f>VLOOKUP(F314,'Customers (2)'!A:I,2,0)</f>
        <v>Natka Leethem</v>
      </c>
      <c r="H313" s="3" t="str">
        <f>VLOOKUP(F313,'Customers (2)'!A:I,3,0)</f>
        <v>crushe8n@about.me</v>
      </c>
      <c r="I313" s="3" t="str">
        <f>VLOOKUP(F313,'Customers (2)'!A:I,4,0)</f>
        <v>+1 (704) 883-8274</v>
      </c>
      <c r="J313" s="3" t="str">
        <f>VLOOKUP(F313,'Customers (2)'!A:I,6,0)</f>
        <v>Charlotte</v>
      </c>
      <c r="K313" s="3" t="str">
        <f>VLOOKUP(F313,'Customers (2)'!A:I,7,0)</f>
        <v>United States</v>
      </c>
      <c r="L313" s="3" t="str">
        <f>VLOOKUP(F313,'Customers (2)'!A:I,9,0)</f>
        <v>Yes</v>
      </c>
      <c r="M313" s="4" t="s">
        <v>112</v>
      </c>
      <c r="N313" s="4" t="str">
        <f>VLOOKUP(M313,'Products (2)'!A:G,2,0)</f>
        <v>Excelsa</v>
      </c>
      <c r="O313" s="4" t="str">
        <f>VLOOKUP(M313,'Products (2)'!A:G,3,0)</f>
        <v>Medium</v>
      </c>
      <c r="P313" s="4">
        <f>VLOOKUP(M313,'Products (2)'!A:G,7,0)</f>
        <v>3.4787499999999998</v>
      </c>
      <c r="Q313" s="3">
        <v>6</v>
      </c>
      <c r="R313" s="5">
        <f>INDEX([1]products!$A$1:$G$49,MATCH([1]orders!$D313,[1]products!$A$1:$A$49,0),MATCH([1]orders!K$1,[1]products!$A$1:$G$1,0))</f>
        <v>2.5</v>
      </c>
      <c r="S313" s="6">
        <f>INDEX([1]products!$A$1:$G$49,MATCH([1]orders!$D313,[1]products!$A$1:$A$49,0),MATCH([1]orders!L$1,[1]products!$A$1:$G$1,0))</f>
        <v>31.624999999999996</v>
      </c>
      <c r="T313" s="6">
        <f t="shared" si="24"/>
        <v>189.74999999999997</v>
      </c>
      <c r="U313" s="22">
        <f t="shared" si="28"/>
        <v>20.872499999999999</v>
      </c>
      <c r="V313" s="22">
        <f t="shared" si="29"/>
        <v>11.000000000000002</v>
      </c>
    </row>
    <row r="314" spans="1:22" x14ac:dyDescent="0.3">
      <c r="A314" s="1" t="s">
        <v>637</v>
      </c>
      <c r="B314" s="2">
        <v>44317</v>
      </c>
      <c r="C314" s="2" t="str">
        <f t="shared" si="25"/>
        <v>Saturday</v>
      </c>
      <c r="D314" s="2" t="str">
        <f t="shared" si="26"/>
        <v>May</v>
      </c>
      <c r="E314" s="2" t="str">
        <f t="shared" si="27"/>
        <v>2021</v>
      </c>
      <c r="F314" s="3" t="s">
        <v>638</v>
      </c>
      <c r="G314" s="3" t="str">
        <f>VLOOKUP(F315,'Customers (2)'!A:I,2,0)</f>
        <v>Ailene Nesfield</v>
      </c>
      <c r="H314" s="3" t="str">
        <f>VLOOKUP(F314,'Customers (2)'!A:I,3,0)</f>
        <v>nleethem8o@mac.com</v>
      </c>
      <c r="I314" s="3" t="str">
        <f>VLOOKUP(F314,'Customers (2)'!A:I,4,0)</f>
        <v>+1 (318) 839-1492</v>
      </c>
      <c r="J314" s="3" t="str">
        <f>VLOOKUP(F314,'Customers (2)'!A:I,6,0)</f>
        <v>Alexandria</v>
      </c>
      <c r="K314" s="3" t="str">
        <f>VLOOKUP(F314,'Customers (2)'!A:I,7,0)</f>
        <v>United States</v>
      </c>
      <c r="L314" s="3" t="str">
        <f>VLOOKUP(F314,'Customers (2)'!A:I,9,0)</f>
        <v>Yes</v>
      </c>
      <c r="M314" s="4" t="s">
        <v>22</v>
      </c>
      <c r="N314" s="4" t="str">
        <f>VLOOKUP(M314,'Products (2)'!A:G,2,0)</f>
        <v>Robusta</v>
      </c>
      <c r="O314" s="4" t="str">
        <f>VLOOKUP(M314,'Products (2)'!A:G,3,0)</f>
        <v>Medium</v>
      </c>
      <c r="P314" s="4">
        <f>VLOOKUP(M314,'Products (2)'!A:G,7,0)</f>
        <v>0.35819999999999996</v>
      </c>
      <c r="Q314" s="3">
        <v>1</v>
      </c>
      <c r="R314" s="5">
        <f>INDEX([1]products!$A$1:$G$49,MATCH([1]orders!$D314,[1]products!$A$1:$A$49,0),MATCH([1]orders!K$1,[1]products!$A$1:$G$1,0))</f>
        <v>0.5</v>
      </c>
      <c r="S314" s="6">
        <f>INDEX([1]products!$A$1:$G$49,MATCH([1]orders!$D314,[1]products!$A$1:$A$49,0),MATCH([1]orders!L$1,[1]products!$A$1:$G$1,0))</f>
        <v>5.97</v>
      </c>
      <c r="T314" s="6">
        <f t="shared" si="24"/>
        <v>5.97</v>
      </c>
      <c r="U314" s="22">
        <f t="shared" si="28"/>
        <v>0.35819999999999996</v>
      </c>
      <c r="V314" s="22">
        <f t="shared" si="29"/>
        <v>6</v>
      </c>
    </row>
    <row r="315" spans="1:22" x14ac:dyDescent="0.3">
      <c r="A315" s="1" t="s">
        <v>639</v>
      </c>
      <c r="B315" s="2">
        <v>44497</v>
      </c>
      <c r="C315" s="2" t="str">
        <f t="shared" si="25"/>
        <v>Thursday</v>
      </c>
      <c r="D315" s="2" t="str">
        <f t="shared" si="26"/>
        <v>October</v>
      </c>
      <c r="E315" s="2" t="str">
        <f t="shared" si="27"/>
        <v>2021</v>
      </c>
      <c r="F315" s="3" t="s">
        <v>640</v>
      </c>
      <c r="G315" s="3" t="str">
        <f>VLOOKUP(F316,'Customers (2)'!A:I,2,0)</f>
        <v>Stacy Pickworth</v>
      </c>
      <c r="H315" s="3" t="str">
        <f>VLOOKUP(F315,'Customers (2)'!A:I,3,0)</f>
        <v>anesfield8p@people.com.cn</v>
      </c>
      <c r="I315" s="3" t="str">
        <f>VLOOKUP(F315,'Customers (2)'!A:I,4,0)</f>
        <v>+44 (418) 372-8139</v>
      </c>
      <c r="J315" s="3" t="str">
        <f>VLOOKUP(F315,'Customers (2)'!A:I,6,0)</f>
        <v>Belfast</v>
      </c>
      <c r="K315" s="3" t="str">
        <f>VLOOKUP(F315,'Customers (2)'!A:I,7,0)</f>
        <v>United Kingdom</v>
      </c>
      <c r="L315" s="3" t="str">
        <f>VLOOKUP(F315,'Customers (2)'!A:I,9,0)</f>
        <v>Yes</v>
      </c>
      <c r="M315" s="4" t="s">
        <v>2</v>
      </c>
      <c r="N315" s="4" t="str">
        <f>VLOOKUP(M315,'Products (2)'!A:G,2,0)</f>
        <v>Robusta</v>
      </c>
      <c r="O315" s="4" t="str">
        <f>VLOOKUP(M315,'Products (2)'!A:G,3,0)</f>
        <v>Medium</v>
      </c>
      <c r="P315" s="4">
        <f>VLOOKUP(M315,'Products (2)'!A:G,7,0)</f>
        <v>0.59699999999999998</v>
      </c>
      <c r="Q315" s="3">
        <v>3</v>
      </c>
      <c r="R315" s="5">
        <f>INDEX([1]products!$A$1:$G$49,MATCH([1]orders!$D315,[1]products!$A$1:$A$49,0),MATCH([1]orders!K$1,[1]products!$A$1:$G$1,0))</f>
        <v>1</v>
      </c>
      <c r="S315" s="6">
        <f>INDEX([1]products!$A$1:$G$49,MATCH([1]orders!$D315,[1]products!$A$1:$A$49,0),MATCH([1]orders!L$1,[1]products!$A$1:$G$1,0))</f>
        <v>9.9499999999999993</v>
      </c>
      <c r="T315" s="6">
        <f t="shared" si="24"/>
        <v>29.849999999999998</v>
      </c>
      <c r="U315" s="22">
        <f t="shared" si="28"/>
        <v>1.7909999999999999</v>
      </c>
      <c r="V315" s="22">
        <f t="shared" si="29"/>
        <v>6.0000000000000009</v>
      </c>
    </row>
    <row r="316" spans="1:22" x14ac:dyDescent="0.3">
      <c r="A316" s="1" t="s">
        <v>641</v>
      </c>
      <c r="B316" s="2">
        <v>44437</v>
      </c>
      <c r="C316" s="2" t="str">
        <f t="shared" si="25"/>
        <v>Sunday</v>
      </c>
      <c r="D316" s="2" t="str">
        <f t="shared" si="26"/>
        <v>August</v>
      </c>
      <c r="E316" s="2" t="str">
        <f t="shared" si="27"/>
        <v>2021</v>
      </c>
      <c r="F316" s="3" t="s">
        <v>642</v>
      </c>
      <c r="G316" s="3" t="str">
        <f>VLOOKUP(F317,'Customers (2)'!A:I,2,0)</f>
        <v>Melli Brockway</v>
      </c>
      <c r="H316" s="3">
        <f>VLOOKUP(F316,'Customers (2)'!A:I,3,0)</f>
        <v>0</v>
      </c>
      <c r="I316" s="3" t="str">
        <f>VLOOKUP(F316,'Customers (2)'!A:I,4,0)</f>
        <v>+1 (702) 723-3139</v>
      </c>
      <c r="J316" s="3" t="str">
        <f>VLOOKUP(F316,'Customers (2)'!A:I,6,0)</f>
        <v>Las Vegas</v>
      </c>
      <c r="K316" s="3" t="str">
        <f>VLOOKUP(F316,'Customers (2)'!A:I,7,0)</f>
        <v>United States</v>
      </c>
      <c r="L316" s="3" t="str">
        <f>VLOOKUP(F316,'Customers (2)'!A:I,9,0)</f>
        <v>No</v>
      </c>
      <c r="M316" s="4" t="s">
        <v>179</v>
      </c>
      <c r="N316" s="4" t="str">
        <f>VLOOKUP(M316,'Products (2)'!A:G,2,0)</f>
        <v>Robusta</v>
      </c>
      <c r="O316" s="4" t="str">
        <f>VLOOKUP(M316,'Products (2)'!A:G,3,0)</f>
        <v>Dark</v>
      </c>
      <c r="P316" s="4">
        <f>VLOOKUP(M316,'Products (2)'!A:G,7,0)</f>
        <v>0.53699999999999992</v>
      </c>
      <c r="Q316" s="3">
        <v>5</v>
      </c>
      <c r="R316" s="5">
        <f>INDEX([1]products!$A$1:$G$49,MATCH([1]orders!$D316,[1]products!$A$1:$A$49,0),MATCH([1]orders!K$1,[1]products!$A$1:$G$1,0))</f>
        <v>1</v>
      </c>
      <c r="S316" s="6">
        <f>INDEX([1]products!$A$1:$G$49,MATCH([1]orders!$D316,[1]products!$A$1:$A$49,0),MATCH([1]orders!L$1,[1]products!$A$1:$G$1,0))</f>
        <v>8.9499999999999993</v>
      </c>
      <c r="T316" s="6">
        <f t="shared" si="24"/>
        <v>44.75</v>
      </c>
      <c r="U316" s="22">
        <f t="shared" si="28"/>
        <v>2.6849999999999996</v>
      </c>
      <c r="V316" s="22">
        <f t="shared" si="29"/>
        <v>5.9999999999999991</v>
      </c>
    </row>
    <row r="317" spans="1:22" x14ac:dyDescent="0.3">
      <c r="A317" s="1" t="s">
        <v>643</v>
      </c>
      <c r="B317" s="2">
        <v>43826</v>
      </c>
      <c r="C317" s="2" t="str">
        <f t="shared" si="25"/>
        <v>Friday</v>
      </c>
      <c r="D317" s="2" t="str">
        <f t="shared" si="26"/>
        <v>December</v>
      </c>
      <c r="E317" s="2" t="str">
        <f t="shared" si="27"/>
        <v>2019</v>
      </c>
      <c r="F317" s="3" t="s">
        <v>644</v>
      </c>
      <c r="G317" s="3" t="str">
        <f>VLOOKUP(F318,'Customers (2)'!A:I,2,0)</f>
        <v>Nanny Lush</v>
      </c>
      <c r="H317" s="3" t="str">
        <f>VLOOKUP(F317,'Customers (2)'!A:I,3,0)</f>
        <v>mbrockway8r@ibm.com</v>
      </c>
      <c r="I317" s="3" t="str">
        <f>VLOOKUP(F317,'Customers (2)'!A:I,4,0)</f>
        <v>+1 (515) 216-0617</v>
      </c>
      <c r="J317" s="3" t="str">
        <f>VLOOKUP(F317,'Customers (2)'!A:I,6,0)</f>
        <v>Des Moines</v>
      </c>
      <c r="K317" s="3" t="str">
        <f>VLOOKUP(F317,'Customers (2)'!A:I,7,0)</f>
        <v>United States</v>
      </c>
      <c r="L317" s="3" t="str">
        <f>VLOOKUP(F317,'Customers (2)'!A:I,9,0)</f>
        <v>Yes</v>
      </c>
      <c r="M317" s="4" t="s">
        <v>30</v>
      </c>
      <c r="N317" s="4" t="str">
        <f>VLOOKUP(M317,'Products (2)'!A:G,2,0)</f>
        <v>Excelsa</v>
      </c>
      <c r="O317" s="4" t="str">
        <f>VLOOKUP(M317,'Products (2)'!A:G,3,0)</f>
        <v>Light</v>
      </c>
      <c r="P317" s="4">
        <f>VLOOKUP(M317,'Products (2)'!A:G,7,0)</f>
        <v>3.7570499999999996</v>
      </c>
      <c r="Q317" s="3">
        <v>1</v>
      </c>
      <c r="R317" s="5">
        <f>INDEX([1]products!$A$1:$G$49,MATCH([1]orders!$D317,[1]products!$A$1:$A$49,0),MATCH([1]orders!K$1,[1]products!$A$1:$G$1,0))</f>
        <v>2.5</v>
      </c>
      <c r="S317" s="6">
        <f>INDEX([1]products!$A$1:$G$49,MATCH([1]orders!$D317,[1]products!$A$1:$A$49,0),MATCH([1]orders!L$1,[1]products!$A$1:$G$1,0))</f>
        <v>34.154999999999994</v>
      </c>
      <c r="T317" s="6">
        <f t="shared" si="24"/>
        <v>34.154999999999994</v>
      </c>
      <c r="U317" s="22">
        <f t="shared" si="28"/>
        <v>3.7570499999999996</v>
      </c>
      <c r="V317" s="22">
        <f t="shared" si="29"/>
        <v>11</v>
      </c>
    </row>
    <row r="318" spans="1:22" x14ac:dyDescent="0.3">
      <c r="A318" s="1" t="s">
        <v>645</v>
      </c>
      <c r="B318" s="2">
        <v>43641</v>
      </c>
      <c r="C318" s="2" t="str">
        <f t="shared" si="25"/>
        <v>Tuesday</v>
      </c>
      <c r="D318" s="2" t="str">
        <f t="shared" si="26"/>
        <v>June</v>
      </c>
      <c r="E318" s="2" t="str">
        <f t="shared" si="27"/>
        <v>2019</v>
      </c>
      <c r="F318" s="3" t="s">
        <v>646</v>
      </c>
      <c r="G318" s="3" t="str">
        <f>VLOOKUP(F319,'Customers (2)'!A:I,2,0)</f>
        <v>Selma McMillian</v>
      </c>
      <c r="H318" s="3" t="str">
        <f>VLOOKUP(F318,'Customers (2)'!A:I,3,0)</f>
        <v>nlush8s@dedecms.com</v>
      </c>
      <c r="I318" s="3" t="str">
        <f>VLOOKUP(F318,'Customers (2)'!A:I,4,0)</f>
        <v>+353 (360) 805-4030</v>
      </c>
      <c r="J318" s="3" t="str">
        <f>VLOOKUP(F318,'Customers (2)'!A:I,6,0)</f>
        <v>Ballivor</v>
      </c>
      <c r="K318" s="3" t="str">
        <f>VLOOKUP(F318,'Customers (2)'!A:I,7,0)</f>
        <v>Ireland</v>
      </c>
      <c r="L318" s="3" t="str">
        <f>VLOOKUP(F318,'Customers (2)'!A:I,9,0)</f>
        <v>No</v>
      </c>
      <c r="M318" s="4" t="s">
        <v>30</v>
      </c>
      <c r="N318" s="4" t="str">
        <f>VLOOKUP(M318,'Products (2)'!A:G,2,0)</f>
        <v>Excelsa</v>
      </c>
      <c r="O318" s="4" t="str">
        <f>VLOOKUP(M318,'Products (2)'!A:G,3,0)</f>
        <v>Light</v>
      </c>
      <c r="P318" s="4">
        <f>VLOOKUP(M318,'Products (2)'!A:G,7,0)</f>
        <v>3.7570499999999996</v>
      </c>
      <c r="Q318" s="3">
        <v>6</v>
      </c>
      <c r="R318" s="5">
        <f>INDEX([1]products!$A$1:$G$49,MATCH([1]orders!$D318,[1]products!$A$1:$A$49,0),MATCH([1]orders!K$1,[1]products!$A$1:$G$1,0))</f>
        <v>2.5</v>
      </c>
      <c r="S318" s="6">
        <f>INDEX([1]products!$A$1:$G$49,MATCH([1]orders!$D318,[1]products!$A$1:$A$49,0),MATCH([1]orders!L$1,[1]products!$A$1:$G$1,0))</f>
        <v>34.154999999999994</v>
      </c>
      <c r="T318" s="6">
        <f t="shared" si="24"/>
        <v>204.92999999999995</v>
      </c>
      <c r="U318" s="22">
        <f t="shared" si="28"/>
        <v>22.542299999999997</v>
      </c>
      <c r="V318" s="22">
        <f t="shared" si="29"/>
        <v>11.000000000000002</v>
      </c>
    </row>
    <row r="319" spans="1:22" x14ac:dyDescent="0.3">
      <c r="A319" s="1" t="s">
        <v>647</v>
      </c>
      <c r="B319" s="2">
        <v>43526</v>
      </c>
      <c r="C319" s="2" t="str">
        <f t="shared" si="25"/>
        <v>Saturday</v>
      </c>
      <c r="D319" s="2" t="str">
        <f t="shared" si="26"/>
        <v>March</v>
      </c>
      <c r="E319" s="2" t="str">
        <f t="shared" si="27"/>
        <v>2019</v>
      </c>
      <c r="F319" s="3" t="s">
        <v>648</v>
      </c>
      <c r="G319" s="3" t="str">
        <f>VLOOKUP(F320,'Customers (2)'!A:I,2,0)</f>
        <v>Tess Bennison</v>
      </c>
      <c r="H319" s="3" t="str">
        <f>VLOOKUP(F319,'Customers (2)'!A:I,3,0)</f>
        <v>smcmillian8t@csmonitor.com</v>
      </c>
      <c r="I319" s="3" t="str">
        <f>VLOOKUP(F319,'Customers (2)'!A:I,4,0)</f>
        <v>+1 (330) 407-0631</v>
      </c>
      <c r="J319" s="3" t="str">
        <f>VLOOKUP(F319,'Customers (2)'!A:I,6,0)</f>
        <v>Akron</v>
      </c>
      <c r="K319" s="3" t="str">
        <f>VLOOKUP(F319,'Customers (2)'!A:I,7,0)</f>
        <v>United States</v>
      </c>
      <c r="L319" s="3" t="str">
        <f>VLOOKUP(F319,'Customers (2)'!A:I,9,0)</f>
        <v>No</v>
      </c>
      <c r="M319" s="4" t="s">
        <v>16</v>
      </c>
      <c r="N319" s="4" t="str">
        <f>VLOOKUP(M319,'Products (2)'!A:G,2,0)</f>
        <v>Excelsa</v>
      </c>
      <c r="O319" s="4" t="str">
        <f>VLOOKUP(M319,'Products (2)'!A:G,3,0)</f>
        <v>Dark</v>
      </c>
      <c r="P319" s="4">
        <f>VLOOKUP(M319,'Products (2)'!A:G,7,0)</f>
        <v>0.80190000000000006</v>
      </c>
      <c r="Q319" s="3">
        <v>3</v>
      </c>
      <c r="R319" s="5">
        <f>INDEX([1]products!$A$1:$G$49,MATCH([1]orders!$D319,[1]products!$A$1:$A$49,0),MATCH([1]orders!K$1,[1]products!$A$1:$G$1,0))</f>
        <v>0.5</v>
      </c>
      <c r="S319" s="6">
        <f>INDEX([1]products!$A$1:$G$49,MATCH([1]orders!$D319,[1]products!$A$1:$A$49,0),MATCH([1]orders!L$1,[1]products!$A$1:$G$1,0))</f>
        <v>7.29</v>
      </c>
      <c r="T319" s="6">
        <f t="shared" si="24"/>
        <v>21.87</v>
      </c>
      <c r="U319" s="22">
        <f t="shared" si="28"/>
        <v>2.4057000000000004</v>
      </c>
      <c r="V319" s="22">
        <f t="shared" si="29"/>
        <v>11.000000000000002</v>
      </c>
    </row>
    <row r="320" spans="1:22" x14ac:dyDescent="0.3">
      <c r="A320" s="1" t="s">
        <v>649</v>
      </c>
      <c r="B320" s="2">
        <v>44563</v>
      </c>
      <c r="C320" s="2" t="str">
        <f t="shared" si="25"/>
        <v>Sunday</v>
      </c>
      <c r="D320" s="2" t="str">
        <f t="shared" si="26"/>
        <v>January</v>
      </c>
      <c r="E320" s="2" t="str">
        <f t="shared" si="27"/>
        <v>2022</v>
      </c>
      <c r="F320" s="3" t="s">
        <v>650</v>
      </c>
      <c r="G320" s="3" t="str">
        <f>VLOOKUP(F321,'Customers (2)'!A:I,2,0)</f>
        <v>Gabie Tweed</v>
      </c>
      <c r="H320" s="3" t="str">
        <f>VLOOKUP(F320,'Customers (2)'!A:I,3,0)</f>
        <v>tbennison8u@google.cn</v>
      </c>
      <c r="I320" s="3" t="str">
        <f>VLOOKUP(F320,'Customers (2)'!A:I,4,0)</f>
        <v>+1 (561) 413-7904</v>
      </c>
      <c r="J320" s="3" t="str">
        <f>VLOOKUP(F320,'Customers (2)'!A:I,6,0)</f>
        <v>West Palm Beach</v>
      </c>
      <c r="K320" s="3" t="str">
        <f>VLOOKUP(F320,'Customers (2)'!A:I,7,0)</f>
        <v>United States</v>
      </c>
      <c r="L320" s="3" t="str">
        <f>VLOOKUP(F320,'Customers (2)'!A:I,9,0)</f>
        <v>Yes</v>
      </c>
      <c r="M320" s="4" t="s">
        <v>171</v>
      </c>
      <c r="N320" s="4" t="str">
        <f>VLOOKUP(M320,'Products (2)'!A:G,2,0)</f>
        <v>Arabica</v>
      </c>
      <c r="O320" s="4" t="str">
        <f>VLOOKUP(M320,'Products (2)'!A:G,3,0)</f>
        <v>Medium</v>
      </c>
      <c r="P320" s="4">
        <f>VLOOKUP(M320,'Products (2)'!A:G,7,0)</f>
        <v>2.3287499999999994</v>
      </c>
      <c r="Q320" s="3">
        <v>2</v>
      </c>
      <c r="R320" s="5">
        <f>INDEX([1]products!$A$1:$G$49,MATCH([1]orders!$D320,[1]products!$A$1:$A$49,0),MATCH([1]orders!K$1,[1]products!$A$1:$G$1,0))</f>
        <v>2.5</v>
      </c>
      <c r="S320" s="6">
        <f>INDEX([1]products!$A$1:$G$49,MATCH([1]orders!$D320,[1]products!$A$1:$A$49,0),MATCH([1]orders!L$1,[1]products!$A$1:$G$1,0))</f>
        <v>25.874999999999996</v>
      </c>
      <c r="T320" s="6">
        <f t="shared" si="24"/>
        <v>51.749999999999993</v>
      </c>
      <c r="U320" s="22">
        <f t="shared" si="28"/>
        <v>4.6574999999999989</v>
      </c>
      <c r="V320" s="22">
        <f t="shared" si="29"/>
        <v>9</v>
      </c>
    </row>
    <row r="321" spans="1:22" x14ac:dyDescent="0.3">
      <c r="A321" s="1" t="s">
        <v>651</v>
      </c>
      <c r="B321" s="2">
        <v>43676</v>
      </c>
      <c r="C321" s="2" t="str">
        <f t="shared" si="25"/>
        <v>Tuesday</v>
      </c>
      <c r="D321" s="2" t="str">
        <f t="shared" si="26"/>
        <v>July</v>
      </c>
      <c r="E321" s="2" t="str">
        <f t="shared" si="27"/>
        <v>2019</v>
      </c>
      <c r="F321" s="3" t="s">
        <v>652</v>
      </c>
      <c r="G321" s="3" t="str">
        <f>VLOOKUP(F322,'Customers (2)'!A:I,2,0)</f>
        <v>Gabie Tweed</v>
      </c>
      <c r="H321" s="3" t="str">
        <f>VLOOKUP(F321,'Customers (2)'!A:I,3,0)</f>
        <v>gtweed8v@yolasite.com</v>
      </c>
      <c r="I321" s="3">
        <f>VLOOKUP(F321,'Customers (2)'!A:I,4,0)</f>
        <v>0</v>
      </c>
      <c r="J321" s="3" t="str">
        <f>VLOOKUP(F321,'Customers (2)'!A:I,6,0)</f>
        <v>Fresno</v>
      </c>
      <c r="K321" s="3" t="str">
        <f>VLOOKUP(F321,'Customers (2)'!A:I,7,0)</f>
        <v>United States</v>
      </c>
      <c r="L321" s="3" t="str">
        <f>VLOOKUP(F321,'Customers (2)'!A:I,9,0)</f>
        <v>Yes</v>
      </c>
      <c r="M321" s="4" t="s">
        <v>64</v>
      </c>
      <c r="N321" s="4" t="str">
        <f>VLOOKUP(M321,'Products (2)'!A:G,2,0)</f>
        <v>Excelsa</v>
      </c>
      <c r="O321" s="4" t="str">
        <f>VLOOKUP(M321,'Products (2)'!A:G,3,0)</f>
        <v>Medium</v>
      </c>
      <c r="P321" s="4">
        <f>VLOOKUP(M321,'Products (2)'!A:G,7,0)</f>
        <v>0.45374999999999999</v>
      </c>
      <c r="Q321" s="3">
        <v>2</v>
      </c>
      <c r="R321" s="5">
        <f>INDEX([1]products!$A$1:$G$49,MATCH([1]orders!$D321,[1]products!$A$1:$A$49,0),MATCH([1]orders!K$1,[1]products!$A$1:$G$1,0))</f>
        <v>0.2</v>
      </c>
      <c r="S321" s="6">
        <f>INDEX([1]products!$A$1:$G$49,MATCH([1]orders!$D321,[1]products!$A$1:$A$49,0),MATCH([1]orders!L$1,[1]products!$A$1:$G$1,0))</f>
        <v>4.125</v>
      </c>
      <c r="T321" s="6">
        <f t="shared" si="24"/>
        <v>8.25</v>
      </c>
      <c r="U321" s="22">
        <f t="shared" si="28"/>
        <v>0.90749999999999997</v>
      </c>
      <c r="V321" s="22">
        <f t="shared" si="29"/>
        <v>11</v>
      </c>
    </row>
    <row r="322" spans="1:22" x14ac:dyDescent="0.3">
      <c r="A322" s="1" t="s">
        <v>651</v>
      </c>
      <c r="B322" s="2">
        <v>43676</v>
      </c>
      <c r="C322" s="2" t="str">
        <f t="shared" si="25"/>
        <v>Tuesday</v>
      </c>
      <c r="D322" s="2" t="str">
        <f t="shared" si="26"/>
        <v>July</v>
      </c>
      <c r="E322" s="2" t="str">
        <f t="shared" si="27"/>
        <v>2019</v>
      </c>
      <c r="F322" s="3" t="s">
        <v>652</v>
      </c>
      <c r="G322" s="3" t="str">
        <f>VLOOKUP(F323,'Customers (2)'!A:I,2,0)</f>
        <v>Gaile Goggin</v>
      </c>
      <c r="H322" s="3" t="str">
        <f>VLOOKUP(F322,'Customers (2)'!A:I,3,0)</f>
        <v>gtweed8v@yolasite.com</v>
      </c>
      <c r="I322" s="3">
        <f>VLOOKUP(F322,'Customers (2)'!A:I,4,0)</f>
        <v>0</v>
      </c>
      <c r="J322" s="3" t="str">
        <f>VLOOKUP(F322,'Customers (2)'!A:I,6,0)</f>
        <v>Fresno</v>
      </c>
      <c r="K322" s="3" t="str">
        <f>VLOOKUP(F322,'Customers (2)'!A:I,7,0)</f>
        <v>United States</v>
      </c>
      <c r="L322" s="3" t="str">
        <f>VLOOKUP(F322,'Customers (2)'!A:I,9,0)</f>
        <v>Yes</v>
      </c>
      <c r="M322" s="4" t="s">
        <v>115</v>
      </c>
      <c r="N322" s="4" t="str">
        <f>VLOOKUP(M322,'Products (2)'!A:G,2,0)</f>
        <v>Arabica</v>
      </c>
      <c r="O322" s="4" t="str">
        <f>VLOOKUP(M322,'Products (2)'!A:G,3,0)</f>
        <v>Light</v>
      </c>
      <c r="P322" s="4">
        <f>VLOOKUP(M322,'Products (2)'!A:G,7,0)</f>
        <v>0.34964999999999996</v>
      </c>
      <c r="Q322" s="3">
        <v>5</v>
      </c>
      <c r="R322" s="5">
        <f>INDEX([1]products!$A$1:$G$49,MATCH([1]orders!$D322,[1]products!$A$1:$A$49,0),MATCH([1]orders!K$1,[1]products!$A$1:$G$1,0))</f>
        <v>0.2</v>
      </c>
      <c r="S322" s="6">
        <f>INDEX([1]products!$A$1:$G$49,MATCH([1]orders!$D322,[1]products!$A$1:$A$49,0),MATCH([1]orders!L$1,[1]products!$A$1:$G$1,0))</f>
        <v>3.8849999999999998</v>
      </c>
      <c r="T322" s="6">
        <f t="shared" ref="T322:T385" si="30">Q322*S322</f>
        <v>19.424999999999997</v>
      </c>
      <c r="U322" s="22">
        <f t="shared" si="28"/>
        <v>1.7482499999999999</v>
      </c>
      <c r="V322" s="22">
        <f t="shared" si="29"/>
        <v>9.0000000000000018</v>
      </c>
    </row>
    <row r="323" spans="1:22" x14ac:dyDescent="0.3">
      <c r="A323" s="1" t="s">
        <v>653</v>
      </c>
      <c r="B323" s="2">
        <v>44170</v>
      </c>
      <c r="C323" s="2" t="str">
        <f t="shared" ref="C323:C386" si="31">TEXT(B323,"dddd")</f>
        <v>Saturday</v>
      </c>
      <c r="D323" s="2" t="str">
        <f t="shared" ref="D323:D386" si="32">TEXT(B323,"MMMM")</f>
        <v>December</v>
      </c>
      <c r="E323" s="2" t="str">
        <f t="shared" ref="E323:E386" si="33">TEXT(B323,"YYYY")</f>
        <v>2020</v>
      </c>
      <c r="F323" s="3" t="s">
        <v>654</v>
      </c>
      <c r="G323" s="3" t="str">
        <f>VLOOKUP(F324,'Customers (2)'!A:I,2,0)</f>
        <v>Skylar Jeyness</v>
      </c>
      <c r="H323" s="3" t="str">
        <f>VLOOKUP(F323,'Customers (2)'!A:I,3,0)</f>
        <v>ggoggin8x@wix.com</v>
      </c>
      <c r="I323" s="3" t="str">
        <f>VLOOKUP(F323,'Customers (2)'!A:I,4,0)</f>
        <v>+353 (484) 159-9549</v>
      </c>
      <c r="J323" s="3" t="str">
        <f>VLOOKUP(F323,'Customers (2)'!A:I,6,0)</f>
        <v>Sandyford</v>
      </c>
      <c r="K323" s="3" t="str">
        <f>VLOOKUP(F323,'Customers (2)'!A:I,7,0)</f>
        <v>Ireland</v>
      </c>
      <c r="L323" s="3" t="str">
        <f>VLOOKUP(F323,'Customers (2)'!A:I,9,0)</f>
        <v>Yes</v>
      </c>
      <c r="M323" s="4" t="s">
        <v>44</v>
      </c>
      <c r="N323" s="4" t="str">
        <f>VLOOKUP(M323,'Products (2)'!A:G,2,0)</f>
        <v>Arabica</v>
      </c>
      <c r="O323" s="4" t="str">
        <f>VLOOKUP(M323,'Products (2)'!A:G,3,0)</f>
        <v>Medium</v>
      </c>
      <c r="P323" s="4">
        <f>VLOOKUP(M323,'Products (2)'!A:G,7,0)</f>
        <v>0.30374999999999996</v>
      </c>
      <c r="Q323" s="3">
        <v>6</v>
      </c>
      <c r="R323" s="5">
        <f>INDEX([1]products!$A$1:$G$49,MATCH([1]orders!$D323,[1]products!$A$1:$A$49,0),MATCH([1]orders!K$1,[1]products!$A$1:$G$1,0))</f>
        <v>0.2</v>
      </c>
      <c r="S323" s="6">
        <f>INDEX([1]products!$A$1:$G$49,MATCH([1]orders!$D323,[1]products!$A$1:$A$49,0),MATCH([1]orders!L$1,[1]products!$A$1:$G$1,0))</f>
        <v>3.375</v>
      </c>
      <c r="T323" s="6">
        <f t="shared" si="30"/>
        <v>20.25</v>
      </c>
      <c r="U323" s="22">
        <f t="shared" ref="U323:U386" si="34">Q323*P323</f>
        <v>1.8224999999999998</v>
      </c>
      <c r="V323" s="22">
        <f t="shared" ref="V323:V386" si="35">U323/T323*100</f>
        <v>8.9999999999999982</v>
      </c>
    </row>
    <row r="324" spans="1:22" x14ac:dyDescent="0.3">
      <c r="A324" s="1" t="s">
        <v>655</v>
      </c>
      <c r="B324" s="2">
        <v>44182</v>
      </c>
      <c r="C324" s="2" t="str">
        <f t="shared" si="31"/>
        <v>Thursday</v>
      </c>
      <c r="D324" s="2" t="str">
        <f t="shared" si="32"/>
        <v>December</v>
      </c>
      <c r="E324" s="2" t="str">
        <f t="shared" si="33"/>
        <v>2020</v>
      </c>
      <c r="F324" s="3" t="s">
        <v>656</v>
      </c>
      <c r="G324" s="3" t="str">
        <f>VLOOKUP(F325,'Customers (2)'!A:I,2,0)</f>
        <v>Donica Bonhome</v>
      </c>
      <c r="H324" s="3" t="str">
        <f>VLOOKUP(F324,'Customers (2)'!A:I,3,0)</f>
        <v>sjeyness8y@biglobe.ne.jp</v>
      </c>
      <c r="I324" s="3" t="str">
        <f>VLOOKUP(F324,'Customers (2)'!A:I,4,0)</f>
        <v>+353 (460) 272-4069</v>
      </c>
      <c r="J324" s="3" t="str">
        <f>VLOOKUP(F324,'Customers (2)'!A:I,6,0)</f>
        <v>Dublin</v>
      </c>
      <c r="K324" s="3" t="str">
        <f>VLOOKUP(F324,'Customers (2)'!A:I,7,0)</f>
        <v>Ireland</v>
      </c>
      <c r="L324" s="3" t="str">
        <f>VLOOKUP(F324,'Customers (2)'!A:I,9,0)</f>
        <v>No</v>
      </c>
      <c r="M324" s="4" t="s">
        <v>123</v>
      </c>
      <c r="N324" s="4" t="str">
        <f>VLOOKUP(M324,'Products (2)'!A:G,2,0)</f>
        <v>Liberica</v>
      </c>
      <c r="O324" s="4" t="str">
        <f>VLOOKUP(M324,'Products (2)'!A:G,3,0)</f>
        <v>Dark</v>
      </c>
      <c r="P324" s="4">
        <f>VLOOKUP(M324,'Products (2)'!A:G,7,0)</f>
        <v>1.0101</v>
      </c>
      <c r="Q324" s="3">
        <v>3</v>
      </c>
      <c r="R324" s="5">
        <f>INDEX([1]products!$A$1:$G$49,MATCH([1]orders!$D324,[1]products!$A$1:$A$49,0),MATCH([1]orders!K$1,[1]products!$A$1:$G$1,0))</f>
        <v>0.5</v>
      </c>
      <c r="S324" s="6">
        <f>INDEX([1]products!$A$1:$G$49,MATCH([1]orders!$D324,[1]products!$A$1:$A$49,0),MATCH([1]orders!L$1,[1]products!$A$1:$G$1,0))</f>
        <v>7.77</v>
      </c>
      <c r="T324" s="6">
        <f t="shared" si="30"/>
        <v>23.31</v>
      </c>
      <c r="U324" s="22">
        <f t="shared" si="34"/>
        <v>3.0303</v>
      </c>
      <c r="V324" s="22">
        <f t="shared" si="35"/>
        <v>13</v>
      </c>
    </row>
    <row r="325" spans="1:22" x14ac:dyDescent="0.3">
      <c r="A325" s="1" t="s">
        <v>657</v>
      </c>
      <c r="B325" s="2">
        <v>44373</v>
      </c>
      <c r="C325" s="2" t="str">
        <f t="shared" si="31"/>
        <v>Saturday</v>
      </c>
      <c r="D325" s="2" t="str">
        <f t="shared" si="32"/>
        <v>June</v>
      </c>
      <c r="E325" s="2" t="str">
        <f t="shared" si="33"/>
        <v>2021</v>
      </c>
      <c r="F325" s="3" t="s">
        <v>658</v>
      </c>
      <c r="G325" s="3" t="str">
        <f>VLOOKUP(F326,'Customers (2)'!A:I,2,0)</f>
        <v>Diena Peetermann</v>
      </c>
      <c r="H325" s="3" t="str">
        <f>VLOOKUP(F325,'Customers (2)'!A:I,3,0)</f>
        <v>dbonhome8z@shinystat.com</v>
      </c>
      <c r="I325" s="3" t="str">
        <f>VLOOKUP(F325,'Customers (2)'!A:I,4,0)</f>
        <v>+1 (865) 238-4985</v>
      </c>
      <c r="J325" s="3" t="str">
        <f>VLOOKUP(F325,'Customers (2)'!A:I,6,0)</f>
        <v>Knoxville</v>
      </c>
      <c r="K325" s="3" t="str">
        <f>VLOOKUP(F325,'Customers (2)'!A:I,7,0)</f>
        <v>United States</v>
      </c>
      <c r="L325" s="3" t="str">
        <f>VLOOKUP(F325,'Customers (2)'!A:I,9,0)</f>
        <v>Yes</v>
      </c>
      <c r="M325" s="4" t="s">
        <v>51</v>
      </c>
      <c r="N325" s="4" t="str">
        <f>VLOOKUP(M325,'Products (2)'!A:G,2,0)</f>
        <v>Excelsa</v>
      </c>
      <c r="O325" s="4" t="str">
        <f>VLOOKUP(M325,'Products (2)'!A:G,3,0)</f>
        <v>Dark</v>
      </c>
      <c r="P325" s="4">
        <f>VLOOKUP(M325,'Products (2)'!A:G,7,0)</f>
        <v>0.40095000000000003</v>
      </c>
      <c r="Q325" s="3">
        <v>5</v>
      </c>
      <c r="R325" s="5">
        <f>INDEX([1]products!$A$1:$G$49,MATCH([1]orders!$D325,[1]products!$A$1:$A$49,0),MATCH([1]orders!K$1,[1]products!$A$1:$G$1,0))</f>
        <v>0.2</v>
      </c>
      <c r="S325" s="6">
        <f>INDEX([1]products!$A$1:$G$49,MATCH([1]orders!$D325,[1]products!$A$1:$A$49,0),MATCH([1]orders!L$1,[1]products!$A$1:$G$1,0))</f>
        <v>3.645</v>
      </c>
      <c r="T325" s="6">
        <f t="shared" si="30"/>
        <v>18.225000000000001</v>
      </c>
      <c r="U325" s="22">
        <f t="shared" si="34"/>
        <v>2.00475</v>
      </c>
      <c r="V325" s="22">
        <f t="shared" si="35"/>
        <v>10.999999999999998</v>
      </c>
    </row>
    <row r="326" spans="1:22" x14ac:dyDescent="0.3">
      <c r="A326" s="1" t="s">
        <v>659</v>
      </c>
      <c r="B326" s="2">
        <v>43666</v>
      </c>
      <c r="C326" s="2" t="str">
        <f t="shared" si="31"/>
        <v>Saturday</v>
      </c>
      <c r="D326" s="2" t="str">
        <f t="shared" si="32"/>
        <v>July</v>
      </c>
      <c r="E326" s="2" t="str">
        <f t="shared" si="33"/>
        <v>2019</v>
      </c>
      <c r="F326" s="3" t="s">
        <v>660</v>
      </c>
      <c r="G326" s="3" t="str">
        <f>VLOOKUP(F327,'Customers (2)'!A:I,2,0)</f>
        <v>Trina Le Sarr</v>
      </c>
      <c r="H326" s="3">
        <f>VLOOKUP(F326,'Customers (2)'!A:I,3,0)</f>
        <v>0</v>
      </c>
      <c r="I326" s="3" t="str">
        <f>VLOOKUP(F326,'Customers (2)'!A:I,4,0)</f>
        <v>+1 (913) 671-7118</v>
      </c>
      <c r="J326" s="3" t="str">
        <f>VLOOKUP(F326,'Customers (2)'!A:I,6,0)</f>
        <v>Shawnee Mission</v>
      </c>
      <c r="K326" s="3" t="str">
        <f>VLOOKUP(F326,'Customers (2)'!A:I,7,0)</f>
        <v>United States</v>
      </c>
      <c r="L326" s="3" t="str">
        <f>VLOOKUP(F326,'Customers (2)'!A:I,9,0)</f>
        <v>No</v>
      </c>
      <c r="M326" s="4" t="s">
        <v>9</v>
      </c>
      <c r="N326" s="4" t="str">
        <f>VLOOKUP(M326,'Products (2)'!A:G,2,0)</f>
        <v>Excelsa</v>
      </c>
      <c r="O326" s="4" t="str">
        <f>VLOOKUP(M326,'Products (2)'!A:G,3,0)</f>
        <v>Medium</v>
      </c>
      <c r="P326" s="4">
        <f>VLOOKUP(M326,'Products (2)'!A:G,7,0)</f>
        <v>1.5125</v>
      </c>
      <c r="Q326" s="3">
        <v>1</v>
      </c>
      <c r="R326" s="5">
        <f>INDEX([1]products!$A$1:$G$49,MATCH([1]orders!$D326,[1]products!$A$1:$A$49,0),MATCH([1]orders!K$1,[1]products!$A$1:$G$1,0))</f>
        <v>1</v>
      </c>
      <c r="S326" s="6">
        <f>INDEX([1]products!$A$1:$G$49,MATCH([1]orders!$D326,[1]products!$A$1:$A$49,0),MATCH([1]orders!L$1,[1]products!$A$1:$G$1,0))</f>
        <v>13.75</v>
      </c>
      <c r="T326" s="6">
        <f t="shared" si="30"/>
        <v>13.75</v>
      </c>
      <c r="U326" s="22">
        <f t="shared" si="34"/>
        <v>1.5125</v>
      </c>
      <c r="V326" s="22">
        <f t="shared" si="35"/>
        <v>11</v>
      </c>
    </row>
    <row r="327" spans="1:22" x14ac:dyDescent="0.3">
      <c r="A327" s="1" t="s">
        <v>661</v>
      </c>
      <c r="B327" s="2">
        <v>44756</v>
      </c>
      <c r="C327" s="2" t="str">
        <f t="shared" si="31"/>
        <v>Thursday</v>
      </c>
      <c r="D327" s="2" t="str">
        <f t="shared" si="32"/>
        <v>July</v>
      </c>
      <c r="E327" s="2" t="str">
        <f t="shared" si="33"/>
        <v>2022</v>
      </c>
      <c r="F327" s="3" t="s">
        <v>662</v>
      </c>
      <c r="G327" s="3" t="str">
        <f>VLOOKUP(F328,'Customers (2)'!A:I,2,0)</f>
        <v>Flynn Antony</v>
      </c>
      <c r="H327" s="3" t="str">
        <f>VLOOKUP(F327,'Customers (2)'!A:I,3,0)</f>
        <v>tle91@epa.gov</v>
      </c>
      <c r="I327" s="3" t="str">
        <f>VLOOKUP(F327,'Customers (2)'!A:I,4,0)</f>
        <v>+1 (415) 176-8216</v>
      </c>
      <c r="J327" s="3" t="str">
        <f>VLOOKUP(F327,'Customers (2)'!A:I,6,0)</f>
        <v>San Francisco</v>
      </c>
      <c r="K327" s="3" t="str">
        <f>VLOOKUP(F327,'Customers (2)'!A:I,7,0)</f>
        <v>United States</v>
      </c>
      <c r="L327" s="3" t="str">
        <f>VLOOKUP(F327,'Customers (2)'!A:I,9,0)</f>
        <v>Yes</v>
      </c>
      <c r="M327" s="4" t="s">
        <v>204</v>
      </c>
      <c r="N327" s="4" t="str">
        <f>VLOOKUP(M327,'Products (2)'!A:G,2,0)</f>
        <v>Arabica</v>
      </c>
      <c r="O327" s="4" t="str">
        <f>VLOOKUP(M327,'Products (2)'!A:G,3,0)</f>
        <v>Light</v>
      </c>
      <c r="P327" s="4">
        <f>VLOOKUP(M327,'Products (2)'!A:G,7,0)</f>
        <v>2.6806499999999995</v>
      </c>
      <c r="Q327" s="3">
        <v>1</v>
      </c>
      <c r="R327" s="5">
        <f>INDEX([1]products!$A$1:$G$49,MATCH([1]orders!$D327,[1]products!$A$1:$A$49,0),MATCH([1]orders!K$1,[1]products!$A$1:$G$1,0))</f>
        <v>2.5</v>
      </c>
      <c r="S327" s="6">
        <f>INDEX([1]products!$A$1:$G$49,MATCH([1]orders!$D327,[1]products!$A$1:$A$49,0),MATCH([1]orders!L$1,[1]products!$A$1:$G$1,0))</f>
        <v>29.784999999999997</v>
      </c>
      <c r="T327" s="6">
        <f t="shared" si="30"/>
        <v>29.784999999999997</v>
      </c>
      <c r="U327" s="22">
        <f t="shared" si="34"/>
        <v>2.6806499999999995</v>
      </c>
      <c r="V327" s="22">
        <f t="shared" si="35"/>
        <v>9</v>
      </c>
    </row>
    <row r="328" spans="1:22" x14ac:dyDescent="0.3">
      <c r="A328" s="1" t="s">
        <v>663</v>
      </c>
      <c r="B328" s="2">
        <v>44057</v>
      </c>
      <c r="C328" s="2" t="str">
        <f t="shared" si="31"/>
        <v>Friday</v>
      </c>
      <c r="D328" s="2" t="str">
        <f t="shared" si="32"/>
        <v>August</v>
      </c>
      <c r="E328" s="2" t="str">
        <f t="shared" si="33"/>
        <v>2020</v>
      </c>
      <c r="F328" s="3" t="s">
        <v>664</v>
      </c>
      <c r="G328" s="3" t="str">
        <f>VLOOKUP(F329,'Customers (2)'!A:I,2,0)</f>
        <v>Baudoin Alldridge</v>
      </c>
      <c r="H328" s="3">
        <f>VLOOKUP(F328,'Customers (2)'!A:I,3,0)</f>
        <v>0</v>
      </c>
      <c r="I328" s="3" t="str">
        <f>VLOOKUP(F328,'Customers (2)'!A:I,4,0)</f>
        <v>+1 (205) 680-5859</v>
      </c>
      <c r="J328" s="3" t="str">
        <f>VLOOKUP(F328,'Customers (2)'!A:I,6,0)</f>
        <v>Birmingham</v>
      </c>
      <c r="K328" s="3" t="str">
        <f>VLOOKUP(F328,'Customers (2)'!A:I,7,0)</f>
        <v>United States</v>
      </c>
      <c r="L328" s="3" t="str">
        <f>VLOOKUP(F328,'Customers (2)'!A:I,9,0)</f>
        <v>No</v>
      </c>
      <c r="M328" s="4" t="s">
        <v>179</v>
      </c>
      <c r="N328" s="4" t="str">
        <f>VLOOKUP(M328,'Products (2)'!A:G,2,0)</f>
        <v>Robusta</v>
      </c>
      <c r="O328" s="4" t="str">
        <f>VLOOKUP(M328,'Products (2)'!A:G,3,0)</f>
        <v>Dark</v>
      </c>
      <c r="P328" s="4">
        <f>VLOOKUP(M328,'Products (2)'!A:G,7,0)</f>
        <v>0.53699999999999992</v>
      </c>
      <c r="Q328" s="3">
        <v>5</v>
      </c>
      <c r="R328" s="5">
        <f>INDEX([1]products!$A$1:$G$49,MATCH([1]orders!$D328,[1]products!$A$1:$A$49,0),MATCH([1]orders!K$1,[1]products!$A$1:$G$1,0))</f>
        <v>1</v>
      </c>
      <c r="S328" s="6">
        <f>INDEX([1]products!$A$1:$G$49,MATCH([1]orders!$D328,[1]products!$A$1:$A$49,0),MATCH([1]orders!L$1,[1]products!$A$1:$G$1,0))</f>
        <v>8.9499999999999993</v>
      </c>
      <c r="T328" s="6">
        <f t="shared" si="30"/>
        <v>44.75</v>
      </c>
      <c r="U328" s="22">
        <f t="shared" si="34"/>
        <v>2.6849999999999996</v>
      </c>
      <c r="V328" s="22">
        <f t="shared" si="35"/>
        <v>5.9999999999999991</v>
      </c>
    </row>
    <row r="329" spans="1:22" x14ac:dyDescent="0.3">
      <c r="A329" s="1" t="s">
        <v>665</v>
      </c>
      <c r="B329" s="2">
        <v>43579</v>
      </c>
      <c r="C329" s="2" t="str">
        <f t="shared" si="31"/>
        <v>Wednesday</v>
      </c>
      <c r="D329" s="2" t="str">
        <f t="shared" si="32"/>
        <v>April</v>
      </c>
      <c r="E329" s="2" t="str">
        <f t="shared" si="33"/>
        <v>2019</v>
      </c>
      <c r="F329" s="3" t="s">
        <v>666</v>
      </c>
      <c r="G329" s="3" t="str">
        <f>VLOOKUP(F330,'Customers (2)'!A:I,2,0)</f>
        <v>Homer Dulany</v>
      </c>
      <c r="H329" s="3" t="str">
        <f>VLOOKUP(F329,'Customers (2)'!A:I,3,0)</f>
        <v>balldridge93@yandex.ru</v>
      </c>
      <c r="I329" s="3" t="str">
        <f>VLOOKUP(F329,'Customers (2)'!A:I,4,0)</f>
        <v>+1 (646) 561-0082</v>
      </c>
      <c r="J329" s="3" t="str">
        <f>VLOOKUP(F329,'Customers (2)'!A:I,6,0)</f>
        <v>Brooklyn</v>
      </c>
      <c r="K329" s="3" t="str">
        <f>VLOOKUP(F329,'Customers (2)'!A:I,7,0)</f>
        <v>United States</v>
      </c>
      <c r="L329" s="3" t="str">
        <f>VLOOKUP(F329,'Customers (2)'!A:I,9,0)</f>
        <v>Yes</v>
      </c>
      <c r="M329" s="4" t="s">
        <v>179</v>
      </c>
      <c r="N329" s="4" t="str">
        <f>VLOOKUP(M329,'Products (2)'!A:G,2,0)</f>
        <v>Robusta</v>
      </c>
      <c r="O329" s="4" t="str">
        <f>VLOOKUP(M329,'Products (2)'!A:G,3,0)</f>
        <v>Dark</v>
      </c>
      <c r="P329" s="4">
        <f>VLOOKUP(M329,'Products (2)'!A:G,7,0)</f>
        <v>0.53699999999999992</v>
      </c>
      <c r="Q329" s="3">
        <v>5</v>
      </c>
      <c r="R329" s="5">
        <f>INDEX([1]products!$A$1:$G$49,MATCH([1]orders!$D329,[1]products!$A$1:$A$49,0),MATCH([1]orders!K$1,[1]products!$A$1:$G$1,0))</f>
        <v>1</v>
      </c>
      <c r="S329" s="6">
        <f>INDEX([1]products!$A$1:$G$49,MATCH([1]orders!$D329,[1]products!$A$1:$A$49,0),MATCH([1]orders!L$1,[1]products!$A$1:$G$1,0))</f>
        <v>8.9499999999999993</v>
      </c>
      <c r="T329" s="6">
        <f t="shared" si="30"/>
        <v>44.75</v>
      </c>
      <c r="U329" s="22">
        <f t="shared" si="34"/>
        <v>2.6849999999999996</v>
      </c>
      <c r="V329" s="22">
        <f t="shared" si="35"/>
        <v>5.9999999999999991</v>
      </c>
    </row>
    <row r="330" spans="1:22" x14ac:dyDescent="0.3">
      <c r="A330" s="1" t="s">
        <v>667</v>
      </c>
      <c r="B330" s="2">
        <v>43620</v>
      </c>
      <c r="C330" s="2" t="str">
        <f t="shared" si="31"/>
        <v>Tuesday</v>
      </c>
      <c r="D330" s="2" t="str">
        <f t="shared" si="32"/>
        <v>June</v>
      </c>
      <c r="E330" s="2" t="str">
        <f t="shared" si="33"/>
        <v>2019</v>
      </c>
      <c r="F330" s="3" t="s">
        <v>668</v>
      </c>
      <c r="G330" s="3" t="str">
        <f>VLOOKUP(F331,'Customers (2)'!A:I,2,0)</f>
        <v>Lisa Goodger</v>
      </c>
      <c r="H330" s="3">
        <f>VLOOKUP(F330,'Customers (2)'!A:I,3,0)</f>
        <v>0</v>
      </c>
      <c r="I330" s="3" t="str">
        <f>VLOOKUP(F330,'Customers (2)'!A:I,4,0)</f>
        <v>+1 (915) 761-6081</v>
      </c>
      <c r="J330" s="3" t="str">
        <f>VLOOKUP(F330,'Customers (2)'!A:I,6,0)</f>
        <v>El Paso</v>
      </c>
      <c r="K330" s="3" t="str">
        <f>VLOOKUP(F330,'Customers (2)'!A:I,7,0)</f>
        <v>United States</v>
      </c>
      <c r="L330" s="3" t="str">
        <f>VLOOKUP(F330,'Customers (2)'!A:I,9,0)</f>
        <v>Yes</v>
      </c>
      <c r="M330" s="4" t="s">
        <v>83</v>
      </c>
      <c r="N330" s="4" t="str">
        <f>VLOOKUP(M330,'Products (2)'!A:G,2,0)</f>
        <v>Liberica</v>
      </c>
      <c r="O330" s="4" t="str">
        <f>VLOOKUP(M330,'Products (2)'!A:G,3,0)</f>
        <v>Light</v>
      </c>
      <c r="P330" s="4">
        <f>VLOOKUP(M330,'Products (2)'!A:G,7,0)</f>
        <v>1.2363</v>
      </c>
      <c r="Q330" s="3">
        <v>4</v>
      </c>
      <c r="R330" s="5">
        <f>INDEX([1]products!$A$1:$G$49,MATCH([1]orders!$D330,[1]products!$A$1:$A$49,0),MATCH([1]orders!K$1,[1]products!$A$1:$G$1,0))</f>
        <v>0.5</v>
      </c>
      <c r="S330" s="6">
        <f>INDEX([1]products!$A$1:$G$49,MATCH([1]orders!$D330,[1]products!$A$1:$A$49,0),MATCH([1]orders!L$1,[1]products!$A$1:$G$1,0))</f>
        <v>9.51</v>
      </c>
      <c r="T330" s="6">
        <f t="shared" si="30"/>
        <v>38.04</v>
      </c>
      <c r="U330" s="22">
        <f t="shared" si="34"/>
        <v>4.9451999999999998</v>
      </c>
      <c r="V330" s="22">
        <f t="shared" si="35"/>
        <v>13</v>
      </c>
    </row>
    <row r="331" spans="1:22" x14ac:dyDescent="0.3">
      <c r="A331" s="1" t="s">
        <v>669</v>
      </c>
      <c r="B331" s="2">
        <v>44781</v>
      </c>
      <c r="C331" s="2" t="str">
        <f t="shared" si="31"/>
        <v>Monday</v>
      </c>
      <c r="D331" s="2" t="str">
        <f t="shared" si="32"/>
        <v>August</v>
      </c>
      <c r="E331" s="2" t="str">
        <f t="shared" si="33"/>
        <v>2022</v>
      </c>
      <c r="F331" s="3" t="s">
        <v>670</v>
      </c>
      <c r="G331" s="3" t="str">
        <f>VLOOKUP(F332,'Customers (2)'!A:I,2,0)</f>
        <v>Selma McMillian</v>
      </c>
      <c r="H331" s="3" t="str">
        <f>VLOOKUP(F331,'Customers (2)'!A:I,3,0)</f>
        <v>lgoodger95@guardian.co.uk</v>
      </c>
      <c r="I331" s="3">
        <f>VLOOKUP(F331,'Customers (2)'!A:I,4,0)</f>
        <v>0</v>
      </c>
      <c r="J331" s="3" t="str">
        <f>VLOOKUP(F331,'Customers (2)'!A:I,6,0)</f>
        <v>Sacramento</v>
      </c>
      <c r="K331" s="3" t="str">
        <f>VLOOKUP(F331,'Customers (2)'!A:I,7,0)</f>
        <v>United States</v>
      </c>
      <c r="L331" s="3" t="str">
        <f>VLOOKUP(F331,'Customers (2)'!A:I,9,0)</f>
        <v>Yes</v>
      </c>
      <c r="M331" s="4" t="s">
        <v>146</v>
      </c>
      <c r="N331" s="4" t="str">
        <f>VLOOKUP(M331,'Products (2)'!A:G,2,0)</f>
        <v>Robusta</v>
      </c>
      <c r="O331" s="4" t="str">
        <f>VLOOKUP(M331,'Products (2)'!A:G,3,0)</f>
        <v>Dark</v>
      </c>
      <c r="P331" s="4">
        <f>VLOOKUP(M331,'Products (2)'!A:G,7,0)</f>
        <v>0.32219999999999993</v>
      </c>
      <c r="Q331" s="3">
        <v>4</v>
      </c>
      <c r="R331" s="5">
        <f>INDEX([1]products!$A$1:$G$49,MATCH([1]orders!$D331,[1]products!$A$1:$A$49,0),MATCH([1]orders!K$1,[1]products!$A$1:$G$1,0))</f>
        <v>0.5</v>
      </c>
      <c r="S331" s="6">
        <f>INDEX([1]products!$A$1:$G$49,MATCH([1]orders!$D331,[1]products!$A$1:$A$49,0),MATCH([1]orders!L$1,[1]products!$A$1:$G$1,0))</f>
        <v>5.3699999999999992</v>
      </c>
      <c r="T331" s="6">
        <f t="shared" si="30"/>
        <v>21.479999999999997</v>
      </c>
      <c r="U331" s="22">
        <f t="shared" si="34"/>
        <v>1.2887999999999997</v>
      </c>
      <c r="V331" s="22">
        <f t="shared" si="35"/>
        <v>6</v>
      </c>
    </row>
    <row r="332" spans="1:22" x14ac:dyDescent="0.3">
      <c r="A332" s="1" t="s">
        <v>671</v>
      </c>
      <c r="B332" s="2">
        <v>43782</v>
      </c>
      <c r="C332" s="2" t="str">
        <f t="shared" si="31"/>
        <v>Wednesday</v>
      </c>
      <c r="D332" s="2" t="str">
        <f t="shared" si="32"/>
        <v>November</v>
      </c>
      <c r="E332" s="2" t="str">
        <f t="shared" si="33"/>
        <v>2019</v>
      </c>
      <c r="F332" s="3" t="s">
        <v>648</v>
      </c>
      <c r="G332" s="3" t="str">
        <f>VLOOKUP(F333,'Customers (2)'!A:I,2,0)</f>
        <v>Corine Drewett</v>
      </c>
      <c r="H332" s="3" t="str">
        <f>VLOOKUP(F332,'Customers (2)'!A:I,3,0)</f>
        <v>smcmillian8t@csmonitor.com</v>
      </c>
      <c r="I332" s="3" t="str">
        <f>VLOOKUP(F332,'Customers (2)'!A:I,4,0)</f>
        <v>+1 (330) 407-0631</v>
      </c>
      <c r="J332" s="3" t="str">
        <f>VLOOKUP(F332,'Customers (2)'!A:I,6,0)</f>
        <v>Akron</v>
      </c>
      <c r="K332" s="3" t="str">
        <f>VLOOKUP(F332,'Customers (2)'!A:I,7,0)</f>
        <v>United States</v>
      </c>
      <c r="L332" s="3" t="str">
        <f>VLOOKUP(F332,'Customers (2)'!A:I,9,0)</f>
        <v>No</v>
      </c>
      <c r="M332" s="4" t="s">
        <v>146</v>
      </c>
      <c r="N332" s="4" t="str">
        <f>VLOOKUP(M332,'Products (2)'!A:G,2,0)</f>
        <v>Robusta</v>
      </c>
      <c r="O332" s="4" t="str">
        <f>VLOOKUP(M332,'Products (2)'!A:G,3,0)</f>
        <v>Dark</v>
      </c>
      <c r="P332" s="4">
        <f>VLOOKUP(M332,'Products (2)'!A:G,7,0)</f>
        <v>0.32219999999999993</v>
      </c>
      <c r="Q332" s="3">
        <v>3</v>
      </c>
      <c r="R332" s="5">
        <f>INDEX([1]products!$A$1:$G$49,MATCH([1]orders!$D332,[1]products!$A$1:$A$49,0),MATCH([1]orders!K$1,[1]products!$A$1:$G$1,0))</f>
        <v>0.5</v>
      </c>
      <c r="S332" s="6">
        <f>INDEX([1]products!$A$1:$G$49,MATCH([1]orders!$D332,[1]products!$A$1:$A$49,0),MATCH([1]orders!L$1,[1]products!$A$1:$G$1,0))</f>
        <v>5.3699999999999992</v>
      </c>
      <c r="T332" s="6">
        <f t="shared" si="30"/>
        <v>16.11</v>
      </c>
      <c r="U332" s="22">
        <f t="shared" si="34"/>
        <v>0.96659999999999979</v>
      </c>
      <c r="V332" s="22">
        <f t="shared" si="35"/>
        <v>5.9999999999999991</v>
      </c>
    </row>
    <row r="333" spans="1:22" x14ac:dyDescent="0.3">
      <c r="A333" s="1" t="s">
        <v>672</v>
      </c>
      <c r="B333" s="2">
        <v>43989</v>
      </c>
      <c r="C333" s="2" t="str">
        <f t="shared" si="31"/>
        <v>Sunday</v>
      </c>
      <c r="D333" s="2" t="str">
        <f t="shared" si="32"/>
        <v>June</v>
      </c>
      <c r="E333" s="2" t="str">
        <f t="shared" si="33"/>
        <v>2020</v>
      </c>
      <c r="F333" s="3" t="s">
        <v>673</v>
      </c>
      <c r="G333" s="3" t="str">
        <f>VLOOKUP(F334,'Customers (2)'!A:I,2,0)</f>
        <v>Quinn Parsons</v>
      </c>
      <c r="H333" s="3" t="str">
        <f>VLOOKUP(F333,'Customers (2)'!A:I,3,0)</f>
        <v>cdrewett97@wikipedia.org</v>
      </c>
      <c r="I333" s="3" t="str">
        <f>VLOOKUP(F333,'Customers (2)'!A:I,4,0)</f>
        <v>+1 (561) 651-3098</v>
      </c>
      <c r="J333" s="3" t="str">
        <f>VLOOKUP(F333,'Customers (2)'!A:I,6,0)</f>
        <v>Boynton Beach</v>
      </c>
      <c r="K333" s="3" t="str">
        <f>VLOOKUP(F333,'Customers (2)'!A:I,7,0)</f>
        <v>United States</v>
      </c>
      <c r="L333" s="3" t="str">
        <f>VLOOKUP(F333,'Customers (2)'!A:I,9,0)</f>
        <v>Yes</v>
      </c>
      <c r="M333" s="4" t="s">
        <v>41</v>
      </c>
      <c r="N333" s="4" t="str">
        <f>VLOOKUP(M333,'Products (2)'!A:G,2,0)</f>
        <v>Robusta</v>
      </c>
      <c r="O333" s="4" t="str">
        <f>VLOOKUP(M333,'Products (2)'!A:G,3,0)</f>
        <v>Medium</v>
      </c>
      <c r="P333" s="4">
        <f>VLOOKUP(M333,'Products (2)'!A:G,7,0)</f>
        <v>1.3730999999999998</v>
      </c>
      <c r="Q333" s="3">
        <v>1</v>
      </c>
      <c r="R333" s="5">
        <f>INDEX([1]products!$A$1:$G$49,MATCH([1]orders!$D333,[1]products!$A$1:$A$49,0),MATCH([1]orders!K$1,[1]products!$A$1:$G$1,0))</f>
        <v>2.5</v>
      </c>
      <c r="S333" s="6">
        <f>INDEX([1]products!$A$1:$G$49,MATCH([1]orders!$D333,[1]products!$A$1:$A$49,0),MATCH([1]orders!L$1,[1]products!$A$1:$G$1,0))</f>
        <v>22.884999999999998</v>
      </c>
      <c r="T333" s="6">
        <f t="shared" si="30"/>
        <v>22.884999999999998</v>
      </c>
      <c r="U333" s="22">
        <f t="shared" si="34"/>
        <v>1.3730999999999998</v>
      </c>
      <c r="V333" s="22">
        <f t="shared" si="35"/>
        <v>6</v>
      </c>
    </row>
    <row r="334" spans="1:22" x14ac:dyDescent="0.3">
      <c r="A334" s="1" t="s">
        <v>674</v>
      </c>
      <c r="B334" s="2">
        <v>43689</v>
      </c>
      <c r="C334" s="2" t="str">
        <f t="shared" si="31"/>
        <v>Monday</v>
      </c>
      <c r="D334" s="2" t="str">
        <f t="shared" si="32"/>
        <v>August</v>
      </c>
      <c r="E334" s="2" t="str">
        <f t="shared" si="33"/>
        <v>2019</v>
      </c>
      <c r="F334" s="3" t="s">
        <v>675</v>
      </c>
      <c r="G334" s="3" t="str">
        <f>VLOOKUP(F335,'Customers (2)'!A:I,2,0)</f>
        <v>Vivyan Ceely</v>
      </c>
      <c r="H334" s="3" t="str">
        <f>VLOOKUP(F334,'Customers (2)'!A:I,3,0)</f>
        <v>qparsons98@blogtalkradio.com</v>
      </c>
      <c r="I334" s="3" t="str">
        <f>VLOOKUP(F334,'Customers (2)'!A:I,4,0)</f>
        <v>+1 (323) 848-5169</v>
      </c>
      <c r="J334" s="3" t="str">
        <f>VLOOKUP(F334,'Customers (2)'!A:I,6,0)</f>
        <v>Los Angeles</v>
      </c>
      <c r="K334" s="3" t="str">
        <f>VLOOKUP(F334,'Customers (2)'!A:I,7,0)</f>
        <v>United States</v>
      </c>
      <c r="L334" s="3" t="str">
        <f>VLOOKUP(F334,'Customers (2)'!A:I,9,0)</f>
        <v>Yes</v>
      </c>
      <c r="M334" s="4" t="s">
        <v>72</v>
      </c>
      <c r="N334" s="4" t="str">
        <f>VLOOKUP(M334,'Products (2)'!A:G,2,0)</f>
        <v>Arabica</v>
      </c>
      <c r="O334" s="4" t="str">
        <f>VLOOKUP(M334,'Products (2)'!A:G,3,0)</f>
        <v>Dark</v>
      </c>
      <c r="P334" s="4">
        <f>VLOOKUP(M334,'Products (2)'!A:G,7,0)</f>
        <v>0.5373</v>
      </c>
      <c r="Q334" s="3">
        <v>3</v>
      </c>
      <c r="R334" s="5">
        <f>INDEX([1]products!$A$1:$G$49,MATCH([1]orders!$D334,[1]products!$A$1:$A$49,0),MATCH([1]orders!K$1,[1]products!$A$1:$G$1,0))</f>
        <v>0.5</v>
      </c>
      <c r="S334" s="6">
        <f>INDEX([1]products!$A$1:$G$49,MATCH([1]orders!$D334,[1]products!$A$1:$A$49,0),MATCH([1]orders!L$1,[1]products!$A$1:$G$1,0))</f>
        <v>5.97</v>
      </c>
      <c r="T334" s="6">
        <f t="shared" si="30"/>
        <v>17.91</v>
      </c>
      <c r="U334" s="22">
        <f t="shared" si="34"/>
        <v>1.6118999999999999</v>
      </c>
      <c r="V334" s="22">
        <f t="shared" si="35"/>
        <v>9</v>
      </c>
    </row>
    <row r="335" spans="1:22" x14ac:dyDescent="0.3">
      <c r="A335" s="1" t="s">
        <v>676</v>
      </c>
      <c r="B335" s="2">
        <v>43712</v>
      </c>
      <c r="C335" s="2" t="str">
        <f t="shared" si="31"/>
        <v>Wednesday</v>
      </c>
      <c r="D335" s="2" t="str">
        <f t="shared" si="32"/>
        <v>September</v>
      </c>
      <c r="E335" s="2" t="str">
        <f t="shared" si="33"/>
        <v>2019</v>
      </c>
      <c r="F335" s="3" t="s">
        <v>677</v>
      </c>
      <c r="G335" s="3" t="str">
        <f>VLOOKUP(F336,'Customers (2)'!A:I,2,0)</f>
        <v>Elonore Goodings</v>
      </c>
      <c r="H335" s="3" t="str">
        <f>VLOOKUP(F335,'Customers (2)'!A:I,3,0)</f>
        <v>vceely99@auda.org.au</v>
      </c>
      <c r="I335" s="3" t="str">
        <f>VLOOKUP(F335,'Customers (2)'!A:I,4,0)</f>
        <v>+1 (410) 876-8486</v>
      </c>
      <c r="J335" s="3" t="str">
        <f>VLOOKUP(F335,'Customers (2)'!A:I,6,0)</f>
        <v>Baltimore</v>
      </c>
      <c r="K335" s="3" t="str">
        <f>VLOOKUP(F335,'Customers (2)'!A:I,7,0)</f>
        <v>United States</v>
      </c>
      <c r="L335" s="3" t="str">
        <f>VLOOKUP(F335,'Customers (2)'!A:I,9,0)</f>
        <v>Yes</v>
      </c>
      <c r="M335" s="4" t="s">
        <v>22</v>
      </c>
      <c r="N335" s="4" t="str">
        <f>VLOOKUP(M335,'Products (2)'!A:G,2,0)</f>
        <v>Robusta</v>
      </c>
      <c r="O335" s="4" t="str">
        <f>VLOOKUP(M335,'Products (2)'!A:G,3,0)</f>
        <v>Medium</v>
      </c>
      <c r="P335" s="4">
        <f>VLOOKUP(M335,'Products (2)'!A:G,7,0)</f>
        <v>0.35819999999999996</v>
      </c>
      <c r="Q335" s="3">
        <v>4</v>
      </c>
      <c r="R335" s="5">
        <f>INDEX([1]products!$A$1:$G$49,MATCH([1]orders!$D335,[1]products!$A$1:$A$49,0),MATCH([1]orders!K$1,[1]products!$A$1:$G$1,0))</f>
        <v>0.5</v>
      </c>
      <c r="S335" s="6">
        <f>INDEX([1]products!$A$1:$G$49,MATCH([1]orders!$D335,[1]products!$A$1:$A$49,0),MATCH([1]orders!L$1,[1]products!$A$1:$G$1,0))</f>
        <v>5.97</v>
      </c>
      <c r="T335" s="6">
        <f t="shared" si="30"/>
        <v>23.88</v>
      </c>
      <c r="U335" s="22">
        <f t="shared" si="34"/>
        <v>1.4327999999999999</v>
      </c>
      <c r="V335" s="22">
        <f t="shared" si="35"/>
        <v>6</v>
      </c>
    </row>
    <row r="336" spans="1:22" x14ac:dyDescent="0.3">
      <c r="A336" s="1" t="s">
        <v>678</v>
      </c>
      <c r="B336" s="2">
        <v>43742</v>
      </c>
      <c r="C336" s="2" t="str">
        <f t="shared" si="31"/>
        <v>Friday</v>
      </c>
      <c r="D336" s="2" t="str">
        <f t="shared" si="32"/>
        <v>October</v>
      </c>
      <c r="E336" s="2" t="str">
        <f t="shared" si="33"/>
        <v>2019</v>
      </c>
      <c r="F336" s="3" t="s">
        <v>679</v>
      </c>
      <c r="G336" s="3" t="str">
        <f>VLOOKUP(F337,'Customers (2)'!A:I,2,0)</f>
        <v>Clement Vasiliev</v>
      </c>
      <c r="H336" s="3">
        <f>VLOOKUP(F336,'Customers (2)'!A:I,3,0)</f>
        <v>0</v>
      </c>
      <c r="I336" s="3">
        <f>VLOOKUP(F336,'Customers (2)'!A:I,4,0)</f>
        <v>0</v>
      </c>
      <c r="J336" s="3" t="str">
        <f>VLOOKUP(F336,'Customers (2)'!A:I,6,0)</f>
        <v>Salt Lake City</v>
      </c>
      <c r="K336" s="3" t="str">
        <f>VLOOKUP(F336,'Customers (2)'!A:I,7,0)</f>
        <v>United States</v>
      </c>
      <c r="L336" s="3" t="str">
        <f>VLOOKUP(F336,'Customers (2)'!A:I,9,0)</f>
        <v>No</v>
      </c>
      <c r="M336" s="4" t="s">
        <v>189</v>
      </c>
      <c r="N336" s="4" t="str">
        <f>VLOOKUP(M336,'Products (2)'!A:G,2,0)</f>
        <v>Robusta</v>
      </c>
      <c r="O336" s="4" t="str">
        <f>VLOOKUP(M336,'Products (2)'!A:G,3,0)</f>
        <v>Light</v>
      </c>
      <c r="P336" s="4">
        <f>VLOOKUP(M336,'Products (2)'!A:G,7,0)</f>
        <v>0.71699999999999997</v>
      </c>
      <c r="Q336" s="3">
        <v>5</v>
      </c>
      <c r="R336" s="5">
        <f>INDEX([1]products!$A$1:$G$49,MATCH([1]orders!$D336,[1]products!$A$1:$A$49,0),MATCH([1]orders!K$1,[1]products!$A$1:$G$1,0))</f>
        <v>1</v>
      </c>
      <c r="S336" s="6">
        <f>INDEX([1]products!$A$1:$G$49,MATCH([1]orders!$D336,[1]products!$A$1:$A$49,0),MATCH([1]orders!L$1,[1]products!$A$1:$G$1,0))</f>
        <v>11.95</v>
      </c>
      <c r="T336" s="6">
        <f t="shared" si="30"/>
        <v>59.75</v>
      </c>
      <c r="U336" s="22">
        <f t="shared" si="34"/>
        <v>3.585</v>
      </c>
      <c r="V336" s="22">
        <f t="shared" si="35"/>
        <v>6</v>
      </c>
    </row>
    <row r="337" spans="1:22" x14ac:dyDescent="0.3">
      <c r="A337" s="1" t="s">
        <v>680</v>
      </c>
      <c r="B337" s="2">
        <v>43885</v>
      </c>
      <c r="C337" s="2" t="str">
        <f t="shared" si="31"/>
        <v>Monday</v>
      </c>
      <c r="D337" s="2" t="str">
        <f t="shared" si="32"/>
        <v>February</v>
      </c>
      <c r="E337" s="2" t="str">
        <f t="shared" si="33"/>
        <v>2020</v>
      </c>
      <c r="F337" s="3" t="s">
        <v>681</v>
      </c>
      <c r="G337" s="3" t="str">
        <f>VLOOKUP(F338,'Customers (2)'!A:I,2,0)</f>
        <v>Terencio O'Moylan</v>
      </c>
      <c r="H337" s="3" t="str">
        <f>VLOOKUP(F337,'Customers (2)'!A:I,3,0)</f>
        <v>cvasiliev9b@discuz.net</v>
      </c>
      <c r="I337" s="3" t="str">
        <f>VLOOKUP(F337,'Customers (2)'!A:I,4,0)</f>
        <v>+1 (214) 507-8264</v>
      </c>
      <c r="J337" s="3" t="str">
        <f>VLOOKUP(F337,'Customers (2)'!A:I,6,0)</f>
        <v>Garland</v>
      </c>
      <c r="K337" s="3" t="str">
        <f>VLOOKUP(F337,'Customers (2)'!A:I,7,0)</f>
        <v>United States</v>
      </c>
      <c r="L337" s="3" t="str">
        <f>VLOOKUP(F337,'Customers (2)'!A:I,9,0)</f>
        <v>Yes</v>
      </c>
      <c r="M337" s="4" t="s">
        <v>19</v>
      </c>
      <c r="N337" s="4" t="str">
        <f>VLOOKUP(M337,'Products (2)'!A:G,2,0)</f>
        <v>Liberica</v>
      </c>
      <c r="O337" s="4" t="str">
        <f>VLOOKUP(M337,'Products (2)'!A:G,3,0)</f>
        <v>Light</v>
      </c>
      <c r="P337" s="4">
        <f>VLOOKUP(M337,'Products (2)'!A:G,7,0)</f>
        <v>0.61814999999999998</v>
      </c>
      <c r="Q337" s="3">
        <v>6</v>
      </c>
      <c r="R337" s="5">
        <f>INDEX([1]products!$A$1:$G$49,MATCH([1]orders!$D337,[1]products!$A$1:$A$49,0),MATCH([1]orders!K$1,[1]products!$A$1:$G$1,0))</f>
        <v>0.2</v>
      </c>
      <c r="S337" s="6">
        <f>INDEX([1]products!$A$1:$G$49,MATCH([1]orders!$D337,[1]products!$A$1:$A$49,0),MATCH([1]orders!L$1,[1]products!$A$1:$G$1,0))</f>
        <v>4.7549999999999999</v>
      </c>
      <c r="T337" s="6">
        <f t="shared" si="30"/>
        <v>28.53</v>
      </c>
      <c r="U337" s="22">
        <f t="shared" si="34"/>
        <v>3.7088999999999999</v>
      </c>
      <c r="V337" s="22">
        <f t="shared" si="35"/>
        <v>12.999999999999998</v>
      </c>
    </row>
    <row r="338" spans="1:22" x14ac:dyDescent="0.3">
      <c r="A338" s="1" t="s">
        <v>682</v>
      </c>
      <c r="B338" s="2">
        <v>44434</v>
      </c>
      <c r="C338" s="2" t="str">
        <f t="shared" si="31"/>
        <v>Thursday</v>
      </c>
      <c r="D338" s="2" t="str">
        <f t="shared" si="32"/>
        <v>August</v>
      </c>
      <c r="E338" s="2" t="str">
        <f t="shared" si="33"/>
        <v>2021</v>
      </c>
      <c r="F338" s="3" t="s">
        <v>683</v>
      </c>
      <c r="G338" s="3" t="str">
        <f>VLOOKUP(F339,'Customers (2)'!A:I,2,0)</f>
        <v>Flynn Antony</v>
      </c>
      <c r="H338" s="3" t="str">
        <f>VLOOKUP(F338,'Customers (2)'!A:I,3,0)</f>
        <v>tomoylan9c@liveinternet.ru</v>
      </c>
      <c r="I338" s="3" t="str">
        <f>VLOOKUP(F338,'Customers (2)'!A:I,4,0)</f>
        <v>+44 (911) 807-7254</v>
      </c>
      <c r="J338" s="3" t="str">
        <f>VLOOKUP(F338,'Customers (2)'!A:I,6,0)</f>
        <v>Church End</v>
      </c>
      <c r="K338" s="3" t="str">
        <f>VLOOKUP(F338,'Customers (2)'!A:I,7,0)</f>
        <v>United Kingdom</v>
      </c>
      <c r="L338" s="3" t="str">
        <f>VLOOKUP(F338,'Customers (2)'!A:I,9,0)</f>
        <v>No</v>
      </c>
      <c r="M338" s="4" t="s">
        <v>61</v>
      </c>
      <c r="N338" s="4" t="str">
        <f>VLOOKUP(M338,'Products (2)'!A:G,2,0)</f>
        <v>Arabica</v>
      </c>
      <c r="O338" s="4" t="str">
        <f>VLOOKUP(M338,'Products (2)'!A:G,3,0)</f>
        <v>Medium</v>
      </c>
      <c r="P338" s="4">
        <f>VLOOKUP(M338,'Products (2)'!A:G,7,0)</f>
        <v>1.0125</v>
      </c>
      <c r="Q338" s="3">
        <v>4</v>
      </c>
      <c r="R338" s="5">
        <f>INDEX([1]products!$A$1:$G$49,MATCH([1]orders!$D338,[1]products!$A$1:$A$49,0),MATCH([1]orders!K$1,[1]products!$A$1:$G$1,0))</f>
        <v>1</v>
      </c>
      <c r="S338" s="6">
        <f>INDEX([1]products!$A$1:$G$49,MATCH([1]orders!$D338,[1]products!$A$1:$A$49,0),MATCH([1]orders!L$1,[1]products!$A$1:$G$1,0))</f>
        <v>11.25</v>
      </c>
      <c r="T338" s="6">
        <f t="shared" si="30"/>
        <v>45</v>
      </c>
      <c r="U338" s="22">
        <f t="shared" si="34"/>
        <v>4.05</v>
      </c>
      <c r="V338" s="22">
        <f t="shared" si="35"/>
        <v>9</v>
      </c>
    </row>
    <row r="339" spans="1:22" x14ac:dyDescent="0.3">
      <c r="A339" s="1" t="s">
        <v>684</v>
      </c>
      <c r="B339" s="2">
        <v>44472</v>
      </c>
      <c r="C339" s="2" t="str">
        <f t="shared" si="31"/>
        <v>Sunday</v>
      </c>
      <c r="D339" s="2" t="str">
        <f t="shared" si="32"/>
        <v>October</v>
      </c>
      <c r="E339" s="2" t="str">
        <f t="shared" si="33"/>
        <v>2021</v>
      </c>
      <c r="F339" s="3" t="s">
        <v>664</v>
      </c>
      <c r="G339" s="3" t="str">
        <f>VLOOKUP(F340,'Customers (2)'!A:I,2,0)</f>
        <v>Wyatan Fetherston</v>
      </c>
      <c r="H339" s="3">
        <f>VLOOKUP(F339,'Customers (2)'!A:I,3,0)</f>
        <v>0</v>
      </c>
      <c r="I339" s="3" t="str">
        <f>VLOOKUP(F339,'Customers (2)'!A:I,4,0)</f>
        <v>+1 (205) 680-5859</v>
      </c>
      <c r="J339" s="3" t="str">
        <f>VLOOKUP(F339,'Customers (2)'!A:I,6,0)</f>
        <v>Birmingham</v>
      </c>
      <c r="K339" s="3" t="str">
        <f>VLOOKUP(F339,'Customers (2)'!A:I,7,0)</f>
        <v>United States</v>
      </c>
      <c r="L339" s="3" t="str">
        <f>VLOOKUP(F339,'Customers (2)'!A:I,9,0)</f>
        <v>No</v>
      </c>
      <c r="M339" s="4" t="s">
        <v>530</v>
      </c>
      <c r="N339" s="4" t="str">
        <f>VLOOKUP(M339,'Products (2)'!A:G,2,0)</f>
        <v>Excelsa</v>
      </c>
      <c r="O339" s="4" t="str">
        <f>VLOOKUP(M339,'Products (2)'!A:G,3,0)</f>
        <v>Dark</v>
      </c>
      <c r="P339" s="4">
        <f>VLOOKUP(M339,'Products (2)'!A:G,7,0)</f>
        <v>3.07395</v>
      </c>
      <c r="Q339" s="3">
        <v>2</v>
      </c>
      <c r="R339" s="5">
        <f>INDEX([1]products!$A$1:$G$49,MATCH([1]orders!$D339,[1]products!$A$1:$A$49,0),MATCH([1]orders!K$1,[1]products!$A$1:$G$1,0))</f>
        <v>2.5</v>
      </c>
      <c r="S339" s="6">
        <f>INDEX([1]products!$A$1:$G$49,MATCH([1]orders!$D339,[1]products!$A$1:$A$49,0),MATCH([1]orders!L$1,[1]products!$A$1:$G$1,0))</f>
        <v>27.945</v>
      </c>
      <c r="T339" s="6">
        <f t="shared" si="30"/>
        <v>55.89</v>
      </c>
      <c r="U339" s="22">
        <f t="shared" si="34"/>
        <v>6.1478999999999999</v>
      </c>
      <c r="V339" s="22">
        <f t="shared" si="35"/>
        <v>11</v>
      </c>
    </row>
    <row r="340" spans="1:22" x14ac:dyDescent="0.3">
      <c r="A340" s="1" t="s">
        <v>685</v>
      </c>
      <c r="B340" s="2">
        <v>43995</v>
      </c>
      <c r="C340" s="2" t="str">
        <f t="shared" si="31"/>
        <v>Saturday</v>
      </c>
      <c r="D340" s="2" t="str">
        <f t="shared" si="32"/>
        <v>June</v>
      </c>
      <c r="E340" s="2" t="str">
        <f t="shared" si="33"/>
        <v>2020</v>
      </c>
      <c r="F340" s="3" t="s">
        <v>686</v>
      </c>
      <c r="G340" s="3" t="str">
        <f>VLOOKUP(F341,'Customers (2)'!A:I,2,0)</f>
        <v>Emmaline Rasmus</v>
      </c>
      <c r="H340" s="3" t="str">
        <f>VLOOKUP(F340,'Customers (2)'!A:I,3,0)</f>
        <v>wfetherston9e@constantcontact.com</v>
      </c>
      <c r="I340" s="3" t="str">
        <f>VLOOKUP(F340,'Customers (2)'!A:I,4,0)</f>
        <v>+1 (212) 724-3420</v>
      </c>
      <c r="J340" s="3" t="str">
        <f>VLOOKUP(F340,'Customers (2)'!A:I,6,0)</f>
        <v>New York City</v>
      </c>
      <c r="K340" s="3" t="str">
        <f>VLOOKUP(F340,'Customers (2)'!A:I,7,0)</f>
        <v>United States</v>
      </c>
      <c r="L340" s="3" t="str">
        <f>VLOOKUP(F340,'Customers (2)'!A:I,9,0)</f>
        <v>No</v>
      </c>
      <c r="M340" s="4" t="s">
        <v>137</v>
      </c>
      <c r="N340" s="4" t="str">
        <f>VLOOKUP(M340,'Products (2)'!A:G,2,0)</f>
        <v>Excelsa</v>
      </c>
      <c r="O340" s="4" t="str">
        <f>VLOOKUP(M340,'Products (2)'!A:G,3,0)</f>
        <v>Light</v>
      </c>
      <c r="P340" s="4">
        <f>VLOOKUP(M340,'Products (2)'!A:G,7,0)</f>
        <v>1.6335</v>
      </c>
      <c r="Q340" s="3">
        <v>4</v>
      </c>
      <c r="R340" s="5">
        <f>INDEX([1]products!$A$1:$G$49,MATCH([1]orders!$D340,[1]products!$A$1:$A$49,0),MATCH([1]orders!K$1,[1]products!$A$1:$G$1,0))</f>
        <v>1</v>
      </c>
      <c r="S340" s="6">
        <f>INDEX([1]products!$A$1:$G$49,MATCH([1]orders!$D340,[1]products!$A$1:$A$49,0),MATCH([1]orders!L$1,[1]products!$A$1:$G$1,0))</f>
        <v>14.85</v>
      </c>
      <c r="T340" s="6">
        <f t="shared" si="30"/>
        <v>59.4</v>
      </c>
      <c r="U340" s="22">
        <f t="shared" si="34"/>
        <v>6.5339999999999998</v>
      </c>
      <c r="V340" s="22">
        <f t="shared" si="35"/>
        <v>11</v>
      </c>
    </row>
    <row r="341" spans="1:22" x14ac:dyDescent="0.3">
      <c r="A341" s="1" t="s">
        <v>687</v>
      </c>
      <c r="B341" s="2">
        <v>44256</v>
      </c>
      <c r="C341" s="2" t="str">
        <f t="shared" si="31"/>
        <v>Monday</v>
      </c>
      <c r="D341" s="2" t="str">
        <f t="shared" si="32"/>
        <v>March</v>
      </c>
      <c r="E341" s="2" t="str">
        <f t="shared" si="33"/>
        <v>2021</v>
      </c>
      <c r="F341" s="3" t="s">
        <v>688</v>
      </c>
      <c r="G341" s="3" t="str">
        <f>VLOOKUP(F342,'Customers (2)'!A:I,2,0)</f>
        <v>Wesley Giorgioni</v>
      </c>
      <c r="H341" s="3" t="str">
        <f>VLOOKUP(F341,'Customers (2)'!A:I,3,0)</f>
        <v>erasmus9f@techcrunch.com</v>
      </c>
      <c r="I341" s="3" t="str">
        <f>VLOOKUP(F341,'Customers (2)'!A:I,4,0)</f>
        <v>+1 (617) 830-9474</v>
      </c>
      <c r="J341" s="3" t="str">
        <f>VLOOKUP(F341,'Customers (2)'!A:I,6,0)</f>
        <v>Boston</v>
      </c>
      <c r="K341" s="3" t="str">
        <f>VLOOKUP(F341,'Customers (2)'!A:I,7,0)</f>
        <v>United States</v>
      </c>
      <c r="L341" s="3" t="str">
        <f>VLOOKUP(F341,'Customers (2)'!A:I,9,0)</f>
        <v>Yes</v>
      </c>
      <c r="M341" s="4" t="s">
        <v>51</v>
      </c>
      <c r="N341" s="4" t="str">
        <f>VLOOKUP(M341,'Products (2)'!A:G,2,0)</f>
        <v>Excelsa</v>
      </c>
      <c r="O341" s="4" t="str">
        <f>VLOOKUP(M341,'Products (2)'!A:G,3,0)</f>
        <v>Dark</v>
      </c>
      <c r="P341" s="4">
        <f>VLOOKUP(M341,'Products (2)'!A:G,7,0)</f>
        <v>0.40095000000000003</v>
      </c>
      <c r="Q341" s="3">
        <v>2</v>
      </c>
      <c r="R341" s="5">
        <f>INDEX([1]products!$A$1:$G$49,MATCH([1]orders!$D341,[1]products!$A$1:$A$49,0),MATCH([1]orders!K$1,[1]products!$A$1:$G$1,0))</f>
        <v>0.2</v>
      </c>
      <c r="S341" s="6">
        <f>INDEX([1]products!$A$1:$G$49,MATCH([1]orders!$D341,[1]products!$A$1:$A$49,0),MATCH([1]orders!L$1,[1]products!$A$1:$G$1,0))</f>
        <v>3.645</v>
      </c>
      <c r="T341" s="6">
        <f t="shared" si="30"/>
        <v>7.29</v>
      </c>
      <c r="U341" s="22">
        <f t="shared" si="34"/>
        <v>0.80190000000000006</v>
      </c>
      <c r="V341" s="22">
        <f t="shared" si="35"/>
        <v>11</v>
      </c>
    </row>
    <row r="342" spans="1:22" x14ac:dyDescent="0.3">
      <c r="A342" s="1" t="s">
        <v>689</v>
      </c>
      <c r="B342" s="2">
        <v>43528</v>
      </c>
      <c r="C342" s="2" t="str">
        <f t="shared" si="31"/>
        <v>Monday</v>
      </c>
      <c r="D342" s="2" t="str">
        <f t="shared" si="32"/>
        <v>March</v>
      </c>
      <c r="E342" s="2" t="str">
        <f t="shared" si="33"/>
        <v>2019</v>
      </c>
      <c r="F342" s="3" t="s">
        <v>690</v>
      </c>
      <c r="G342" s="3" t="str">
        <f>VLOOKUP(F343,'Customers (2)'!A:I,2,0)</f>
        <v>Lucienne Scargle</v>
      </c>
      <c r="H342" s="3" t="str">
        <f>VLOOKUP(F342,'Customers (2)'!A:I,3,0)</f>
        <v>wgiorgioni9g@wikipedia.org</v>
      </c>
      <c r="I342" s="3" t="str">
        <f>VLOOKUP(F342,'Customers (2)'!A:I,4,0)</f>
        <v>+1 (415) 960-7198</v>
      </c>
      <c r="J342" s="3" t="str">
        <f>VLOOKUP(F342,'Customers (2)'!A:I,6,0)</f>
        <v>San Francisco</v>
      </c>
      <c r="K342" s="3" t="str">
        <f>VLOOKUP(F342,'Customers (2)'!A:I,7,0)</f>
        <v>United States</v>
      </c>
      <c r="L342" s="3" t="str">
        <f>VLOOKUP(F342,'Customers (2)'!A:I,9,0)</f>
        <v>Yes</v>
      </c>
      <c r="M342" s="4" t="s">
        <v>16</v>
      </c>
      <c r="N342" s="4" t="str">
        <f>VLOOKUP(M342,'Products (2)'!A:G,2,0)</f>
        <v>Excelsa</v>
      </c>
      <c r="O342" s="4" t="str">
        <f>VLOOKUP(M342,'Products (2)'!A:G,3,0)</f>
        <v>Dark</v>
      </c>
      <c r="P342" s="4">
        <f>VLOOKUP(M342,'Products (2)'!A:G,7,0)</f>
        <v>0.80190000000000006</v>
      </c>
      <c r="Q342" s="3">
        <v>1</v>
      </c>
      <c r="R342" s="5">
        <f>INDEX([1]products!$A$1:$G$49,MATCH([1]orders!$D342,[1]products!$A$1:$A$49,0),MATCH([1]orders!K$1,[1]products!$A$1:$G$1,0))</f>
        <v>0.5</v>
      </c>
      <c r="S342" s="6">
        <f>INDEX([1]products!$A$1:$G$49,MATCH([1]orders!$D342,[1]products!$A$1:$A$49,0),MATCH([1]orders!L$1,[1]products!$A$1:$G$1,0))</f>
        <v>7.29</v>
      </c>
      <c r="T342" s="6">
        <f t="shared" si="30"/>
        <v>7.29</v>
      </c>
      <c r="U342" s="22">
        <f t="shared" si="34"/>
        <v>0.80190000000000006</v>
      </c>
      <c r="V342" s="22">
        <f t="shared" si="35"/>
        <v>11</v>
      </c>
    </row>
    <row r="343" spans="1:22" x14ac:dyDescent="0.3">
      <c r="A343" s="1" t="s">
        <v>691</v>
      </c>
      <c r="B343" s="2">
        <v>43751</v>
      </c>
      <c r="C343" s="2" t="str">
        <f t="shared" si="31"/>
        <v>Sunday</v>
      </c>
      <c r="D343" s="2" t="str">
        <f t="shared" si="32"/>
        <v>October</v>
      </c>
      <c r="E343" s="2" t="str">
        <f t="shared" si="33"/>
        <v>2019</v>
      </c>
      <c r="F343" s="3" t="s">
        <v>692</v>
      </c>
      <c r="G343" s="3" t="str">
        <f>VLOOKUP(F344,'Customers (2)'!A:I,2,0)</f>
        <v>Lucienne Scargle</v>
      </c>
      <c r="H343" s="3" t="str">
        <f>VLOOKUP(F343,'Customers (2)'!A:I,3,0)</f>
        <v>lscargle9h@myspace.com</v>
      </c>
      <c r="I343" s="3" t="str">
        <f>VLOOKUP(F343,'Customers (2)'!A:I,4,0)</f>
        <v>+1 (317) 136-7045</v>
      </c>
      <c r="J343" s="3" t="str">
        <f>VLOOKUP(F343,'Customers (2)'!A:I,6,0)</f>
        <v>Indianapolis</v>
      </c>
      <c r="K343" s="3" t="str">
        <f>VLOOKUP(F343,'Customers (2)'!A:I,7,0)</f>
        <v>United States</v>
      </c>
      <c r="L343" s="3" t="str">
        <f>VLOOKUP(F343,'Customers (2)'!A:I,9,0)</f>
        <v>No</v>
      </c>
      <c r="M343" s="4" t="s">
        <v>176</v>
      </c>
      <c r="N343" s="4" t="str">
        <f>VLOOKUP(M343,'Products (2)'!A:G,2,0)</f>
        <v>Excelsa</v>
      </c>
      <c r="O343" s="4" t="str">
        <f>VLOOKUP(M343,'Products (2)'!A:G,3,0)</f>
        <v>Light</v>
      </c>
      <c r="P343" s="4">
        <f>VLOOKUP(M343,'Products (2)'!A:G,7,0)</f>
        <v>0.98009999999999997</v>
      </c>
      <c r="Q343" s="3">
        <v>2</v>
      </c>
      <c r="R343" s="5">
        <f>INDEX([1]products!$A$1:$G$49,MATCH([1]orders!$D343,[1]products!$A$1:$A$49,0),MATCH([1]orders!K$1,[1]products!$A$1:$G$1,0))</f>
        <v>0.5</v>
      </c>
      <c r="S343" s="6">
        <f>INDEX([1]products!$A$1:$G$49,MATCH([1]orders!$D343,[1]products!$A$1:$A$49,0),MATCH([1]orders!L$1,[1]products!$A$1:$G$1,0))</f>
        <v>8.91</v>
      </c>
      <c r="T343" s="6">
        <f t="shared" si="30"/>
        <v>17.82</v>
      </c>
      <c r="U343" s="22">
        <f t="shared" si="34"/>
        <v>1.9601999999999999</v>
      </c>
      <c r="V343" s="22">
        <f t="shared" si="35"/>
        <v>11</v>
      </c>
    </row>
    <row r="344" spans="1:22" x14ac:dyDescent="0.3">
      <c r="A344" s="1" t="s">
        <v>691</v>
      </c>
      <c r="B344" s="2">
        <v>43751</v>
      </c>
      <c r="C344" s="2" t="str">
        <f t="shared" si="31"/>
        <v>Sunday</v>
      </c>
      <c r="D344" s="2" t="str">
        <f t="shared" si="32"/>
        <v>October</v>
      </c>
      <c r="E344" s="2" t="str">
        <f t="shared" si="33"/>
        <v>2019</v>
      </c>
      <c r="F344" s="3" t="s">
        <v>692</v>
      </c>
      <c r="G344" s="3" t="str">
        <f>VLOOKUP(F345,'Customers (2)'!A:I,2,0)</f>
        <v>Noam Climance</v>
      </c>
      <c r="H344" s="3" t="str">
        <f>VLOOKUP(F344,'Customers (2)'!A:I,3,0)</f>
        <v>lscargle9h@myspace.com</v>
      </c>
      <c r="I344" s="3" t="str">
        <f>VLOOKUP(F344,'Customers (2)'!A:I,4,0)</f>
        <v>+1 (317) 136-7045</v>
      </c>
      <c r="J344" s="3" t="str">
        <f>VLOOKUP(F344,'Customers (2)'!A:I,6,0)</f>
        <v>Indianapolis</v>
      </c>
      <c r="K344" s="3" t="str">
        <f>VLOOKUP(F344,'Customers (2)'!A:I,7,0)</f>
        <v>United States</v>
      </c>
      <c r="L344" s="3" t="str">
        <f>VLOOKUP(F344,'Customers (2)'!A:I,9,0)</f>
        <v>No</v>
      </c>
      <c r="M344" s="4" t="s">
        <v>123</v>
      </c>
      <c r="N344" s="4" t="str">
        <f>VLOOKUP(M344,'Products (2)'!A:G,2,0)</f>
        <v>Liberica</v>
      </c>
      <c r="O344" s="4" t="str">
        <f>VLOOKUP(M344,'Products (2)'!A:G,3,0)</f>
        <v>Dark</v>
      </c>
      <c r="P344" s="4">
        <f>VLOOKUP(M344,'Products (2)'!A:G,7,0)</f>
        <v>1.0101</v>
      </c>
      <c r="Q344" s="3">
        <v>5</v>
      </c>
      <c r="R344" s="5">
        <f>INDEX([1]products!$A$1:$G$49,MATCH([1]orders!$D344,[1]products!$A$1:$A$49,0),MATCH([1]orders!K$1,[1]products!$A$1:$G$1,0))</f>
        <v>0.5</v>
      </c>
      <c r="S344" s="6">
        <f>INDEX([1]products!$A$1:$G$49,MATCH([1]orders!$D344,[1]products!$A$1:$A$49,0),MATCH([1]orders!L$1,[1]products!$A$1:$G$1,0))</f>
        <v>7.77</v>
      </c>
      <c r="T344" s="6">
        <f t="shared" si="30"/>
        <v>38.849999999999994</v>
      </c>
      <c r="U344" s="22">
        <f t="shared" si="34"/>
        <v>5.0504999999999995</v>
      </c>
      <c r="V344" s="22">
        <f t="shared" si="35"/>
        <v>13</v>
      </c>
    </row>
    <row r="345" spans="1:22" x14ac:dyDescent="0.3">
      <c r="A345" s="1" t="s">
        <v>693</v>
      </c>
      <c r="B345" s="2">
        <v>43692</v>
      </c>
      <c r="C345" s="2" t="str">
        <f t="shared" si="31"/>
        <v>Thursday</v>
      </c>
      <c r="D345" s="2" t="str">
        <f t="shared" si="32"/>
        <v>August</v>
      </c>
      <c r="E345" s="2" t="str">
        <f t="shared" si="33"/>
        <v>2019</v>
      </c>
      <c r="F345" s="3" t="s">
        <v>694</v>
      </c>
      <c r="G345" s="3" t="str">
        <f>VLOOKUP(F346,'Customers (2)'!A:I,2,0)</f>
        <v>Catarina Donn</v>
      </c>
      <c r="H345" s="3" t="str">
        <f>VLOOKUP(F345,'Customers (2)'!A:I,3,0)</f>
        <v>nclimance9j@europa.eu</v>
      </c>
      <c r="I345" s="3">
        <f>VLOOKUP(F345,'Customers (2)'!A:I,4,0)</f>
        <v>0</v>
      </c>
      <c r="J345" s="3" t="str">
        <f>VLOOKUP(F345,'Customers (2)'!A:I,6,0)</f>
        <v>Seattle</v>
      </c>
      <c r="K345" s="3" t="str">
        <f>VLOOKUP(F345,'Customers (2)'!A:I,7,0)</f>
        <v>United States</v>
      </c>
      <c r="L345" s="3" t="str">
        <f>VLOOKUP(F345,'Customers (2)'!A:I,9,0)</f>
        <v>No</v>
      </c>
      <c r="M345" s="4" t="s">
        <v>146</v>
      </c>
      <c r="N345" s="4" t="str">
        <f>VLOOKUP(M345,'Products (2)'!A:G,2,0)</f>
        <v>Robusta</v>
      </c>
      <c r="O345" s="4" t="str">
        <f>VLOOKUP(M345,'Products (2)'!A:G,3,0)</f>
        <v>Dark</v>
      </c>
      <c r="P345" s="4">
        <f>VLOOKUP(M345,'Products (2)'!A:G,7,0)</f>
        <v>0.32219999999999993</v>
      </c>
      <c r="Q345" s="3">
        <v>6</v>
      </c>
      <c r="R345" s="5">
        <f>INDEX([1]products!$A$1:$G$49,MATCH([1]orders!$D345,[1]products!$A$1:$A$49,0),MATCH([1]orders!K$1,[1]products!$A$1:$G$1,0))</f>
        <v>0.5</v>
      </c>
      <c r="S345" s="6">
        <f>INDEX([1]products!$A$1:$G$49,MATCH([1]orders!$D345,[1]products!$A$1:$A$49,0),MATCH([1]orders!L$1,[1]products!$A$1:$G$1,0))</f>
        <v>5.3699999999999992</v>
      </c>
      <c r="T345" s="6">
        <f t="shared" si="30"/>
        <v>32.22</v>
      </c>
      <c r="U345" s="22">
        <f t="shared" si="34"/>
        <v>1.9331999999999996</v>
      </c>
      <c r="V345" s="22">
        <f t="shared" si="35"/>
        <v>5.9999999999999991</v>
      </c>
    </row>
    <row r="346" spans="1:22" x14ac:dyDescent="0.3">
      <c r="A346" s="1" t="s">
        <v>695</v>
      </c>
      <c r="B346" s="2">
        <v>44529</v>
      </c>
      <c r="C346" s="2" t="str">
        <f t="shared" si="31"/>
        <v>Monday</v>
      </c>
      <c r="D346" s="2" t="str">
        <f t="shared" si="32"/>
        <v>November</v>
      </c>
      <c r="E346" s="2" t="str">
        <f t="shared" si="33"/>
        <v>2021</v>
      </c>
      <c r="F346" s="3" t="s">
        <v>696</v>
      </c>
      <c r="G346" s="3" t="str">
        <f>VLOOKUP(F347,'Customers (2)'!A:I,2,0)</f>
        <v>Ameline Snazle</v>
      </c>
      <c r="H346" s="3">
        <f>VLOOKUP(F346,'Customers (2)'!A:I,3,0)</f>
        <v>0</v>
      </c>
      <c r="I346" s="3" t="str">
        <f>VLOOKUP(F346,'Customers (2)'!A:I,4,0)</f>
        <v>+353 (950) 306-4776</v>
      </c>
      <c r="J346" s="3" t="str">
        <f>VLOOKUP(F346,'Customers (2)'!A:I,6,0)</f>
        <v>Dunmanway</v>
      </c>
      <c r="K346" s="3" t="str">
        <f>VLOOKUP(F346,'Customers (2)'!A:I,7,0)</f>
        <v>Ireland</v>
      </c>
      <c r="L346" s="3" t="str">
        <f>VLOOKUP(F346,'Customers (2)'!A:I,9,0)</f>
        <v>Yes</v>
      </c>
      <c r="M346" s="4" t="s">
        <v>2</v>
      </c>
      <c r="N346" s="4" t="str">
        <f>VLOOKUP(M346,'Products (2)'!A:G,2,0)</f>
        <v>Robusta</v>
      </c>
      <c r="O346" s="4" t="str">
        <f>VLOOKUP(M346,'Products (2)'!A:G,3,0)</f>
        <v>Medium</v>
      </c>
      <c r="P346" s="4">
        <f>VLOOKUP(M346,'Products (2)'!A:G,7,0)</f>
        <v>0.59699999999999998</v>
      </c>
      <c r="Q346" s="3">
        <v>2</v>
      </c>
      <c r="R346" s="5">
        <f>INDEX([1]products!$A$1:$G$49,MATCH([1]orders!$D346,[1]products!$A$1:$A$49,0),MATCH([1]orders!K$1,[1]products!$A$1:$G$1,0))</f>
        <v>1</v>
      </c>
      <c r="S346" s="6">
        <f>INDEX([1]products!$A$1:$G$49,MATCH([1]orders!$D346,[1]products!$A$1:$A$49,0),MATCH([1]orders!L$1,[1]products!$A$1:$G$1,0))</f>
        <v>9.9499999999999993</v>
      </c>
      <c r="T346" s="6">
        <f t="shared" si="30"/>
        <v>19.899999999999999</v>
      </c>
      <c r="U346" s="22">
        <f t="shared" si="34"/>
        <v>1.194</v>
      </c>
      <c r="V346" s="22">
        <f t="shared" si="35"/>
        <v>6.0000000000000009</v>
      </c>
    </row>
    <row r="347" spans="1:22" x14ac:dyDescent="0.3">
      <c r="A347" s="1" t="s">
        <v>697</v>
      </c>
      <c r="B347" s="2">
        <v>43849</v>
      </c>
      <c r="C347" s="2" t="str">
        <f t="shared" si="31"/>
        <v>Sunday</v>
      </c>
      <c r="D347" s="2" t="str">
        <f t="shared" si="32"/>
        <v>January</v>
      </c>
      <c r="E347" s="2" t="str">
        <f t="shared" si="33"/>
        <v>2020</v>
      </c>
      <c r="F347" s="3" t="s">
        <v>698</v>
      </c>
      <c r="G347" s="3" t="str">
        <f>VLOOKUP(F348,'Customers (2)'!A:I,2,0)</f>
        <v>Rebeka Worg</v>
      </c>
      <c r="H347" s="3" t="str">
        <f>VLOOKUP(F347,'Customers (2)'!A:I,3,0)</f>
        <v>asnazle9l@oracle.com</v>
      </c>
      <c r="I347" s="3" t="str">
        <f>VLOOKUP(F347,'Customers (2)'!A:I,4,0)</f>
        <v>+1 (334) 193-6359</v>
      </c>
      <c r="J347" s="3" t="str">
        <f>VLOOKUP(F347,'Customers (2)'!A:I,6,0)</f>
        <v>Montgomery</v>
      </c>
      <c r="K347" s="3" t="str">
        <f>VLOOKUP(F347,'Customers (2)'!A:I,7,0)</f>
        <v>United States</v>
      </c>
      <c r="L347" s="3" t="str">
        <f>VLOOKUP(F347,'Customers (2)'!A:I,9,0)</f>
        <v>No</v>
      </c>
      <c r="M347" s="4" t="s">
        <v>189</v>
      </c>
      <c r="N347" s="4" t="str">
        <f>VLOOKUP(M347,'Products (2)'!A:G,2,0)</f>
        <v>Robusta</v>
      </c>
      <c r="O347" s="4" t="str">
        <f>VLOOKUP(M347,'Products (2)'!A:G,3,0)</f>
        <v>Light</v>
      </c>
      <c r="P347" s="4">
        <f>VLOOKUP(M347,'Products (2)'!A:G,7,0)</f>
        <v>0.71699999999999997</v>
      </c>
      <c r="Q347" s="3">
        <v>5</v>
      </c>
      <c r="R347" s="5">
        <f>INDEX([1]products!$A$1:$G$49,MATCH([1]orders!$D347,[1]products!$A$1:$A$49,0),MATCH([1]orders!K$1,[1]products!$A$1:$G$1,0))</f>
        <v>1</v>
      </c>
      <c r="S347" s="6">
        <f>INDEX([1]products!$A$1:$G$49,MATCH([1]orders!$D347,[1]products!$A$1:$A$49,0),MATCH([1]orders!L$1,[1]products!$A$1:$G$1,0))</f>
        <v>11.95</v>
      </c>
      <c r="T347" s="6">
        <f t="shared" si="30"/>
        <v>59.75</v>
      </c>
      <c r="U347" s="22">
        <f t="shared" si="34"/>
        <v>3.585</v>
      </c>
      <c r="V347" s="22">
        <f t="shared" si="35"/>
        <v>6</v>
      </c>
    </row>
    <row r="348" spans="1:22" x14ac:dyDescent="0.3">
      <c r="A348" s="1" t="s">
        <v>699</v>
      </c>
      <c r="B348" s="2">
        <v>44344</v>
      </c>
      <c r="C348" s="2" t="str">
        <f t="shared" si="31"/>
        <v>Friday</v>
      </c>
      <c r="D348" s="2" t="str">
        <f t="shared" si="32"/>
        <v>May</v>
      </c>
      <c r="E348" s="2" t="str">
        <f t="shared" si="33"/>
        <v>2021</v>
      </c>
      <c r="F348" s="3" t="s">
        <v>700</v>
      </c>
      <c r="G348" s="3" t="str">
        <f>VLOOKUP(F349,'Customers (2)'!A:I,2,0)</f>
        <v>Lewes Danes</v>
      </c>
      <c r="H348" s="3" t="str">
        <f>VLOOKUP(F348,'Customers (2)'!A:I,3,0)</f>
        <v>rworg9m@arstechnica.com</v>
      </c>
      <c r="I348" s="3" t="str">
        <f>VLOOKUP(F348,'Customers (2)'!A:I,4,0)</f>
        <v>+1 (214) 985-2470</v>
      </c>
      <c r="J348" s="3" t="str">
        <f>VLOOKUP(F348,'Customers (2)'!A:I,6,0)</f>
        <v>Dallas</v>
      </c>
      <c r="K348" s="3" t="str">
        <f>VLOOKUP(F348,'Customers (2)'!A:I,7,0)</f>
        <v>United States</v>
      </c>
      <c r="L348" s="3" t="str">
        <f>VLOOKUP(F348,'Customers (2)'!A:I,9,0)</f>
        <v>Yes</v>
      </c>
      <c r="M348" s="4" t="s">
        <v>192</v>
      </c>
      <c r="N348" s="4" t="str">
        <f>VLOOKUP(M348,'Products (2)'!A:G,2,0)</f>
        <v>Arabica</v>
      </c>
      <c r="O348" s="4" t="str">
        <f>VLOOKUP(M348,'Products (2)'!A:G,3,0)</f>
        <v>Light</v>
      </c>
      <c r="P348" s="4">
        <f>VLOOKUP(M348,'Products (2)'!A:G,7,0)</f>
        <v>0.69929999999999992</v>
      </c>
      <c r="Q348" s="3">
        <v>3</v>
      </c>
      <c r="R348" s="5">
        <f>INDEX([1]products!$A$1:$G$49,MATCH([1]orders!$D348,[1]products!$A$1:$A$49,0),MATCH([1]orders!K$1,[1]products!$A$1:$G$1,0))</f>
        <v>0.5</v>
      </c>
      <c r="S348" s="6">
        <f>INDEX([1]products!$A$1:$G$49,MATCH([1]orders!$D348,[1]products!$A$1:$A$49,0),MATCH([1]orders!L$1,[1]products!$A$1:$G$1,0))</f>
        <v>7.77</v>
      </c>
      <c r="T348" s="6">
        <f t="shared" si="30"/>
        <v>23.31</v>
      </c>
      <c r="U348" s="22">
        <f t="shared" si="34"/>
        <v>2.0978999999999997</v>
      </c>
      <c r="V348" s="22">
        <f t="shared" si="35"/>
        <v>9</v>
      </c>
    </row>
    <row r="349" spans="1:22" x14ac:dyDescent="0.3">
      <c r="A349" s="1" t="s">
        <v>701</v>
      </c>
      <c r="B349" s="2">
        <v>44576</v>
      </c>
      <c r="C349" s="2" t="str">
        <f t="shared" si="31"/>
        <v>Saturday</v>
      </c>
      <c r="D349" s="2" t="str">
        <f t="shared" si="32"/>
        <v>January</v>
      </c>
      <c r="E349" s="2" t="str">
        <f t="shared" si="33"/>
        <v>2022</v>
      </c>
      <c r="F349" s="3" t="s">
        <v>702</v>
      </c>
      <c r="G349" s="3" t="str">
        <f>VLOOKUP(F350,'Customers (2)'!A:I,2,0)</f>
        <v>Shelli Keynd</v>
      </c>
      <c r="H349" s="3" t="str">
        <f>VLOOKUP(F349,'Customers (2)'!A:I,3,0)</f>
        <v>ldanes9n@umn.edu</v>
      </c>
      <c r="I349" s="3" t="str">
        <f>VLOOKUP(F349,'Customers (2)'!A:I,4,0)</f>
        <v>+1 (785) 398-5129</v>
      </c>
      <c r="J349" s="3" t="str">
        <f>VLOOKUP(F349,'Customers (2)'!A:I,6,0)</f>
        <v>Topeka</v>
      </c>
      <c r="K349" s="3" t="str">
        <f>VLOOKUP(F349,'Customers (2)'!A:I,7,0)</f>
        <v>United States</v>
      </c>
      <c r="L349" s="3" t="str">
        <f>VLOOKUP(F349,'Customers (2)'!A:I,9,0)</f>
        <v>No</v>
      </c>
      <c r="M349" s="4" t="s">
        <v>96</v>
      </c>
      <c r="N349" s="4" t="str">
        <f>VLOOKUP(M349,'Products (2)'!A:G,2,0)</f>
        <v>Liberica</v>
      </c>
      <c r="O349" s="4" t="str">
        <f>VLOOKUP(M349,'Products (2)'!A:G,3,0)</f>
        <v>Medium</v>
      </c>
      <c r="P349" s="4">
        <f>VLOOKUP(M349,'Products (2)'!A:G,7,0)</f>
        <v>1.8915000000000002</v>
      </c>
      <c r="Q349" s="3">
        <v>3</v>
      </c>
      <c r="R349" s="5">
        <f>INDEX([1]products!$A$1:$G$49,MATCH([1]orders!$D349,[1]products!$A$1:$A$49,0),MATCH([1]orders!K$1,[1]products!$A$1:$G$1,0))</f>
        <v>1</v>
      </c>
      <c r="S349" s="6">
        <f>INDEX([1]products!$A$1:$G$49,MATCH([1]orders!$D349,[1]products!$A$1:$A$49,0),MATCH([1]orders!L$1,[1]products!$A$1:$G$1,0))</f>
        <v>14.55</v>
      </c>
      <c r="T349" s="6">
        <f t="shared" si="30"/>
        <v>43.650000000000006</v>
      </c>
      <c r="U349" s="22">
        <f t="shared" si="34"/>
        <v>5.6745000000000001</v>
      </c>
      <c r="V349" s="22">
        <f t="shared" si="35"/>
        <v>12.999999999999998</v>
      </c>
    </row>
    <row r="350" spans="1:22" x14ac:dyDescent="0.3">
      <c r="A350" s="1" t="s">
        <v>703</v>
      </c>
      <c r="B350" s="2">
        <v>43803</v>
      </c>
      <c r="C350" s="2" t="str">
        <f t="shared" si="31"/>
        <v>Wednesday</v>
      </c>
      <c r="D350" s="2" t="str">
        <f t="shared" si="32"/>
        <v>December</v>
      </c>
      <c r="E350" s="2" t="str">
        <f t="shared" si="33"/>
        <v>2019</v>
      </c>
      <c r="F350" s="3" t="s">
        <v>704</v>
      </c>
      <c r="G350" s="3" t="str">
        <f>VLOOKUP(F351,'Customers (2)'!A:I,2,0)</f>
        <v>Dell Daveridge</v>
      </c>
      <c r="H350" s="3" t="str">
        <f>VLOOKUP(F350,'Customers (2)'!A:I,3,0)</f>
        <v>skeynd9o@narod.ru</v>
      </c>
      <c r="I350" s="3" t="str">
        <f>VLOOKUP(F350,'Customers (2)'!A:I,4,0)</f>
        <v>+1 (903) 299-3053</v>
      </c>
      <c r="J350" s="3" t="str">
        <f>VLOOKUP(F350,'Customers (2)'!A:I,6,0)</f>
        <v>Tyler</v>
      </c>
      <c r="K350" s="3" t="str">
        <f>VLOOKUP(F350,'Customers (2)'!A:I,7,0)</f>
        <v>United States</v>
      </c>
      <c r="L350" s="3" t="str">
        <f>VLOOKUP(F350,'Customers (2)'!A:I,9,0)</f>
        <v>No</v>
      </c>
      <c r="M350" s="4" t="s">
        <v>30</v>
      </c>
      <c r="N350" s="4" t="str">
        <f>VLOOKUP(M350,'Products (2)'!A:G,2,0)</f>
        <v>Excelsa</v>
      </c>
      <c r="O350" s="4" t="str">
        <f>VLOOKUP(M350,'Products (2)'!A:G,3,0)</f>
        <v>Light</v>
      </c>
      <c r="P350" s="4">
        <f>VLOOKUP(M350,'Products (2)'!A:G,7,0)</f>
        <v>3.7570499999999996</v>
      </c>
      <c r="Q350" s="3">
        <v>6</v>
      </c>
      <c r="R350" s="5">
        <f>INDEX([1]products!$A$1:$G$49,MATCH([1]orders!$D350,[1]products!$A$1:$A$49,0),MATCH([1]orders!K$1,[1]products!$A$1:$G$1,0))</f>
        <v>2.5</v>
      </c>
      <c r="S350" s="6">
        <f>INDEX([1]products!$A$1:$G$49,MATCH([1]orders!$D350,[1]products!$A$1:$A$49,0),MATCH([1]orders!L$1,[1]products!$A$1:$G$1,0))</f>
        <v>34.154999999999994</v>
      </c>
      <c r="T350" s="6">
        <f t="shared" si="30"/>
        <v>204.92999999999995</v>
      </c>
      <c r="U350" s="22">
        <f t="shared" si="34"/>
        <v>22.542299999999997</v>
      </c>
      <c r="V350" s="22">
        <f t="shared" si="35"/>
        <v>11.000000000000002</v>
      </c>
    </row>
    <row r="351" spans="1:22" x14ac:dyDescent="0.3">
      <c r="A351" s="1" t="s">
        <v>705</v>
      </c>
      <c r="B351" s="2">
        <v>44743</v>
      </c>
      <c r="C351" s="2" t="str">
        <f t="shared" si="31"/>
        <v>Friday</v>
      </c>
      <c r="D351" s="2" t="str">
        <f t="shared" si="32"/>
        <v>July</v>
      </c>
      <c r="E351" s="2" t="str">
        <f t="shared" si="33"/>
        <v>2022</v>
      </c>
      <c r="F351" s="3" t="s">
        <v>706</v>
      </c>
      <c r="G351" s="3" t="str">
        <f>VLOOKUP(F352,'Customers (2)'!A:I,2,0)</f>
        <v>Joshuah Awdry</v>
      </c>
      <c r="H351" s="3" t="str">
        <f>VLOOKUP(F351,'Customers (2)'!A:I,3,0)</f>
        <v>ddaveridge9p@arstechnica.com</v>
      </c>
      <c r="I351" s="3" t="str">
        <f>VLOOKUP(F351,'Customers (2)'!A:I,4,0)</f>
        <v>+1 (213) 474-2139</v>
      </c>
      <c r="J351" s="3" t="str">
        <f>VLOOKUP(F351,'Customers (2)'!A:I,6,0)</f>
        <v>Los Angeles</v>
      </c>
      <c r="K351" s="3" t="str">
        <f>VLOOKUP(F351,'Customers (2)'!A:I,7,0)</f>
        <v>United States</v>
      </c>
      <c r="L351" s="3" t="str">
        <f>VLOOKUP(F351,'Customers (2)'!A:I,9,0)</f>
        <v>No</v>
      </c>
      <c r="M351" s="4" t="s">
        <v>182</v>
      </c>
      <c r="N351" s="4" t="str">
        <f>VLOOKUP(M351,'Products (2)'!A:G,2,0)</f>
        <v>Robusta</v>
      </c>
      <c r="O351" s="4" t="str">
        <f>VLOOKUP(M351,'Products (2)'!A:G,3,0)</f>
        <v>Light</v>
      </c>
      <c r="P351" s="4">
        <f>VLOOKUP(M351,'Products (2)'!A:G,7,0)</f>
        <v>0.21509999999999996</v>
      </c>
      <c r="Q351" s="3">
        <v>4</v>
      </c>
      <c r="R351" s="5">
        <f>INDEX([1]products!$A$1:$G$49,MATCH([1]orders!$D351,[1]products!$A$1:$A$49,0),MATCH([1]orders!K$1,[1]products!$A$1:$G$1,0))</f>
        <v>0.2</v>
      </c>
      <c r="S351" s="6">
        <f>INDEX([1]products!$A$1:$G$49,MATCH([1]orders!$D351,[1]products!$A$1:$A$49,0),MATCH([1]orders!L$1,[1]products!$A$1:$G$1,0))</f>
        <v>3.5849999999999995</v>
      </c>
      <c r="T351" s="6">
        <f t="shared" si="30"/>
        <v>14.339999999999998</v>
      </c>
      <c r="U351" s="22">
        <f t="shared" si="34"/>
        <v>0.86039999999999983</v>
      </c>
      <c r="V351" s="22">
        <f t="shared" si="35"/>
        <v>6</v>
      </c>
    </row>
    <row r="352" spans="1:22" x14ac:dyDescent="0.3">
      <c r="A352" s="1" t="s">
        <v>707</v>
      </c>
      <c r="B352" s="2">
        <v>43592</v>
      </c>
      <c r="C352" s="2" t="str">
        <f t="shared" si="31"/>
        <v>Tuesday</v>
      </c>
      <c r="D352" s="2" t="str">
        <f t="shared" si="32"/>
        <v>May</v>
      </c>
      <c r="E352" s="2" t="str">
        <f t="shared" si="33"/>
        <v>2019</v>
      </c>
      <c r="F352" s="3" t="s">
        <v>708</v>
      </c>
      <c r="G352" s="3" t="str">
        <f>VLOOKUP(F353,'Customers (2)'!A:I,2,0)</f>
        <v>Ethel Ryles</v>
      </c>
      <c r="H352" s="3" t="str">
        <f>VLOOKUP(F352,'Customers (2)'!A:I,3,0)</f>
        <v>jawdry9q@utexas.edu</v>
      </c>
      <c r="I352" s="3" t="str">
        <f>VLOOKUP(F352,'Customers (2)'!A:I,4,0)</f>
        <v>+1 (318) 747-7610</v>
      </c>
      <c r="J352" s="3" t="str">
        <f>VLOOKUP(F352,'Customers (2)'!A:I,6,0)</f>
        <v>Shreveport</v>
      </c>
      <c r="K352" s="3" t="str">
        <f>VLOOKUP(F352,'Customers (2)'!A:I,7,0)</f>
        <v>United States</v>
      </c>
      <c r="L352" s="3" t="str">
        <f>VLOOKUP(F352,'Customers (2)'!A:I,9,0)</f>
        <v>No</v>
      </c>
      <c r="M352" s="4" t="s">
        <v>72</v>
      </c>
      <c r="N352" s="4" t="str">
        <f>VLOOKUP(M352,'Products (2)'!A:G,2,0)</f>
        <v>Arabica</v>
      </c>
      <c r="O352" s="4" t="str">
        <f>VLOOKUP(M352,'Products (2)'!A:G,3,0)</f>
        <v>Dark</v>
      </c>
      <c r="P352" s="4">
        <f>VLOOKUP(M352,'Products (2)'!A:G,7,0)</f>
        <v>0.5373</v>
      </c>
      <c r="Q352" s="3">
        <v>4</v>
      </c>
      <c r="R352" s="5">
        <f>INDEX([1]products!$A$1:$G$49,MATCH([1]orders!$D352,[1]products!$A$1:$A$49,0),MATCH([1]orders!K$1,[1]products!$A$1:$G$1,0))</f>
        <v>0.5</v>
      </c>
      <c r="S352" s="6">
        <f>INDEX([1]products!$A$1:$G$49,MATCH([1]orders!$D352,[1]products!$A$1:$A$49,0),MATCH([1]orders!L$1,[1]products!$A$1:$G$1,0))</f>
        <v>5.97</v>
      </c>
      <c r="T352" s="6">
        <f t="shared" si="30"/>
        <v>23.88</v>
      </c>
      <c r="U352" s="22">
        <f t="shared" si="34"/>
        <v>2.1492</v>
      </c>
      <c r="V352" s="22">
        <f t="shared" si="35"/>
        <v>9.0000000000000018</v>
      </c>
    </row>
    <row r="353" spans="1:22" x14ac:dyDescent="0.3">
      <c r="A353" s="1" t="s">
        <v>709</v>
      </c>
      <c r="B353" s="2">
        <v>44066</v>
      </c>
      <c r="C353" s="2" t="str">
        <f t="shared" si="31"/>
        <v>Sunday</v>
      </c>
      <c r="D353" s="2" t="str">
        <f t="shared" si="32"/>
        <v>August</v>
      </c>
      <c r="E353" s="2" t="str">
        <f t="shared" si="33"/>
        <v>2020</v>
      </c>
      <c r="F353" s="3" t="s">
        <v>710</v>
      </c>
      <c r="G353" s="3" t="str">
        <f>VLOOKUP(F354,'Customers (2)'!A:I,2,0)</f>
        <v>Flynn Antony</v>
      </c>
      <c r="H353" s="3" t="str">
        <f>VLOOKUP(F353,'Customers (2)'!A:I,3,0)</f>
        <v>eryles9r@fastcompany.com</v>
      </c>
      <c r="I353" s="3" t="str">
        <f>VLOOKUP(F353,'Customers (2)'!A:I,4,0)</f>
        <v>+1 (208) 760-1705</v>
      </c>
      <c r="J353" s="3" t="str">
        <f>VLOOKUP(F353,'Customers (2)'!A:I,6,0)</f>
        <v>Boise</v>
      </c>
      <c r="K353" s="3" t="str">
        <f>VLOOKUP(F353,'Customers (2)'!A:I,7,0)</f>
        <v>United States</v>
      </c>
      <c r="L353" s="3" t="str">
        <f>VLOOKUP(F353,'Customers (2)'!A:I,9,0)</f>
        <v>No</v>
      </c>
      <c r="M353" s="4" t="s">
        <v>61</v>
      </c>
      <c r="N353" s="4" t="str">
        <f>VLOOKUP(M353,'Products (2)'!A:G,2,0)</f>
        <v>Arabica</v>
      </c>
      <c r="O353" s="4" t="str">
        <f>VLOOKUP(M353,'Products (2)'!A:G,3,0)</f>
        <v>Medium</v>
      </c>
      <c r="P353" s="4">
        <f>VLOOKUP(M353,'Products (2)'!A:G,7,0)</f>
        <v>1.0125</v>
      </c>
      <c r="Q353" s="3">
        <v>2</v>
      </c>
      <c r="R353" s="5">
        <f>INDEX([1]products!$A$1:$G$49,MATCH([1]orders!$D353,[1]products!$A$1:$A$49,0),MATCH([1]orders!K$1,[1]products!$A$1:$G$1,0))</f>
        <v>1</v>
      </c>
      <c r="S353" s="6">
        <f>INDEX([1]products!$A$1:$G$49,MATCH([1]orders!$D353,[1]products!$A$1:$A$49,0),MATCH([1]orders!L$1,[1]products!$A$1:$G$1,0))</f>
        <v>11.25</v>
      </c>
      <c r="T353" s="6">
        <f t="shared" si="30"/>
        <v>22.5</v>
      </c>
      <c r="U353" s="22">
        <f t="shared" si="34"/>
        <v>2.0249999999999999</v>
      </c>
      <c r="V353" s="22">
        <f t="shared" si="35"/>
        <v>9</v>
      </c>
    </row>
    <row r="354" spans="1:22" x14ac:dyDescent="0.3">
      <c r="A354" s="1" t="s">
        <v>711</v>
      </c>
      <c r="B354" s="2">
        <v>43984</v>
      </c>
      <c r="C354" s="2" t="str">
        <f t="shared" si="31"/>
        <v>Tuesday</v>
      </c>
      <c r="D354" s="2" t="str">
        <f t="shared" si="32"/>
        <v>June</v>
      </c>
      <c r="E354" s="2" t="str">
        <f t="shared" si="33"/>
        <v>2020</v>
      </c>
      <c r="F354" s="3" t="s">
        <v>664</v>
      </c>
      <c r="G354" s="3" t="str">
        <f>VLOOKUP(F355,'Customers (2)'!A:I,2,0)</f>
        <v>Maitilde Boxill</v>
      </c>
      <c r="H354" s="3">
        <f>VLOOKUP(F354,'Customers (2)'!A:I,3,0)</f>
        <v>0</v>
      </c>
      <c r="I354" s="3" t="str">
        <f>VLOOKUP(F354,'Customers (2)'!A:I,4,0)</f>
        <v>+1 (205) 680-5859</v>
      </c>
      <c r="J354" s="3" t="str">
        <f>VLOOKUP(F354,'Customers (2)'!A:I,6,0)</f>
        <v>Birmingham</v>
      </c>
      <c r="K354" s="3" t="str">
        <f>VLOOKUP(F354,'Customers (2)'!A:I,7,0)</f>
        <v>United States</v>
      </c>
      <c r="L354" s="3" t="str">
        <f>VLOOKUP(F354,'Customers (2)'!A:I,9,0)</f>
        <v>No</v>
      </c>
      <c r="M354" s="4" t="s">
        <v>16</v>
      </c>
      <c r="N354" s="4" t="str">
        <f>VLOOKUP(M354,'Products (2)'!A:G,2,0)</f>
        <v>Excelsa</v>
      </c>
      <c r="O354" s="4" t="str">
        <f>VLOOKUP(M354,'Products (2)'!A:G,3,0)</f>
        <v>Dark</v>
      </c>
      <c r="P354" s="4">
        <f>VLOOKUP(M354,'Products (2)'!A:G,7,0)</f>
        <v>0.80190000000000006</v>
      </c>
      <c r="Q354" s="3">
        <v>5</v>
      </c>
      <c r="R354" s="5">
        <f>INDEX([1]products!$A$1:$G$49,MATCH([1]orders!$D354,[1]products!$A$1:$A$49,0),MATCH([1]orders!K$1,[1]products!$A$1:$G$1,0))</f>
        <v>0.5</v>
      </c>
      <c r="S354" s="6">
        <f>INDEX([1]products!$A$1:$G$49,MATCH([1]orders!$D354,[1]products!$A$1:$A$49,0),MATCH([1]orders!L$1,[1]products!$A$1:$G$1,0))</f>
        <v>7.29</v>
      </c>
      <c r="T354" s="6">
        <f t="shared" si="30"/>
        <v>36.450000000000003</v>
      </c>
      <c r="U354" s="22">
        <f t="shared" si="34"/>
        <v>4.0095000000000001</v>
      </c>
      <c r="V354" s="22">
        <f t="shared" si="35"/>
        <v>10.999999999999998</v>
      </c>
    </row>
    <row r="355" spans="1:22" x14ac:dyDescent="0.3">
      <c r="A355" s="1" t="s">
        <v>712</v>
      </c>
      <c r="B355" s="2">
        <v>43860</v>
      </c>
      <c r="C355" s="2" t="str">
        <f t="shared" si="31"/>
        <v>Thursday</v>
      </c>
      <c r="D355" s="2" t="str">
        <f t="shared" si="32"/>
        <v>January</v>
      </c>
      <c r="E355" s="2" t="str">
        <f t="shared" si="33"/>
        <v>2020</v>
      </c>
      <c r="F355" s="3" t="s">
        <v>713</v>
      </c>
      <c r="G355" s="3" t="str">
        <f>VLOOKUP(F356,'Customers (2)'!A:I,2,0)</f>
        <v>Jodee Caldicott</v>
      </c>
      <c r="H355" s="3">
        <f>VLOOKUP(F355,'Customers (2)'!A:I,3,0)</f>
        <v>0</v>
      </c>
      <c r="I355" s="3" t="str">
        <f>VLOOKUP(F355,'Customers (2)'!A:I,4,0)</f>
        <v>+1 (334) 191-0127</v>
      </c>
      <c r="J355" s="3" t="str">
        <f>VLOOKUP(F355,'Customers (2)'!A:I,6,0)</f>
        <v>Montgomery</v>
      </c>
      <c r="K355" s="3" t="str">
        <f>VLOOKUP(F355,'Customers (2)'!A:I,7,0)</f>
        <v>United States</v>
      </c>
      <c r="L355" s="3" t="str">
        <f>VLOOKUP(F355,'Customers (2)'!A:I,9,0)</f>
        <v>Yes</v>
      </c>
      <c r="M355" s="4" t="s">
        <v>67</v>
      </c>
      <c r="N355" s="4" t="str">
        <f>VLOOKUP(M355,'Products (2)'!A:G,2,0)</f>
        <v>Arabica</v>
      </c>
      <c r="O355" s="4" t="str">
        <f>VLOOKUP(M355,'Products (2)'!A:G,3,0)</f>
        <v>Medium</v>
      </c>
      <c r="P355" s="4">
        <f>VLOOKUP(M355,'Products (2)'!A:G,7,0)</f>
        <v>0.60749999999999993</v>
      </c>
      <c r="Q355" s="3">
        <v>4</v>
      </c>
      <c r="R355" s="5">
        <f>INDEX([1]products!$A$1:$G$49,MATCH([1]orders!$D355,[1]products!$A$1:$A$49,0),MATCH([1]orders!K$1,[1]products!$A$1:$G$1,0))</f>
        <v>0.5</v>
      </c>
      <c r="S355" s="6">
        <f>INDEX([1]products!$A$1:$G$49,MATCH([1]orders!$D355,[1]products!$A$1:$A$49,0),MATCH([1]orders!L$1,[1]products!$A$1:$G$1,0))</f>
        <v>6.75</v>
      </c>
      <c r="T355" s="6">
        <f t="shared" si="30"/>
        <v>27</v>
      </c>
      <c r="U355" s="22">
        <f t="shared" si="34"/>
        <v>2.4299999999999997</v>
      </c>
      <c r="V355" s="22">
        <f t="shared" si="35"/>
        <v>8.9999999999999982</v>
      </c>
    </row>
    <row r="356" spans="1:22" x14ac:dyDescent="0.3">
      <c r="A356" s="1" t="s">
        <v>714</v>
      </c>
      <c r="B356" s="2">
        <v>43876</v>
      </c>
      <c r="C356" s="2" t="str">
        <f t="shared" si="31"/>
        <v>Saturday</v>
      </c>
      <c r="D356" s="2" t="str">
        <f t="shared" si="32"/>
        <v>February</v>
      </c>
      <c r="E356" s="2" t="str">
        <f t="shared" si="33"/>
        <v>2020</v>
      </c>
      <c r="F356" s="3" t="s">
        <v>715</v>
      </c>
      <c r="G356" s="3" t="str">
        <f>VLOOKUP(F357,'Customers (2)'!A:I,2,0)</f>
        <v>Marianna Vedmore</v>
      </c>
      <c r="H356" s="3" t="str">
        <f>VLOOKUP(F356,'Customers (2)'!A:I,3,0)</f>
        <v>jcaldicott9u@usda.gov</v>
      </c>
      <c r="I356" s="3">
        <f>VLOOKUP(F356,'Customers (2)'!A:I,4,0)</f>
        <v>0</v>
      </c>
      <c r="J356" s="3" t="str">
        <f>VLOOKUP(F356,'Customers (2)'!A:I,6,0)</f>
        <v>Fort Pierce</v>
      </c>
      <c r="K356" s="3" t="str">
        <f>VLOOKUP(F356,'Customers (2)'!A:I,7,0)</f>
        <v>United States</v>
      </c>
      <c r="L356" s="3" t="str">
        <f>VLOOKUP(F356,'Customers (2)'!A:I,9,0)</f>
        <v>No</v>
      </c>
      <c r="M356" s="4" t="s">
        <v>171</v>
      </c>
      <c r="N356" s="4" t="str">
        <f>VLOOKUP(M356,'Products (2)'!A:G,2,0)</f>
        <v>Arabica</v>
      </c>
      <c r="O356" s="4" t="str">
        <f>VLOOKUP(M356,'Products (2)'!A:G,3,0)</f>
        <v>Medium</v>
      </c>
      <c r="P356" s="4">
        <f>VLOOKUP(M356,'Products (2)'!A:G,7,0)</f>
        <v>2.3287499999999994</v>
      </c>
      <c r="Q356" s="3">
        <v>6</v>
      </c>
      <c r="R356" s="5">
        <f>INDEX([1]products!$A$1:$G$49,MATCH([1]orders!$D356,[1]products!$A$1:$A$49,0),MATCH([1]orders!K$1,[1]products!$A$1:$G$1,0))</f>
        <v>2.5</v>
      </c>
      <c r="S356" s="6">
        <f>INDEX([1]products!$A$1:$G$49,MATCH([1]orders!$D356,[1]products!$A$1:$A$49,0),MATCH([1]orders!L$1,[1]products!$A$1:$G$1,0))</f>
        <v>25.874999999999996</v>
      </c>
      <c r="T356" s="6">
        <f t="shared" si="30"/>
        <v>155.24999999999997</v>
      </c>
      <c r="U356" s="22">
        <f t="shared" si="34"/>
        <v>13.972499999999997</v>
      </c>
      <c r="V356" s="22">
        <f t="shared" si="35"/>
        <v>9</v>
      </c>
    </row>
    <row r="357" spans="1:22" x14ac:dyDescent="0.3">
      <c r="A357" s="1" t="s">
        <v>716</v>
      </c>
      <c r="B357" s="2">
        <v>44358</v>
      </c>
      <c r="C357" s="2" t="str">
        <f t="shared" si="31"/>
        <v>Friday</v>
      </c>
      <c r="D357" s="2" t="str">
        <f t="shared" si="32"/>
        <v>June</v>
      </c>
      <c r="E357" s="2" t="str">
        <f t="shared" si="33"/>
        <v>2021</v>
      </c>
      <c r="F357" s="3" t="s">
        <v>717</v>
      </c>
      <c r="G357" s="3" t="str">
        <f>VLOOKUP(F358,'Customers (2)'!A:I,2,0)</f>
        <v>Willey Romao</v>
      </c>
      <c r="H357" s="3" t="str">
        <f>VLOOKUP(F357,'Customers (2)'!A:I,3,0)</f>
        <v>mvedmore9v@a8.net</v>
      </c>
      <c r="I357" s="3" t="str">
        <f>VLOOKUP(F357,'Customers (2)'!A:I,4,0)</f>
        <v>+1 (336) 366-8873</v>
      </c>
      <c r="J357" s="3" t="str">
        <f>VLOOKUP(F357,'Customers (2)'!A:I,6,0)</f>
        <v>Greensboro</v>
      </c>
      <c r="K357" s="3" t="str">
        <f>VLOOKUP(F357,'Customers (2)'!A:I,7,0)</f>
        <v>United States</v>
      </c>
      <c r="L357" s="3" t="str">
        <f>VLOOKUP(F357,'Customers (2)'!A:I,9,0)</f>
        <v>Yes</v>
      </c>
      <c r="M357" s="4" t="s">
        <v>118</v>
      </c>
      <c r="N357" s="4" t="str">
        <f>VLOOKUP(M357,'Products (2)'!A:G,2,0)</f>
        <v>Arabica</v>
      </c>
      <c r="O357" s="4" t="str">
        <f>VLOOKUP(M357,'Products (2)'!A:G,3,0)</f>
        <v>Dark</v>
      </c>
      <c r="P357" s="4">
        <f>VLOOKUP(M357,'Products (2)'!A:G,7,0)</f>
        <v>2.0596499999999995</v>
      </c>
      <c r="Q357" s="3">
        <v>5</v>
      </c>
      <c r="R357" s="5">
        <f>INDEX([1]products!$A$1:$G$49,MATCH([1]orders!$D357,[1]products!$A$1:$A$49,0),MATCH([1]orders!K$1,[1]products!$A$1:$G$1,0))</f>
        <v>2.5</v>
      </c>
      <c r="S357" s="6">
        <f>INDEX([1]products!$A$1:$G$49,MATCH([1]orders!$D357,[1]products!$A$1:$A$49,0),MATCH([1]orders!L$1,[1]products!$A$1:$G$1,0))</f>
        <v>22.884999999999998</v>
      </c>
      <c r="T357" s="6">
        <f t="shared" si="30"/>
        <v>114.42499999999998</v>
      </c>
      <c r="U357" s="22">
        <f t="shared" si="34"/>
        <v>10.298249999999998</v>
      </c>
      <c r="V357" s="22">
        <f t="shared" si="35"/>
        <v>9</v>
      </c>
    </row>
    <row r="358" spans="1:22" x14ac:dyDescent="0.3">
      <c r="A358" s="1" t="s">
        <v>718</v>
      </c>
      <c r="B358" s="2">
        <v>44631</v>
      </c>
      <c r="C358" s="2" t="str">
        <f t="shared" si="31"/>
        <v>Friday</v>
      </c>
      <c r="D358" s="2" t="str">
        <f t="shared" si="32"/>
        <v>March</v>
      </c>
      <c r="E358" s="2" t="str">
        <f t="shared" si="33"/>
        <v>2022</v>
      </c>
      <c r="F358" s="3" t="s">
        <v>719</v>
      </c>
      <c r="G358" s="3" t="str">
        <f>VLOOKUP(F359,'Customers (2)'!A:I,2,0)</f>
        <v>Enriqueta Ixor</v>
      </c>
      <c r="H358" s="3" t="str">
        <f>VLOOKUP(F358,'Customers (2)'!A:I,3,0)</f>
        <v>wromao9w@chronoengine.com</v>
      </c>
      <c r="I358" s="3" t="str">
        <f>VLOOKUP(F358,'Customers (2)'!A:I,4,0)</f>
        <v>+1 (916) 623-2394</v>
      </c>
      <c r="J358" s="3" t="str">
        <f>VLOOKUP(F358,'Customers (2)'!A:I,6,0)</f>
        <v>Sacramento</v>
      </c>
      <c r="K358" s="3" t="str">
        <f>VLOOKUP(F358,'Customers (2)'!A:I,7,0)</f>
        <v>United States</v>
      </c>
      <c r="L358" s="3" t="str">
        <f>VLOOKUP(F358,'Customers (2)'!A:I,9,0)</f>
        <v>Yes</v>
      </c>
      <c r="M358" s="4" t="s">
        <v>13</v>
      </c>
      <c r="N358" s="4" t="str">
        <f>VLOOKUP(M358,'Products (2)'!A:G,2,0)</f>
        <v>Liberica</v>
      </c>
      <c r="O358" s="4" t="str">
        <f>VLOOKUP(M358,'Products (2)'!A:G,3,0)</f>
        <v>Dark</v>
      </c>
      <c r="P358" s="4">
        <f>VLOOKUP(M358,'Products (2)'!A:G,7,0)</f>
        <v>1.6835</v>
      </c>
      <c r="Q358" s="3">
        <v>4</v>
      </c>
      <c r="R358" s="5">
        <f>INDEX([1]products!$A$1:$G$49,MATCH([1]orders!$D358,[1]products!$A$1:$A$49,0),MATCH([1]orders!K$1,[1]products!$A$1:$G$1,0))</f>
        <v>1</v>
      </c>
      <c r="S358" s="6">
        <f>INDEX([1]products!$A$1:$G$49,MATCH([1]orders!$D358,[1]products!$A$1:$A$49,0),MATCH([1]orders!L$1,[1]products!$A$1:$G$1,0))</f>
        <v>12.95</v>
      </c>
      <c r="T358" s="6">
        <f t="shared" si="30"/>
        <v>51.8</v>
      </c>
      <c r="U358" s="22">
        <f t="shared" si="34"/>
        <v>6.734</v>
      </c>
      <c r="V358" s="22">
        <f t="shared" si="35"/>
        <v>13</v>
      </c>
    </row>
    <row r="359" spans="1:22" x14ac:dyDescent="0.3">
      <c r="A359" s="1" t="s">
        <v>720</v>
      </c>
      <c r="B359" s="2">
        <v>44448</v>
      </c>
      <c r="C359" s="2" t="str">
        <f t="shared" si="31"/>
        <v>Thursday</v>
      </c>
      <c r="D359" s="2" t="str">
        <f t="shared" si="32"/>
        <v>September</v>
      </c>
      <c r="E359" s="2" t="str">
        <f t="shared" si="33"/>
        <v>2021</v>
      </c>
      <c r="F359" s="3" t="s">
        <v>721</v>
      </c>
      <c r="G359" s="3" t="str">
        <f>VLOOKUP(F360,'Customers (2)'!A:I,2,0)</f>
        <v>Tomasina Cotmore</v>
      </c>
      <c r="H359" s="3">
        <f>VLOOKUP(F359,'Customers (2)'!A:I,3,0)</f>
        <v>0</v>
      </c>
      <c r="I359" s="3" t="str">
        <f>VLOOKUP(F359,'Customers (2)'!A:I,4,0)</f>
        <v>+1 (512) 200-9234</v>
      </c>
      <c r="J359" s="3" t="str">
        <f>VLOOKUP(F359,'Customers (2)'!A:I,6,0)</f>
        <v>Round Rock</v>
      </c>
      <c r="K359" s="3" t="str">
        <f>VLOOKUP(F359,'Customers (2)'!A:I,7,0)</f>
        <v>United States</v>
      </c>
      <c r="L359" s="3" t="str">
        <f>VLOOKUP(F359,'Customers (2)'!A:I,9,0)</f>
        <v>No</v>
      </c>
      <c r="M359" s="4" t="s">
        <v>171</v>
      </c>
      <c r="N359" s="4" t="str">
        <f>VLOOKUP(M359,'Products (2)'!A:G,2,0)</f>
        <v>Arabica</v>
      </c>
      <c r="O359" s="4" t="str">
        <f>VLOOKUP(M359,'Products (2)'!A:G,3,0)</f>
        <v>Medium</v>
      </c>
      <c r="P359" s="4">
        <f>VLOOKUP(M359,'Products (2)'!A:G,7,0)</f>
        <v>2.3287499999999994</v>
      </c>
      <c r="Q359" s="3">
        <v>6</v>
      </c>
      <c r="R359" s="5">
        <f>INDEX([1]products!$A$1:$G$49,MATCH([1]orders!$D359,[1]products!$A$1:$A$49,0),MATCH([1]orders!K$1,[1]products!$A$1:$G$1,0))</f>
        <v>2.5</v>
      </c>
      <c r="S359" s="6">
        <f>INDEX([1]products!$A$1:$G$49,MATCH([1]orders!$D359,[1]products!$A$1:$A$49,0),MATCH([1]orders!L$1,[1]products!$A$1:$G$1,0))</f>
        <v>25.874999999999996</v>
      </c>
      <c r="T359" s="6">
        <f t="shared" si="30"/>
        <v>155.24999999999997</v>
      </c>
      <c r="U359" s="22">
        <f t="shared" si="34"/>
        <v>13.972499999999997</v>
      </c>
      <c r="V359" s="22">
        <f t="shared" si="35"/>
        <v>9</v>
      </c>
    </row>
    <row r="360" spans="1:22" x14ac:dyDescent="0.3">
      <c r="A360" s="1" t="s">
        <v>722</v>
      </c>
      <c r="B360" s="2">
        <v>43599</v>
      </c>
      <c r="C360" s="2" t="str">
        <f t="shared" si="31"/>
        <v>Tuesday</v>
      </c>
      <c r="D360" s="2" t="str">
        <f t="shared" si="32"/>
        <v>May</v>
      </c>
      <c r="E360" s="2" t="str">
        <f t="shared" si="33"/>
        <v>2019</v>
      </c>
      <c r="F360" s="3" t="s">
        <v>723</v>
      </c>
      <c r="G360" s="3" t="str">
        <f>VLOOKUP(F361,'Customers (2)'!A:I,2,0)</f>
        <v>Yuma Skipsey</v>
      </c>
      <c r="H360" s="3" t="str">
        <f>VLOOKUP(F360,'Customers (2)'!A:I,3,0)</f>
        <v>tcotmore9y@amazonaws.com</v>
      </c>
      <c r="I360" s="3" t="str">
        <f>VLOOKUP(F360,'Customers (2)'!A:I,4,0)</f>
        <v>+1 (571) 250-3012</v>
      </c>
      <c r="J360" s="3" t="str">
        <f>VLOOKUP(F360,'Customers (2)'!A:I,6,0)</f>
        <v>Reston</v>
      </c>
      <c r="K360" s="3" t="str">
        <f>VLOOKUP(F360,'Customers (2)'!A:I,7,0)</f>
        <v>United States</v>
      </c>
      <c r="L360" s="3" t="str">
        <f>VLOOKUP(F360,'Customers (2)'!A:I,9,0)</f>
        <v>No</v>
      </c>
      <c r="M360" s="4" t="s">
        <v>204</v>
      </c>
      <c r="N360" s="4" t="str">
        <f>VLOOKUP(M360,'Products (2)'!A:G,2,0)</f>
        <v>Arabica</v>
      </c>
      <c r="O360" s="4" t="str">
        <f>VLOOKUP(M360,'Products (2)'!A:G,3,0)</f>
        <v>Light</v>
      </c>
      <c r="P360" s="4">
        <f>VLOOKUP(M360,'Products (2)'!A:G,7,0)</f>
        <v>2.6806499999999995</v>
      </c>
      <c r="Q360" s="3">
        <v>1</v>
      </c>
      <c r="R360" s="5">
        <f>INDEX([1]products!$A$1:$G$49,MATCH([1]orders!$D360,[1]products!$A$1:$A$49,0),MATCH([1]orders!K$1,[1]products!$A$1:$G$1,0))</f>
        <v>2.5</v>
      </c>
      <c r="S360" s="6">
        <f>INDEX([1]products!$A$1:$G$49,MATCH([1]orders!$D360,[1]products!$A$1:$A$49,0),MATCH([1]orders!L$1,[1]products!$A$1:$G$1,0))</f>
        <v>29.784999999999997</v>
      </c>
      <c r="T360" s="6">
        <f t="shared" si="30"/>
        <v>29.784999999999997</v>
      </c>
      <c r="U360" s="22">
        <f t="shared" si="34"/>
        <v>2.6806499999999995</v>
      </c>
      <c r="V360" s="22">
        <f t="shared" si="35"/>
        <v>9</v>
      </c>
    </row>
    <row r="361" spans="1:22" x14ac:dyDescent="0.3">
      <c r="A361" s="1" t="s">
        <v>724</v>
      </c>
      <c r="B361" s="2">
        <v>43563</v>
      </c>
      <c r="C361" s="2" t="str">
        <f t="shared" si="31"/>
        <v>Monday</v>
      </c>
      <c r="D361" s="2" t="str">
        <f t="shared" si="32"/>
        <v>April</v>
      </c>
      <c r="E361" s="2" t="str">
        <f t="shared" si="33"/>
        <v>2019</v>
      </c>
      <c r="F361" s="3" t="s">
        <v>725</v>
      </c>
      <c r="G361" s="3" t="str">
        <f>VLOOKUP(F362,'Customers (2)'!A:I,2,0)</f>
        <v>Nicko Corps</v>
      </c>
      <c r="H361" s="3" t="str">
        <f>VLOOKUP(F361,'Customers (2)'!A:I,3,0)</f>
        <v>yskipsey9z@spotify.com</v>
      </c>
      <c r="I361" s="3" t="str">
        <f>VLOOKUP(F361,'Customers (2)'!A:I,4,0)</f>
        <v>+44 (257) 759-9950</v>
      </c>
      <c r="J361" s="3" t="str">
        <f>VLOOKUP(F361,'Customers (2)'!A:I,6,0)</f>
        <v>Charlton</v>
      </c>
      <c r="K361" s="3" t="str">
        <f>VLOOKUP(F361,'Customers (2)'!A:I,7,0)</f>
        <v>United Kingdom</v>
      </c>
      <c r="L361" s="3" t="str">
        <f>VLOOKUP(F361,'Customers (2)'!A:I,9,0)</f>
        <v>No</v>
      </c>
      <c r="M361" s="4" t="s">
        <v>182</v>
      </c>
      <c r="N361" s="4" t="str">
        <f>VLOOKUP(M361,'Products (2)'!A:G,2,0)</f>
        <v>Robusta</v>
      </c>
      <c r="O361" s="4" t="str">
        <f>VLOOKUP(M361,'Products (2)'!A:G,3,0)</f>
        <v>Light</v>
      </c>
      <c r="P361" s="4">
        <f>VLOOKUP(M361,'Products (2)'!A:G,7,0)</f>
        <v>0.21509999999999996</v>
      </c>
      <c r="Q361" s="3">
        <v>6</v>
      </c>
      <c r="R361" s="5">
        <f>INDEX([1]products!$A$1:$G$49,MATCH([1]orders!$D361,[1]products!$A$1:$A$49,0),MATCH([1]orders!K$1,[1]products!$A$1:$G$1,0))</f>
        <v>0.2</v>
      </c>
      <c r="S361" s="6">
        <f>INDEX([1]products!$A$1:$G$49,MATCH([1]orders!$D361,[1]products!$A$1:$A$49,0),MATCH([1]orders!L$1,[1]products!$A$1:$G$1,0))</f>
        <v>3.5849999999999995</v>
      </c>
      <c r="T361" s="6">
        <f t="shared" si="30"/>
        <v>21.509999999999998</v>
      </c>
      <c r="U361" s="22">
        <f t="shared" si="34"/>
        <v>1.2905999999999997</v>
      </c>
      <c r="V361" s="22">
        <f t="shared" si="35"/>
        <v>5.9999999999999991</v>
      </c>
    </row>
    <row r="362" spans="1:22" x14ac:dyDescent="0.3">
      <c r="A362" s="1" t="s">
        <v>726</v>
      </c>
      <c r="B362" s="2">
        <v>44058</v>
      </c>
      <c r="C362" s="2" t="str">
        <f t="shared" si="31"/>
        <v>Saturday</v>
      </c>
      <c r="D362" s="2" t="str">
        <f t="shared" si="32"/>
        <v>August</v>
      </c>
      <c r="E362" s="2" t="str">
        <f t="shared" si="33"/>
        <v>2020</v>
      </c>
      <c r="F362" s="3" t="s">
        <v>727</v>
      </c>
      <c r="G362" s="3" t="str">
        <f>VLOOKUP(F363,'Customers (2)'!A:I,2,0)</f>
        <v>Nicko Corps</v>
      </c>
      <c r="H362" s="3" t="str">
        <f>VLOOKUP(F362,'Customers (2)'!A:I,3,0)</f>
        <v>ncorpsa0@gmpg.org</v>
      </c>
      <c r="I362" s="3" t="str">
        <f>VLOOKUP(F362,'Customers (2)'!A:I,4,0)</f>
        <v>+1 (803) 730-8217</v>
      </c>
      <c r="J362" s="3" t="str">
        <f>VLOOKUP(F362,'Customers (2)'!A:I,6,0)</f>
        <v>Columbia</v>
      </c>
      <c r="K362" s="3" t="str">
        <f>VLOOKUP(F362,'Customers (2)'!A:I,7,0)</f>
        <v>United States</v>
      </c>
      <c r="L362" s="3" t="str">
        <f>VLOOKUP(F362,'Customers (2)'!A:I,9,0)</f>
        <v>No</v>
      </c>
      <c r="M362" s="4" t="s">
        <v>35</v>
      </c>
      <c r="N362" s="4" t="str">
        <f>VLOOKUP(M362,'Products (2)'!A:G,2,0)</f>
        <v>Robusta</v>
      </c>
      <c r="O362" s="4" t="str">
        <f>VLOOKUP(M362,'Products (2)'!A:G,3,0)</f>
        <v>Dark</v>
      </c>
      <c r="P362" s="4">
        <f>VLOOKUP(M362,'Products (2)'!A:G,7,0)</f>
        <v>1.2350999999999999</v>
      </c>
      <c r="Q362" s="3">
        <v>2</v>
      </c>
      <c r="R362" s="5">
        <f>INDEX([1]products!$A$1:$G$49,MATCH([1]orders!$D362,[1]products!$A$1:$A$49,0),MATCH([1]orders!K$1,[1]products!$A$1:$G$1,0))</f>
        <v>2.5</v>
      </c>
      <c r="S362" s="6">
        <f>INDEX([1]products!$A$1:$G$49,MATCH([1]orders!$D362,[1]products!$A$1:$A$49,0),MATCH([1]orders!L$1,[1]products!$A$1:$G$1,0))</f>
        <v>20.584999999999997</v>
      </c>
      <c r="T362" s="6">
        <f t="shared" si="30"/>
        <v>41.169999999999995</v>
      </c>
      <c r="U362" s="22">
        <f t="shared" si="34"/>
        <v>2.4701999999999997</v>
      </c>
      <c r="V362" s="22">
        <f t="shared" si="35"/>
        <v>6.0000000000000009</v>
      </c>
    </row>
    <row r="363" spans="1:22" x14ac:dyDescent="0.3">
      <c r="A363" s="1" t="s">
        <v>726</v>
      </c>
      <c r="B363" s="2">
        <v>44058</v>
      </c>
      <c r="C363" s="2" t="str">
        <f t="shared" si="31"/>
        <v>Saturday</v>
      </c>
      <c r="D363" s="2" t="str">
        <f t="shared" si="32"/>
        <v>August</v>
      </c>
      <c r="E363" s="2" t="str">
        <f t="shared" si="33"/>
        <v>2020</v>
      </c>
      <c r="F363" s="3" t="s">
        <v>727</v>
      </c>
      <c r="G363" s="3" t="str">
        <f>VLOOKUP(F364,'Customers (2)'!A:I,2,0)</f>
        <v>Feliks Babber</v>
      </c>
      <c r="H363" s="3" t="str">
        <f>VLOOKUP(F363,'Customers (2)'!A:I,3,0)</f>
        <v>ncorpsa0@gmpg.org</v>
      </c>
      <c r="I363" s="3" t="str">
        <f>VLOOKUP(F363,'Customers (2)'!A:I,4,0)</f>
        <v>+1 (803) 730-8217</v>
      </c>
      <c r="J363" s="3" t="str">
        <f>VLOOKUP(F363,'Customers (2)'!A:I,6,0)</f>
        <v>Columbia</v>
      </c>
      <c r="K363" s="3" t="str">
        <f>VLOOKUP(F363,'Customers (2)'!A:I,7,0)</f>
        <v>United States</v>
      </c>
      <c r="L363" s="3" t="str">
        <f>VLOOKUP(F363,'Customers (2)'!A:I,9,0)</f>
        <v>No</v>
      </c>
      <c r="M363" s="4" t="s">
        <v>22</v>
      </c>
      <c r="N363" s="4" t="str">
        <f>VLOOKUP(M363,'Products (2)'!A:G,2,0)</f>
        <v>Robusta</v>
      </c>
      <c r="O363" s="4" t="str">
        <f>VLOOKUP(M363,'Products (2)'!A:G,3,0)</f>
        <v>Medium</v>
      </c>
      <c r="P363" s="4">
        <f>VLOOKUP(M363,'Products (2)'!A:G,7,0)</f>
        <v>0.35819999999999996</v>
      </c>
      <c r="Q363" s="3">
        <v>1</v>
      </c>
      <c r="R363" s="5">
        <f>INDEX([1]products!$A$1:$G$49,MATCH([1]orders!$D363,[1]products!$A$1:$A$49,0),MATCH([1]orders!K$1,[1]products!$A$1:$G$1,0))</f>
        <v>0.5</v>
      </c>
      <c r="S363" s="6">
        <f>INDEX([1]products!$A$1:$G$49,MATCH([1]orders!$D363,[1]products!$A$1:$A$49,0),MATCH([1]orders!L$1,[1]products!$A$1:$G$1,0))</f>
        <v>5.97</v>
      </c>
      <c r="T363" s="6">
        <f t="shared" si="30"/>
        <v>5.97</v>
      </c>
      <c r="U363" s="22">
        <f t="shared" si="34"/>
        <v>0.35819999999999996</v>
      </c>
      <c r="V363" s="22">
        <f t="shared" si="35"/>
        <v>6</v>
      </c>
    </row>
    <row r="364" spans="1:22" x14ac:dyDescent="0.3">
      <c r="A364" s="1" t="s">
        <v>728</v>
      </c>
      <c r="B364" s="2">
        <v>44686</v>
      </c>
      <c r="C364" s="2" t="str">
        <f t="shared" si="31"/>
        <v>Thursday</v>
      </c>
      <c r="D364" s="2" t="str">
        <f t="shared" si="32"/>
        <v>May</v>
      </c>
      <c r="E364" s="2" t="str">
        <f t="shared" si="33"/>
        <v>2022</v>
      </c>
      <c r="F364" s="3" t="s">
        <v>729</v>
      </c>
      <c r="G364" s="3" t="str">
        <f>VLOOKUP(F365,'Customers (2)'!A:I,2,0)</f>
        <v>Kaja Loxton</v>
      </c>
      <c r="H364" s="3" t="str">
        <f>VLOOKUP(F364,'Customers (2)'!A:I,3,0)</f>
        <v>fbabbera2@stanford.edu</v>
      </c>
      <c r="I364" s="3" t="str">
        <f>VLOOKUP(F364,'Customers (2)'!A:I,4,0)</f>
        <v>+1 (623) 550-6050</v>
      </c>
      <c r="J364" s="3" t="str">
        <f>VLOOKUP(F364,'Customers (2)'!A:I,6,0)</f>
        <v>Phoenix</v>
      </c>
      <c r="K364" s="3" t="str">
        <f>VLOOKUP(F364,'Customers (2)'!A:I,7,0)</f>
        <v>United States</v>
      </c>
      <c r="L364" s="3" t="str">
        <f>VLOOKUP(F364,'Customers (2)'!A:I,9,0)</f>
        <v>Yes</v>
      </c>
      <c r="M364" s="4" t="s">
        <v>137</v>
      </c>
      <c r="N364" s="4" t="str">
        <f>VLOOKUP(M364,'Products (2)'!A:G,2,0)</f>
        <v>Excelsa</v>
      </c>
      <c r="O364" s="4" t="str">
        <f>VLOOKUP(M364,'Products (2)'!A:G,3,0)</f>
        <v>Light</v>
      </c>
      <c r="P364" s="4">
        <f>VLOOKUP(M364,'Products (2)'!A:G,7,0)</f>
        <v>1.6335</v>
      </c>
      <c r="Q364" s="3">
        <v>5</v>
      </c>
      <c r="R364" s="5">
        <f>INDEX([1]products!$A$1:$G$49,MATCH([1]orders!$D364,[1]products!$A$1:$A$49,0),MATCH([1]orders!K$1,[1]products!$A$1:$G$1,0))</f>
        <v>1</v>
      </c>
      <c r="S364" s="6">
        <f>INDEX([1]products!$A$1:$G$49,MATCH([1]orders!$D364,[1]products!$A$1:$A$49,0),MATCH([1]orders!L$1,[1]products!$A$1:$G$1,0))</f>
        <v>14.85</v>
      </c>
      <c r="T364" s="6">
        <f t="shared" si="30"/>
        <v>74.25</v>
      </c>
      <c r="U364" s="22">
        <f t="shared" si="34"/>
        <v>8.1675000000000004</v>
      </c>
      <c r="V364" s="22">
        <f t="shared" si="35"/>
        <v>11</v>
      </c>
    </row>
    <row r="365" spans="1:22" x14ac:dyDescent="0.3">
      <c r="A365" s="1" t="s">
        <v>730</v>
      </c>
      <c r="B365" s="2">
        <v>44282</v>
      </c>
      <c r="C365" s="2" t="str">
        <f t="shared" si="31"/>
        <v>Saturday</v>
      </c>
      <c r="D365" s="2" t="str">
        <f t="shared" si="32"/>
        <v>March</v>
      </c>
      <c r="E365" s="2" t="str">
        <f t="shared" si="33"/>
        <v>2021</v>
      </c>
      <c r="F365" s="3" t="s">
        <v>731</v>
      </c>
      <c r="G365" s="3" t="str">
        <f>VLOOKUP(F366,'Customers (2)'!A:I,2,0)</f>
        <v>Parker Tofful</v>
      </c>
      <c r="H365" s="3" t="str">
        <f>VLOOKUP(F365,'Customers (2)'!A:I,3,0)</f>
        <v>kloxtona3@opensource.org</v>
      </c>
      <c r="I365" s="3">
        <f>VLOOKUP(F365,'Customers (2)'!A:I,4,0)</f>
        <v>0</v>
      </c>
      <c r="J365" s="3" t="str">
        <f>VLOOKUP(F365,'Customers (2)'!A:I,6,0)</f>
        <v>Miami</v>
      </c>
      <c r="K365" s="3" t="str">
        <f>VLOOKUP(F365,'Customers (2)'!A:I,7,0)</f>
        <v>United States</v>
      </c>
      <c r="L365" s="3" t="str">
        <f>VLOOKUP(F365,'Customers (2)'!A:I,9,0)</f>
        <v>No</v>
      </c>
      <c r="M365" s="4" t="s">
        <v>96</v>
      </c>
      <c r="N365" s="4" t="str">
        <f>VLOOKUP(M365,'Products (2)'!A:G,2,0)</f>
        <v>Liberica</v>
      </c>
      <c r="O365" s="4" t="str">
        <f>VLOOKUP(M365,'Products (2)'!A:G,3,0)</f>
        <v>Medium</v>
      </c>
      <c r="P365" s="4">
        <f>VLOOKUP(M365,'Products (2)'!A:G,7,0)</f>
        <v>1.8915000000000002</v>
      </c>
      <c r="Q365" s="3">
        <v>6</v>
      </c>
      <c r="R365" s="5">
        <f>INDEX([1]products!$A$1:$G$49,MATCH([1]orders!$D365,[1]products!$A$1:$A$49,0),MATCH([1]orders!K$1,[1]products!$A$1:$G$1,0))</f>
        <v>1</v>
      </c>
      <c r="S365" s="6">
        <f>INDEX([1]products!$A$1:$G$49,MATCH([1]orders!$D365,[1]products!$A$1:$A$49,0),MATCH([1]orders!L$1,[1]products!$A$1:$G$1,0))</f>
        <v>14.55</v>
      </c>
      <c r="T365" s="6">
        <f t="shared" si="30"/>
        <v>87.300000000000011</v>
      </c>
      <c r="U365" s="22">
        <f t="shared" si="34"/>
        <v>11.349</v>
      </c>
      <c r="V365" s="22">
        <f t="shared" si="35"/>
        <v>12.999999999999998</v>
      </c>
    </row>
    <row r="366" spans="1:22" x14ac:dyDescent="0.3">
      <c r="A366" s="1" t="s">
        <v>732</v>
      </c>
      <c r="B366" s="2">
        <v>43582</v>
      </c>
      <c r="C366" s="2" t="str">
        <f t="shared" si="31"/>
        <v>Saturday</v>
      </c>
      <c r="D366" s="2" t="str">
        <f t="shared" si="32"/>
        <v>April</v>
      </c>
      <c r="E366" s="2" t="str">
        <f t="shared" si="33"/>
        <v>2019</v>
      </c>
      <c r="F366" s="3" t="s">
        <v>733</v>
      </c>
      <c r="G366" s="3" t="str">
        <f>VLOOKUP(F367,'Customers (2)'!A:I,2,0)</f>
        <v>Casi Gwinnett</v>
      </c>
      <c r="H366" s="3" t="str">
        <f>VLOOKUP(F366,'Customers (2)'!A:I,3,0)</f>
        <v>ptoffula4@posterous.com</v>
      </c>
      <c r="I366" s="3" t="str">
        <f>VLOOKUP(F366,'Customers (2)'!A:I,4,0)</f>
        <v>+1 (310) 210-6841</v>
      </c>
      <c r="J366" s="3" t="str">
        <f>VLOOKUP(F366,'Customers (2)'!A:I,6,0)</f>
        <v>Fresno</v>
      </c>
      <c r="K366" s="3" t="str">
        <f>VLOOKUP(F366,'Customers (2)'!A:I,7,0)</f>
        <v>United States</v>
      </c>
      <c r="L366" s="3" t="str">
        <f>VLOOKUP(F366,'Customers (2)'!A:I,9,0)</f>
        <v>Yes</v>
      </c>
      <c r="M366" s="4" t="s">
        <v>245</v>
      </c>
      <c r="N366" s="4" t="str">
        <f>VLOOKUP(M366,'Products (2)'!A:G,2,0)</f>
        <v>Excelsa</v>
      </c>
      <c r="O366" s="4" t="str">
        <f>VLOOKUP(M366,'Products (2)'!A:G,3,0)</f>
        <v>Dark</v>
      </c>
      <c r="P366" s="4">
        <f>VLOOKUP(M366,'Products (2)'!A:G,7,0)</f>
        <v>1.3365</v>
      </c>
      <c r="Q366" s="3">
        <v>6</v>
      </c>
      <c r="R366" s="5">
        <f>INDEX([1]products!$A$1:$G$49,MATCH([1]orders!$D366,[1]products!$A$1:$A$49,0),MATCH([1]orders!K$1,[1]products!$A$1:$G$1,0))</f>
        <v>1</v>
      </c>
      <c r="S366" s="6">
        <f>INDEX([1]products!$A$1:$G$49,MATCH([1]orders!$D366,[1]products!$A$1:$A$49,0),MATCH([1]orders!L$1,[1]products!$A$1:$G$1,0))</f>
        <v>12.15</v>
      </c>
      <c r="T366" s="6">
        <f t="shared" si="30"/>
        <v>72.900000000000006</v>
      </c>
      <c r="U366" s="22">
        <f t="shared" si="34"/>
        <v>8.0190000000000001</v>
      </c>
      <c r="V366" s="22">
        <f t="shared" si="35"/>
        <v>10.999999999999998</v>
      </c>
    </row>
    <row r="367" spans="1:22" x14ac:dyDescent="0.3">
      <c r="A367" s="1" t="s">
        <v>734</v>
      </c>
      <c r="B367" s="2">
        <v>44464</v>
      </c>
      <c r="C367" s="2" t="str">
        <f t="shared" si="31"/>
        <v>Saturday</v>
      </c>
      <c r="D367" s="2" t="str">
        <f t="shared" si="32"/>
        <v>September</v>
      </c>
      <c r="E367" s="2" t="str">
        <f t="shared" si="33"/>
        <v>2021</v>
      </c>
      <c r="F367" s="3" t="s">
        <v>735</v>
      </c>
      <c r="G367" s="3" t="str">
        <f>VLOOKUP(F368,'Customers (2)'!A:I,2,0)</f>
        <v>Saree Ellesworth</v>
      </c>
      <c r="H367" s="3" t="str">
        <f>VLOOKUP(F367,'Customers (2)'!A:I,3,0)</f>
        <v>cgwinnetta5@behance.net</v>
      </c>
      <c r="I367" s="3">
        <f>VLOOKUP(F367,'Customers (2)'!A:I,4,0)</f>
        <v>0</v>
      </c>
      <c r="J367" s="3" t="str">
        <f>VLOOKUP(F367,'Customers (2)'!A:I,6,0)</f>
        <v>Anaheim</v>
      </c>
      <c r="K367" s="3" t="str">
        <f>VLOOKUP(F367,'Customers (2)'!A:I,7,0)</f>
        <v>United States</v>
      </c>
      <c r="L367" s="3" t="str">
        <f>VLOOKUP(F367,'Customers (2)'!A:I,9,0)</f>
        <v>No</v>
      </c>
      <c r="M367" s="4" t="s">
        <v>123</v>
      </c>
      <c r="N367" s="4" t="str">
        <f>VLOOKUP(M367,'Products (2)'!A:G,2,0)</f>
        <v>Liberica</v>
      </c>
      <c r="O367" s="4" t="str">
        <f>VLOOKUP(M367,'Products (2)'!A:G,3,0)</f>
        <v>Dark</v>
      </c>
      <c r="P367" s="4">
        <f>VLOOKUP(M367,'Products (2)'!A:G,7,0)</f>
        <v>1.0101</v>
      </c>
      <c r="Q367" s="3">
        <v>1</v>
      </c>
      <c r="R367" s="5">
        <f>INDEX([1]products!$A$1:$G$49,MATCH([1]orders!$D367,[1]products!$A$1:$A$49,0),MATCH([1]orders!K$1,[1]products!$A$1:$G$1,0))</f>
        <v>0.5</v>
      </c>
      <c r="S367" s="6">
        <f>INDEX([1]products!$A$1:$G$49,MATCH([1]orders!$D367,[1]products!$A$1:$A$49,0),MATCH([1]orders!L$1,[1]products!$A$1:$G$1,0))</f>
        <v>7.77</v>
      </c>
      <c r="T367" s="6">
        <f t="shared" si="30"/>
        <v>7.77</v>
      </c>
      <c r="U367" s="22">
        <f t="shared" si="34"/>
        <v>1.0101</v>
      </c>
      <c r="V367" s="22">
        <f t="shared" si="35"/>
        <v>13</v>
      </c>
    </row>
    <row r="368" spans="1:22" x14ac:dyDescent="0.3">
      <c r="A368" s="1" t="s">
        <v>736</v>
      </c>
      <c r="B368" s="2">
        <v>43874</v>
      </c>
      <c r="C368" s="2" t="str">
        <f t="shared" si="31"/>
        <v>Thursday</v>
      </c>
      <c r="D368" s="2" t="str">
        <f t="shared" si="32"/>
        <v>February</v>
      </c>
      <c r="E368" s="2" t="str">
        <f t="shared" si="33"/>
        <v>2020</v>
      </c>
      <c r="F368" s="3" t="s">
        <v>737</v>
      </c>
      <c r="G368" s="3" t="str">
        <f>VLOOKUP(F369,'Customers (2)'!A:I,2,0)</f>
        <v>Silvio Iorizzi</v>
      </c>
      <c r="H368" s="3">
        <f>VLOOKUP(F368,'Customers (2)'!A:I,3,0)</f>
        <v>0</v>
      </c>
      <c r="I368" s="3" t="str">
        <f>VLOOKUP(F368,'Customers (2)'!A:I,4,0)</f>
        <v>+1 (757) 211-0153</v>
      </c>
      <c r="J368" s="3" t="str">
        <f>VLOOKUP(F368,'Customers (2)'!A:I,6,0)</f>
        <v>Newport News</v>
      </c>
      <c r="K368" s="3" t="str">
        <f>VLOOKUP(F368,'Customers (2)'!A:I,7,0)</f>
        <v>United States</v>
      </c>
      <c r="L368" s="3" t="str">
        <f>VLOOKUP(F368,'Customers (2)'!A:I,9,0)</f>
        <v>No</v>
      </c>
      <c r="M368" s="4" t="s">
        <v>16</v>
      </c>
      <c r="N368" s="4" t="str">
        <f>VLOOKUP(M368,'Products (2)'!A:G,2,0)</f>
        <v>Excelsa</v>
      </c>
      <c r="O368" s="4" t="str">
        <f>VLOOKUP(M368,'Products (2)'!A:G,3,0)</f>
        <v>Dark</v>
      </c>
      <c r="P368" s="4">
        <f>VLOOKUP(M368,'Products (2)'!A:G,7,0)</f>
        <v>0.80190000000000006</v>
      </c>
      <c r="Q368" s="3">
        <v>6</v>
      </c>
      <c r="R368" s="5">
        <f>INDEX([1]products!$A$1:$G$49,MATCH([1]orders!$D368,[1]products!$A$1:$A$49,0),MATCH([1]orders!K$1,[1]products!$A$1:$G$1,0))</f>
        <v>0.5</v>
      </c>
      <c r="S368" s="6">
        <f>INDEX([1]products!$A$1:$G$49,MATCH([1]orders!$D368,[1]products!$A$1:$A$49,0),MATCH([1]orders!L$1,[1]products!$A$1:$G$1,0))</f>
        <v>7.29</v>
      </c>
      <c r="T368" s="6">
        <f t="shared" si="30"/>
        <v>43.74</v>
      </c>
      <c r="U368" s="22">
        <f t="shared" si="34"/>
        <v>4.8114000000000008</v>
      </c>
      <c r="V368" s="22">
        <f t="shared" si="35"/>
        <v>11.000000000000002</v>
      </c>
    </row>
    <row r="369" spans="1:22" x14ac:dyDescent="0.3">
      <c r="A369" s="1" t="s">
        <v>738</v>
      </c>
      <c r="B369" s="2">
        <v>44393</v>
      </c>
      <c r="C369" s="2" t="str">
        <f t="shared" si="31"/>
        <v>Friday</v>
      </c>
      <c r="D369" s="2" t="str">
        <f t="shared" si="32"/>
        <v>July</v>
      </c>
      <c r="E369" s="2" t="str">
        <f t="shared" si="33"/>
        <v>2021</v>
      </c>
      <c r="F369" s="3" t="s">
        <v>739</v>
      </c>
      <c r="G369" s="3" t="str">
        <f>VLOOKUP(F370,'Customers (2)'!A:I,2,0)</f>
        <v>Leesa Flaonier</v>
      </c>
      <c r="H369" s="3">
        <f>VLOOKUP(F369,'Customers (2)'!A:I,3,0)</f>
        <v>0</v>
      </c>
      <c r="I369" s="3">
        <f>VLOOKUP(F369,'Customers (2)'!A:I,4,0)</f>
        <v>0</v>
      </c>
      <c r="J369" s="3" t="str">
        <f>VLOOKUP(F369,'Customers (2)'!A:I,6,0)</f>
        <v>Spartanburg</v>
      </c>
      <c r="K369" s="3" t="str">
        <f>VLOOKUP(F369,'Customers (2)'!A:I,7,0)</f>
        <v>United States</v>
      </c>
      <c r="L369" s="3" t="str">
        <f>VLOOKUP(F369,'Customers (2)'!A:I,9,0)</f>
        <v>Yes</v>
      </c>
      <c r="M369" s="4" t="s">
        <v>77</v>
      </c>
      <c r="N369" s="4" t="str">
        <f>VLOOKUP(M369,'Products (2)'!A:G,2,0)</f>
        <v>Liberica</v>
      </c>
      <c r="O369" s="4" t="str">
        <f>VLOOKUP(M369,'Products (2)'!A:G,3,0)</f>
        <v>Medium</v>
      </c>
      <c r="P369" s="4">
        <f>VLOOKUP(M369,'Products (2)'!A:G,7,0)</f>
        <v>0.56745000000000001</v>
      </c>
      <c r="Q369" s="3">
        <v>2</v>
      </c>
      <c r="R369" s="5">
        <f>INDEX([1]products!$A$1:$G$49,MATCH([1]orders!$D369,[1]products!$A$1:$A$49,0),MATCH([1]orders!K$1,[1]products!$A$1:$G$1,0))</f>
        <v>0.2</v>
      </c>
      <c r="S369" s="6">
        <f>INDEX([1]products!$A$1:$G$49,MATCH([1]orders!$D369,[1]products!$A$1:$A$49,0),MATCH([1]orders!L$1,[1]products!$A$1:$G$1,0))</f>
        <v>4.3650000000000002</v>
      </c>
      <c r="T369" s="6">
        <f t="shared" si="30"/>
        <v>8.73</v>
      </c>
      <c r="U369" s="22">
        <f t="shared" si="34"/>
        <v>1.1349</v>
      </c>
      <c r="V369" s="22">
        <f t="shared" si="35"/>
        <v>13</v>
      </c>
    </row>
    <row r="370" spans="1:22" x14ac:dyDescent="0.3">
      <c r="A370" s="1" t="s">
        <v>740</v>
      </c>
      <c r="B370" s="2">
        <v>44692</v>
      </c>
      <c r="C370" s="2" t="str">
        <f t="shared" si="31"/>
        <v>Wednesday</v>
      </c>
      <c r="D370" s="2" t="str">
        <f t="shared" si="32"/>
        <v>May</v>
      </c>
      <c r="E370" s="2" t="str">
        <f t="shared" si="33"/>
        <v>2022</v>
      </c>
      <c r="F370" s="3" t="s">
        <v>741</v>
      </c>
      <c r="G370" s="3" t="str">
        <f>VLOOKUP(F371,'Customers (2)'!A:I,2,0)</f>
        <v>Abba Pummell</v>
      </c>
      <c r="H370" s="3" t="str">
        <f>VLOOKUP(F370,'Customers (2)'!A:I,3,0)</f>
        <v>lflaoniera8@wordpress.org</v>
      </c>
      <c r="I370" s="3" t="str">
        <f>VLOOKUP(F370,'Customers (2)'!A:I,4,0)</f>
        <v>+1 (718) 586-2839</v>
      </c>
      <c r="J370" s="3" t="str">
        <f>VLOOKUP(F370,'Customers (2)'!A:I,6,0)</f>
        <v>Staten Island</v>
      </c>
      <c r="K370" s="3" t="str">
        <f>VLOOKUP(F370,'Customers (2)'!A:I,7,0)</f>
        <v>United States</v>
      </c>
      <c r="L370" s="3" t="str">
        <f>VLOOKUP(F370,'Customers (2)'!A:I,9,0)</f>
        <v>No</v>
      </c>
      <c r="M370" s="4" t="s">
        <v>112</v>
      </c>
      <c r="N370" s="4" t="str">
        <f>VLOOKUP(M370,'Products (2)'!A:G,2,0)</f>
        <v>Excelsa</v>
      </c>
      <c r="O370" s="4" t="str">
        <f>VLOOKUP(M370,'Products (2)'!A:G,3,0)</f>
        <v>Medium</v>
      </c>
      <c r="P370" s="4">
        <f>VLOOKUP(M370,'Products (2)'!A:G,7,0)</f>
        <v>3.4787499999999998</v>
      </c>
      <c r="Q370" s="3">
        <v>2</v>
      </c>
      <c r="R370" s="5">
        <f>INDEX([1]products!$A$1:$G$49,MATCH([1]orders!$D370,[1]products!$A$1:$A$49,0),MATCH([1]orders!K$1,[1]products!$A$1:$G$1,0))</f>
        <v>2.5</v>
      </c>
      <c r="S370" s="6">
        <f>INDEX([1]products!$A$1:$G$49,MATCH([1]orders!$D370,[1]products!$A$1:$A$49,0),MATCH([1]orders!L$1,[1]products!$A$1:$G$1,0))</f>
        <v>31.624999999999996</v>
      </c>
      <c r="T370" s="6">
        <f t="shared" si="30"/>
        <v>63.249999999999993</v>
      </c>
      <c r="U370" s="22">
        <f t="shared" si="34"/>
        <v>6.9574999999999996</v>
      </c>
      <c r="V370" s="22">
        <f t="shared" si="35"/>
        <v>11</v>
      </c>
    </row>
    <row r="371" spans="1:22" x14ac:dyDescent="0.3">
      <c r="A371" s="1" t="s">
        <v>742</v>
      </c>
      <c r="B371" s="2">
        <v>43500</v>
      </c>
      <c r="C371" s="2" t="str">
        <f t="shared" si="31"/>
        <v>Monday</v>
      </c>
      <c r="D371" s="2" t="str">
        <f t="shared" si="32"/>
        <v>February</v>
      </c>
      <c r="E371" s="2" t="str">
        <f t="shared" si="33"/>
        <v>2019</v>
      </c>
      <c r="F371" s="3" t="s">
        <v>743</v>
      </c>
      <c r="G371" s="3" t="str">
        <f>VLOOKUP(F372,'Customers (2)'!A:I,2,0)</f>
        <v>Corinna Catcheside</v>
      </c>
      <c r="H371" s="3">
        <f>VLOOKUP(F371,'Customers (2)'!A:I,3,0)</f>
        <v>0</v>
      </c>
      <c r="I371" s="3">
        <f>VLOOKUP(F371,'Customers (2)'!A:I,4,0)</f>
        <v>0</v>
      </c>
      <c r="J371" s="3" t="str">
        <f>VLOOKUP(F371,'Customers (2)'!A:I,6,0)</f>
        <v>Las Vegas</v>
      </c>
      <c r="K371" s="3" t="str">
        <f>VLOOKUP(F371,'Customers (2)'!A:I,7,0)</f>
        <v>United States</v>
      </c>
      <c r="L371" s="3" t="str">
        <f>VLOOKUP(F371,'Customers (2)'!A:I,9,0)</f>
        <v>Yes</v>
      </c>
      <c r="M371" s="4" t="s">
        <v>176</v>
      </c>
      <c r="N371" s="4" t="str">
        <f>VLOOKUP(M371,'Products (2)'!A:G,2,0)</f>
        <v>Excelsa</v>
      </c>
      <c r="O371" s="4" t="str">
        <f>VLOOKUP(M371,'Products (2)'!A:G,3,0)</f>
        <v>Light</v>
      </c>
      <c r="P371" s="4">
        <f>VLOOKUP(M371,'Products (2)'!A:G,7,0)</f>
        <v>0.98009999999999997</v>
      </c>
      <c r="Q371" s="3">
        <v>1</v>
      </c>
      <c r="R371" s="5">
        <f>INDEX([1]products!$A$1:$G$49,MATCH([1]orders!$D371,[1]products!$A$1:$A$49,0),MATCH([1]orders!K$1,[1]products!$A$1:$G$1,0))</f>
        <v>0.5</v>
      </c>
      <c r="S371" s="6">
        <f>INDEX([1]products!$A$1:$G$49,MATCH([1]orders!$D371,[1]products!$A$1:$A$49,0),MATCH([1]orders!L$1,[1]products!$A$1:$G$1,0))</f>
        <v>8.91</v>
      </c>
      <c r="T371" s="6">
        <f t="shared" si="30"/>
        <v>8.91</v>
      </c>
      <c r="U371" s="22">
        <f t="shared" si="34"/>
        <v>0.98009999999999997</v>
      </c>
      <c r="V371" s="22">
        <f t="shared" si="35"/>
        <v>11</v>
      </c>
    </row>
    <row r="372" spans="1:22" x14ac:dyDescent="0.3">
      <c r="A372" s="1" t="s">
        <v>744</v>
      </c>
      <c r="B372" s="2">
        <v>43501</v>
      </c>
      <c r="C372" s="2" t="str">
        <f t="shared" si="31"/>
        <v>Tuesday</v>
      </c>
      <c r="D372" s="2" t="str">
        <f t="shared" si="32"/>
        <v>February</v>
      </c>
      <c r="E372" s="2" t="str">
        <f t="shared" si="33"/>
        <v>2019</v>
      </c>
      <c r="F372" s="3" t="s">
        <v>745</v>
      </c>
      <c r="G372" s="3" t="str">
        <f>VLOOKUP(F373,'Customers (2)'!A:I,2,0)</f>
        <v>Cortney Gibbonson</v>
      </c>
      <c r="H372" s="3" t="str">
        <f>VLOOKUP(F372,'Customers (2)'!A:I,3,0)</f>
        <v>ccatchesideaa@macromedia.com</v>
      </c>
      <c r="I372" s="3" t="str">
        <f>VLOOKUP(F372,'Customers (2)'!A:I,4,0)</f>
        <v>+1 (801) 121-6042</v>
      </c>
      <c r="J372" s="3" t="str">
        <f>VLOOKUP(F372,'Customers (2)'!A:I,6,0)</f>
        <v>Salt Lake City</v>
      </c>
      <c r="K372" s="3" t="str">
        <f>VLOOKUP(F372,'Customers (2)'!A:I,7,0)</f>
        <v>United States</v>
      </c>
      <c r="L372" s="3" t="str">
        <f>VLOOKUP(F372,'Customers (2)'!A:I,9,0)</f>
        <v>Yes</v>
      </c>
      <c r="M372" s="4" t="s">
        <v>245</v>
      </c>
      <c r="N372" s="4" t="str">
        <f>VLOOKUP(M372,'Products (2)'!A:G,2,0)</f>
        <v>Excelsa</v>
      </c>
      <c r="O372" s="4" t="str">
        <f>VLOOKUP(M372,'Products (2)'!A:G,3,0)</f>
        <v>Dark</v>
      </c>
      <c r="P372" s="4">
        <f>VLOOKUP(M372,'Products (2)'!A:G,7,0)</f>
        <v>1.3365</v>
      </c>
      <c r="Q372" s="3">
        <v>2</v>
      </c>
      <c r="R372" s="5">
        <f>INDEX([1]products!$A$1:$G$49,MATCH([1]orders!$D372,[1]products!$A$1:$A$49,0),MATCH([1]orders!K$1,[1]products!$A$1:$G$1,0))</f>
        <v>1</v>
      </c>
      <c r="S372" s="6">
        <f>INDEX([1]products!$A$1:$G$49,MATCH([1]orders!$D372,[1]products!$A$1:$A$49,0),MATCH([1]orders!L$1,[1]products!$A$1:$G$1,0))</f>
        <v>12.15</v>
      </c>
      <c r="T372" s="6">
        <f t="shared" si="30"/>
        <v>24.3</v>
      </c>
      <c r="U372" s="22">
        <f t="shared" si="34"/>
        <v>2.673</v>
      </c>
      <c r="V372" s="22">
        <f t="shared" si="35"/>
        <v>11</v>
      </c>
    </row>
    <row r="373" spans="1:22" x14ac:dyDescent="0.3">
      <c r="A373" s="1" t="s">
        <v>746</v>
      </c>
      <c r="B373" s="2">
        <v>44705</v>
      </c>
      <c r="C373" s="2" t="str">
        <f t="shared" si="31"/>
        <v>Tuesday</v>
      </c>
      <c r="D373" s="2" t="str">
        <f t="shared" si="32"/>
        <v>May</v>
      </c>
      <c r="E373" s="2" t="str">
        <f t="shared" si="33"/>
        <v>2022</v>
      </c>
      <c r="F373" s="3" t="s">
        <v>747</v>
      </c>
      <c r="G373" s="3" t="str">
        <f>VLOOKUP(F374,'Customers (2)'!A:I,2,0)</f>
        <v>Terri Farra</v>
      </c>
      <c r="H373" s="3" t="str">
        <f>VLOOKUP(F373,'Customers (2)'!A:I,3,0)</f>
        <v>cgibbonsonab@accuweather.com</v>
      </c>
      <c r="I373" s="3" t="str">
        <f>VLOOKUP(F373,'Customers (2)'!A:I,4,0)</f>
        <v>+1 (206) 848-3585</v>
      </c>
      <c r="J373" s="3" t="str">
        <f>VLOOKUP(F373,'Customers (2)'!A:I,6,0)</f>
        <v>Seattle</v>
      </c>
      <c r="K373" s="3" t="str">
        <f>VLOOKUP(F373,'Customers (2)'!A:I,7,0)</f>
        <v>United States</v>
      </c>
      <c r="L373" s="3" t="str">
        <f>VLOOKUP(F373,'Customers (2)'!A:I,9,0)</f>
        <v>Yes</v>
      </c>
      <c r="M373" s="4" t="s">
        <v>192</v>
      </c>
      <c r="N373" s="4" t="str">
        <f>VLOOKUP(M373,'Products (2)'!A:G,2,0)</f>
        <v>Arabica</v>
      </c>
      <c r="O373" s="4" t="str">
        <f>VLOOKUP(M373,'Products (2)'!A:G,3,0)</f>
        <v>Light</v>
      </c>
      <c r="P373" s="4">
        <f>VLOOKUP(M373,'Products (2)'!A:G,7,0)</f>
        <v>0.69929999999999992</v>
      </c>
      <c r="Q373" s="3">
        <v>6</v>
      </c>
      <c r="R373" s="5">
        <f>INDEX([1]products!$A$1:$G$49,MATCH([1]orders!$D373,[1]products!$A$1:$A$49,0),MATCH([1]orders!K$1,[1]products!$A$1:$G$1,0))</f>
        <v>0.5</v>
      </c>
      <c r="S373" s="6">
        <f>INDEX([1]products!$A$1:$G$49,MATCH([1]orders!$D373,[1]products!$A$1:$A$49,0),MATCH([1]orders!L$1,[1]products!$A$1:$G$1,0))</f>
        <v>7.77</v>
      </c>
      <c r="T373" s="6">
        <f t="shared" si="30"/>
        <v>46.62</v>
      </c>
      <c r="U373" s="22">
        <f t="shared" si="34"/>
        <v>4.1957999999999993</v>
      </c>
      <c r="V373" s="22">
        <f t="shared" si="35"/>
        <v>9</v>
      </c>
    </row>
    <row r="374" spans="1:22" x14ac:dyDescent="0.3">
      <c r="A374" s="1" t="s">
        <v>748</v>
      </c>
      <c r="B374" s="2">
        <v>44108</v>
      </c>
      <c r="C374" s="2" t="str">
        <f t="shared" si="31"/>
        <v>Sunday</v>
      </c>
      <c r="D374" s="2" t="str">
        <f t="shared" si="32"/>
        <v>October</v>
      </c>
      <c r="E374" s="2" t="str">
        <f t="shared" si="33"/>
        <v>2020</v>
      </c>
      <c r="F374" s="3" t="s">
        <v>749</v>
      </c>
      <c r="G374" s="3" t="str">
        <f>VLOOKUP(F375,'Customers (2)'!A:I,2,0)</f>
        <v>Corney Curme</v>
      </c>
      <c r="H374" s="3" t="str">
        <f>VLOOKUP(F374,'Customers (2)'!A:I,3,0)</f>
        <v>tfarraac@behance.net</v>
      </c>
      <c r="I374" s="3" t="str">
        <f>VLOOKUP(F374,'Customers (2)'!A:I,4,0)</f>
        <v>+1 (432) 648-9589</v>
      </c>
      <c r="J374" s="3" t="str">
        <f>VLOOKUP(F374,'Customers (2)'!A:I,6,0)</f>
        <v>Odessa</v>
      </c>
      <c r="K374" s="3" t="str">
        <f>VLOOKUP(F374,'Customers (2)'!A:I,7,0)</f>
        <v>United States</v>
      </c>
      <c r="L374" s="3" t="str">
        <f>VLOOKUP(F374,'Customers (2)'!A:I,9,0)</f>
        <v>No</v>
      </c>
      <c r="M374" s="4" t="s">
        <v>157</v>
      </c>
      <c r="N374" s="4" t="str">
        <f>VLOOKUP(M374,'Products (2)'!A:G,2,0)</f>
        <v>Robusta</v>
      </c>
      <c r="O374" s="4" t="str">
        <f>VLOOKUP(M374,'Products (2)'!A:G,3,0)</f>
        <v>Light</v>
      </c>
      <c r="P374" s="4">
        <f>VLOOKUP(M374,'Products (2)'!A:G,7,0)</f>
        <v>0.43019999999999992</v>
      </c>
      <c r="Q374" s="3">
        <v>6</v>
      </c>
      <c r="R374" s="5">
        <f>INDEX([1]products!$A$1:$G$49,MATCH([1]orders!$D374,[1]products!$A$1:$A$49,0),MATCH([1]orders!K$1,[1]products!$A$1:$G$1,0))</f>
        <v>0.5</v>
      </c>
      <c r="S374" s="6">
        <f>INDEX([1]products!$A$1:$G$49,MATCH([1]orders!$D374,[1]products!$A$1:$A$49,0),MATCH([1]orders!L$1,[1]products!$A$1:$G$1,0))</f>
        <v>7.169999999999999</v>
      </c>
      <c r="T374" s="6">
        <f t="shared" si="30"/>
        <v>43.019999999999996</v>
      </c>
      <c r="U374" s="22">
        <f t="shared" si="34"/>
        <v>2.5811999999999995</v>
      </c>
      <c r="V374" s="22">
        <f t="shared" si="35"/>
        <v>5.9999999999999991</v>
      </c>
    </row>
    <row r="375" spans="1:22" x14ac:dyDescent="0.3">
      <c r="A375" s="1" t="s">
        <v>750</v>
      </c>
      <c r="B375" s="2">
        <v>44742</v>
      </c>
      <c r="C375" s="2" t="str">
        <f t="shared" si="31"/>
        <v>Thursday</v>
      </c>
      <c r="D375" s="2" t="str">
        <f t="shared" si="32"/>
        <v>June</v>
      </c>
      <c r="E375" s="2" t="str">
        <f t="shared" si="33"/>
        <v>2022</v>
      </c>
      <c r="F375" s="3" t="s">
        <v>751</v>
      </c>
      <c r="G375" s="3" t="str">
        <f>VLOOKUP(F376,'Customers (2)'!A:I,2,0)</f>
        <v>Gothart Bamfield</v>
      </c>
      <c r="H375" s="3">
        <f>VLOOKUP(F375,'Customers (2)'!A:I,3,0)</f>
        <v>0</v>
      </c>
      <c r="I375" s="3" t="str">
        <f>VLOOKUP(F375,'Customers (2)'!A:I,4,0)</f>
        <v>+353 (772) 127-7148</v>
      </c>
      <c r="J375" s="3" t="str">
        <f>VLOOKUP(F375,'Customers (2)'!A:I,6,0)</f>
        <v>Castleknock</v>
      </c>
      <c r="K375" s="3" t="str">
        <f>VLOOKUP(F375,'Customers (2)'!A:I,7,0)</f>
        <v>Ireland</v>
      </c>
      <c r="L375" s="3" t="str">
        <f>VLOOKUP(F375,'Customers (2)'!A:I,9,0)</f>
        <v>Yes</v>
      </c>
      <c r="M375" s="4" t="s">
        <v>72</v>
      </c>
      <c r="N375" s="4" t="str">
        <f>VLOOKUP(M375,'Products (2)'!A:G,2,0)</f>
        <v>Arabica</v>
      </c>
      <c r="O375" s="4" t="str">
        <f>VLOOKUP(M375,'Products (2)'!A:G,3,0)</f>
        <v>Dark</v>
      </c>
      <c r="P375" s="4">
        <f>VLOOKUP(M375,'Products (2)'!A:G,7,0)</f>
        <v>0.5373</v>
      </c>
      <c r="Q375" s="3">
        <v>3</v>
      </c>
      <c r="R375" s="5">
        <f>INDEX([1]products!$A$1:$G$49,MATCH([1]orders!$D375,[1]products!$A$1:$A$49,0),MATCH([1]orders!K$1,[1]products!$A$1:$G$1,0))</f>
        <v>0.5</v>
      </c>
      <c r="S375" s="6">
        <f>INDEX([1]products!$A$1:$G$49,MATCH([1]orders!$D375,[1]products!$A$1:$A$49,0),MATCH([1]orders!L$1,[1]products!$A$1:$G$1,0))</f>
        <v>5.97</v>
      </c>
      <c r="T375" s="6">
        <f t="shared" si="30"/>
        <v>17.91</v>
      </c>
      <c r="U375" s="22">
        <f t="shared" si="34"/>
        <v>1.6118999999999999</v>
      </c>
      <c r="V375" s="22">
        <f t="shared" si="35"/>
        <v>9</v>
      </c>
    </row>
    <row r="376" spans="1:22" x14ac:dyDescent="0.3">
      <c r="A376" s="1" t="s">
        <v>752</v>
      </c>
      <c r="B376" s="2">
        <v>44125</v>
      </c>
      <c r="C376" s="2" t="str">
        <f t="shared" si="31"/>
        <v>Wednesday</v>
      </c>
      <c r="D376" s="2" t="str">
        <f t="shared" si="32"/>
        <v>October</v>
      </c>
      <c r="E376" s="2" t="str">
        <f t="shared" si="33"/>
        <v>2020</v>
      </c>
      <c r="F376" s="3" t="s">
        <v>753</v>
      </c>
      <c r="G376" s="3" t="str">
        <f>VLOOKUP(F377,'Customers (2)'!A:I,2,0)</f>
        <v>Waylin Hollingdale</v>
      </c>
      <c r="H376" s="3" t="str">
        <f>VLOOKUP(F376,'Customers (2)'!A:I,3,0)</f>
        <v>gbamfieldae@yellowpages.com</v>
      </c>
      <c r="I376" s="3" t="str">
        <f>VLOOKUP(F376,'Customers (2)'!A:I,4,0)</f>
        <v>+1 (214) 200-7886</v>
      </c>
      <c r="J376" s="3" t="str">
        <f>VLOOKUP(F376,'Customers (2)'!A:I,6,0)</f>
        <v>Irving</v>
      </c>
      <c r="K376" s="3" t="str">
        <f>VLOOKUP(F376,'Customers (2)'!A:I,7,0)</f>
        <v>United States</v>
      </c>
      <c r="L376" s="3" t="str">
        <f>VLOOKUP(F376,'Customers (2)'!A:I,9,0)</f>
        <v>Yes</v>
      </c>
      <c r="M376" s="4" t="s">
        <v>83</v>
      </c>
      <c r="N376" s="4" t="str">
        <f>VLOOKUP(M376,'Products (2)'!A:G,2,0)</f>
        <v>Liberica</v>
      </c>
      <c r="O376" s="4" t="str">
        <f>VLOOKUP(M376,'Products (2)'!A:G,3,0)</f>
        <v>Light</v>
      </c>
      <c r="P376" s="4">
        <f>VLOOKUP(M376,'Products (2)'!A:G,7,0)</f>
        <v>1.2363</v>
      </c>
      <c r="Q376" s="3">
        <v>4</v>
      </c>
      <c r="R376" s="5">
        <f>INDEX([1]products!$A$1:$G$49,MATCH([1]orders!$D376,[1]products!$A$1:$A$49,0),MATCH([1]orders!K$1,[1]products!$A$1:$G$1,0))</f>
        <v>0.5</v>
      </c>
      <c r="S376" s="6">
        <f>INDEX([1]products!$A$1:$G$49,MATCH([1]orders!$D376,[1]products!$A$1:$A$49,0),MATCH([1]orders!L$1,[1]products!$A$1:$G$1,0))</f>
        <v>9.51</v>
      </c>
      <c r="T376" s="6">
        <f t="shared" si="30"/>
        <v>38.04</v>
      </c>
      <c r="U376" s="22">
        <f t="shared" si="34"/>
        <v>4.9451999999999998</v>
      </c>
      <c r="V376" s="22">
        <f t="shared" si="35"/>
        <v>13</v>
      </c>
    </row>
    <row r="377" spans="1:22" x14ac:dyDescent="0.3">
      <c r="A377" s="1" t="s">
        <v>754</v>
      </c>
      <c r="B377" s="2">
        <v>44120</v>
      </c>
      <c r="C377" s="2" t="str">
        <f t="shared" si="31"/>
        <v>Friday</v>
      </c>
      <c r="D377" s="2" t="str">
        <f t="shared" si="32"/>
        <v>October</v>
      </c>
      <c r="E377" s="2" t="str">
        <f t="shared" si="33"/>
        <v>2020</v>
      </c>
      <c r="F377" s="3" t="s">
        <v>755</v>
      </c>
      <c r="G377" s="3" t="str">
        <f>VLOOKUP(F378,'Customers (2)'!A:I,2,0)</f>
        <v>Judd De Leek</v>
      </c>
      <c r="H377" s="3" t="str">
        <f>VLOOKUP(F377,'Customers (2)'!A:I,3,0)</f>
        <v>whollingdaleaf@about.me</v>
      </c>
      <c r="I377" s="3" t="str">
        <f>VLOOKUP(F377,'Customers (2)'!A:I,4,0)</f>
        <v>+1 (937) 354-2653</v>
      </c>
      <c r="J377" s="3" t="str">
        <f>VLOOKUP(F377,'Customers (2)'!A:I,6,0)</f>
        <v>Dayton</v>
      </c>
      <c r="K377" s="3" t="str">
        <f>VLOOKUP(F377,'Customers (2)'!A:I,7,0)</f>
        <v>United States</v>
      </c>
      <c r="L377" s="3" t="str">
        <f>VLOOKUP(F377,'Customers (2)'!A:I,9,0)</f>
        <v>Yes</v>
      </c>
      <c r="M377" s="4" t="s">
        <v>44</v>
      </c>
      <c r="N377" s="4" t="str">
        <f>VLOOKUP(M377,'Products (2)'!A:G,2,0)</f>
        <v>Arabica</v>
      </c>
      <c r="O377" s="4" t="str">
        <f>VLOOKUP(M377,'Products (2)'!A:G,3,0)</f>
        <v>Medium</v>
      </c>
      <c r="P377" s="4">
        <f>VLOOKUP(M377,'Products (2)'!A:G,7,0)</f>
        <v>0.30374999999999996</v>
      </c>
      <c r="Q377" s="3">
        <v>2</v>
      </c>
      <c r="R377" s="5">
        <f>INDEX([1]products!$A$1:$G$49,MATCH([1]orders!$D377,[1]products!$A$1:$A$49,0),MATCH([1]orders!K$1,[1]products!$A$1:$G$1,0))</f>
        <v>0.2</v>
      </c>
      <c r="S377" s="6">
        <f>INDEX([1]products!$A$1:$G$49,MATCH([1]orders!$D377,[1]products!$A$1:$A$49,0),MATCH([1]orders!L$1,[1]products!$A$1:$G$1,0))</f>
        <v>3.375</v>
      </c>
      <c r="T377" s="6">
        <f t="shared" si="30"/>
        <v>6.75</v>
      </c>
      <c r="U377" s="22">
        <f t="shared" si="34"/>
        <v>0.60749999999999993</v>
      </c>
      <c r="V377" s="22">
        <f t="shared" si="35"/>
        <v>8.9999999999999982</v>
      </c>
    </row>
    <row r="378" spans="1:22" x14ac:dyDescent="0.3">
      <c r="A378" s="1" t="s">
        <v>756</v>
      </c>
      <c r="B378" s="2">
        <v>44097</v>
      </c>
      <c r="C378" s="2" t="str">
        <f t="shared" si="31"/>
        <v>Wednesday</v>
      </c>
      <c r="D378" s="2" t="str">
        <f t="shared" si="32"/>
        <v>September</v>
      </c>
      <c r="E378" s="2" t="str">
        <f t="shared" si="33"/>
        <v>2020</v>
      </c>
      <c r="F378" s="3" t="s">
        <v>757</v>
      </c>
      <c r="G378" s="3" t="str">
        <f>VLOOKUP(F379,'Customers (2)'!A:I,2,0)</f>
        <v>Vanya Skullet</v>
      </c>
      <c r="H378" s="3" t="str">
        <f>VLOOKUP(F378,'Customers (2)'!A:I,3,0)</f>
        <v>jdeag@xrea.com</v>
      </c>
      <c r="I378" s="3" t="str">
        <f>VLOOKUP(F378,'Customers (2)'!A:I,4,0)</f>
        <v>+1 (616) 966-1581</v>
      </c>
      <c r="J378" s="3" t="str">
        <f>VLOOKUP(F378,'Customers (2)'!A:I,6,0)</f>
        <v>Grand Rapids</v>
      </c>
      <c r="K378" s="3" t="str">
        <f>VLOOKUP(F378,'Customers (2)'!A:I,7,0)</f>
        <v>United States</v>
      </c>
      <c r="L378" s="3" t="str">
        <f>VLOOKUP(F378,'Customers (2)'!A:I,9,0)</f>
        <v>Yes</v>
      </c>
      <c r="M378" s="4" t="s">
        <v>22</v>
      </c>
      <c r="N378" s="4" t="str">
        <f>VLOOKUP(M378,'Products (2)'!A:G,2,0)</f>
        <v>Robusta</v>
      </c>
      <c r="O378" s="4" t="str">
        <f>VLOOKUP(M378,'Products (2)'!A:G,3,0)</f>
        <v>Medium</v>
      </c>
      <c r="P378" s="4">
        <f>VLOOKUP(M378,'Products (2)'!A:G,7,0)</f>
        <v>0.35819999999999996</v>
      </c>
      <c r="Q378" s="3">
        <v>1</v>
      </c>
      <c r="R378" s="5">
        <f>INDEX([1]products!$A$1:$G$49,MATCH([1]orders!$D378,[1]products!$A$1:$A$49,0),MATCH([1]orders!K$1,[1]products!$A$1:$G$1,0))</f>
        <v>0.5</v>
      </c>
      <c r="S378" s="6">
        <f>INDEX([1]products!$A$1:$G$49,MATCH([1]orders!$D378,[1]products!$A$1:$A$49,0),MATCH([1]orders!L$1,[1]products!$A$1:$G$1,0))</f>
        <v>5.97</v>
      </c>
      <c r="T378" s="6">
        <f t="shared" si="30"/>
        <v>5.97</v>
      </c>
      <c r="U378" s="22">
        <f t="shared" si="34"/>
        <v>0.35819999999999996</v>
      </c>
      <c r="V378" s="22">
        <f t="shared" si="35"/>
        <v>6</v>
      </c>
    </row>
    <row r="379" spans="1:22" x14ac:dyDescent="0.3">
      <c r="A379" s="1" t="s">
        <v>758</v>
      </c>
      <c r="B379" s="2">
        <v>43532</v>
      </c>
      <c r="C379" s="2" t="str">
        <f t="shared" si="31"/>
        <v>Friday</v>
      </c>
      <c r="D379" s="2" t="str">
        <f t="shared" si="32"/>
        <v>March</v>
      </c>
      <c r="E379" s="2" t="str">
        <f t="shared" si="33"/>
        <v>2019</v>
      </c>
      <c r="F379" s="3" t="s">
        <v>759</v>
      </c>
      <c r="G379" s="3" t="str">
        <f>VLOOKUP(F380,'Customers (2)'!A:I,2,0)</f>
        <v>Jany Rudeforth</v>
      </c>
      <c r="H379" s="3" t="str">
        <f>VLOOKUP(F379,'Customers (2)'!A:I,3,0)</f>
        <v>vskulletah@tinyurl.com</v>
      </c>
      <c r="I379" s="3" t="str">
        <f>VLOOKUP(F379,'Customers (2)'!A:I,4,0)</f>
        <v>+353 (215) 420-1467</v>
      </c>
      <c r="J379" s="3" t="str">
        <f>VLOOKUP(F379,'Customers (2)'!A:I,6,0)</f>
        <v>Balally</v>
      </c>
      <c r="K379" s="3" t="str">
        <f>VLOOKUP(F379,'Customers (2)'!A:I,7,0)</f>
        <v>Ireland</v>
      </c>
      <c r="L379" s="3" t="str">
        <f>VLOOKUP(F379,'Customers (2)'!A:I,9,0)</f>
        <v>No</v>
      </c>
      <c r="M379" s="4" t="s">
        <v>101</v>
      </c>
      <c r="N379" s="4" t="str">
        <f>VLOOKUP(M379,'Products (2)'!A:G,2,0)</f>
        <v>Robusta</v>
      </c>
      <c r="O379" s="4" t="str">
        <f>VLOOKUP(M379,'Products (2)'!A:G,3,0)</f>
        <v>Dark</v>
      </c>
      <c r="P379" s="4">
        <f>VLOOKUP(M379,'Products (2)'!A:G,7,0)</f>
        <v>0.16109999999999997</v>
      </c>
      <c r="Q379" s="3">
        <v>3</v>
      </c>
      <c r="R379" s="5">
        <f>INDEX([1]products!$A$1:$G$49,MATCH([1]orders!$D379,[1]products!$A$1:$A$49,0),MATCH([1]orders!K$1,[1]products!$A$1:$G$1,0))</f>
        <v>0.2</v>
      </c>
      <c r="S379" s="6">
        <f>INDEX([1]products!$A$1:$G$49,MATCH([1]orders!$D379,[1]products!$A$1:$A$49,0),MATCH([1]orders!L$1,[1]products!$A$1:$G$1,0))</f>
        <v>2.6849999999999996</v>
      </c>
      <c r="T379" s="6">
        <f t="shared" si="30"/>
        <v>8.0549999999999997</v>
      </c>
      <c r="U379" s="22">
        <f t="shared" si="34"/>
        <v>0.4832999999999999</v>
      </c>
      <c r="V379" s="22">
        <f t="shared" si="35"/>
        <v>5.9999999999999991</v>
      </c>
    </row>
    <row r="380" spans="1:22" x14ac:dyDescent="0.3">
      <c r="A380" s="1" t="s">
        <v>760</v>
      </c>
      <c r="B380" s="2">
        <v>44377</v>
      </c>
      <c r="C380" s="2" t="str">
        <f t="shared" si="31"/>
        <v>Wednesday</v>
      </c>
      <c r="D380" s="2" t="str">
        <f t="shared" si="32"/>
        <v>June</v>
      </c>
      <c r="E380" s="2" t="str">
        <f t="shared" si="33"/>
        <v>2021</v>
      </c>
      <c r="F380" s="3" t="s">
        <v>761</v>
      </c>
      <c r="G380" s="3" t="str">
        <f>VLOOKUP(F381,'Customers (2)'!A:I,2,0)</f>
        <v>Ashbey Tomaszewski</v>
      </c>
      <c r="H380" s="3" t="str">
        <f>VLOOKUP(F380,'Customers (2)'!A:I,3,0)</f>
        <v>jrudeforthai@wunderground.com</v>
      </c>
      <c r="I380" s="3" t="str">
        <f>VLOOKUP(F380,'Customers (2)'!A:I,4,0)</f>
        <v>+353 (232) 377-5407</v>
      </c>
      <c r="J380" s="3" t="str">
        <f>VLOOKUP(F380,'Customers (2)'!A:I,6,0)</f>
        <v>Tullyallen</v>
      </c>
      <c r="K380" s="3" t="str">
        <f>VLOOKUP(F380,'Customers (2)'!A:I,7,0)</f>
        <v>Ireland</v>
      </c>
      <c r="L380" s="3" t="str">
        <f>VLOOKUP(F380,'Customers (2)'!A:I,9,0)</f>
        <v>Yes</v>
      </c>
      <c r="M380" s="4" t="s">
        <v>192</v>
      </c>
      <c r="N380" s="4" t="str">
        <f>VLOOKUP(M380,'Products (2)'!A:G,2,0)</f>
        <v>Arabica</v>
      </c>
      <c r="O380" s="4" t="str">
        <f>VLOOKUP(M380,'Products (2)'!A:G,3,0)</f>
        <v>Light</v>
      </c>
      <c r="P380" s="4">
        <f>VLOOKUP(M380,'Products (2)'!A:G,7,0)</f>
        <v>0.69929999999999992</v>
      </c>
      <c r="Q380" s="3">
        <v>3</v>
      </c>
      <c r="R380" s="5">
        <f>INDEX([1]products!$A$1:$G$49,MATCH([1]orders!$D380,[1]products!$A$1:$A$49,0),MATCH([1]orders!K$1,[1]products!$A$1:$G$1,0))</f>
        <v>0.5</v>
      </c>
      <c r="S380" s="6">
        <f>INDEX([1]products!$A$1:$G$49,MATCH([1]orders!$D380,[1]products!$A$1:$A$49,0),MATCH([1]orders!L$1,[1]products!$A$1:$G$1,0))</f>
        <v>7.77</v>
      </c>
      <c r="T380" s="6">
        <f t="shared" si="30"/>
        <v>23.31</v>
      </c>
      <c r="U380" s="22">
        <f t="shared" si="34"/>
        <v>2.0978999999999997</v>
      </c>
      <c r="V380" s="22">
        <f t="shared" si="35"/>
        <v>9</v>
      </c>
    </row>
    <row r="381" spans="1:22" x14ac:dyDescent="0.3">
      <c r="A381" s="1" t="s">
        <v>762</v>
      </c>
      <c r="B381" s="2">
        <v>43690</v>
      </c>
      <c r="C381" s="2" t="str">
        <f t="shared" si="31"/>
        <v>Tuesday</v>
      </c>
      <c r="D381" s="2" t="str">
        <f t="shared" si="32"/>
        <v>August</v>
      </c>
      <c r="E381" s="2" t="str">
        <f t="shared" si="33"/>
        <v>2019</v>
      </c>
      <c r="F381" s="3" t="s">
        <v>763</v>
      </c>
      <c r="G381" s="3" t="str">
        <f>VLOOKUP(F382,'Customers (2)'!A:I,2,0)</f>
        <v>Flynn Antony</v>
      </c>
      <c r="H381" s="3" t="str">
        <f>VLOOKUP(F381,'Customers (2)'!A:I,3,0)</f>
        <v>atomaszewskiaj@answers.com</v>
      </c>
      <c r="I381" s="3">
        <f>VLOOKUP(F381,'Customers (2)'!A:I,4,0)</f>
        <v>0</v>
      </c>
      <c r="J381" s="3" t="str">
        <f>VLOOKUP(F381,'Customers (2)'!A:I,6,0)</f>
        <v>Sutton</v>
      </c>
      <c r="K381" s="3" t="str">
        <f>VLOOKUP(F381,'Customers (2)'!A:I,7,0)</f>
        <v>United Kingdom</v>
      </c>
      <c r="L381" s="3" t="str">
        <f>VLOOKUP(F381,'Customers (2)'!A:I,9,0)</f>
        <v>Yes</v>
      </c>
      <c r="M381" s="4" t="s">
        <v>157</v>
      </c>
      <c r="N381" s="4" t="str">
        <f>VLOOKUP(M381,'Products (2)'!A:G,2,0)</f>
        <v>Robusta</v>
      </c>
      <c r="O381" s="4" t="str">
        <f>VLOOKUP(M381,'Products (2)'!A:G,3,0)</f>
        <v>Light</v>
      </c>
      <c r="P381" s="4">
        <f>VLOOKUP(M381,'Products (2)'!A:G,7,0)</f>
        <v>0.43019999999999992</v>
      </c>
      <c r="Q381" s="3">
        <v>6</v>
      </c>
      <c r="R381" s="5">
        <f>INDEX([1]products!$A$1:$G$49,MATCH([1]orders!$D381,[1]products!$A$1:$A$49,0),MATCH([1]orders!K$1,[1]products!$A$1:$G$1,0))</f>
        <v>0.5</v>
      </c>
      <c r="S381" s="6">
        <f>INDEX([1]products!$A$1:$G$49,MATCH([1]orders!$D381,[1]products!$A$1:$A$49,0),MATCH([1]orders!L$1,[1]products!$A$1:$G$1,0))</f>
        <v>7.169999999999999</v>
      </c>
      <c r="T381" s="6">
        <f t="shared" si="30"/>
        <v>43.019999999999996</v>
      </c>
      <c r="U381" s="22">
        <f t="shared" si="34"/>
        <v>2.5811999999999995</v>
      </c>
      <c r="V381" s="22">
        <f t="shared" si="35"/>
        <v>5.9999999999999991</v>
      </c>
    </row>
    <row r="382" spans="1:22" x14ac:dyDescent="0.3">
      <c r="A382" s="1" t="s">
        <v>764</v>
      </c>
      <c r="B382" s="2">
        <v>44249</v>
      </c>
      <c r="C382" s="2" t="str">
        <f t="shared" si="31"/>
        <v>Monday</v>
      </c>
      <c r="D382" s="2" t="str">
        <f t="shared" si="32"/>
        <v>February</v>
      </c>
      <c r="E382" s="2" t="str">
        <f t="shared" si="33"/>
        <v>2021</v>
      </c>
      <c r="F382" s="3" t="s">
        <v>664</v>
      </c>
      <c r="G382" s="3" t="str">
        <f>VLOOKUP(F383,'Customers (2)'!A:I,2,0)</f>
        <v>Pren Bess</v>
      </c>
      <c r="H382" s="3">
        <f>VLOOKUP(F382,'Customers (2)'!A:I,3,0)</f>
        <v>0</v>
      </c>
      <c r="I382" s="3" t="str">
        <f>VLOOKUP(F382,'Customers (2)'!A:I,4,0)</f>
        <v>+1 (205) 680-5859</v>
      </c>
      <c r="J382" s="3" t="str">
        <f>VLOOKUP(F382,'Customers (2)'!A:I,6,0)</f>
        <v>Birmingham</v>
      </c>
      <c r="K382" s="3" t="str">
        <f>VLOOKUP(F382,'Customers (2)'!A:I,7,0)</f>
        <v>United States</v>
      </c>
      <c r="L382" s="3" t="str">
        <f>VLOOKUP(F382,'Customers (2)'!A:I,9,0)</f>
        <v>No</v>
      </c>
      <c r="M382" s="4" t="s">
        <v>123</v>
      </c>
      <c r="N382" s="4" t="str">
        <f>VLOOKUP(M382,'Products (2)'!A:G,2,0)</f>
        <v>Liberica</v>
      </c>
      <c r="O382" s="4" t="str">
        <f>VLOOKUP(M382,'Products (2)'!A:G,3,0)</f>
        <v>Dark</v>
      </c>
      <c r="P382" s="4">
        <f>VLOOKUP(M382,'Products (2)'!A:G,7,0)</f>
        <v>1.0101</v>
      </c>
      <c r="Q382" s="3">
        <v>3</v>
      </c>
      <c r="R382" s="5">
        <f>INDEX([1]products!$A$1:$G$49,MATCH([1]orders!$D382,[1]products!$A$1:$A$49,0),MATCH([1]orders!K$1,[1]products!$A$1:$G$1,0))</f>
        <v>0.5</v>
      </c>
      <c r="S382" s="6">
        <f>INDEX([1]products!$A$1:$G$49,MATCH([1]orders!$D382,[1]products!$A$1:$A$49,0),MATCH([1]orders!L$1,[1]products!$A$1:$G$1,0))</f>
        <v>7.77</v>
      </c>
      <c r="T382" s="6">
        <f t="shared" si="30"/>
        <v>23.31</v>
      </c>
      <c r="U382" s="22">
        <f t="shared" si="34"/>
        <v>3.0303</v>
      </c>
      <c r="V382" s="22">
        <f t="shared" si="35"/>
        <v>13</v>
      </c>
    </row>
    <row r="383" spans="1:22" x14ac:dyDescent="0.3">
      <c r="A383" s="1" t="s">
        <v>765</v>
      </c>
      <c r="B383" s="2">
        <v>44646</v>
      </c>
      <c r="C383" s="2" t="str">
        <f t="shared" si="31"/>
        <v>Saturday</v>
      </c>
      <c r="D383" s="2" t="str">
        <f t="shared" si="32"/>
        <v>March</v>
      </c>
      <c r="E383" s="2" t="str">
        <f t="shared" si="33"/>
        <v>2022</v>
      </c>
      <c r="F383" s="3" t="s">
        <v>766</v>
      </c>
      <c r="G383" s="3" t="str">
        <f>VLOOKUP(F384,'Customers (2)'!A:I,2,0)</f>
        <v>Elka Windress</v>
      </c>
      <c r="H383" s="3" t="str">
        <f>VLOOKUP(F383,'Customers (2)'!A:I,3,0)</f>
        <v>pbessal@qq.com</v>
      </c>
      <c r="I383" s="3" t="str">
        <f>VLOOKUP(F383,'Customers (2)'!A:I,4,0)</f>
        <v>+1 (949) 121-4600</v>
      </c>
      <c r="J383" s="3" t="str">
        <f>VLOOKUP(F383,'Customers (2)'!A:I,6,0)</f>
        <v>Los Angeles</v>
      </c>
      <c r="K383" s="3" t="str">
        <f>VLOOKUP(F383,'Customers (2)'!A:I,7,0)</f>
        <v>United States</v>
      </c>
      <c r="L383" s="3" t="str">
        <f>VLOOKUP(F383,'Customers (2)'!A:I,9,0)</f>
        <v>Yes</v>
      </c>
      <c r="M383" s="4" t="s">
        <v>54</v>
      </c>
      <c r="N383" s="4" t="str">
        <f>VLOOKUP(M383,'Products (2)'!A:G,2,0)</f>
        <v>Arabica</v>
      </c>
      <c r="O383" s="4" t="str">
        <f>VLOOKUP(M383,'Products (2)'!A:G,3,0)</f>
        <v>Dark</v>
      </c>
      <c r="P383" s="4">
        <f>VLOOKUP(M383,'Products (2)'!A:G,7,0)</f>
        <v>0.26865</v>
      </c>
      <c r="Q383" s="3">
        <v>5</v>
      </c>
      <c r="R383" s="5">
        <f>INDEX([1]products!$A$1:$G$49,MATCH([1]orders!$D383,[1]products!$A$1:$A$49,0),MATCH([1]orders!K$1,[1]products!$A$1:$G$1,0))</f>
        <v>0.2</v>
      </c>
      <c r="S383" s="6">
        <f>INDEX([1]products!$A$1:$G$49,MATCH([1]orders!$D383,[1]products!$A$1:$A$49,0),MATCH([1]orders!L$1,[1]products!$A$1:$G$1,0))</f>
        <v>2.9849999999999999</v>
      </c>
      <c r="T383" s="6">
        <f t="shared" si="30"/>
        <v>14.924999999999999</v>
      </c>
      <c r="U383" s="22">
        <f t="shared" si="34"/>
        <v>1.3432500000000001</v>
      </c>
      <c r="V383" s="22">
        <f t="shared" si="35"/>
        <v>9.0000000000000018</v>
      </c>
    </row>
    <row r="384" spans="1:22" x14ac:dyDescent="0.3">
      <c r="A384" s="1" t="s">
        <v>767</v>
      </c>
      <c r="B384" s="2">
        <v>43840</v>
      </c>
      <c r="C384" s="2" t="str">
        <f t="shared" si="31"/>
        <v>Friday</v>
      </c>
      <c r="D384" s="2" t="str">
        <f t="shared" si="32"/>
        <v>January</v>
      </c>
      <c r="E384" s="2" t="str">
        <f t="shared" si="33"/>
        <v>2020</v>
      </c>
      <c r="F384" s="3" t="s">
        <v>768</v>
      </c>
      <c r="G384" s="3" t="str">
        <f>VLOOKUP(F385,'Customers (2)'!A:I,2,0)</f>
        <v>Marty Kidstoun</v>
      </c>
      <c r="H384" s="3" t="str">
        <f>VLOOKUP(F384,'Customers (2)'!A:I,3,0)</f>
        <v>ewindressam@marketwatch.com</v>
      </c>
      <c r="I384" s="3" t="str">
        <f>VLOOKUP(F384,'Customers (2)'!A:I,4,0)</f>
        <v>+1 (443) 619-7953</v>
      </c>
      <c r="J384" s="3" t="str">
        <f>VLOOKUP(F384,'Customers (2)'!A:I,6,0)</f>
        <v>Baltimore</v>
      </c>
      <c r="K384" s="3" t="str">
        <f>VLOOKUP(F384,'Customers (2)'!A:I,7,0)</f>
        <v>United States</v>
      </c>
      <c r="L384" s="3" t="str">
        <f>VLOOKUP(F384,'Customers (2)'!A:I,9,0)</f>
        <v>No</v>
      </c>
      <c r="M384" s="4" t="s">
        <v>16</v>
      </c>
      <c r="N384" s="4" t="str">
        <f>VLOOKUP(M384,'Products (2)'!A:G,2,0)</f>
        <v>Excelsa</v>
      </c>
      <c r="O384" s="4" t="str">
        <f>VLOOKUP(M384,'Products (2)'!A:G,3,0)</f>
        <v>Dark</v>
      </c>
      <c r="P384" s="4">
        <f>VLOOKUP(M384,'Products (2)'!A:G,7,0)</f>
        <v>0.80190000000000006</v>
      </c>
      <c r="Q384" s="3">
        <v>3</v>
      </c>
      <c r="R384" s="5">
        <f>INDEX([1]products!$A$1:$G$49,MATCH([1]orders!$D384,[1]products!$A$1:$A$49,0),MATCH([1]orders!K$1,[1]products!$A$1:$G$1,0))</f>
        <v>0.5</v>
      </c>
      <c r="S384" s="6">
        <f>INDEX([1]products!$A$1:$G$49,MATCH([1]orders!$D384,[1]products!$A$1:$A$49,0),MATCH([1]orders!L$1,[1]products!$A$1:$G$1,0))</f>
        <v>7.29</v>
      </c>
      <c r="T384" s="6">
        <f t="shared" si="30"/>
        <v>21.87</v>
      </c>
      <c r="U384" s="22">
        <f t="shared" si="34"/>
        <v>2.4057000000000004</v>
      </c>
      <c r="V384" s="22">
        <f t="shared" si="35"/>
        <v>11.000000000000002</v>
      </c>
    </row>
    <row r="385" spans="1:22" x14ac:dyDescent="0.3">
      <c r="A385" s="1" t="s">
        <v>769</v>
      </c>
      <c r="B385" s="2">
        <v>43586</v>
      </c>
      <c r="C385" s="2" t="str">
        <f t="shared" si="31"/>
        <v>Wednesday</v>
      </c>
      <c r="D385" s="2" t="str">
        <f t="shared" si="32"/>
        <v>May</v>
      </c>
      <c r="E385" s="2" t="str">
        <f t="shared" si="33"/>
        <v>2019</v>
      </c>
      <c r="F385" s="3" t="s">
        <v>770</v>
      </c>
      <c r="G385" s="3" t="str">
        <f>VLOOKUP(F386,'Customers (2)'!A:I,2,0)</f>
        <v>Nickey Dimbleby</v>
      </c>
      <c r="H385" s="3">
        <f>VLOOKUP(F385,'Customers (2)'!A:I,3,0)</f>
        <v>0</v>
      </c>
      <c r="I385" s="3" t="str">
        <f>VLOOKUP(F385,'Customers (2)'!A:I,4,0)</f>
        <v>+1 (717) 990-3931</v>
      </c>
      <c r="J385" s="3" t="str">
        <f>VLOOKUP(F385,'Customers (2)'!A:I,6,0)</f>
        <v>Harrisburg</v>
      </c>
      <c r="K385" s="3" t="str">
        <f>VLOOKUP(F385,'Customers (2)'!A:I,7,0)</f>
        <v>United States</v>
      </c>
      <c r="L385" s="3" t="str">
        <f>VLOOKUP(F385,'Customers (2)'!A:I,9,0)</f>
        <v>Yes</v>
      </c>
      <c r="M385" s="4" t="s">
        <v>176</v>
      </c>
      <c r="N385" s="4" t="str">
        <f>VLOOKUP(M385,'Products (2)'!A:G,2,0)</f>
        <v>Excelsa</v>
      </c>
      <c r="O385" s="4" t="str">
        <f>VLOOKUP(M385,'Products (2)'!A:G,3,0)</f>
        <v>Light</v>
      </c>
      <c r="P385" s="4">
        <f>VLOOKUP(M385,'Products (2)'!A:G,7,0)</f>
        <v>0.98009999999999997</v>
      </c>
      <c r="Q385" s="3">
        <v>6</v>
      </c>
      <c r="R385" s="5">
        <f>INDEX([1]products!$A$1:$G$49,MATCH([1]orders!$D385,[1]products!$A$1:$A$49,0),MATCH([1]orders!K$1,[1]products!$A$1:$G$1,0))</f>
        <v>0.5</v>
      </c>
      <c r="S385" s="6">
        <f>INDEX([1]products!$A$1:$G$49,MATCH([1]orders!$D385,[1]products!$A$1:$A$49,0),MATCH([1]orders!L$1,[1]products!$A$1:$G$1,0))</f>
        <v>8.91</v>
      </c>
      <c r="T385" s="6">
        <f t="shared" si="30"/>
        <v>53.46</v>
      </c>
      <c r="U385" s="22">
        <f t="shared" si="34"/>
        <v>5.8805999999999994</v>
      </c>
      <c r="V385" s="22">
        <f t="shared" si="35"/>
        <v>10.999999999999998</v>
      </c>
    </row>
    <row r="386" spans="1:22" x14ac:dyDescent="0.3">
      <c r="A386" s="1" t="s">
        <v>771</v>
      </c>
      <c r="B386" s="2">
        <v>43870</v>
      </c>
      <c r="C386" s="2" t="str">
        <f t="shared" si="31"/>
        <v>Sunday</v>
      </c>
      <c r="D386" s="2" t="str">
        <f t="shared" si="32"/>
        <v>February</v>
      </c>
      <c r="E386" s="2" t="str">
        <f t="shared" si="33"/>
        <v>2020</v>
      </c>
      <c r="F386" s="3" t="s">
        <v>772</v>
      </c>
      <c r="G386" s="3" t="str">
        <f>VLOOKUP(F387,'Customers (2)'!A:I,2,0)</f>
        <v>Virgil Baumadier</v>
      </c>
      <c r="H386" s="3">
        <f>VLOOKUP(F386,'Customers (2)'!A:I,3,0)</f>
        <v>0</v>
      </c>
      <c r="I386" s="3" t="str">
        <f>VLOOKUP(F386,'Customers (2)'!A:I,4,0)</f>
        <v>+1 (469) 579-2051</v>
      </c>
      <c r="J386" s="3" t="str">
        <f>VLOOKUP(F386,'Customers (2)'!A:I,6,0)</f>
        <v>Dallas</v>
      </c>
      <c r="K386" s="3" t="str">
        <f>VLOOKUP(F386,'Customers (2)'!A:I,7,0)</f>
        <v>United States</v>
      </c>
      <c r="L386" s="3" t="str">
        <f>VLOOKUP(F386,'Customers (2)'!A:I,9,0)</f>
        <v>No</v>
      </c>
      <c r="M386" s="4" t="s">
        <v>204</v>
      </c>
      <c r="N386" s="4" t="str">
        <f>VLOOKUP(M386,'Products (2)'!A:G,2,0)</f>
        <v>Arabica</v>
      </c>
      <c r="O386" s="4" t="str">
        <f>VLOOKUP(M386,'Products (2)'!A:G,3,0)</f>
        <v>Light</v>
      </c>
      <c r="P386" s="4">
        <f>VLOOKUP(M386,'Products (2)'!A:G,7,0)</f>
        <v>2.6806499999999995</v>
      </c>
      <c r="Q386" s="3">
        <v>4</v>
      </c>
      <c r="R386" s="5">
        <f>INDEX([1]products!$A$1:$G$49,MATCH([1]orders!$D386,[1]products!$A$1:$A$49,0),MATCH([1]orders!K$1,[1]products!$A$1:$G$1,0))</f>
        <v>2.5</v>
      </c>
      <c r="S386" s="6">
        <f>INDEX([1]products!$A$1:$G$49,MATCH([1]orders!$D386,[1]products!$A$1:$A$49,0),MATCH([1]orders!L$1,[1]products!$A$1:$G$1,0))</f>
        <v>29.784999999999997</v>
      </c>
      <c r="T386" s="6">
        <f t="shared" ref="T386:T449" si="36">Q386*S386</f>
        <v>119.13999999999999</v>
      </c>
      <c r="U386" s="22">
        <f t="shared" si="34"/>
        <v>10.722599999999998</v>
      </c>
      <c r="V386" s="22">
        <f t="shared" si="35"/>
        <v>9</v>
      </c>
    </row>
    <row r="387" spans="1:22" x14ac:dyDescent="0.3">
      <c r="A387" s="1" t="s">
        <v>773</v>
      </c>
      <c r="B387" s="2">
        <v>44559</v>
      </c>
      <c r="C387" s="2" t="str">
        <f t="shared" ref="C387:C450" si="37">TEXT(B387,"dddd")</f>
        <v>Wednesday</v>
      </c>
      <c r="D387" s="2" t="str">
        <f t="shared" ref="D387:D450" si="38">TEXT(B387,"MMMM")</f>
        <v>December</v>
      </c>
      <c r="E387" s="2" t="str">
        <f t="shared" ref="E387:E450" si="39">TEXT(B387,"YYYY")</f>
        <v>2021</v>
      </c>
      <c r="F387" s="3" t="s">
        <v>774</v>
      </c>
      <c r="G387" s="3" t="str">
        <f>VLOOKUP(F388,'Customers (2)'!A:I,2,0)</f>
        <v>Lenore Messenbird</v>
      </c>
      <c r="H387" s="3" t="str">
        <f>VLOOKUP(F387,'Customers (2)'!A:I,3,0)</f>
        <v>vbaumadierap@google.cn</v>
      </c>
      <c r="I387" s="3" t="str">
        <f>VLOOKUP(F387,'Customers (2)'!A:I,4,0)</f>
        <v>+1 (816) 987-4857</v>
      </c>
      <c r="J387" s="3" t="str">
        <f>VLOOKUP(F387,'Customers (2)'!A:I,6,0)</f>
        <v>Kansas City</v>
      </c>
      <c r="K387" s="3" t="str">
        <f>VLOOKUP(F387,'Customers (2)'!A:I,7,0)</f>
        <v>United States</v>
      </c>
      <c r="L387" s="3" t="str">
        <f>VLOOKUP(F387,'Customers (2)'!A:I,9,0)</f>
        <v>Yes</v>
      </c>
      <c r="M387" s="4" t="s">
        <v>78</v>
      </c>
      <c r="N387" s="4" t="str">
        <f>VLOOKUP(M387,'Products (2)'!A:G,2,0)</f>
        <v>Liberica</v>
      </c>
      <c r="O387" s="4" t="str">
        <f>VLOOKUP(M387,'Products (2)'!A:G,3,0)</f>
        <v>Medium</v>
      </c>
      <c r="P387" s="4">
        <f>VLOOKUP(M387,'Products (2)'!A:G,7,0)</f>
        <v>1.1349</v>
      </c>
      <c r="Q387" s="3">
        <v>5</v>
      </c>
      <c r="R387" s="5">
        <f>INDEX([1]products!$A$1:$G$49,MATCH([1]orders!$D387,[1]products!$A$1:$A$49,0),MATCH([1]orders!K$1,[1]products!$A$1:$G$1,0))</f>
        <v>0.5</v>
      </c>
      <c r="S387" s="6">
        <f>INDEX([1]products!$A$1:$G$49,MATCH([1]orders!$D387,[1]products!$A$1:$A$49,0),MATCH([1]orders!L$1,[1]products!$A$1:$G$1,0))</f>
        <v>8.73</v>
      </c>
      <c r="T387" s="6">
        <f t="shared" si="36"/>
        <v>43.650000000000006</v>
      </c>
      <c r="U387" s="22">
        <f t="shared" ref="U387:U450" si="40">Q387*P387</f>
        <v>5.6745000000000001</v>
      </c>
      <c r="V387" s="22">
        <f t="shared" ref="V387:V450" si="41">U387/T387*100</f>
        <v>12.999999999999998</v>
      </c>
    </row>
    <row r="388" spans="1:22" x14ac:dyDescent="0.3">
      <c r="A388" s="1" t="s">
        <v>775</v>
      </c>
      <c r="B388" s="2">
        <v>44083</v>
      </c>
      <c r="C388" s="2" t="str">
        <f t="shared" si="37"/>
        <v>Wednesday</v>
      </c>
      <c r="D388" s="2" t="str">
        <f t="shared" si="38"/>
        <v>September</v>
      </c>
      <c r="E388" s="2" t="str">
        <f t="shared" si="39"/>
        <v>2020</v>
      </c>
      <c r="F388" s="3" t="s">
        <v>776</v>
      </c>
      <c r="G388" s="3" t="str">
        <f>VLOOKUP(F389,'Customers (2)'!A:I,2,0)</f>
        <v>Shirleen Welds</v>
      </c>
      <c r="H388" s="3">
        <f>VLOOKUP(F388,'Customers (2)'!A:I,3,0)</f>
        <v>0</v>
      </c>
      <c r="I388" s="3" t="str">
        <f>VLOOKUP(F388,'Customers (2)'!A:I,4,0)</f>
        <v>+1 (217) 713-5108</v>
      </c>
      <c r="J388" s="3" t="str">
        <f>VLOOKUP(F388,'Customers (2)'!A:I,6,0)</f>
        <v>Springfield</v>
      </c>
      <c r="K388" s="3" t="str">
        <f>VLOOKUP(F388,'Customers (2)'!A:I,7,0)</f>
        <v>United States</v>
      </c>
      <c r="L388" s="3" t="str">
        <f>VLOOKUP(F388,'Customers (2)'!A:I,9,0)</f>
        <v>Yes</v>
      </c>
      <c r="M388" s="4" t="s">
        <v>54</v>
      </c>
      <c r="N388" s="4" t="str">
        <f>VLOOKUP(M388,'Products (2)'!A:G,2,0)</f>
        <v>Arabica</v>
      </c>
      <c r="O388" s="4" t="str">
        <f>VLOOKUP(M388,'Products (2)'!A:G,3,0)</f>
        <v>Dark</v>
      </c>
      <c r="P388" s="4">
        <f>VLOOKUP(M388,'Products (2)'!A:G,7,0)</f>
        <v>0.26865</v>
      </c>
      <c r="Q388" s="3">
        <v>6</v>
      </c>
      <c r="R388" s="5">
        <f>INDEX([1]products!$A$1:$G$49,MATCH([1]orders!$D388,[1]products!$A$1:$A$49,0),MATCH([1]orders!K$1,[1]products!$A$1:$G$1,0))</f>
        <v>0.2</v>
      </c>
      <c r="S388" s="6">
        <f>INDEX([1]products!$A$1:$G$49,MATCH([1]orders!$D388,[1]products!$A$1:$A$49,0),MATCH([1]orders!L$1,[1]products!$A$1:$G$1,0))</f>
        <v>2.9849999999999999</v>
      </c>
      <c r="T388" s="6">
        <f t="shared" si="36"/>
        <v>17.91</v>
      </c>
      <c r="U388" s="22">
        <f t="shared" si="40"/>
        <v>1.6118999999999999</v>
      </c>
      <c r="V388" s="22">
        <f t="shared" si="41"/>
        <v>9</v>
      </c>
    </row>
    <row r="389" spans="1:22" x14ac:dyDescent="0.3">
      <c r="A389" s="1" t="s">
        <v>777</v>
      </c>
      <c r="B389" s="2">
        <v>44455</v>
      </c>
      <c r="C389" s="2" t="str">
        <f t="shared" si="37"/>
        <v>Thursday</v>
      </c>
      <c r="D389" s="2" t="str">
        <f t="shared" si="38"/>
        <v>September</v>
      </c>
      <c r="E389" s="2" t="str">
        <f t="shared" si="39"/>
        <v>2021</v>
      </c>
      <c r="F389" s="3" t="s">
        <v>778</v>
      </c>
      <c r="G389" s="3" t="str">
        <f>VLOOKUP(F390,'Customers (2)'!A:I,2,0)</f>
        <v>Maisie Sarvar</v>
      </c>
      <c r="H389" s="3" t="str">
        <f>VLOOKUP(F389,'Customers (2)'!A:I,3,0)</f>
        <v>sweldsar@wired.com</v>
      </c>
      <c r="I389" s="3" t="str">
        <f>VLOOKUP(F389,'Customers (2)'!A:I,4,0)</f>
        <v>+1 (203) 568-7058</v>
      </c>
      <c r="J389" s="3" t="str">
        <f>VLOOKUP(F389,'Customers (2)'!A:I,6,0)</f>
        <v>New Haven</v>
      </c>
      <c r="K389" s="3" t="str">
        <f>VLOOKUP(F389,'Customers (2)'!A:I,7,0)</f>
        <v>United States</v>
      </c>
      <c r="L389" s="3" t="str">
        <f>VLOOKUP(F389,'Customers (2)'!A:I,9,0)</f>
        <v>Yes</v>
      </c>
      <c r="M389" s="4" t="s">
        <v>137</v>
      </c>
      <c r="N389" s="4" t="str">
        <f>VLOOKUP(M389,'Products (2)'!A:G,2,0)</f>
        <v>Excelsa</v>
      </c>
      <c r="O389" s="4" t="str">
        <f>VLOOKUP(M389,'Products (2)'!A:G,3,0)</f>
        <v>Light</v>
      </c>
      <c r="P389" s="4">
        <f>VLOOKUP(M389,'Products (2)'!A:G,7,0)</f>
        <v>1.6335</v>
      </c>
      <c r="Q389" s="3">
        <v>5</v>
      </c>
      <c r="R389" s="5">
        <f>INDEX([1]products!$A$1:$G$49,MATCH([1]orders!$D389,[1]products!$A$1:$A$49,0),MATCH([1]orders!K$1,[1]products!$A$1:$G$1,0))</f>
        <v>1</v>
      </c>
      <c r="S389" s="6">
        <f>INDEX([1]products!$A$1:$G$49,MATCH([1]orders!$D389,[1]products!$A$1:$A$49,0),MATCH([1]orders!L$1,[1]products!$A$1:$G$1,0))</f>
        <v>14.85</v>
      </c>
      <c r="T389" s="6">
        <f t="shared" si="36"/>
        <v>74.25</v>
      </c>
      <c r="U389" s="22">
        <f t="shared" si="40"/>
        <v>8.1675000000000004</v>
      </c>
      <c r="V389" s="22">
        <f t="shared" si="41"/>
        <v>11</v>
      </c>
    </row>
    <row r="390" spans="1:22" x14ac:dyDescent="0.3">
      <c r="A390" s="1" t="s">
        <v>779</v>
      </c>
      <c r="B390" s="2">
        <v>44130</v>
      </c>
      <c r="C390" s="2" t="str">
        <f t="shared" si="37"/>
        <v>Monday</v>
      </c>
      <c r="D390" s="2" t="str">
        <f t="shared" si="38"/>
        <v>October</v>
      </c>
      <c r="E390" s="2" t="str">
        <f t="shared" si="39"/>
        <v>2020</v>
      </c>
      <c r="F390" s="3" t="s">
        <v>780</v>
      </c>
      <c r="G390" s="3" t="str">
        <f>VLOOKUP(F391,'Customers (2)'!A:I,2,0)</f>
        <v>Andrej Havick</v>
      </c>
      <c r="H390" s="3" t="str">
        <f>VLOOKUP(F390,'Customers (2)'!A:I,3,0)</f>
        <v>msarvaras@artisteer.com</v>
      </c>
      <c r="I390" s="3" t="str">
        <f>VLOOKUP(F390,'Customers (2)'!A:I,4,0)</f>
        <v>+1 (404) 401-6865</v>
      </c>
      <c r="J390" s="3" t="str">
        <f>VLOOKUP(F390,'Customers (2)'!A:I,6,0)</f>
        <v>Lawrenceville</v>
      </c>
      <c r="K390" s="3" t="str">
        <f>VLOOKUP(F390,'Customers (2)'!A:I,7,0)</f>
        <v>United States</v>
      </c>
      <c r="L390" s="3" t="str">
        <f>VLOOKUP(F390,'Customers (2)'!A:I,9,0)</f>
        <v>Yes</v>
      </c>
      <c r="M390" s="4" t="s">
        <v>38</v>
      </c>
      <c r="N390" s="4" t="str">
        <f>VLOOKUP(M390,'Products (2)'!A:G,2,0)</f>
        <v>Liberica</v>
      </c>
      <c r="O390" s="4" t="str">
        <f>VLOOKUP(M390,'Products (2)'!A:G,3,0)</f>
        <v>Dark</v>
      </c>
      <c r="P390" s="4">
        <f>VLOOKUP(M390,'Products (2)'!A:G,7,0)</f>
        <v>0.50505</v>
      </c>
      <c r="Q390" s="3">
        <v>3</v>
      </c>
      <c r="R390" s="5">
        <f>INDEX([1]products!$A$1:$G$49,MATCH([1]orders!$D390,[1]products!$A$1:$A$49,0),MATCH([1]orders!K$1,[1]products!$A$1:$G$1,0))</f>
        <v>0.2</v>
      </c>
      <c r="S390" s="6">
        <f>INDEX([1]products!$A$1:$G$49,MATCH([1]orders!$D390,[1]products!$A$1:$A$49,0),MATCH([1]orders!L$1,[1]products!$A$1:$G$1,0))</f>
        <v>3.8849999999999998</v>
      </c>
      <c r="T390" s="6">
        <f t="shared" si="36"/>
        <v>11.654999999999999</v>
      </c>
      <c r="U390" s="22">
        <f t="shared" si="40"/>
        <v>1.51515</v>
      </c>
      <c r="V390" s="22">
        <f t="shared" si="41"/>
        <v>13</v>
      </c>
    </row>
    <row r="391" spans="1:22" x14ac:dyDescent="0.3">
      <c r="A391" s="1" t="s">
        <v>781</v>
      </c>
      <c r="B391" s="2">
        <v>43536</v>
      </c>
      <c r="C391" s="2" t="str">
        <f t="shared" si="37"/>
        <v>Tuesday</v>
      </c>
      <c r="D391" s="2" t="str">
        <f t="shared" si="38"/>
        <v>March</v>
      </c>
      <c r="E391" s="2" t="str">
        <f t="shared" si="39"/>
        <v>2019</v>
      </c>
      <c r="F391" s="3" t="s">
        <v>782</v>
      </c>
      <c r="G391" s="3" t="str">
        <f>VLOOKUP(F392,'Customers (2)'!A:I,2,0)</f>
        <v>Sloan Diviny</v>
      </c>
      <c r="H391" s="3" t="str">
        <f>VLOOKUP(F391,'Customers (2)'!A:I,3,0)</f>
        <v>ahavickat@nsw.gov.au</v>
      </c>
      <c r="I391" s="3" t="str">
        <f>VLOOKUP(F391,'Customers (2)'!A:I,4,0)</f>
        <v>+1 (828) 769-0743</v>
      </c>
      <c r="J391" s="3" t="str">
        <f>VLOOKUP(F391,'Customers (2)'!A:I,6,0)</f>
        <v>Asheville</v>
      </c>
      <c r="K391" s="3" t="str">
        <f>VLOOKUP(F391,'Customers (2)'!A:I,7,0)</f>
        <v>United States</v>
      </c>
      <c r="L391" s="3" t="str">
        <f>VLOOKUP(F391,'Customers (2)'!A:I,9,0)</f>
        <v>Yes</v>
      </c>
      <c r="M391" s="4" t="s">
        <v>123</v>
      </c>
      <c r="N391" s="4" t="str">
        <f>VLOOKUP(M391,'Products (2)'!A:G,2,0)</f>
        <v>Liberica</v>
      </c>
      <c r="O391" s="4" t="str">
        <f>VLOOKUP(M391,'Products (2)'!A:G,3,0)</f>
        <v>Dark</v>
      </c>
      <c r="P391" s="4">
        <f>VLOOKUP(M391,'Products (2)'!A:G,7,0)</f>
        <v>1.0101</v>
      </c>
      <c r="Q391" s="3">
        <v>3</v>
      </c>
      <c r="R391" s="5">
        <f>INDEX([1]products!$A$1:$G$49,MATCH([1]orders!$D391,[1]products!$A$1:$A$49,0),MATCH([1]orders!K$1,[1]products!$A$1:$G$1,0))</f>
        <v>0.5</v>
      </c>
      <c r="S391" s="6">
        <f>INDEX([1]products!$A$1:$G$49,MATCH([1]orders!$D391,[1]products!$A$1:$A$49,0),MATCH([1]orders!L$1,[1]products!$A$1:$G$1,0))</f>
        <v>7.77</v>
      </c>
      <c r="T391" s="6">
        <f t="shared" si="36"/>
        <v>23.31</v>
      </c>
      <c r="U391" s="22">
        <f t="shared" si="40"/>
        <v>3.0303</v>
      </c>
      <c r="V391" s="22">
        <f t="shared" si="41"/>
        <v>13</v>
      </c>
    </row>
    <row r="392" spans="1:22" x14ac:dyDescent="0.3">
      <c r="A392" s="1" t="s">
        <v>783</v>
      </c>
      <c r="B392" s="2">
        <v>44245</v>
      </c>
      <c r="C392" s="2" t="str">
        <f t="shared" si="37"/>
        <v>Thursday</v>
      </c>
      <c r="D392" s="2" t="str">
        <f t="shared" si="38"/>
        <v>February</v>
      </c>
      <c r="E392" s="2" t="str">
        <f t="shared" si="39"/>
        <v>2021</v>
      </c>
      <c r="F392" s="3" t="s">
        <v>784</v>
      </c>
      <c r="G392" s="3" t="str">
        <f>VLOOKUP(F393,'Customers (2)'!A:I,2,0)</f>
        <v>Itch Norquoy</v>
      </c>
      <c r="H392" s="3" t="str">
        <f>VLOOKUP(F392,'Customers (2)'!A:I,3,0)</f>
        <v>sdivinyau@ask.com</v>
      </c>
      <c r="I392" s="3">
        <f>VLOOKUP(F392,'Customers (2)'!A:I,4,0)</f>
        <v>0</v>
      </c>
      <c r="J392" s="3" t="str">
        <f>VLOOKUP(F392,'Customers (2)'!A:I,6,0)</f>
        <v>Saint Paul</v>
      </c>
      <c r="K392" s="3" t="str">
        <f>VLOOKUP(F392,'Customers (2)'!A:I,7,0)</f>
        <v>United States</v>
      </c>
      <c r="L392" s="3" t="str">
        <f>VLOOKUP(F392,'Customers (2)'!A:I,9,0)</f>
        <v>Yes</v>
      </c>
      <c r="M392" s="4" t="s">
        <v>16</v>
      </c>
      <c r="N392" s="4" t="str">
        <f>VLOOKUP(M392,'Products (2)'!A:G,2,0)</f>
        <v>Excelsa</v>
      </c>
      <c r="O392" s="4" t="str">
        <f>VLOOKUP(M392,'Products (2)'!A:G,3,0)</f>
        <v>Dark</v>
      </c>
      <c r="P392" s="4">
        <f>VLOOKUP(M392,'Products (2)'!A:G,7,0)</f>
        <v>0.80190000000000006</v>
      </c>
      <c r="Q392" s="3">
        <v>2</v>
      </c>
      <c r="R392" s="5">
        <f>INDEX([1]products!$A$1:$G$49,MATCH([1]orders!$D392,[1]products!$A$1:$A$49,0),MATCH([1]orders!K$1,[1]products!$A$1:$G$1,0))</f>
        <v>0.5</v>
      </c>
      <c r="S392" s="6">
        <f>INDEX([1]products!$A$1:$G$49,MATCH([1]orders!$D392,[1]products!$A$1:$A$49,0),MATCH([1]orders!L$1,[1]products!$A$1:$G$1,0))</f>
        <v>7.29</v>
      </c>
      <c r="T392" s="6">
        <f t="shared" si="36"/>
        <v>14.58</v>
      </c>
      <c r="U392" s="22">
        <f t="shared" si="40"/>
        <v>1.6038000000000001</v>
      </c>
      <c r="V392" s="22">
        <f t="shared" si="41"/>
        <v>11</v>
      </c>
    </row>
    <row r="393" spans="1:22" x14ac:dyDescent="0.3">
      <c r="A393" s="1" t="s">
        <v>785</v>
      </c>
      <c r="B393" s="2">
        <v>44133</v>
      </c>
      <c r="C393" s="2" t="str">
        <f t="shared" si="37"/>
        <v>Thursday</v>
      </c>
      <c r="D393" s="2" t="str">
        <f t="shared" si="38"/>
        <v>October</v>
      </c>
      <c r="E393" s="2" t="str">
        <f t="shared" si="39"/>
        <v>2020</v>
      </c>
      <c r="F393" s="3" t="s">
        <v>786</v>
      </c>
      <c r="G393" s="3" t="str">
        <f>VLOOKUP(F394,'Customers (2)'!A:I,2,0)</f>
        <v>Anson Iddison</v>
      </c>
      <c r="H393" s="3" t="str">
        <f>VLOOKUP(F393,'Customers (2)'!A:I,3,0)</f>
        <v>inorquoyav@businessweek.com</v>
      </c>
      <c r="I393" s="3">
        <f>VLOOKUP(F393,'Customers (2)'!A:I,4,0)</f>
        <v>0</v>
      </c>
      <c r="J393" s="3" t="str">
        <f>VLOOKUP(F393,'Customers (2)'!A:I,6,0)</f>
        <v>Minneapolis</v>
      </c>
      <c r="K393" s="3" t="str">
        <f>VLOOKUP(F393,'Customers (2)'!A:I,7,0)</f>
        <v>United States</v>
      </c>
      <c r="L393" s="3" t="str">
        <f>VLOOKUP(F393,'Customers (2)'!A:I,9,0)</f>
        <v>No</v>
      </c>
      <c r="M393" s="4" t="s">
        <v>67</v>
      </c>
      <c r="N393" s="4" t="str">
        <f>VLOOKUP(M393,'Products (2)'!A:G,2,0)</f>
        <v>Arabica</v>
      </c>
      <c r="O393" s="4" t="str">
        <f>VLOOKUP(M393,'Products (2)'!A:G,3,0)</f>
        <v>Medium</v>
      </c>
      <c r="P393" s="4">
        <f>VLOOKUP(M393,'Products (2)'!A:G,7,0)</f>
        <v>0.60749999999999993</v>
      </c>
      <c r="Q393" s="3">
        <v>2</v>
      </c>
      <c r="R393" s="5">
        <f>INDEX([1]products!$A$1:$G$49,MATCH([1]orders!$D393,[1]products!$A$1:$A$49,0),MATCH([1]orders!K$1,[1]products!$A$1:$G$1,0))</f>
        <v>0.5</v>
      </c>
      <c r="S393" s="6">
        <f>INDEX([1]products!$A$1:$G$49,MATCH([1]orders!$D393,[1]products!$A$1:$A$49,0),MATCH([1]orders!L$1,[1]products!$A$1:$G$1,0))</f>
        <v>6.75</v>
      </c>
      <c r="T393" s="6">
        <f t="shared" si="36"/>
        <v>13.5</v>
      </c>
      <c r="U393" s="22">
        <f t="shared" si="40"/>
        <v>1.2149999999999999</v>
      </c>
      <c r="V393" s="22">
        <f t="shared" si="41"/>
        <v>8.9999999999999982</v>
      </c>
    </row>
    <row r="394" spans="1:22" x14ac:dyDescent="0.3">
      <c r="A394" s="1" t="s">
        <v>787</v>
      </c>
      <c r="B394" s="2">
        <v>44445</v>
      </c>
      <c r="C394" s="2" t="str">
        <f t="shared" si="37"/>
        <v>Monday</v>
      </c>
      <c r="D394" s="2" t="str">
        <f t="shared" si="38"/>
        <v>September</v>
      </c>
      <c r="E394" s="2" t="str">
        <f t="shared" si="39"/>
        <v>2021</v>
      </c>
      <c r="F394" s="3" t="s">
        <v>788</v>
      </c>
      <c r="G394" s="3" t="str">
        <f>VLOOKUP(F395,'Customers (2)'!A:I,2,0)</f>
        <v>Anson Iddison</v>
      </c>
      <c r="H394" s="3" t="str">
        <f>VLOOKUP(F394,'Customers (2)'!A:I,3,0)</f>
        <v>aiddisonaw@usa.gov</v>
      </c>
      <c r="I394" s="3" t="str">
        <f>VLOOKUP(F394,'Customers (2)'!A:I,4,0)</f>
        <v>+1 (714) 658-0310</v>
      </c>
      <c r="J394" s="3" t="str">
        <f>VLOOKUP(F394,'Customers (2)'!A:I,6,0)</f>
        <v>Santa Ana</v>
      </c>
      <c r="K394" s="3" t="str">
        <f>VLOOKUP(F394,'Customers (2)'!A:I,7,0)</f>
        <v>United States</v>
      </c>
      <c r="L394" s="3" t="str">
        <f>VLOOKUP(F394,'Customers (2)'!A:I,9,0)</f>
        <v>No</v>
      </c>
      <c r="M394" s="4" t="s">
        <v>137</v>
      </c>
      <c r="N394" s="4" t="str">
        <f>VLOOKUP(M394,'Products (2)'!A:G,2,0)</f>
        <v>Excelsa</v>
      </c>
      <c r="O394" s="4" t="str">
        <f>VLOOKUP(M394,'Products (2)'!A:G,3,0)</f>
        <v>Light</v>
      </c>
      <c r="P394" s="4">
        <f>VLOOKUP(M394,'Products (2)'!A:G,7,0)</f>
        <v>1.6335</v>
      </c>
      <c r="Q394" s="3">
        <v>6</v>
      </c>
      <c r="R394" s="5">
        <f>INDEX([1]products!$A$1:$G$49,MATCH([1]orders!$D394,[1]products!$A$1:$A$49,0),MATCH([1]orders!K$1,[1]products!$A$1:$G$1,0))</f>
        <v>1</v>
      </c>
      <c r="S394" s="6">
        <f>INDEX([1]products!$A$1:$G$49,MATCH([1]orders!$D394,[1]products!$A$1:$A$49,0),MATCH([1]orders!L$1,[1]products!$A$1:$G$1,0))</f>
        <v>14.85</v>
      </c>
      <c r="T394" s="6">
        <f t="shared" si="36"/>
        <v>89.1</v>
      </c>
      <c r="U394" s="22">
        <f t="shared" si="40"/>
        <v>9.8010000000000002</v>
      </c>
      <c r="V394" s="22">
        <f t="shared" si="41"/>
        <v>11.000000000000002</v>
      </c>
    </row>
    <row r="395" spans="1:22" x14ac:dyDescent="0.3">
      <c r="A395" s="1" t="s">
        <v>787</v>
      </c>
      <c r="B395" s="2">
        <v>44445</v>
      </c>
      <c r="C395" s="2" t="str">
        <f t="shared" si="37"/>
        <v>Monday</v>
      </c>
      <c r="D395" s="2" t="str">
        <f t="shared" si="38"/>
        <v>September</v>
      </c>
      <c r="E395" s="2" t="str">
        <f t="shared" si="39"/>
        <v>2021</v>
      </c>
      <c r="F395" s="3" t="s">
        <v>788</v>
      </c>
      <c r="G395" s="3" t="str">
        <f>VLOOKUP(F396,'Customers (2)'!A:I,2,0)</f>
        <v>Randal Longfield</v>
      </c>
      <c r="H395" s="3" t="str">
        <f>VLOOKUP(F395,'Customers (2)'!A:I,3,0)</f>
        <v>aiddisonaw@usa.gov</v>
      </c>
      <c r="I395" s="3" t="str">
        <f>VLOOKUP(F395,'Customers (2)'!A:I,4,0)</f>
        <v>+1 (714) 658-0310</v>
      </c>
      <c r="J395" s="3" t="str">
        <f>VLOOKUP(F395,'Customers (2)'!A:I,6,0)</f>
        <v>Santa Ana</v>
      </c>
      <c r="K395" s="3" t="str">
        <f>VLOOKUP(F395,'Customers (2)'!A:I,7,0)</f>
        <v>United States</v>
      </c>
      <c r="L395" s="3" t="str">
        <f>VLOOKUP(F395,'Customers (2)'!A:I,9,0)</f>
        <v>No</v>
      </c>
      <c r="M395" s="4" t="s">
        <v>115</v>
      </c>
      <c r="N395" s="4" t="str">
        <f>VLOOKUP(M395,'Products (2)'!A:G,2,0)</f>
        <v>Arabica</v>
      </c>
      <c r="O395" s="4" t="str">
        <f>VLOOKUP(M395,'Products (2)'!A:G,3,0)</f>
        <v>Light</v>
      </c>
      <c r="P395" s="4">
        <f>VLOOKUP(M395,'Products (2)'!A:G,7,0)</f>
        <v>0.34964999999999996</v>
      </c>
      <c r="Q395" s="3">
        <v>1</v>
      </c>
      <c r="R395" s="5">
        <f>INDEX([1]products!$A$1:$G$49,MATCH([1]orders!$D395,[1]products!$A$1:$A$49,0),MATCH([1]orders!K$1,[1]products!$A$1:$G$1,0))</f>
        <v>0.2</v>
      </c>
      <c r="S395" s="6">
        <f>INDEX([1]products!$A$1:$G$49,MATCH([1]orders!$D395,[1]products!$A$1:$A$49,0),MATCH([1]orders!L$1,[1]products!$A$1:$G$1,0))</f>
        <v>3.8849999999999998</v>
      </c>
      <c r="T395" s="6">
        <f t="shared" si="36"/>
        <v>3.8849999999999998</v>
      </c>
      <c r="U395" s="22">
        <f t="shared" si="40"/>
        <v>0.34964999999999996</v>
      </c>
      <c r="V395" s="22">
        <f t="shared" si="41"/>
        <v>9</v>
      </c>
    </row>
    <row r="396" spans="1:22" x14ac:dyDescent="0.3">
      <c r="A396" s="1" t="s">
        <v>789</v>
      </c>
      <c r="B396" s="2">
        <v>44083</v>
      </c>
      <c r="C396" s="2" t="str">
        <f t="shared" si="37"/>
        <v>Wednesday</v>
      </c>
      <c r="D396" s="2" t="str">
        <f t="shared" si="38"/>
        <v>September</v>
      </c>
      <c r="E396" s="2" t="str">
        <f t="shared" si="39"/>
        <v>2020</v>
      </c>
      <c r="F396" s="3" t="s">
        <v>790</v>
      </c>
      <c r="G396" s="3" t="str">
        <f>VLOOKUP(F397,'Customers (2)'!A:I,2,0)</f>
        <v>Gregorius Kislingbury</v>
      </c>
      <c r="H396" s="3" t="str">
        <f>VLOOKUP(F396,'Customers (2)'!A:I,3,0)</f>
        <v>rlongfielday@bluehost.com</v>
      </c>
      <c r="I396" s="3" t="str">
        <f>VLOOKUP(F396,'Customers (2)'!A:I,4,0)</f>
        <v>+1 (612) 210-6966</v>
      </c>
      <c r="J396" s="3" t="str">
        <f>VLOOKUP(F396,'Customers (2)'!A:I,6,0)</f>
        <v>Minneapolis</v>
      </c>
      <c r="K396" s="3" t="str">
        <f>VLOOKUP(F396,'Customers (2)'!A:I,7,0)</f>
        <v>United States</v>
      </c>
      <c r="L396" s="3" t="str">
        <f>VLOOKUP(F396,'Customers (2)'!A:I,9,0)</f>
        <v>No</v>
      </c>
      <c r="M396" s="4" t="s">
        <v>10</v>
      </c>
      <c r="N396" s="4" t="str">
        <f>VLOOKUP(M396,'Products (2)'!A:G,2,0)</f>
        <v>Robusta</v>
      </c>
      <c r="O396" s="4" t="str">
        <f>VLOOKUP(M396,'Products (2)'!A:G,3,0)</f>
        <v>Light</v>
      </c>
      <c r="P396" s="4">
        <f>VLOOKUP(M396,'Products (2)'!A:G,7,0)</f>
        <v>1.6490999999999998</v>
      </c>
      <c r="Q396" s="3">
        <v>4</v>
      </c>
      <c r="R396" s="5">
        <f>INDEX([1]products!$A$1:$G$49,MATCH([1]orders!$D396,[1]products!$A$1:$A$49,0),MATCH([1]orders!K$1,[1]products!$A$1:$G$1,0))</f>
        <v>2.5</v>
      </c>
      <c r="S396" s="6">
        <f>INDEX([1]products!$A$1:$G$49,MATCH([1]orders!$D396,[1]products!$A$1:$A$49,0),MATCH([1]orders!L$1,[1]products!$A$1:$G$1,0))</f>
        <v>27.484999999999996</v>
      </c>
      <c r="T396" s="6">
        <f t="shared" si="36"/>
        <v>109.93999999999998</v>
      </c>
      <c r="U396" s="22">
        <f t="shared" si="40"/>
        <v>6.5963999999999992</v>
      </c>
      <c r="V396" s="22">
        <f t="shared" si="41"/>
        <v>6.0000000000000009</v>
      </c>
    </row>
    <row r="397" spans="1:22" x14ac:dyDescent="0.3">
      <c r="A397" s="1" t="s">
        <v>791</v>
      </c>
      <c r="B397" s="2">
        <v>44465</v>
      </c>
      <c r="C397" s="2" t="str">
        <f t="shared" si="37"/>
        <v>Sunday</v>
      </c>
      <c r="D397" s="2" t="str">
        <f t="shared" si="38"/>
        <v>September</v>
      </c>
      <c r="E397" s="2" t="str">
        <f t="shared" si="39"/>
        <v>2021</v>
      </c>
      <c r="F397" s="3" t="s">
        <v>792</v>
      </c>
      <c r="G397" s="3" t="str">
        <f>VLOOKUP(F398,'Customers (2)'!A:I,2,0)</f>
        <v>Xenos Gibbons</v>
      </c>
      <c r="H397" s="3" t="str">
        <f>VLOOKUP(F397,'Customers (2)'!A:I,3,0)</f>
        <v>gkislingburyaz@samsung.com</v>
      </c>
      <c r="I397" s="3">
        <f>VLOOKUP(F397,'Customers (2)'!A:I,4,0)</f>
        <v>0</v>
      </c>
      <c r="J397" s="3" t="str">
        <f>VLOOKUP(F397,'Customers (2)'!A:I,6,0)</f>
        <v>Washington</v>
      </c>
      <c r="K397" s="3" t="str">
        <f>VLOOKUP(F397,'Customers (2)'!A:I,7,0)</f>
        <v>United States</v>
      </c>
      <c r="L397" s="3" t="str">
        <f>VLOOKUP(F397,'Customers (2)'!A:I,9,0)</f>
        <v>Yes</v>
      </c>
      <c r="M397" s="4" t="s">
        <v>123</v>
      </c>
      <c r="N397" s="4" t="str">
        <f>VLOOKUP(M397,'Products (2)'!A:G,2,0)</f>
        <v>Liberica</v>
      </c>
      <c r="O397" s="4" t="str">
        <f>VLOOKUP(M397,'Products (2)'!A:G,3,0)</f>
        <v>Dark</v>
      </c>
      <c r="P397" s="4">
        <f>VLOOKUP(M397,'Products (2)'!A:G,7,0)</f>
        <v>1.0101</v>
      </c>
      <c r="Q397" s="3">
        <v>6</v>
      </c>
      <c r="R397" s="5">
        <f>INDEX([1]products!$A$1:$G$49,MATCH([1]orders!$D397,[1]products!$A$1:$A$49,0),MATCH([1]orders!K$1,[1]products!$A$1:$G$1,0))</f>
        <v>0.5</v>
      </c>
      <c r="S397" s="6">
        <f>INDEX([1]products!$A$1:$G$49,MATCH([1]orders!$D397,[1]products!$A$1:$A$49,0),MATCH([1]orders!L$1,[1]products!$A$1:$G$1,0))</f>
        <v>7.77</v>
      </c>
      <c r="T397" s="6">
        <f t="shared" si="36"/>
        <v>46.62</v>
      </c>
      <c r="U397" s="22">
        <f t="shared" si="40"/>
        <v>6.0606</v>
      </c>
      <c r="V397" s="22">
        <f t="shared" si="41"/>
        <v>13</v>
      </c>
    </row>
    <row r="398" spans="1:22" x14ac:dyDescent="0.3">
      <c r="A398" s="1" t="s">
        <v>793</v>
      </c>
      <c r="B398" s="2">
        <v>44140</v>
      </c>
      <c r="C398" s="2" t="str">
        <f t="shared" si="37"/>
        <v>Thursday</v>
      </c>
      <c r="D398" s="2" t="str">
        <f t="shared" si="38"/>
        <v>November</v>
      </c>
      <c r="E398" s="2" t="str">
        <f t="shared" si="39"/>
        <v>2020</v>
      </c>
      <c r="F398" s="3" t="s">
        <v>794</v>
      </c>
      <c r="G398" s="3" t="str">
        <f>VLOOKUP(F399,'Customers (2)'!A:I,2,0)</f>
        <v>Fleur Parres</v>
      </c>
      <c r="H398" s="3" t="str">
        <f>VLOOKUP(F398,'Customers (2)'!A:I,3,0)</f>
        <v>xgibbonsb0@artisteer.com</v>
      </c>
      <c r="I398" s="3" t="str">
        <f>VLOOKUP(F398,'Customers (2)'!A:I,4,0)</f>
        <v>+1 (909) 614-0008</v>
      </c>
      <c r="J398" s="3" t="str">
        <f>VLOOKUP(F398,'Customers (2)'!A:I,6,0)</f>
        <v>San Bernardino</v>
      </c>
      <c r="K398" s="3" t="str">
        <f>VLOOKUP(F398,'Customers (2)'!A:I,7,0)</f>
        <v>United States</v>
      </c>
      <c r="L398" s="3" t="str">
        <f>VLOOKUP(F398,'Customers (2)'!A:I,9,0)</f>
        <v>No</v>
      </c>
      <c r="M398" s="4" t="s">
        <v>192</v>
      </c>
      <c r="N398" s="4" t="str">
        <f>VLOOKUP(M398,'Products (2)'!A:G,2,0)</f>
        <v>Arabica</v>
      </c>
      <c r="O398" s="4" t="str">
        <f>VLOOKUP(M398,'Products (2)'!A:G,3,0)</f>
        <v>Light</v>
      </c>
      <c r="P398" s="4">
        <f>VLOOKUP(M398,'Products (2)'!A:G,7,0)</f>
        <v>0.69929999999999992</v>
      </c>
      <c r="Q398" s="3">
        <v>5</v>
      </c>
      <c r="R398" s="5">
        <f>INDEX([1]products!$A$1:$G$49,MATCH([1]orders!$D398,[1]products!$A$1:$A$49,0),MATCH([1]orders!K$1,[1]products!$A$1:$G$1,0))</f>
        <v>0.5</v>
      </c>
      <c r="S398" s="6">
        <f>INDEX([1]products!$A$1:$G$49,MATCH([1]orders!$D398,[1]products!$A$1:$A$49,0),MATCH([1]orders!L$1,[1]products!$A$1:$G$1,0))</f>
        <v>7.77</v>
      </c>
      <c r="T398" s="6">
        <f t="shared" si="36"/>
        <v>38.849999999999994</v>
      </c>
      <c r="U398" s="22">
        <f t="shared" si="40"/>
        <v>3.4964999999999997</v>
      </c>
      <c r="V398" s="22">
        <f t="shared" si="41"/>
        <v>9.0000000000000018</v>
      </c>
    </row>
    <row r="399" spans="1:22" x14ac:dyDescent="0.3">
      <c r="A399" s="1" t="s">
        <v>795</v>
      </c>
      <c r="B399" s="2">
        <v>43720</v>
      </c>
      <c r="C399" s="2" t="str">
        <f t="shared" si="37"/>
        <v>Thursday</v>
      </c>
      <c r="D399" s="2" t="str">
        <f t="shared" si="38"/>
        <v>September</v>
      </c>
      <c r="E399" s="2" t="str">
        <f t="shared" si="39"/>
        <v>2019</v>
      </c>
      <c r="F399" s="3" t="s">
        <v>796</v>
      </c>
      <c r="G399" s="3" t="str">
        <f>VLOOKUP(F400,'Customers (2)'!A:I,2,0)</f>
        <v>Gran Sibray</v>
      </c>
      <c r="H399" s="3" t="str">
        <f>VLOOKUP(F399,'Customers (2)'!A:I,3,0)</f>
        <v>fparresb1@imageshack.us</v>
      </c>
      <c r="I399" s="3" t="str">
        <f>VLOOKUP(F399,'Customers (2)'!A:I,4,0)</f>
        <v>+1 (585) 672-4256</v>
      </c>
      <c r="J399" s="3" t="str">
        <f>VLOOKUP(F399,'Customers (2)'!A:I,6,0)</f>
        <v>Rochester</v>
      </c>
      <c r="K399" s="3" t="str">
        <f>VLOOKUP(F399,'Customers (2)'!A:I,7,0)</f>
        <v>United States</v>
      </c>
      <c r="L399" s="3" t="str">
        <f>VLOOKUP(F399,'Customers (2)'!A:I,9,0)</f>
        <v>Yes</v>
      </c>
      <c r="M399" s="4" t="s">
        <v>123</v>
      </c>
      <c r="N399" s="4" t="str">
        <f>VLOOKUP(M399,'Products (2)'!A:G,2,0)</f>
        <v>Liberica</v>
      </c>
      <c r="O399" s="4" t="str">
        <f>VLOOKUP(M399,'Products (2)'!A:G,3,0)</f>
        <v>Dark</v>
      </c>
      <c r="P399" s="4">
        <f>VLOOKUP(M399,'Products (2)'!A:G,7,0)</f>
        <v>1.0101</v>
      </c>
      <c r="Q399" s="3">
        <v>4</v>
      </c>
      <c r="R399" s="5">
        <f>INDEX([1]products!$A$1:$G$49,MATCH([1]orders!$D399,[1]products!$A$1:$A$49,0),MATCH([1]orders!K$1,[1]products!$A$1:$G$1,0))</f>
        <v>0.5</v>
      </c>
      <c r="S399" s="6">
        <f>INDEX([1]products!$A$1:$G$49,MATCH([1]orders!$D399,[1]products!$A$1:$A$49,0),MATCH([1]orders!L$1,[1]products!$A$1:$G$1,0))</f>
        <v>7.77</v>
      </c>
      <c r="T399" s="6">
        <f t="shared" si="36"/>
        <v>31.08</v>
      </c>
      <c r="U399" s="22">
        <f t="shared" si="40"/>
        <v>4.0404</v>
      </c>
      <c r="V399" s="22">
        <f t="shared" si="41"/>
        <v>13</v>
      </c>
    </row>
    <row r="400" spans="1:22" x14ac:dyDescent="0.3">
      <c r="A400" s="1" t="s">
        <v>797</v>
      </c>
      <c r="B400" s="2">
        <v>43677</v>
      </c>
      <c r="C400" s="2" t="str">
        <f t="shared" si="37"/>
        <v>Wednesday</v>
      </c>
      <c r="D400" s="2" t="str">
        <f t="shared" si="38"/>
        <v>July</v>
      </c>
      <c r="E400" s="2" t="str">
        <f t="shared" si="39"/>
        <v>2019</v>
      </c>
      <c r="F400" s="3" t="s">
        <v>798</v>
      </c>
      <c r="G400" s="3" t="str">
        <f>VLOOKUP(F401,'Customers (2)'!A:I,2,0)</f>
        <v>Ingelbert Hotchkin</v>
      </c>
      <c r="H400" s="3" t="str">
        <f>VLOOKUP(F400,'Customers (2)'!A:I,3,0)</f>
        <v>gsibrayb2@wsj.com</v>
      </c>
      <c r="I400" s="3" t="str">
        <f>VLOOKUP(F400,'Customers (2)'!A:I,4,0)</f>
        <v>+1 (360) 389-5295</v>
      </c>
      <c r="J400" s="3" t="str">
        <f>VLOOKUP(F400,'Customers (2)'!A:I,6,0)</f>
        <v>Vancouver</v>
      </c>
      <c r="K400" s="3" t="str">
        <f>VLOOKUP(F400,'Customers (2)'!A:I,7,0)</f>
        <v>United States</v>
      </c>
      <c r="L400" s="3" t="str">
        <f>VLOOKUP(F400,'Customers (2)'!A:I,9,0)</f>
        <v>Yes</v>
      </c>
      <c r="M400" s="4" t="s">
        <v>54</v>
      </c>
      <c r="N400" s="4" t="str">
        <f>VLOOKUP(M400,'Products (2)'!A:G,2,0)</f>
        <v>Arabica</v>
      </c>
      <c r="O400" s="4" t="str">
        <f>VLOOKUP(M400,'Products (2)'!A:G,3,0)</f>
        <v>Dark</v>
      </c>
      <c r="P400" s="4">
        <f>VLOOKUP(M400,'Products (2)'!A:G,7,0)</f>
        <v>0.26865</v>
      </c>
      <c r="Q400" s="3">
        <v>6</v>
      </c>
      <c r="R400" s="5">
        <f>INDEX([1]products!$A$1:$G$49,MATCH([1]orders!$D400,[1]products!$A$1:$A$49,0),MATCH([1]orders!K$1,[1]products!$A$1:$G$1,0))</f>
        <v>0.2</v>
      </c>
      <c r="S400" s="6">
        <f>INDEX([1]products!$A$1:$G$49,MATCH([1]orders!$D400,[1]products!$A$1:$A$49,0),MATCH([1]orders!L$1,[1]products!$A$1:$G$1,0))</f>
        <v>2.9849999999999999</v>
      </c>
      <c r="T400" s="6">
        <f t="shared" si="36"/>
        <v>17.91</v>
      </c>
      <c r="U400" s="22">
        <f t="shared" si="40"/>
        <v>1.6118999999999999</v>
      </c>
      <c r="V400" s="22">
        <f t="shared" si="41"/>
        <v>9</v>
      </c>
    </row>
    <row r="401" spans="1:22" x14ac:dyDescent="0.3">
      <c r="A401" s="1" t="s">
        <v>799</v>
      </c>
      <c r="B401" s="2">
        <v>43539</v>
      </c>
      <c r="C401" s="2" t="str">
        <f t="shared" si="37"/>
        <v>Friday</v>
      </c>
      <c r="D401" s="2" t="str">
        <f t="shared" si="38"/>
        <v>March</v>
      </c>
      <c r="E401" s="2" t="str">
        <f t="shared" si="39"/>
        <v>2019</v>
      </c>
      <c r="F401" s="3" t="s">
        <v>800</v>
      </c>
      <c r="G401" s="3" t="str">
        <f>VLOOKUP(F402,'Customers (2)'!A:I,2,0)</f>
        <v>Neely Broadberrie</v>
      </c>
      <c r="H401" s="3" t="str">
        <f>VLOOKUP(F401,'Customers (2)'!A:I,3,0)</f>
        <v>ihotchkinb3@mit.edu</v>
      </c>
      <c r="I401" s="3" t="str">
        <f>VLOOKUP(F401,'Customers (2)'!A:I,4,0)</f>
        <v>+44 (387) 464-9544</v>
      </c>
      <c r="J401" s="3" t="str">
        <f>VLOOKUP(F401,'Customers (2)'!A:I,6,0)</f>
        <v>Preston</v>
      </c>
      <c r="K401" s="3" t="str">
        <f>VLOOKUP(F401,'Customers (2)'!A:I,7,0)</f>
        <v>United Kingdom</v>
      </c>
      <c r="L401" s="3" t="str">
        <f>VLOOKUP(F401,'Customers (2)'!A:I,9,0)</f>
        <v>No</v>
      </c>
      <c r="M401" s="4" t="s">
        <v>530</v>
      </c>
      <c r="N401" s="4" t="str">
        <f>VLOOKUP(M401,'Products (2)'!A:G,2,0)</f>
        <v>Excelsa</v>
      </c>
      <c r="O401" s="4" t="str">
        <f>VLOOKUP(M401,'Products (2)'!A:G,3,0)</f>
        <v>Dark</v>
      </c>
      <c r="P401" s="4">
        <f>VLOOKUP(M401,'Products (2)'!A:G,7,0)</f>
        <v>3.07395</v>
      </c>
      <c r="Q401" s="3">
        <v>6</v>
      </c>
      <c r="R401" s="5">
        <f>INDEX([1]products!$A$1:$G$49,MATCH([1]orders!$D401,[1]products!$A$1:$A$49,0),MATCH([1]orders!K$1,[1]products!$A$1:$G$1,0))</f>
        <v>2.5</v>
      </c>
      <c r="S401" s="6">
        <f>INDEX([1]products!$A$1:$G$49,MATCH([1]orders!$D401,[1]products!$A$1:$A$49,0),MATCH([1]orders!L$1,[1]products!$A$1:$G$1,0))</f>
        <v>27.945</v>
      </c>
      <c r="T401" s="6">
        <f t="shared" si="36"/>
        <v>167.67000000000002</v>
      </c>
      <c r="U401" s="22">
        <f t="shared" si="40"/>
        <v>18.4437</v>
      </c>
      <c r="V401" s="22">
        <f t="shared" si="41"/>
        <v>10.999999999999998</v>
      </c>
    </row>
    <row r="402" spans="1:22" x14ac:dyDescent="0.3">
      <c r="A402" s="1" t="s">
        <v>801</v>
      </c>
      <c r="B402" s="2">
        <v>44332</v>
      </c>
      <c r="C402" s="2" t="str">
        <f t="shared" si="37"/>
        <v>Sunday</v>
      </c>
      <c r="D402" s="2" t="str">
        <f t="shared" si="38"/>
        <v>May</v>
      </c>
      <c r="E402" s="2" t="str">
        <f t="shared" si="39"/>
        <v>2021</v>
      </c>
      <c r="F402" s="3" t="s">
        <v>802</v>
      </c>
      <c r="G402" s="3" t="str">
        <f>VLOOKUP(F403,'Customers (2)'!A:I,2,0)</f>
        <v>Rutger Pithcock</v>
      </c>
      <c r="H402" s="3" t="str">
        <f>VLOOKUP(F402,'Customers (2)'!A:I,3,0)</f>
        <v>nbroadberrieb4@gnu.org</v>
      </c>
      <c r="I402" s="3" t="str">
        <f>VLOOKUP(F402,'Customers (2)'!A:I,4,0)</f>
        <v>+1 (202) 327-2217</v>
      </c>
      <c r="J402" s="3" t="str">
        <f>VLOOKUP(F402,'Customers (2)'!A:I,6,0)</f>
        <v>Washington</v>
      </c>
      <c r="K402" s="3" t="str">
        <f>VLOOKUP(F402,'Customers (2)'!A:I,7,0)</f>
        <v>United States</v>
      </c>
      <c r="L402" s="3" t="str">
        <f>VLOOKUP(F402,'Customers (2)'!A:I,9,0)</f>
        <v>No</v>
      </c>
      <c r="M402" s="4" t="s">
        <v>132</v>
      </c>
      <c r="N402" s="4" t="str">
        <f>VLOOKUP(M402,'Products (2)'!A:G,2,0)</f>
        <v>Liberica</v>
      </c>
      <c r="O402" s="4" t="str">
        <f>VLOOKUP(M402,'Products (2)'!A:G,3,0)</f>
        <v>Light</v>
      </c>
      <c r="P402" s="4">
        <f>VLOOKUP(M402,'Products (2)'!A:G,7,0)</f>
        <v>2.0605000000000002</v>
      </c>
      <c r="Q402" s="3">
        <v>4</v>
      </c>
      <c r="R402" s="5">
        <f>INDEX([1]products!$A$1:$G$49,MATCH([1]orders!$D402,[1]products!$A$1:$A$49,0),MATCH([1]orders!K$1,[1]products!$A$1:$G$1,0))</f>
        <v>1</v>
      </c>
      <c r="S402" s="6">
        <f>INDEX([1]products!$A$1:$G$49,MATCH([1]orders!$D402,[1]products!$A$1:$A$49,0),MATCH([1]orders!L$1,[1]products!$A$1:$G$1,0))</f>
        <v>15.85</v>
      </c>
      <c r="T402" s="6">
        <f t="shared" si="36"/>
        <v>63.4</v>
      </c>
      <c r="U402" s="22">
        <f t="shared" si="40"/>
        <v>8.2420000000000009</v>
      </c>
      <c r="V402" s="22">
        <f t="shared" si="41"/>
        <v>13</v>
      </c>
    </row>
    <row r="403" spans="1:22" x14ac:dyDescent="0.3">
      <c r="A403" s="1" t="s">
        <v>803</v>
      </c>
      <c r="B403" s="2">
        <v>43591</v>
      </c>
      <c r="C403" s="2" t="str">
        <f t="shared" si="37"/>
        <v>Monday</v>
      </c>
      <c r="D403" s="2" t="str">
        <f t="shared" si="38"/>
        <v>May</v>
      </c>
      <c r="E403" s="2" t="str">
        <f t="shared" si="39"/>
        <v>2019</v>
      </c>
      <c r="F403" s="3" t="s">
        <v>804</v>
      </c>
      <c r="G403" s="3" t="str">
        <f>VLOOKUP(F404,'Customers (2)'!A:I,2,0)</f>
        <v>Gale Croysdale</v>
      </c>
      <c r="H403" s="3" t="str">
        <f>VLOOKUP(F403,'Customers (2)'!A:I,3,0)</f>
        <v>rpithcockb5@yellowbook.com</v>
      </c>
      <c r="I403" s="3" t="str">
        <f>VLOOKUP(F403,'Customers (2)'!A:I,4,0)</f>
        <v>+1 (865) 655-9540</v>
      </c>
      <c r="J403" s="3" t="str">
        <f>VLOOKUP(F403,'Customers (2)'!A:I,6,0)</f>
        <v>Knoxville</v>
      </c>
      <c r="K403" s="3" t="str">
        <f>VLOOKUP(F403,'Customers (2)'!A:I,7,0)</f>
        <v>United States</v>
      </c>
      <c r="L403" s="3" t="str">
        <f>VLOOKUP(F403,'Customers (2)'!A:I,9,0)</f>
        <v>Yes</v>
      </c>
      <c r="M403" s="4" t="s">
        <v>77</v>
      </c>
      <c r="N403" s="4" t="str">
        <f>VLOOKUP(M403,'Products (2)'!A:G,2,0)</f>
        <v>Liberica</v>
      </c>
      <c r="O403" s="4" t="str">
        <f>VLOOKUP(M403,'Products (2)'!A:G,3,0)</f>
        <v>Medium</v>
      </c>
      <c r="P403" s="4">
        <f>VLOOKUP(M403,'Products (2)'!A:G,7,0)</f>
        <v>0.56745000000000001</v>
      </c>
      <c r="Q403" s="3">
        <v>2</v>
      </c>
      <c r="R403" s="5">
        <f>INDEX([1]products!$A$1:$G$49,MATCH([1]orders!$D403,[1]products!$A$1:$A$49,0),MATCH([1]orders!K$1,[1]products!$A$1:$G$1,0))</f>
        <v>0.2</v>
      </c>
      <c r="S403" s="6">
        <f>INDEX([1]products!$A$1:$G$49,MATCH([1]orders!$D403,[1]products!$A$1:$A$49,0),MATCH([1]orders!L$1,[1]products!$A$1:$G$1,0))</f>
        <v>4.3650000000000002</v>
      </c>
      <c r="T403" s="6">
        <f t="shared" si="36"/>
        <v>8.73</v>
      </c>
      <c r="U403" s="22">
        <f t="shared" si="40"/>
        <v>1.1349</v>
      </c>
      <c r="V403" s="22">
        <f t="shared" si="41"/>
        <v>13</v>
      </c>
    </row>
    <row r="404" spans="1:22" x14ac:dyDescent="0.3">
      <c r="A404" s="1" t="s">
        <v>805</v>
      </c>
      <c r="B404" s="2">
        <v>43502</v>
      </c>
      <c r="C404" s="2" t="str">
        <f t="shared" si="37"/>
        <v>Wednesday</v>
      </c>
      <c r="D404" s="2" t="str">
        <f t="shared" si="38"/>
        <v>February</v>
      </c>
      <c r="E404" s="2" t="str">
        <f t="shared" si="39"/>
        <v>2019</v>
      </c>
      <c r="F404" s="3" t="s">
        <v>806</v>
      </c>
      <c r="G404" s="3" t="str">
        <f>VLOOKUP(F405,'Customers (2)'!A:I,2,0)</f>
        <v>Benedetto Gozzett</v>
      </c>
      <c r="H404" s="3" t="str">
        <f>VLOOKUP(F404,'Customers (2)'!A:I,3,0)</f>
        <v>gcroysdaleb6@nih.gov</v>
      </c>
      <c r="I404" s="3" t="str">
        <f>VLOOKUP(F404,'Customers (2)'!A:I,4,0)</f>
        <v>+1 (304) 384-2939</v>
      </c>
      <c r="J404" s="3" t="str">
        <f>VLOOKUP(F404,'Customers (2)'!A:I,6,0)</f>
        <v>Charleston</v>
      </c>
      <c r="K404" s="3" t="str">
        <f>VLOOKUP(F404,'Customers (2)'!A:I,7,0)</f>
        <v>United States</v>
      </c>
      <c r="L404" s="3" t="str">
        <f>VLOOKUP(F404,'Customers (2)'!A:I,9,0)</f>
        <v>Yes</v>
      </c>
      <c r="M404" s="4" t="s">
        <v>179</v>
      </c>
      <c r="N404" s="4" t="str">
        <f>VLOOKUP(M404,'Products (2)'!A:G,2,0)</f>
        <v>Robusta</v>
      </c>
      <c r="O404" s="4" t="str">
        <f>VLOOKUP(M404,'Products (2)'!A:G,3,0)</f>
        <v>Dark</v>
      </c>
      <c r="P404" s="4">
        <f>VLOOKUP(M404,'Products (2)'!A:G,7,0)</f>
        <v>0.53699999999999992</v>
      </c>
      <c r="Q404" s="3">
        <v>3</v>
      </c>
      <c r="R404" s="5">
        <f>INDEX([1]products!$A$1:$G$49,MATCH([1]orders!$D404,[1]products!$A$1:$A$49,0),MATCH([1]orders!K$1,[1]products!$A$1:$G$1,0))</f>
        <v>1</v>
      </c>
      <c r="S404" s="6">
        <f>INDEX([1]products!$A$1:$G$49,MATCH([1]orders!$D404,[1]products!$A$1:$A$49,0),MATCH([1]orders!L$1,[1]products!$A$1:$G$1,0))</f>
        <v>8.9499999999999993</v>
      </c>
      <c r="T404" s="6">
        <f t="shared" si="36"/>
        <v>26.849999999999998</v>
      </c>
      <c r="U404" s="22">
        <f t="shared" si="40"/>
        <v>1.6109999999999998</v>
      </c>
      <c r="V404" s="22">
        <f t="shared" si="41"/>
        <v>6</v>
      </c>
    </row>
    <row r="405" spans="1:22" x14ac:dyDescent="0.3">
      <c r="A405" s="1" t="s">
        <v>807</v>
      </c>
      <c r="B405" s="2">
        <v>44295</v>
      </c>
      <c r="C405" s="2" t="str">
        <f t="shared" si="37"/>
        <v>Friday</v>
      </c>
      <c r="D405" s="2" t="str">
        <f t="shared" si="38"/>
        <v>April</v>
      </c>
      <c r="E405" s="2" t="str">
        <f t="shared" si="39"/>
        <v>2021</v>
      </c>
      <c r="F405" s="3" t="s">
        <v>808</v>
      </c>
      <c r="G405" s="3" t="str">
        <f>VLOOKUP(F406,'Customers (2)'!A:I,2,0)</f>
        <v>Tania Craggs</v>
      </c>
      <c r="H405" s="3" t="str">
        <f>VLOOKUP(F405,'Customers (2)'!A:I,3,0)</f>
        <v>bgozzettb7@github.com</v>
      </c>
      <c r="I405" s="3" t="str">
        <f>VLOOKUP(F405,'Customers (2)'!A:I,4,0)</f>
        <v>+1 (214) 700-0229</v>
      </c>
      <c r="J405" s="3" t="str">
        <f>VLOOKUP(F405,'Customers (2)'!A:I,6,0)</f>
        <v>Dallas</v>
      </c>
      <c r="K405" s="3" t="str">
        <f>VLOOKUP(F405,'Customers (2)'!A:I,7,0)</f>
        <v>United States</v>
      </c>
      <c r="L405" s="3" t="str">
        <f>VLOOKUP(F405,'Customers (2)'!A:I,9,0)</f>
        <v>No</v>
      </c>
      <c r="M405" s="4" t="s">
        <v>19</v>
      </c>
      <c r="N405" s="4" t="str">
        <f>VLOOKUP(M405,'Products (2)'!A:G,2,0)</f>
        <v>Liberica</v>
      </c>
      <c r="O405" s="4" t="str">
        <f>VLOOKUP(M405,'Products (2)'!A:G,3,0)</f>
        <v>Light</v>
      </c>
      <c r="P405" s="4">
        <f>VLOOKUP(M405,'Products (2)'!A:G,7,0)</f>
        <v>0.61814999999999998</v>
      </c>
      <c r="Q405" s="3">
        <v>2</v>
      </c>
      <c r="R405" s="5">
        <f>INDEX([1]products!$A$1:$G$49,MATCH([1]orders!$D405,[1]products!$A$1:$A$49,0),MATCH([1]orders!K$1,[1]products!$A$1:$G$1,0))</f>
        <v>0.2</v>
      </c>
      <c r="S405" s="6">
        <f>INDEX([1]products!$A$1:$G$49,MATCH([1]orders!$D405,[1]products!$A$1:$A$49,0),MATCH([1]orders!L$1,[1]products!$A$1:$G$1,0))</f>
        <v>4.7549999999999999</v>
      </c>
      <c r="T405" s="6">
        <f t="shared" si="36"/>
        <v>9.51</v>
      </c>
      <c r="U405" s="22">
        <f t="shared" si="40"/>
        <v>1.2363</v>
      </c>
      <c r="V405" s="22">
        <f t="shared" si="41"/>
        <v>13</v>
      </c>
    </row>
    <row r="406" spans="1:22" x14ac:dyDescent="0.3">
      <c r="A406" s="1" t="s">
        <v>809</v>
      </c>
      <c r="B406" s="2">
        <v>43971</v>
      </c>
      <c r="C406" s="2" t="str">
        <f t="shared" si="37"/>
        <v>Wednesday</v>
      </c>
      <c r="D406" s="2" t="str">
        <f t="shared" si="38"/>
        <v>May</v>
      </c>
      <c r="E406" s="2" t="str">
        <f t="shared" si="39"/>
        <v>2020</v>
      </c>
      <c r="F406" s="3" t="s">
        <v>810</v>
      </c>
      <c r="G406" s="3" t="str">
        <f>VLOOKUP(F407,'Customers (2)'!A:I,2,0)</f>
        <v>Leonie Cullrford</v>
      </c>
      <c r="H406" s="3" t="str">
        <f>VLOOKUP(F406,'Customers (2)'!A:I,3,0)</f>
        <v>tcraggsb8@house.gov</v>
      </c>
      <c r="I406" s="3" t="str">
        <f>VLOOKUP(F406,'Customers (2)'!A:I,4,0)</f>
        <v>+353 (239) 197-6142</v>
      </c>
      <c r="J406" s="3" t="str">
        <f>VLOOKUP(F406,'Customers (2)'!A:I,6,0)</f>
        <v>Whitegate</v>
      </c>
      <c r="K406" s="3" t="str">
        <f>VLOOKUP(F406,'Customers (2)'!A:I,7,0)</f>
        <v>Ireland</v>
      </c>
      <c r="L406" s="3" t="str">
        <f>VLOOKUP(F406,'Customers (2)'!A:I,9,0)</f>
        <v>No</v>
      </c>
      <c r="M406" s="4" t="s">
        <v>27</v>
      </c>
      <c r="N406" s="4" t="str">
        <f>VLOOKUP(M406,'Products (2)'!A:G,2,0)</f>
        <v>Arabica</v>
      </c>
      <c r="O406" s="4" t="str">
        <f>VLOOKUP(M406,'Products (2)'!A:G,3,0)</f>
        <v>Dark</v>
      </c>
      <c r="P406" s="4">
        <f>VLOOKUP(M406,'Products (2)'!A:G,7,0)</f>
        <v>0.89549999999999985</v>
      </c>
      <c r="Q406" s="3">
        <v>4</v>
      </c>
      <c r="R406" s="5">
        <f>INDEX([1]products!$A$1:$G$49,MATCH([1]orders!$D406,[1]products!$A$1:$A$49,0),MATCH([1]orders!K$1,[1]products!$A$1:$G$1,0))</f>
        <v>1</v>
      </c>
      <c r="S406" s="6">
        <f>INDEX([1]products!$A$1:$G$49,MATCH([1]orders!$D406,[1]products!$A$1:$A$49,0),MATCH([1]orders!L$1,[1]products!$A$1:$G$1,0))</f>
        <v>9.9499999999999993</v>
      </c>
      <c r="T406" s="6">
        <f t="shared" si="36"/>
        <v>39.799999999999997</v>
      </c>
      <c r="U406" s="22">
        <f t="shared" si="40"/>
        <v>3.5819999999999994</v>
      </c>
      <c r="V406" s="22">
        <f t="shared" si="41"/>
        <v>9</v>
      </c>
    </row>
    <row r="407" spans="1:22" x14ac:dyDescent="0.3">
      <c r="A407" s="1" t="s">
        <v>811</v>
      </c>
      <c r="B407" s="2">
        <v>44167</v>
      </c>
      <c r="C407" s="2" t="str">
        <f t="shared" si="37"/>
        <v>Wednesday</v>
      </c>
      <c r="D407" s="2" t="str">
        <f t="shared" si="38"/>
        <v>December</v>
      </c>
      <c r="E407" s="2" t="str">
        <f t="shared" si="39"/>
        <v>2020</v>
      </c>
      <c r="F407" s="3" t="s">
        <v>812</v>
      </c>
      <c r="G407" s="3" t="str">
        <f>VLOOKUP(F408,'Customers (2)'!A:I,2,0)</f>
        <v>Auguste Rizon</v>
      </c>
      <c r="H407" s="3" t="str">
        <f>VLOOKUP(F407,'Customers (2)'!A:I,3,0)</f>
        <v>lcullrfordb9@xing.com</v>
      </c>
      <c r="I407" s="3" t="str">
        <f>VLOOKUP(F407,'Customers (2)'!A:I,4,0)</f>
        <v>+1 (530) 998-9789</v>
      </c>
      <c r="J407" s="3" t="str">
        <f>VLOOKUP(F407,'Customers (2)'!A:I,6,0)</f>
        <v>Chico</v>
      </c>
      <c r="K407" s="3" t="str">
        <f>VLOOKUP(F407,'Customers (2)'!A:I,7,0)</f>
        <v>United States</v>
      </c>
      <c r="L407" s="3" t="str">
        <f>VLOOKUP(F407,'Customers (2)'!A:I,9,0)</f>
        <v>Yes</v>
      </c>
      <c r="M407" s="4" t="s">
        <v>3</v>
      </c>
      <c r="N407" s="4" t="str">
        <f>VLOOKUP(M407,'Products (2)'!A:G,2,0)</f>
        <v>Excelsa</v>
      </c>
      <c r="O407" s="4" t="str">
        <f>VLOOKUP(M407,'Products (2)'!A:G,3,0)</f>
        <v>Medium</v>
      </c>
      <c r="P407" s="4">
        <f>VLOOKUP(M407,'Products (2)'!A:G,7,0)</f>
        <v>0.90749999999999997</v>
      </c>
      <c r="Q407" s="3">
        <v>3</v>
      </c>
      <c r="R407" s="5">
        <f>INDEX([1]products!$A$1:$G$49,MATCH([1]orders!$D407,[1]products!$A$1:$A$49,0),MATCH([1]orders!K$1,[1]products!$A$1:$G$1,0))</f>
        <v>0.5</v>
      </c>
      <c r="S407" s="6">
        <f>INDEX([1]products!$A$1:$G$49,MATCH([1]orders!$D407,[1]products!$A$1:$A$49,0),MATCH([1]orders!L$1,[1]products!$A$1:$G$1,0))</f>
        <v>8.25</v>
      </c>
      <c r="T407" s="6">
        <f t="shared" si="36"/>
        <v>24.75</v>
      </c>
      <c r="U407" s="22">
        <f t="shared" si="40"/>
        <v>2.7225000000000001</v>
      </c>
      <c r="V407" s="22">
        <f t="shared" si="41"/>
        <v>11</v>
      </c>
    </row>
    <row r="408" spans="1:22" x14ac:dyDescent="0.3">
      <c r="A408" s="1" t="s">
        <v>813</v>
      </c>
      <c r="B408" s="2">
        <v>44416</v>
      </c>
      <c r="C408" s="2" t="str">
        <f t="shared" si="37"/>
        <v>Sunday</v>
      </c>
      <c r="D408" s="2" t="str">
        <f t="shared" si="38"/>
        <v>August</v>
      </c>
      <c r="E408" s="2" t="str">
        <f t="shared" si="39"/>
        <v>2021</v>
      </c>
      <c r="F408" s="3" t="s">
        <v>814</v>
      </c>
      <c r="G408" s="3" t="str">
        <f>VLOOKUP(F409,'Customers (2)'!A:I,2,0)</f>
        <v>Lorin Guerrazzi</v>
      </c>
      <c r="H408" s="3" t="str">
        <f>VLOOKUP(F408,'Customers (2)'!A:I,3,0)</f>
        <v>arizonba@xing.com</v>
      </c>
      <c r="I408" s="3" t="str">
        <f>VLOOKUP(F408,'Customers (2)'!A:I,4,0)</f>
        <v>+1 (501) 732-3644</v>
      </c>
      <c r="J408" s="3" t="str">
        <f>VLOOKUP(F408,'Customers (2)'!A:I,6,0)</f>
        <v>Little Rock</v>
      </c>
      <c r="K408" s="3" t="str">
        <f>VLOOKUP(F408,'Customers (2)'!A:I,7,0)</f>
        <v>United States</v>
      </c>
      <c r="L408" s="3" t="str">
        <f>VLOOKUP(F408,'Customers (2)'!A:I,9,0)</f>
        <v>Yes</v>
      </c>
      <c r="M408" s="4" t="s">
        <v>9</v>
      </c>
      <c r="N408" s="4" t="str">
        <f>VLOOKUP(M408,'Products (2)'!A:G,2,0)</f>
        <v>Excelsa</v>
      </c>
      <c r="O408" s="4" t="str">
        <f>VLOOKUP(M408,'Products (2)'!A:G,3,0)</f>
        <v>Medium</v>
      </c>
      <c r="P408" s="4">
        <f>VLOOKUP(M408,'Products (2)'!A:G,7,0)</f>
        <v>1.5125</v>
      </c>
      <c r="Q408" s="3">
        <v>5</v>
      </c>
      <c r="R408" s="5">
        <f>INDEX([1]products!$A$1:$G$49,MATCH([1]orders!$D408,[1]products!$A$1:$A$49,0),MATCH([1]orders!K$1,[1]products!$A$1:$G$1,0))</f>
        <v>1</v>
      </c>
      <c r="S408" s="6">
        <f>INDEX([1]products!$A$1:$G$49,MATCH([1]orders!$D408,[1]products!$A$1:$A$49,0),MATCH([1]orders!L$1,[1]products!$A$1:$G$1,0))</f>
        <v>13.75</v>
      </c>
      <c r="T408" s="6">
        <f t="shared" si="36"/>
        <v>68.75</v>
      </c>
      <c r="U408" s="22">
        <f t="shared" si="40"/>
        <v>7.5625</v>
      </c>
      <c r="V408" s="22">
        <f t="shared" si="41"/>
        <v>11</v>
      </c>
    </row>
    <row r="409" spans="1:22" x14ac:dyDescent="0.3">
      <c r="A409" s="1" t="s">
        <v>815</v>
      </c>
      <c r="B409" s="2">
        <v>44595</v>
      </c>
      <c r="C409" s="2" t="str">
        <f t="shared" si="37"/>
        <v>Thursday</v>
      </c>
      <c r="D409" s="2" t="str">
        <f t="shared" si="38"/>
        <v>February</v>
      </c>
      <c r="E409" s="2" t="str">
        <f t="shared" si="39"/>
        <v>2022</v>
      </c>
      <c r="F409" s="3" t="s">
        <v>816</v>
      </c>
      <c r="G409" s="3" t="str">
        <f>VLOOKUP(F410,'Customers (2)'!A:I,2,0)</f>
        <v>Felice Miell</v>
      </c>
      <c r="H409" s="3">
        <f>VLOOKUP(F409,'Customers (2)'!A:I,3,0)</f>
        <v>0</v>
      </c>
      <c r="I409" s="3" t="str">
        <f>VLOOKUP(F409,'Customers (2)'!A:I,4,0)</f>
        <v>+353 (764) 294-5957</v>
      </c>
      <c r="J409" s="3" t="str">
        <f>VLOOKUP(F409,'Customers (2)'!A:I,6,0)</f>
        <v>Balrothery</v>
      </c>
      <c r="K409" s="3" t="str">
        <f>VLOOKUP(F409,'Customers (2)'!A:I,7,0)</f>
        <v>Ireland</v>
      </c>
      <c r="L409" s="3" t="str">
        <f>VLOOKUP(F409,'Customers (2)'!A:I,9,0)</f>
        <v>No</v>
      </c>
      <c r="M409" s="4" t="s">
        <v>3</v>
      </c>
      <c r="N409" s="4" t="str">
        <f>VLOOKUP(M409,'Products (2)'!A:G,2,0)</f>
        <v>Excelsa</v>
      </c>
      <c r="O409" s="4" t="str">
        <f>VLOOKUP(M409,'Products (2)'!A:G,3,0)</f>
        <v>Medium</v>
      </c>
      <c r="P409" s="4">
        <f>VLOOKUP(M409,'Products (2)'!A:G,7,0)</f>
        <v>0.90749999999999997</v>
      </c>
      <c r="Q409" s="3">
        <v>6</v>
      </c>
      <c r="R409" s="5">
        <f>INDEX([1]products!$A$1:$G$49,MATCH([1]orders!$D409,[1]products!$A$1:$A$49,0),MATCH([1]orders!K$1,[1]products!$A$1:$G$1,0))</f>
        <v>0.5</v>
      </c>
      <c r="S409" s="6">
        <f>INDEX([1]products!$A$1:$G$49,MATCH([1]orders!$D409,[1]products!$A$1:$A$49,0),MATCH([1]orders!L$1,[1]products!$A$1:$G$1,0))</f>
        <v>8.25</v>
      </c>
      <c r="T409" s="6">
        <f t="shared" si="36"/>
        <v>49.5</v>
      </c>
      <c r="U409" s="22">
        <f t="shared" si="40"/>
        <v>5.4450000000000003</v>
      </c>
      <c r="V409" s="22">
        <f t="shared" si="41"/>
        <v>11</v>
      </c>
    </row>
    <row r="410" spans="1:22" x14ac:dyDescent="0.3">
      <c r="A410" s="1" t="s">
        <v>817</v>
      </c>
      <c r="B410" s="2">
        <v>44659</v>
      </c>
      <c r="C410" s="2" t="str">
        <f t="shared" si="37"/>
        <v>Friday</v>
      </c>
      <c r="D410" s="2" t="str">
        <f t="shared" si="38"/>
        <v>April</v>
      </c>
      <c r="E410" s="2" t="str">
        <f t="shared" si="39"/>
        <v>2022</v>
      </c>
      <c r="F410" s="3" t="s">
        <v>818</v>
      </c>
      <c r="G410" s="3" t="str">
        <f>VLOOKUP(F411,'Customers (2)'!A:I,2,0)</f>
        <v>Hamish Skeech</v>
      </c>
      <c r="H410" s="3" t="str">
        <f>VLOOKUP(F410,'Customers (2)'!A:I,3,0)</f>
        <v>fmiellbc@spiegel.de</v>
      </c>
      <c r="I410" s="3" t="str">
        <f>VLOOKUP(F410,'Customers (2)'!A:I,4,0)</f>
        <v>+1 (732) 770-5368</v>
      </c>
      <c r="J410" s="3" t="str">
        <f>VLOOKUP(F410,'Customers (2)'!A:I,6,0)</f>
        <v>New Brunswick</v>
      </c>
      <c r="K410" s="3" t="str">
        <f>VLOOKUP(F410,'Customers (2)'!A:I,7,0)</f>
        <v>United States</v>
      </c>
      <c r="L410" s="3" t="str">
        <f>VLOOKUP(F410,'Customers (2)'!A:I,9,0)</f>
        <v>Yes</v>
      </c>
      <c r="M410" s="4" t="s">
        <v>171</v>
      </c>
      <c r="N410" s="4" t="str">
        <f>VLOOKUP(M410,'Products (2)'!A:G,2,0)</f>
        <v>Arabica</v>
      </c>
      <c r="O410" s="4" t="str">
        <f>VLOOKUP(M410,'Products (2)'!A:G,3,0)</f>
        <v>Medium</v>
      </c>
      <c r="P410" s="4">
        <f>VLOOKUP(M410,'Products (2)'!A:G,7,0)</f>
        <v>2.3287499999999994</v>
      </c>
      <c r="Q410" s="3">
        <v>2</v>
      </c>
      <c r="R410" s="5">
        <f>INDEX([1]products!$A$1:$G$49,MATCH([1]orders!$D410,[1]products!$A$1:$A$49,0),MATCH([1]orders!K$1,[1]products!$A$1:$G$1,0))</f>
        <v>2.5</v>
      </c>
      <c r="S410" s="6">
        <f>INDEX([1]products!$A$1:$G$49,MATCH([1]orders!$D410,[1]products!$A$1:$A$49,0),MATCH([1]orders!L$1,[1]products!$A$1:$G$1,0))</f>
        <v>25.874999999999996</v>
      </c>
      <c r="T410" s="6">
        <f t="shared" si="36"/>
        <v>51.749999999999993</v>
      </c>
      <c r="U410" s="22">
        <f t="shared" si="40"/>
        <v>4.6574999999999989</v>
      </c>
      <c r="V410" s="22">
        <f t="shared" si="41"/>
        <v>9</v>
      </c>
    </row>
    <row r="411" spans="1:22" x14ac:dyDescent="0.3">
      <c r="A411" s="1" t="s">
        <v>819</v>
      </c>
      <c r="B411" s="2">
        <v>44203</v>
      </c>
      <c r="C411" s="2" t="str">
        <f t="shared" si="37"/>
        <v>Thursday</v>
      </c>
      <c r="D411" s="2" t="str">
        <f t="shared" si="38"/>
        <v>January</v>
      </c>
      <c r="E411" s="2" t="str">
        <f t="shared" si="39"/>
        <v>2021</v>
      </c>
      <c r="F411" s="3" t="s">
        <v>820</v>
      </c>
      <c r="G411" s="3" t="str">
        <f>VLOOKUP(F412,'Customers (2)'!A:I,2,0)</f>
        <v>Giordano Lorenzin</v>
      </c>
      <c r="H411" s="3">
        <f>VLOOKUP(F411,'Customers (2)'!A:I,3,0)</f>
        <v>0</v>
      </c>
      <c r="I411" s="3" t="str">
        <f>VLOOKUP(F411,'Customers (2)'!A:I,4,0)</f>
        <v>+353 (677) 415-3920</v>
      </c>
      <c r="J411" s="3" t="str">
        <f>VLOOKUP(F411,'Customers (2)'!A:I,6,0)</f>
        <v>Valleymount</v>
      </c>
      <c r="K411" s="3" t="str">
        <f>VLOOKUP(F411,'Customers (2)'!A:I,7,0)</f>
        <v>Ireland</v>
      </c>
      <c r="L411" s="3" t="str">
        <f>VLOOKUP(F411,'Customers (2)'!A:I,9,0)</f>
        <v>Yes</v>
      </c>
      <c r="M411" s="4" t="s">
        <v>132</v>
      </c>
      <c r="N411" s="4" t="str">
        <f>VLOOKUP(M411,'Products (2)'!A:G,2,0)</f>
        <v>Liberica</v>
      </c>
      <c r="O411" s="4" t="str">
        <f>VLOOKUP(M411,'Products (2)'!A:G,3,0)</f>
        <v>Light</v>
      </c>
      <c r="P411" s="4">
        <f>VLOOKUP(M411,'Products (2)'!A:G,7,0)</f>
        <v>2.0605000000000002</v>
      </c>
      <c r="Q411" s="3">
        <v>3</v>
      </c>
      <c r="R411" s="5">
        <f>INDEX([1]products!$A$1:$G$49,MATCH([1]orders!$D411,[1]products!$A$1:$A$49,0),MATCH([1]orders!K$1,[1]products!$A$1:$G$1,0))</f>
        <v>1</v>
      </c>
      <c r="S411" s="6">
        <f>INDEX([1]products!$A$1:$G$49,MATCH([1]orders!$D411,[1]products!$A$1:$A$49,0),MATCH([1]orders!L$1,[1]products!$A$1:$G$1,0))</f>
        <v>15.85</v>
      </c>
      <c r="T411" s="6">
        <f t="shared" si="36"/>
        <v>47.55</v>
      </c>
      <c r="U411" s="22">
        <f t="shared" si="40"/>
        <v>6.1815000000000007</v>
      </c>
      <c r="V411" s="22">
        <f t="shared" si="41"/>
        <v>13.000000000000004</v>
      </c>
    </row>
    <row r="412" spans="1:22" x14ac:dyDescent="0.3">
      <c r="A412" s="1" t="s">
        <v>821</v>
      </c>
      <c r="B412" s="2">
        <v>44441</v>
      </c>
      <c r="C412" s="2" t="str">
        <f t="shared" si="37"/>
        <v>Thursday</v>
      </c>
      <c r="D412" s="2" t="str">
        <f t="shared" si="38"/>
        <v>September</v>
      </c>
      <c r="E412" s="2" t="str">
        <f t="shared" si="39"/>
        <v>2021</v>
      </c>
      <c r="F412" s="3" t="s">
        <v>822</v>
      </c>
      <c r="G412" s="3" t="str">
        <f>VLOOKUP(F413,'Customers (2)'!A:I,2,0)</f>
        <v>Harwilll Bishell</v>
      </c>
      <c r="H412" s="3">
        <f>VLOOKUP(F412,'Customers (2)'!A:I,3,0)</f>
        <v>0</v>
      </c>
      <c r="I412" s="3" t="str">
        <f>VLOOKUP(F412,'Customers (2)'!A:I,4,0)</f>
        <v>+1 (415) 414-0382</v>
      </c>
      <c r="J412" s="3" t="str">
        <f>VLOOKUP(F412,'Customers (2)'!A:I,6,0)</f>
        <v>San Francisco</v>
      </c>
      <c r="K412" s="3" t="str">
        <f>VLOOKUP(F412,'Customers (2)'!A:I,7,0)</f>
        <v>United States</v>
      </c>
      <c r="L412" s="3" t="str">
        <f>VLOOKUP(F412,'Customers (2)'!A:I,9,0)</f>
        <v>No</v>
      </c>
      <c r="M412" s="4" t="s">
        <v>115</v>
      </c>
      <c r="N412" s="4" t="str">
        <f>VLOOKUP(M412,'Products (2)'!A:G,2,0)</f>
        <v>Arabica</v>
      </c>
      <c r="O412" s="4" t="str">
        <f>VLOOKUP(M412,'Products (2)'!A:G,3,0)</f>
        <v>Light</v>
      </c>
      <c r="P412" s="4">
        <f>VLOOKUP(M412,'Products (2)'!A:G,7,0)</f>
        <v>0.34964999999999996</v>
      </c>
      <c r="Q412" s="3">
        <v>4</v>
      </c>
      <c r="R412" s="5">
        <f>INDEX([1]products!$A$1:$G$49,MATCH([1]orders!$D412,[1]products!$A$1:$A$49,0),MATCH([1]orders!K$1,[1]products!$A$1:$G$1,0))</f>
        <v>0.2</v>
      </c>
      <c r="S412" s="6">
        <f>INDEX([1]products!$A$1:$G$49,MATCH([1]orders!$D412,[1]products!$A$1:$A$49,0),MATCH([1]orders!L$1,[1]products!$A$1:$G$1,0))</f>
        <v>3.8849999999999998</v>
      </c>
      <c r="T412" s="6">
        <f t="shared" si="36"/>
        <v>15.54</v>
      </c>
      <c r="U412" s="22">
        <f t="shared" si="40"/>
        <v>1.3985999999999998</v>
      </c>
      <c r="V412" s="22">
        <f t="shared" si="41"/>
        <v>9</v>
      </c>
    </row>
    <row r="413" spans="1:22" x14ac:dyDescent="0.3">
      <c r="A413" s="1" t="s">
        <v>823</v>
      </c>
      <c r="B413" s="2">
        <v>44504</v>
      </c>
      <c r="C413" s="2" t="str">
        <f t="shared" si="37"/>
        <v>Thursday</v>
      </c>
      <c r="D413" s="2" t="str">
        <f t="shared" si="38"/>
        <v>November</v>
      </c>
      <c r="E413" s="2" t="str">
        <f t="shared" si="39"/>
        <v>2021</v>
      </c>
      <c r="F413" s="3" t="s">
        <v>824</v>
      </c>
      <c r="G413" s="3" t="str">
        <f>VLOOKUP(F414,'Customers (2)'!A:I,2,0)</f>
        <v>Freeland Missenden</v>
      </c>
      <c r="H413" s="3">
        <f>VLOOKUP(F413,'Customers (2)'!A:I,3,0)</f>
        <v>0</v>
      </c>
      <c r="I413" s="3" t="str">
        <f>VLOOKUP(F413,'Customers (2)'!A:I,4,0)</f>
        <v>+1 (337) 322-9762</v>
      </c>
      <c r="J413" s="3" t="str">
        <f>VLOOKUP(F413,'Customers (2)'!A:I,6,0)</f>
        <v>Lafayette</v>
      </c>
      <c r="K413" s="3" t="str">
        <f>VLOOKUP(F413,'Customers (2)'!A:I,7,0)</f>
        <v>United States</v>
      </c>
      <c r="L413" s="3" t="str">
        <f>VLOOKUP(F413,'Customers (2)'!A:I,9,0)</f>
        <v>Yes</v>
      </c>
      <c r="M413" s="4" t="s">
        <v>96</v>
      </c>
      <c r="N413" s="4" t="str">
        <f>VLOOKUP(M413,'Products (2)'!A:G,2,0)</f>
        <v>Liberica</v>
      </c>
      <c r="O413" s="4" t="str">
        <f>VLOOKUP(M413,'Products (2)'!A:G,3,0)</f>
        <v>Medium</v>
      </c>
      <c r="P413" s="4">
        <f>VLOOKUP(M413,'Products (2)'!A:G,7,0)</f>
        <v>1.8915000000000002</v>
      </c>
      <c r="Q413" s="3">
        <v>6</v>
      </c>
      <c r="R413" s="5">
        <f>INDEX([1]products!$A$1:$G$49,MATCH([1]orders!$D413,[1]products!$A$1:$A$49,0),MATCH([1]orders!K$1,[1]products!$A$1:$G$1,0))</f>
        <v>1</v>
      </c>
      <c r="S413" s="6">
        <f>INDEX([1]products!$A$1:$G$49,MATCH([1]orders!$D413,[1]products!$A$1:$A$49,0),MATCH([1]orders!L$1,[1]products!$A$1:$G$1,0))</f>
        <v>14.55</v>
      </c>
      <c r="T413" s="6">
        <f t="shared" si="36"/>
        <v>87.300000000000011</v>
      </c>
      <c r="U413" s="22">
        <f t="shared" si="40"/>
        <v>11.349</v>
      </c>
      <c r="V413" s="22">
        <f t="shared" si="41"/>
        <v>12.999999999999998</v>
      </c>
    </row>
    <row r="414" spans="1:22" x14ac:dyDescent="0.3">
      <c r="A414" s="1" t="s">
        <v>825</v>
      </c>
      <c r="B414" s="2">
        <v>44410</v>
      </c>
      <c r="C414" s="2" t="str">
        <f t="shared" si="37"/>
        <v>Monday</v>
      </c>
      <c r="D414" s="2" t="str">
        <f t="shared" si="38"/>
        <v>August</v>
      </c>
      <c r="E414" s="2" t="str">
        <f t="shared" si="39"/>
        <v>2021</v>
      </c>
      <c r="F414" s="3" t="s">
        <v>826</v>
      </c>
      <c r="G414" s="3" t="str">
        <f>VLOOKUP(F415,'Customers (2)'!A:I,2,0)</f>
        <v>Waylan Springall</v>
      </c>
      <c r="H414" s="3">
        <f>VLOOKUP(F414,'Customers (2)'!A:I,3,0)</f>
        <v>0</v>
      </c>
      <c r="I414" s="3" t="str">
        <f>VLOOKUP(F414,'Customers (2)'!A:I,4,0)</f>
        <v>+1 (619) 481-1493</v>
      </c>
      <c r="J414" s="3" t="str">
        <f>VLOOKUP(F414,'Customers (2)'!A:I,6,0)</f>
        <v>San Diego</v>
      </c>
      <c r="K414" s="3" t="str">
        <f>VLOOKUP(F414,'Customers (2)'!A:I,7,0)</f>
        <v>United States</v>
      </c>
      <c r="L414" s="3" t="str">
        <f>VLOOKUP(F414,'Customers (2)'!A:I,9,0)</f>
        <v>Yes</v>
      </c>
      <c r="M414" s="4" t="s">
        <v>61</v>
      </c>
      <c r="N414" s="4" t="str">
        <f>VLOOKUP(M414,'Products (2)'!A:G,2,0)</f>
        <v>Arabica</v>
      </c>
      <c r="O414" s="4" t="str">
        <f>VLOOKUP(M414,'Products (2)'!A:G,3,0)</f>
        <v>Medium</v>
      </c>
      <c r="P414" s="4">
        <f>VLOOKUP(M414,'Products (2)'!A:G,7,0)</f>
        <v>1.0125</v>
      </c>
      <c r="Q414" s="3">
        <v>5</v>
      </c>
      <c r="R414" s="5">
        <f>INDEX([1]products!$A$1:$G$49,MATCH([1]orders!$D414,[1]products!$A$1:$A$49,0),MATCH([1]orders!K$1,[1]products!$A$1:$G$1,0))</f>
        <v>1</v>
      </c>
      <c r="S414" s="6">
        <f>INDEX([1]products!$A$1:$G$49,MATCH([1]orders!$D414,[1]products!$A$1:$A$49,0),MATCH([1]orders!L$1,[1]products!$A$1:$G$1,0))</f>
        <v>11.25</v>
      </c>
      <c r="T414" s="6">
        <f t="shared" si="36"/>
        <v>56.25</v>
      </c>
      <c r="U414" s="22">
        <f t="shared" si="40"/>
        <v>5.0625</v>
      </c>
      <c r="V414" s="22">
        <f t="shared" si="41"/>
        <v>9</v>
      </c>
    </row>
    <row r="415" spans="1:22" x14ac:dyDescent="0.3">
      <c r="A415" s="1" t="s">
        <v>827</v>
      </c>
      <c r="B415" s="2">
        <v>43857</v>
      </c>
      <c r="C415" s="2" t="str">
        <f t="shared" si="37"/>
        <v>Monday</v>
      </c>
      <c r="D415" s="2" t="str">
        <f t="shared" si="38"/>
        <v>January</v>
      </c>
      <c r="E415" s="2" t="str">
        <f t="shared" si="39"/>
        <v>2020</v>
      </c>
      <c r="F415" s="3" t="s">
        <v>828</v>
      </c>
      <c r="G415" s="3" t="str">
        <f>VLOOKUP(F416,'Customers (2)'!A:I,2,0)</f>
        <v>Kiri Avramow</v>
      </c>
      <c r="H415" s="3" t="str">
        <f>VLOOKUP(F415,'Customers (2)'!A:I,3,0)</f>
        <v>wspringallbh@jugem.jp</v>
      </c>
      <c r="I415" s="3" t="str">
        <f>VLOOKUP(F415,'Customers (2)'!A:I,4,0)</f>
        <v>+1 (626) 495-9253</v>
      </c>
      <c r="J415" s="3" t="str">
        <f>VLOOKUP(F415,'Customers (2)'!A:I,6,0)</f>
        <v>Alhambra</v>
      </c>
      <c r="K415" s="3" t="str">
        <f>VLOOKUP(F415,'Customers (2)'!A:I,7,0)</f>
        <v>United States</v>
      </c>
      <c r="L415" s="3" t="str">
        <f>VLOOKUP(F415,'Customers (2)'!A:I,9,0)</f>
        <v>Yes</v>
      </c>
      <c r="M415" s="4" t="s">
        <v>104</v>
      </c>
      <c r="N415" s="4" t="str">
        <f>VLOOKUP(M415,'Products (2)'!A:G,2,0)</f>
        <v>Liberica</v>
      </c>
      <c r="O415" s="4" t="str">
        <f>VLOOKUP(M415,'Products (2)'!A:G,3,0)</f>
        <v>Light</v>
      </c>
      <c r="P415" s="4">
        <f>VLOOKUP(M415,'Products (2)'!A:G,7,0)</f>
        <v>4.7391499999999995</v>
      </c>
      <c r="Q415" s="3">
        <v>1</v>
      </c>
      <c r="R415" s="5">
        <f>INDEX([1]products!$A$1:$G$49,MATCH([1]orders!$D415,[1]products!$A$1:$A$49,0),MATCH([1]orders!K$1,[1]products!$A$1:$G$1,0))</f>
        <v>2.5</v>
      </c>
      <c r="S415" s="6">
        <f>INDEX([1]products!$A$1:$G$49,MATCH([1]orders!$D415,[1]products!$A$1:$A$49,0),MATCH([1]orders!L$1,[1]products!$A$1:$G$1,0))</f>
        <v>36.454999999999998</v>
      </c>
      <c r="T415" s="6">
        <f t="shared" si="36"/>
        <v>36.454999999999998</v>
      </c>
      <c r="U415" s="22">
        <f t="shared" si="40"/>
        <v>4.7391499999999995</v>
      </c>
      <c r="V415" s="22">
        <f t="shared" si="41"/>
        <v>13</v>
      </c>
    </row>
    <row r="416" spans="1:22" x14ac:dyDescent="0.3">
      <c r="A416" s="1" t="s">
        <v>829</v>
      </c>
      <c r="B416" s="2">
        <v>43802</v>
      </c>
      <c r="C416" s="2" t="str">
        <f t="shared" si="37"/>
        <v>Tuesday</v>
      </c>
      <c r="D416" s="2" t="str">
        <f t="shared" si="38"/>
        <v>December</v>
      </c>
      <c r="E416" s="2" t="str">
        <f t="shared" si="39"/>
        <v>2019</v>
      </c>
      <c r="F416" s="3" t="s">
        <v>830</v>
      </c>
      <c r="G416" s="3" t="str">
        <f>VLOOKUP(F417,'Customers (2)'!A:I,2,0)</f>
        <v>Gregg Hawkyens</v>
      </c>
      <c r="H416" s="3">
        <f>VLOOKUP(F416,'Customers (2)'!A:I,3,0)</f>
        <v>0</v>
      </c>
      <c r="I416" s="3" t="str">
        <f>VLOOKUP(F416,'Customers (2)'!A:I,4,0)</f>
        <v>+1 (903) 801-9492</v>
      </c>
      <c r="J416" s="3" t="str">
        <f>VLOOKUP(F416,'Customers (2)'!A:I,6,0)</f>
        <v>Tyler</v>
      </c>
      <c r="K416" s="3" t="str">
        <f>VLOOKUP(F416,'Customers (2)'!A:I,7,0)</f>
        <v>United States</v>
      </c>
      <c r="L416" s="3" t="str">
        <f>VLOOKUP(F416,'Customers (2)'!A:I,9,0)</f>
        <v>Yes</v>
      </c>
      <c r="M416" s="4" t="s">
        <v>182</v>
      </c>
      <c r="N416" s="4" t="str">
        <f>VLOOKUP(M416,'Products (2)'!A:G,2,0)</f>
        <v>Robusta</v>
      </c>
      <c r="O416" s="4" t="str">
        <f>VLOOKUP(M416,'Products (2)'!A:G,3,0)</f>
        <v>Light</v>
      </c>
      <c r="P416" s="4">
        <f>VLOOKUP(M416,'Products (2)'!A:G,7,0)</f>
        <v>0.21509999999999996</v>
      </c>
      <c r="Q416" s="3">
        <v>3</v>
      </c>
      <c r="R416" s="5">
        <f>INDEX([1]products!$A$1:$G$49,MATCH([1]orders!$D416,[1]products!$A$1:$A$49,0),MATCH([1]orders!K$1,[1]products!$A$1:$G$1,0))</f>
        <v>0.2</v>
      </c>
      <c r="S416" s="6">
        <f>INDEX([1]products!$A$1:$G$49,MATCH([1]orders!$D416,[1]products!$A$1:$A$49,0),MATCH([1]orders!L$1,[1]products!$A$1:$G$1,0))</f>
        <v>3.5849999999999995</v>
      </c>
      <c r="T416" s="6">
        <f t="shared" si="36"/>
        <v>10.754999999999999</v>
      </c>
      <c r="U416" s="22">
        <f t="shared" si="40"/>
        <v>0.64529999999999987</v>
      </c>
      <c r="V416" s="22">
        <f t="shared" si="41"/>
        <v>5.9999999999999991</v>
      </c>
    </row>
    <row r="417" spans="1:22" x14ac:dyDescent="0.3">
      <c r="A417" s="1" t="s">
        <v>831</v>
      </c>
      <c r="B417" s="2">
        <v>43683</v>
      </c>
      <c r="C417" s="2" t="str">
        <f t="shared" si="37"/>
        <v>Tuesday</v>
      </c>
      <c r="D417" s="2" t="str">
        <f t="shared" si="38"/>
        <v>August</v>
      </c>
      <c r="E417" s="2" t="str">
        <f t="shared" si="39"/>
        <v>2019</v>
      </c>
      <c r="F417" s="3" t="s">
        <v>832</v>
      </c>
      <c r="G417" s="3" t="str">
        <f>VLOOKUP(F418,'Customers (2)'!A:I,2,0)</f>
        <v>Reggis Pracy</v>
      </c>
      <c r="H417" s="3" t="str">
        <f>VLOOKUP(F417,'Customers (2)'!A:I,3,0)</f>
        <v>ghawkyensbj@census.gov</v>
      </c>
      <c r="I417" s="3">
        <f>VLOOKUP(F417,'Customers (2)'!A:I,4,0)</f>
        <v>0</v>
      </c>
      <c r="J417" s="3" t="str">
        <f>VLOOKUP(F417,'Customers (2)'!A:I,6,0)</f>
        <v>Lafayette</v>
      </c>
      <c r="K417" s="3" t="str">
        <f>VLOOKUP(F417,'Customers (2)'!A:I,7,0)</f>
        <v>United States</v>
      </c>
      <c r="L417" s="3" t="str">
        <f>VLOOKUP(F417,'Customers (2)'!A:I,9,0)</f>
        <v>No</v>
      </c>
      <c r="M417" s="4" t="s">
        <v>162</v>
      </c>
      <c r="N417" s="4" t="str">
        <f>VLOOKUP(M417,'Products (2)'!A:G,2,0)</f>
        <v>Robusta</v>
      </c>
      <c r="O417" s="4" t="str">
        <f>VLOOKUP(M417,'Products (2)'!A:G,3,0)</f>
        <v>Medium</v>
      </c>
      <c r="P417" s="4">
        <f>VLOOKUP(M417,'Products (2)'!A:G,7,0)</f>
        <v>0.17909999999999998</v>
      </c>
      <c r="Q417" s="3">
        <v>3</v>
      </c>
      <c r="R417" s="5">
        <f>INDEX([1]products!$A$1:$G$49,MATCH([1]orders!$D417,[1]products!$A$1:$A$49,0),MATCH([1]orders!K$1,[1]products!$A$1:$G$1,0))</f>
        <v>0.2</v>
      </c>
      <c r="S417" s="6">
        <f>INDEX([1]products!$A$1:$G$49,MATCH([1]orders!$D417,[1]products!$A$1:$A$49,0),MATCH([1]orders!L$1,[1]products!$A$1:$G$1,0))</f>
        <v>2.9849999999999999</v>
      </c>
      <c r="T417" s="6">
        <f t="shared" si="36"/>
        <v>8.9550000000000001</v>
      </c>
      <c r="U417" s="22">
        <f t="shared" si="40"/>
        <v>0.53729999999999989</v>
      </c>
      <c r="V417" s="22">
        <f t="shared" si="41"/>
        <v>5.9999999999999982</v>
      </c>
    </row>
    <row r="418" spans="1:22" x14ac:dyDescent="0.3">
      <c r="A418" s="1" t="s">
        <v>833</v>
      </c>
      <c r="B418" s="2">
        <v>43901</v>
      </c>
      <c r="C418" s="2" t="str">
        <f t="shared" si="37"/>
        <v>Wednesday</v>
      </c>
      <c r="D418" s="2" t="str">
        <f t="shared" si="38"/>
        <v>March</v>
      </c>
      <c r="E418" s="2" t="str">
        <f t="shared" si="39"/>
        <v>2020</v>
      </c>
      <c r="F418" s="3" t="s">
        <v>834</v>
      </c>
      <c r="G418" s="3" t="str">
        <f>VLOOKUP(F419,'Customers (2)'!A:I,2,0)</f>
        <v>Paula Denis</v>
      </c>
      <c r="H418" s="3">
        <f>VLOOKUP(F418,'Customers (2)'!A:I,3,0)</f>
        <v>0</v>
      </c>
      <c r="I418" s="3" t="str">
        <f>VLOOKUP(F418,'Customers (2)'!A:I,4,0)</f>
        <v>+1 (937) 683-0925</v>
      </c>
      <c r="J418" s="3" t="str">
        <f>VLOOKUP(F418,'Customers (2)'!A:I,6,0)</f>
        <v>Dayton</v>
      </c>
      <c r="K418" s="3" t="str">
        <f>VLOOKUP(F418,'Customers (2)'!A:I,7,0)</f>
        <v>United States</v>
      </c>
      <c r="L418" s="3" t="str">
        <f>VLOOKUP(F418,'Customers (2)'!A:I,9,0)</f>
        <v>Yes</v>
      </c>
      <c r="M418" s="4" t="s">
        <v>192</v>
      </c>
      <c r="N418" s="4" t="str">
        <f>VLOOKUP(M418,'Products (2)'!A:G,2,0)</f>
        <v>Arabica</v>
      </c>
      <c r="O418" s="4" t="str">
        <f>VLOOKUP(M418,'Products (2)'!A:G,3,0)</f>
        <v>Light</v>
      </c>
      <c r="P418" s="4">
        <f>VLOOKUP(M418,'Products (2)'!A:G,7,0)</f>
        <v>0.69929999999999992</v>
      </c>
      <c r="Q418" s="3">
        <v>3</v>
      </c>
      <c r="R418" s="5">
        <f>INDEX([1]products!$A$1:$G$49,MATCH([1]orders!$D418,[1]products!$A$1:$A$49,0),MATCH([1]orders!K$1,[1]products!$A$1:$G$1,0))</f>
        <v>0.5</v>
      </c>
      <c r="S418" s="6">
        <f>INDEX([1]products!$A$1:$G$49,MATCH([1]orders!$D418,[1]products!$A$1:$A$49,0),MATCH([1]orders!L$1,[1]products!$A$1:$G$1,0))</f>
        <v>7.77</v>
      </c>
      <c r="T418" s="6">
        <f t="shared" si="36"/>
        <v>23.31</v>
      </c>
      <c r="U418" s="22">
        <f t="shared" si="40"/>
        <v>2.0978999999999997</v>
      </c>
      <c r="V418" s="22">
        <f t="shared" si="41"/>
        <v>9</v>
      </c>
    </row>
    <row r="419" spans="1:22" x14ac:dyDescent="0.3">
      <c r="A419" s="1" t="s">
        <v>835</v>
      </c>
      <c r="B419" s="2">
        <v>44457</v>
      </c>
      <c r="C419" s="2" t="str">
        <f t="shared" si="37"/>
        <v>Saturday</v>
      </c>
      <c r="D419" s="2" t="str">
        <f t="shared" si="38"/>
        <v>September</v>
      </c>
      <c r="E419" s="2" t="str">
        <f t="shared" si="39"/>
        <v>2021</v>
      </c>
      <c r="F419" s="3" t="s">
        <v>836</v>
      </c>
      <c r="G419" s="3" t="str">
        <f>VLOOKUP(F420,'Customers (2)'!A:I,2,0)</f>
        <v>Broderick McGilvra</v>
      </c>
      <c r="H419" s="3">
        <f>VLOOKUP(F419,'Customers (2)'!A:I,3,0)</f>
        <v>0</v>
      </c>
      <c r="I419" s="3" t="str">
        <f>VLOOKUP(F419,'Customers (2)'!A:I,4,0)</f>
        <v>+1 (602) 598-9823</v>
      </c>
      <c r="J419" s="3" t="str">
        <f>VLOOKUP(F419,'Customers (2)'!A:I,6,0)</f>
        <v>Phoenix</v>
      </c>
      <c r="K419" s="3" t="str">
        <f>VLOOKUP(F419,'Customers (2)'!A:I,7,0)</f>
        <v>United States</v>
      </c>
      <c r="L419" s="3" t="str">
        <f>VLOOKUP(F419,'Customers (2)'!A:I,9,0)</f>
        <v>Yes</v>
      </c>
      <c r="M419" s="4" t="s">
        <v>204</v>
      </c>
      <c r="N419" s="4" t="str">
        <f>VLOOKUP(M419,'Products (2)'!A:G,2,0)</f>
        <v>Arabica</v>
      </c>
      <c r="O419" s="4" t="str">
        <f>VLOOKUP(M419,'Products (2)'!A:G,3,0)</f>
        <v>Light</v>
      </c>
      <c r="P419" s="4">
        <f>VLOOKUP(M419,'Products (2)'!A:G,7,0)</f>
        <v>2.6806499999999995</v>
      </c>
      <c r="Q419" s="3">
        <v>1</v>
      </c>
      <c r="R419" s="5">
        <f>INDEX([1]products!$A$1:$G$49,MATCH([1]orders!$D419,[1]products!$A$1:$A$49,0),MATCH([1]orders!K$1,[1]products!$A$1:$G$1,0))</f>
        <v>2.5</v>
      </c>
      <c r="S419" s="6">
        <f>INDEX([1]products!$A$1:$G$49,MATCH([1]orders!$D419,[1]products!$A$1:$A$49,0),MATCH([1]orders!L$1,[1]products!$A$1:$G$1,0))</f>
        <v>29.784999999999997</v>
      </c>
      <c r="T419" s="6">
        <f t="shared" si="36"/>
        <v>29.784999999999997</v>
      </c>
      <c r="U419" s="22">
        <f t="shared" si="40"/>
        <v>2.6806499999999995</v>
      </c>
      <c r="V419" s="22">
        <f t="shared" si="41"/>
        <v>9</v>
      </c>
    </row>
    <row r="420" spans="1:22" x14ac:dyDescent="0.3">
      <c r="A420" s="1" t="s">
        <v>837</v>
      </c>
      <c r="B420" s="2">
        <v>44142</v>
      </c>
      <c r="C420" s="2" t="str">
        <f t="shared" si="37"/>
        <v>Saturday</v>
      </c>
      <c r="D420" s="2" t="str">
        <f t="shared" si="38"/>
        <v>November</v>
      </c>
      <c r="E420" s="2" t="str">
        <f t="shared" si="39"/>
        <v>2020</v>
      </c>
      <c r="F420" s="3" t="s">
        <v>838</v>
      </c>
      <c r="G420" s="3" t="str">
        <f>VLOOKUP(F421,'Customers (2)'!A:I,2,0)</f>
        <v>Annabella Danzey</v>
      </c>
      <c r="H420" s="3" t="str">
        <f>VLOOKUP(F420,'Customers (2)'!A:I,3,0)</f>
        <v>bmcgilvrabm@so-net.ne.jp</v>
      </c>
      <c r="I420" s="3">
        <f>VLOOKUP(F420,'Customers (2)'!A:I,4,0)</f>
        <v>0</v>
      </c>
      <c r="J420" s="3" t="str">
        <f>VLOOKUP(F420,'Customers (2)'!A:I,6,0)</f>
        <v>Sacramento</v>
      </c>
      <c r="K420" s="3" t="str">
        <f>VLOOKUP(F420,'Customers (2)'!A:I,7,0)</f>
        <v>United States</v>
      </c>
      <c r="L420" s="3" t="str">
        <f>VLOOKUP(F420,'Customers (2)'!A:I,9,0)</f>
        <v>Yes</v>
      </c>
      <c r="M420" s="4" t="s">
        <v>204</v>
      </c>
      <c r="N420" s="4" t="str">
        <f>VLOOKUP(M420,'Products (2)'!A:G,2,0)</f>
        <v>Arabica</v>
      </c>
      <c r="O420" s="4" t="str">
        <f>VLOOKUP(M420,'Products (2)'!A:G,3,0)</f>
        <v>Light</v>
      </c>
      <c r="P420" s="4">
        <f>VLOOKUP(M420,'Products (2)'!A:G,7,0)</f>
        <v>2.6806499999999995</v>
      </c>
      <c r="Q420" s="3">
        <v>5</v>
      </c>
      <c r="R420" s="5">
        <f>INDEX([1]products!$A$1:$G$49,MATCH([1]orders!$D420,[1]products!$A$1:$A$49,0),MATCH([1]orders!K$1,[1]products!$A$1:$G$1,0))</f>
        <v>2.5</v>
      </c>
      <c r="S420" s="6">
        <f>INDEX([1]products!$A$1:$G$49,MATCH([1]orders!$D420,[1]products!$A$1:$A$49,0),MATCH([1]orders!L$1,[1]products!$A$1:$G$1,0))</f>
        <v>29.784999999999997</v>
      </c>
      <c r="T420" s="6">
        <f t="shared" si="36"/>
        <v>148.92499999999998</v>
      </c>
      <c r="U420" s="22">
        <f t="shared" si="40"/>
        <v>13.403249999999998</v>
      </c>
      <c r="V420" s="22">
        <f t="shared" si="41"/>
        <v>9</v>
      </c>
    </row>
    <row r="421" spans="1:22" x14ac:dyDescent="0.3">
      <c r="A421" s="1" t="s">
        <v>839</v>
      </c>
      <c r="B421" s="2">
        <v>44739</v>
      </c>
      <c r="C421" s="2" t="str">
        <f t="shared" si="37"/>
        <v>Monday</v>
      </c>
      <c r="D421" s="2" t="str">
        <f t="shared" si="38"/>
        <v>June</v>
      </c>
      <c r="E421" s="2" t="str">
        <f t="shared" si="39"/>
        <v>2022</v>
      </c>
      <c r="F421" s="3" t="s">
        <v>840</v>
      </c>
      <c r="G421" s="3" t="str">
        <f>VLOOKUP(F422,'Customers (2)'!A:I,2,0)</f>
        <v>Terri Farra</v>
      </c>
      <c r="H421" s="3" t="str">
        <f>VLOOKUP(F421,'Customers (2)'!A:I,3,0)</f>
        <v>adanzeybn@github.com</v>
      </c>
      <c r="I421" s="3" t="str">
        <f>VLOOKUP(F421,'Customers (2)'!A:I,4,0)</f>
        <v>+1 (402) 633-9913</v>
      </c>
      <c r="J421" s="3" t="str">
        <f>VLOOKUP(F421,'Customers (2)'!A:I,6,0)</f>
        <v>Lincoln</v>
      </c>
      <c r="K421" s="3" t="str">
        <f>VLOOKUP(F421,'Customers (2)'!A:I,7,0)</f>
        <v>United States</v>
      </c>
      <c r="L421" s="3" t="str">
        <f>VLOOKUP(F421,'Customers (2)'!A:I,9,0)</f>
        <v>Yes</v>
      </c>
      <c r="M421" s="4" t="s">
        <v>78</v>
      </c>
      <c r="N421" s="4" t="str">
        <f>VLOOKUP(M421,'Products (2)'!A:G,2,0)</f>
        <v>Liberica</v>
      </c>
      <c r="O421" s="4" t="str">
        <f>VLOOKUP(M421,'Products (2)'!A:G,3,0)</f>
        <v>Medium</v>
      </c>
      <c r="P421" s="4">
        <f>VLOOKUP(M421,'Products (2)'!A:G,7,0)</f>
        <v>1.1349</v>
      </c>
      <c r="Q421" s="3">
        <v>1</v>
      </c>
      <c r="R421" s="5">
        <f>INDEX([1]products!$A$1:$G$49,MATCH([1]orders!$D421,[1]products!$A$1:$A$49,0),MATCH([1]orders!K$1,[1]products!$A$1:$G$1,0))</f>
        <v>0.5</v>
      </c>
      <c r="S421" s="6">
        <f>INDEX([1]products!$A$1:$G$49,MATCH([1]orders!$D421,[1]products!$A$1:$A$49,0),MATCH([1]orders!L$1,[1]products!$A$1:$G$1,0))</f>
        <v>8.73</v>
      </c>
      <c r="T421" s="6">
        <f t="shared" si="36"/>
        <v>8.73</v>
      </c>
      <c r="U421" s="22">
        <f t="shared" si="40"/>
        <v>1.1349</v>
      </c>
      <c r="V421" s="22">
        <f t="shared" si="41"/>
        <v>13</v>
      </c>
    </row>
    <row r="422" spans="1:22" x14ac:dyDescent="0.3">
      <c r="A422" s="1" t="s">
        <v>841</v>
      </c>
      <c r="B422" s="2">
        <v>43866</v>
      </c>
      <c r="C422" s="2" t="str">
        <f t="shared" si="37"/>
        <v>Wednesday</v>
      </c>
      <c r="D422" s="2" t="str">
        <f t="shared" si="38"/>
        <v>February</v>
      </c>
      <c r="E422" s="2" t="str">
        <f t="shared" si="39"/>
        <v>2020</v>
      </c>
      <c r="F422" s="3" t="s">
        <v>749</v>
      </c>
      <c r="G422" s="3" t="str">
        <f>VLOOKUP(F423,'Customers (2)'!A:I,2,0)</f>
        <v>Terri Farra</v>
      </c>
      <c r="H422" s="3" t="str">
        <f>VLOOKUP(F422,'Customers (2)'!A:I,3,0)</f>
        <v>tfarraac@behance.net</v>
      </c>
      <c r="I422" s="3" t="str">
        <f>VLOOKUP(F422,'Customers (2)'!A:I,4,0)</f>
        <v>+1 (432) 648-9589</v>
      </c>
      <c r="J422" s="3" t="str">
        <f>VLOOKUP(F422,'Customers (2)'!A:I,6,0)</f>
        <v>Odessa</v>
      </c>
      <c r="K422" s="3" t="str">
        <f>VLOOKUP(F422,'Customers (2)'!A:I,7,0)</f>
        <v>United States</v>
      </c>
      <c r="L422" s="3" t="str">
        <f>VLOOKUP(F422,'Customers (2)'!A:I,9,0)</f>
        <v>No</v>
      </c>
      <c r="M422" s="4" t="s">
        <v>123</v>
      </c>
      <c r="N422" s="4" t="str">
        <f>VLOOKUP(M422,'Products (2)'!A:G,2,0)</f>
        <v>Liberica</v>
      </c>
      <c r="O422" s="4" t="str">
        <f>VLOOKUP(M422,'Products (2)'!A:G,3,0)</f>
        <v>Dark</v>
      </c>
      <c r="P422" s="4">
        <f>VLOOKUP(M422,'Products (2)'!A:G,7,0)</f>
        <v>1.0101</v>
      </c>
      <c r="Q422" s="3">
        <v>4</v>
      </c>
      <c r="R422" s="5">
        <f>INDEX([1]products!$A$1:$G$49,MATCH([1]orders!$D422,[1]products!$A$1:$A$49,0),MATCH([1]orders!K$1,[1]products!$A$1:$G$1,0))</f>
        <v>0.5</v>
      </c>
      <c r="S422" s="6">
        <f>INDEX([1]products!$A$1:$G$49,MATCH([1]orders!$D422,[1]products!$A$1:$A$49,0),MATCH([1]orders!L$1,[1]products!$A$1:$G$1,0))</f>
        <v>7.77</v>
      </c>
      <c r="T422" s="6">
        <f t="shared" si="36"/>
        <v>31.08</v>
      </c>
      <c r="U422" s="22">
        <f t="shared" si="40"/>
        <v>4.0404</v>
      </c>
      <c r="V422" s="22">
        <f t="shared" si="41"/>
        <v>13</v>
      </c>
    </row>
    <row r="423" spans="1:22" x14ac:dyDescent="0.3">
      <c r="A423" s="1" t="s">
        <v>841</v>
      </c>
      <c r="B423" s="2">
        <v>43866</v>
      </c>
      <c r="C423" s="2" t="str">
        <f t="shared" si="37"/>
        <v>Wednesday</v>
      </c>
      <c r="D423" s="2" t="str">
        <f t="shared" si="38"/>
        <v>February</v>
      </c>
      <c r="E423" s="2" t="str">
        <f t="shared" si="39"/>
        <v>2020</v>
      </c>
      <c r="F423" s="3" t="s">
        <v>749</v>
      </c>
      <c r="G423" s="3" t="str">
        <f>VLOOKUP(F424,'Customers (2)'!A:I,2,0)</f>
        <v>Nevins Glowacz</v>
      </c>
      <c r="H423" s="3" t="str">
        <f>VLOOKUP(F423,'Customers (2)'!A:I,3,0)</f>
        <v>tfarraac@behance.net</v>
      </c>
      <c r="I423" s="3" t="str">
        <f>VLOOKUP(F423,'Customers (2)'!A:I,4,0)</f>
        <v>+1 (432) 648-9589</v>
      </c>
      <c r="J423" s="3" t="str">
        <f>VLOOKUP(F423,'Customers (2)'!A:I,6,0)</f>
        <v>Odessa</v>
      </c>
      <c r="K423" s="3" t="str">
        <f>VLOOKUP(F423,'Customers (2)'!A:I,7,0)</f>
        <v>United States</v>
      </c>
      <c r="L423" s="3" t="str">
        <f>VLOOKUP(F423,'Customers (2)'!A:I,9,0)</f>
        <v>No</v>
      </c>
      <c r="M423" s="4" t="s">
        <v>118</v>
      </c>
      <c r="N423" s="4" t="str">
        <f>VLOOKUP(M423,'Products (2)'!A:G,2,0)</f>
        <v>Arabica</v>
      </c>
      <c r="O423" s="4" t="str">
        <f>VLOOKUP(M423,'Products (2)'!A:G,3,0)</f>
        <v>Dark</v>
      </c>
      <c r="P423" s="4">
        <f>VLOOKUP(M423,'Products (2)'!A:G,7,0)</f>
        <v>2.0596499999999995</v>
      </c>
      <c r="Q423" s="3">
        <v>6</v>
      </c>
      <c r="R423" s="5">
        <f>INDEX([1]products!$A$1:$G$49,MATCH([1]orders!$D423,[1]products!$A$1:$A$49,0),MATCH([1]orders!K$1,[1]products!$A$1:$G$1,0))</f>
        <v>2.5</v>
      </c>
      <c r="S423" s="6">
        <f>INDEX([1]products!$A$1:$G$49,MATCH([1]orders!$D423,[1]products!$A$1:$A$49,0),MATCH([1]orders!L$1,[1]products!$A$1:$G$1,0))</f>
        <v>22.884999999999998</v>
      </c>
      <c r="T423" s="6">
        <f t="shared" si="36"/>
        <v>137.31</v>
      </c>
      <c r="U423" s="22">
        <f t="shared" si="40"/>
        <v>12.357899999999997</v>
      </c>
      <c r="V423" s="22">
        <f t="shared" si="41"/>
        <v>8.9999999999999982</v>
      </c>
    </row>
    <row r="424" spans="1:22" x14ac:dyDescent="0.3">
      <c r="A424" s="1" t="s">
        <v>842</v>
      </c>
      <c r="B424" s="2">
        <v>43868</v>
      </c>
      <c r="C424" s="2" t="str">
        <f t="shared" si="37"/>
        <v>Friday</v>
      </c>
      <c r="D424" s="2" t="str">
        <f t="shared" si="38"/>
        <v>February</v>
      </c>
      <c r="E424" s="2" t="str">
        <f t="shared" si="39"/>
        <v>2020</v>
      </c>
      <c r="F424" s="3" t="s">
        <v>843</v>
      </c>
      <c r="G424" s="3" t="str">
        <f>VLOOKUP(F425,'Customers (2)'!A:I,2,0)</f>
        <v>Adelice Isabell</v>
      </c>
      <c r="H424" s="3">
        <f>VLOOKUP(F424,'Customers (2)'!A:I,3,0)</f>
        <v>0</v>
      </c>
      <c r="I424" s="3" t="str">
        <f>VLOOKUP(F424,'Customers (2)'!A:I,4,0)</f>
        <v>+1 (608) 617-1365</v>
      </c>
      <c r="J424" s="3" t="str">
        <f>VLOOKUP(F424,'Customers (2)'!A:I,6,0)</f>
        <v>Madison</v>
      </c>
      <c r="K424" s="3" t="str">
        <f>VLOOKUP(F424,'Customers (2)'!A:I,7,0)</f>
        <v>United States</v>
      </c>
      <c r="L424" s="3" t="str">
        <f>VLOOKUP(F424,'Customers (2)'!A:I,9,0)</f>
        <v>No</v>
      </c>
      <c r="M424" s="4" t="s">
        <v>72</v>
      </c>
      <c r="N424" s="4" t="str">
        <f>VLOOKUP(M424,'Products (2)'!A:G,2,0)</f>
        <v>Arabica</v>
      </c>
      <c r="O424" s="4" t="str">
        <f>VLOOKUP(M424,'Products (2)'!A:G,3,0)</f>
        <v>Dark</v>
      </c>
      <c r="P424" s="4">
        <f>VLOOKUP(M424,'Products (2)'!A:G,7,0)</f>
        <v>0.5373</v>
      </c>
      <c r="Q424" s="3">
        <v>5</v>
      </c>
      <c r="R424" s="5">
        <f>INDEX([1]products!$A$1:$G$49,MATCH([1]orders!$D424,[1]products!$A$1:$A$49,0),MATCH([1]orders!K$1,[1]products!$A$1:$G$1,0))</f>
        <v>0.5</v>
      </c>
      <c r="S424" s="6">
        <f>INDEX([1]products!$A$1:$G$49,MATCH([1]orders!$D424,[1]products!$A$1:$A$49,0),MATCH([1]orders!L$1,[1]products!$A$1:$G$1,0))</f>
        <v>5.97</v>
      </c>
      <c r="T424" s="6">
        <f t="shared" si="36"/>
        <v>29.849999999999998</v>
      </c>
      <c r="U424" s="22">
        <f t="shared" si="40"/>
        <v>2.6865000000000001</v>
      </c>
      <c r="V424" s="22">
        <f t="shared" si="41"/>
        <v>9.0000000000000018</v>
      </c>
    </row>
    <row r="425" spans="1:22" x14ac:dyDescent="0.3">
      <c r="A425" s="1" t="s">
        <v>844</v>
      </c>
      <c r="B425" s="2">
        <v>44183</v>
      </c>
      <c r="C425" s="2" t="str">
        <f t="shared" si="37"/>
        <v>Friday</v>
      </c>
      <c r="D425" s="2" t="str">
        <f t="shared" si="38"/>
        <v>December</v>
      </c>
      <c r="E425" s="2" t="str">
        <f t="shared" si="39"/>
        <v>2020</v>
      </c>
      <c r="F425" s="3" t="s">
        <v>845</v>
      </c>
      <c r="G425" s="3" t="str">
        <f>VLOOKUP(F426,'Customers (2)'!A:I,2,0)</f>
        <v>Yulma Dombrell</v>
      </c>
      <c r="H425" s="3">
        <f>VLOOKUP(F425,'Customers (2)'!A:I,3,0)</f>
        <v>0</v>
      </c>
      <c r="I425" s="3" t="str">
        <f>VLOOKUP(F425,'Customers (2)'!A:I,4,0)</f>
        <v>+1 (304) 604-2131</v>
      </c>
      <c r="J425" s="3" t="str">
        <f>VLOOKUP(F425,'Customers (2)'!A:I,6,0)</f>
        <v>Charleston</v>
      </c>
      <c r="K425" s="3" t="str">
        <f>VLOOKUP(F425,'Customers (2)'!A:I,7,0)</f>
        <v>United States</v>
      </c>
      <c r="L425" s="3" t="str">
        <f>VLOOKUP(F425,'Customers (2)'!A:I,9,0)</f>
        <v>No</v>
      </c>
      <c r="M425" s="4" t="s">
        <v>22</v>
      </c>
      <c r="N425" s="4" t="str">
        <f>VLOOKUP(M425,'Products (2)'!A:G,2,0)</f>
        <v>Robusta</v>
      </c>
      <c r="O425" s="4" t="str">
        <f>VLOOKUP(M425,'Products (2)'!A:G,3,0)</f>
        <v>Medium</v>
      </c>
      <c r="P425" s="4">
        <f>VLOOKUP(M425,'Products (2)'!A:G,7,0)</f>
        <v>0.35819999999999996</v>
      </c>
      <c r="Q425" s="3">
        <v>3</v>
      </c>
      <c r="R425" s="5">
        <f>INDEX([1]products!$A$1:$G$49,MATCH([1]orders!$D425,[1]products!$A$1:$A$49,0),MATCH([1]orders!K$1,[1]products!$A$1:$G$1,0))</f>
        <v>0.5</v>
      </c>
      <c r="S425" s="6">
        <f>INDEX([1]products!$A$1:$G$49,MATCH([1]orders!$D425,[1]products!$A$1:$A$49,0),MATCH([1]orders!L$1,[1]products!$A$1:$G$1,0))</f>
        <v>5.97</v>
      </c>
      <c r="T425" s="6">
        <f t="shared" si="36"/>
        <v>17.91</v>
      </c>
      <c r="U425" s="22">
        <f t="shared" si="40"/>
        <v>1.0745999999999998</v>
      </c>
      <c r="V425" s="22">
        <f t="shared" si="41"/>
        <v>5.9999999999999982</v>
      </c>
    </row>
    <row r="426" spans="1:22" x14ac:dyDescent="0.3">
      <c r="A426" s="1" t="s">
        <v>846</v>
      </c>
      <c r="B426" s="2">
        <v>44431</v>
      </c>
      <c r="C426" s="2" t="str">
        <f t="shared" si="37"/>
        <v>Monday</v>
      </c>
      <c r="D426" s="2" t="str">
        <f t="shared" si="38"/>
        <v>August</v>
      </c>
      <c r="E426" s="2" t="str">
        <f t="shared" si="39"/>
        <v>2021</v>
      </c>
      <c r="F426" s="3" t="s">
        <v>847</v>
      </c>
      <c r="G426" s="3" t="str">
        <f>VLOOKUP(F427,'Customers (2)'!A:I,2,0)</f>
        <v>Alric Darth</v>
      </c>
      <c r="H426" s="3" t="str">
        <f>VLOOKUP(F426,'Customers (2)'!A:I,3,0)</f>
        <v>ydombrellbs@dedecms.com</v>
      </c>
      <c r="I426" s="3" t="str">
        <f>VLOOKUP(F426,'Customers (2)'!A:I,4,0)</f>
        <v>+1 (501) 136-0040</v>
      </c>
      <c r="J426" s="3" t="str">
        <f>VLOOKUP(F426,'Customers (2)'!A:I,6,0)</f>
        <v>Little Rock</v>
      </c>
      <c r="K426" s="3" t="str">
        <f>VLOOKUP(F426,'Customers (2)'!A:I,7,0)</f>
        <v>United States</v>
      </c>
      <c r="L426" s="3" t="str">
        <f>VLOOKUP(F426,'Customers (2)'!A:I,9,0)</f>
        <v>Yes</v>
      </c>
      <c r="M426" s="4" t="s">
        <v>176</v>
      </c>
      <c r="N426" s="4" t="str">
        <f>VLOOKUP(M426,'Products (2)'!A:G,2,0)</f>
        <v>Excelsa</v>
      </c>
      <c r="O426" s="4" t="str">
        <f>VLOOKUP(M426,'Products (2)'!A:G,3,0)</f>
        <v>Light</v>
      </c>
      <c r="P426" s="4">
        <f>VLOOKUP(M426,'Products (2)'!A:G,7,0)</f>
        <v>0.98009999999999997</v>
      </c>
      <c r="Q426" s="3">
        <v>3</v>
      </c>
      <c r="R426" s="5">
        <f>INDEX([1]products!$A$1:$G$49,MATCH([1]orders!$D426,[1]products!$A$1:$A$49,0),MATCH([1]orders!K$1,[1]products!$A$1:$G$1,0))</f>
        <v>0.5</v>
      </c>
      <c r="S426" s="6">
        <f>INDEX([1]products!$A$1:$G$49,MATCH([1]orders!$D426,[1]products!$A$1:$A$49,0),MATCH([1]orders!L$1,[1]products!$A$1:$G$1,0))</f>
        <v>8.91</v>
      </c>
      <c r="T426" s="6">
        <f t="shared" si="36"/>
        <v>26.73</v>
      </c>
      <c r="U426" s="22">
        <f t="shared" si="40"/>
        <v>2.9402999999999997</v>
      </c>
      <c r="V426" s="22">
        <f t="shared" si="41"/>
        <v>10.999999999999998</v>
      </c>
    </row>
    <row r="427" spans="1:22" x14ac:dyDescent="0.3">
      <c r="A427" s="1" t="s">
        <v>848</v>
      </c>
      <c r="B427" s="2">
        <v>44428</v>
      </c>
      <c r="C427" s="2" t="str">
        <f t="shared" si="37"/>
        <v>Friday</v>
      </c>
      <c r="D427" s="2" t="str">
        <f t="shared" si="38"/>
        <v>August</v>
      </c>
      <c r="E427" s="2" t="str">
        <f t="shared" si="39"/>
        <v>2021</v>
      </c>
      <c r="F427" s="3" t="s">
        <v>849</v>
      </c>
      <c r="G427" s="3" t="str">
        <f>VLOOKUP(F428,'Customers (2)'!A:I,2,0)</f>
        <v>Manuel Darrigoe</v>
      </c>
      <c r="H427" s="3" t="str">
        <f>VLOOKUP(F427,'Customers (2)'!A:I,3,0)</f>
        <v>adarthbt@t.co</v>
      </c>
      <c r="I427" s="3" t="str">
        <f>VLOOKUP(F427,'Customers (2)'!A:I,4,0)</f>
        <v>+1 (907) 557-6903</v>
      </c>
      <c r="J427" s="3" t="str">
        <f>VLOOKUP(F427,'Customers (2)'!A:I,6,0)</f>
        <v>Anchorage</v>
      </c>
      <c r="K427" s="3" t="str">
        <f>VLOOKUP(F427,'Customers (2)'!A:I,7,0)</f>
        <v>United States</v>
      </c>
      <c r="L427" s="3" t="str">
        <f>VLOOKUP(F427,'Customers (2)'!A:I,9,0)</f>
        <v>No</v>
      </c>
      <c r="M427" s="4" t="s">
        <v>179</v>
      </c>
      <c r="N427" s="4" t="str">
        <f>VLOOKUP(M427,'Products (2)'!A:G,2,0)</f>
        <v>Robusta</v>
      </c>
      <c r="O427" s="4" t="str">
        <f>VLOOKUP(M427,'Products (2)'!A:G,3,0)</f>
        <v>Dark</v>
      </c>
      <c r="P427" s="4">
        <f>VLOOKUP(M427,'Products (2)'!A:G,7,0)</f>
        <v>0.53699999999999992</v>
      </c>
      <c r="Q427" s="3">
        <v>2</v>
      </c>
      <c r="R427" s="5">
        <f>INDEX([1]products!$A$1:$G$49,MATCH([1]orders!$D427,[1]products!$A$1:$A$49,0),MATCH([1]orders!K$1,[1]products!$A$1:$G$1,0))</f>
        <v>1</v>
      </c>
      <c r="S427" s="6">
        <f>INDEX([1]products!$A$1:$G$49,MATCH([1]orders!$D427,[1]products!$A$1:$A$49,0),MATCH([1]orders!L$1,[1]products!$A$1:$G$1,0))</f>
        <v>8.9499999999999993</v>
      </c>
      <c r="T427" s="6">
        <f t="shared" si="36"/>
        <v>17.899999999999999</v>
      </c>
      <c r="U427" s="22">
        <f t="shared" si="40"/>
        <v>1.0739999999999998</v>
      </c>
      <c r="V427" s="22">
        <f t="shared" si="41"/>
        <v>6</v>
      </c>
    </row>
    <row r="428" spans="1:22" x14ac:dyDescent="0.3">
      <c r="A428" s="1" t="s">
        <v>850</v>
      </c>
      <c r="B428" s="2">
        <v>43556</v>
      </c>
      <c r="C428" s="2" t="str">
        <f t="shared" si="37"/>
        <v>Monday</v>
      </c>
      <c r="D428" s="2" t="str">
        <f t="shared" si="38"/>
        <v>April</v>
      </c>
      <c r="E428" s="2" t="str">
        <f t="shared" si="39"/>
        <v>2019</v>
      </c>
      <c r="F428" s="3" t="s">
        <v>851</v>
      </c>
      <c r="G428" s="3" t="str">
        <f>VLOOKUP(F429,'Customers (2)'!A:I,2,0)</f>
        <v>Kynthia Berick</v>
      </c>
      <c r="H428" s="3" t="str">
        <f>VLOOKUP(F428,'Customers (2)'!A:I,3,0)</f>
        <v>mdarrigoebu@hud.gov</v>
      </c>
      <c r="I428" s="3" t="str">
        <f>VLOOKUP(F428,'Customers (2)'!A:I,4,0)</f>
        <v>+353 (973) 320-9537</v>
      </c>
      <c r="J428" s="3" t="str">
        <f>VLOOKUP(F428,'Customers (2)'!A:I,6,0)</f>
        <v>Longwood</v>
      </c>
      <c r="K428" s="3" t="str">
        <f>VLOOKUP(F428,'Customers (2)'!A:I,7,0)</f>
        <v>Ireland</v>
      </c>
      <c r="L428" s="3" t="str">
        <f>VLOOKUP(F428,'Customers (2)'!A:I,9,0)</f>
        <v>Yes</v>
      </c>
      <c r="M428" s="4" t="s">
        <v>182</v>
      </c>
      <c r="N428" s="4" t="str">
        <f>VLOOKUP(M428,'Products (2)'!A:G,2,0)</f>
        <v>Robusta</v>
      </c>
      <c r="O428" s="4" t="str">
        <f>VLOOKUP(M428,'Products (2)'!A:G,3,0)</f>
        <v>Light</v>
      </c>
      <c r="P428" s="4">
        <f>VLOOKUP(M428,'Products (2)'!A:G,7,0)</f>
        <v>0.21509999999999996</v>
      </c>
      <c r="Q428" s="3">
        <v>4</v>
      </c>
      <c r="R428" s="5">
        <f>INDEX([1]products!$A$1:$G$49,MATCH([1]orders!$D428,[1]products!$A$1:$A$49,0),MATCH([1]orders!K$1,[1]products!$A$1:$G$1,0))</f>
        <v>0.2</v>
      </c>
      <c r="S428" s="6">
        <f>INDEX([1]products!$A$1:$G$49,MATCH([1]orders!$D428,[1]products!$A$1:$A$49,0),MATCH([1]orders!L$1,[1]products!$A$1:$G$1,0))</f>
        <v>3.5849999999999995</v>
      </c>
      <c r="T428" s="6">
        <f t="shared" si="36"/>
        <v>14.339999999999998</v>
      </c>
      <c r="U428" s="22">
        <f t="shared" si="40"/>
        <v>0.86039999999999983</v>
      </c>
      <c r="V428" s="22">
        <f t="shared" si="41"/>
        <v>6</v>
      </c>
    </row>
    <row r="429" spans="1:22" x14ac:dyDescent="0.3">
      <c r="A429" s="1" t="s">
        <v>852</v>
      </c>
      <c r="B429" s="2">
        <v>44224</v>
      </c>
      <c r="C429" s="2" t="str">
        <f t="shared" si="37"/>
        <v>Thursday</v>
      </c>
      <c r="D429" s="2" t="str">
        <f t="shared" si="38"/>
        <v>January</v>
      </c>
      <c r="E429" s="2" t="str">
        <f t="shared" si="39"/>
        <v>2021</v>
      </c>
      <c r="F429" s="3" t="s">
        <v>853</v>
      </c>
      <c r="G429" s="3" t="str">
        <f>VLOOKUP(F430,'Customers (2)'!A:I,2,0)</f>
        <v>Minetta Ackrill</v>
      </c>
      <c r="H429" s="3">
        <f>VLOOKUP(F429,'Customers (2)'!A:I,3,0)</f>
        <v>0</v>
      </c>
      <c r="I429" s="3" t="str">
        <f>VLOOKUP(F429,'Customers (2)'!A:I,4,0)</f>
        <v>+1 (562) 331-4713</v>
      </c>
      <c r="J429" s="3" t="str">
        <f>VLOOKUP(F429,'Customers (2)'!A:I,6,0)</f>
        <v>San Francisco</v>
      </c>
      <c r="K429" s="3" t="str">
        <f>VLOOKUP(F429,'Customers (2)'!A:I,7,0)</f>
        <v>United States</v>
      </c>
      <c r="L429" s="3" t="str">
        <f>VLOOKUP(F429,'Customers (2)'!A:I,9,0)</f>
        <v>Yes</v>
      </c>
      <c r="M429" s="4" t="s">
        <v>171</v>
      </c>
      <c r="N429" s="4" t="str">
        <f>VLOOKUP(M429,'Products (2)'!A:G,2,0)</f>
        <v>Arabica</v>
      </c>
      <c r="O429" s="4" t="str">
        <f>VLOOKUP(M429,'Products (2)'!A:G,3,0)</f>
        <v>Medium</v>
      </c>
      <c r="P429" s="4">
        <f>VLOOKUP(M429,'Products (2)'!A:G,7,0)</f>
        <v>2.3287499999999994</v>
      </c>
      <c r="Q429" s="3">
        <v>3</v>
      </c>
      <c r="R429" s="5">
        <f>INDEX([1]products!$A$1:$G$49,MATCH([1]orders!$D429,[1]products!$A$1:$A$49,0),MATCH([1]orders!K$1,[1]products!$A$1:$G$1,0))</f>
        <v>2.5</v>
      </c>
      <c r="S429" s="6">
        <f>INDEX([1]products!$A$1:$G$49,MATCH([1]orders!$D429,[1]products!$A$1:$A$49,0),MATCH([1]orders!L$1,[1]products!$A$1:$G$1,0))</f>
        <v>25.874999999999996</v>
      </c>
      <c r="T429" s="6">
        <f t="shared" si="36"/>
        <v>77.624999999999986</v>
      </c>
      <c r="U429" s="22">
        <f t="shared" si="40"/>
        <v>6.9862499999999983</v>
      </c>
      <c r="V429" s="22">
        <f t="shared" si="41"/>
        <v>9</v>
      </c>
    </row>
    <row r="430" spans="1:22" x14ac:dyDescent="0.3">
      <c r="A430" s="1" t="s">
        <v>854</v>
      </c>
      <c r="B430" s="2">
        <v>43759</v>
      </c>
      <c r="C430" s="2" t="str">
        <f t="shared" si="37"/>
        <v>Monday</v>
      </c>
      <c r="D430" s="2" t="str">
        <f t="shared" si="38"/>
        <v>October</v>
      </c>
      <c r="E430" s="2" t="str">
        <f t="shared" si="39"/>
        <v>2019</v>
      </c>
      <c r="F430" s="3" t="s">
        <v>855</v>
      </c>
      <c r="G430" s="3" t="str">
        <f>VLOOKUP(F431,'Customers (2)'!A:I,2,0)</f>
        <v>Terri Farra</v>
      </c>
      <c r="H430" s="3" t="str">
        <f>VLOOKUP(F430,'Customers (2)'!A:I,3,0)</f>
        <v>mackrillbw@bandcamp.com</v>
      </c>
      <c r="I430" s="3" t="str">
        <f>VLOOKUP(F430,'Customers (2)'!A:I,4,0)</f>
        <v>+1 (330) 603-2373</v>
      </c>
      <c r="J430" s="3" t="str">
        <f>VLOOKUP(F430,'Customers (2)'!A:I,6,0)</f>
        <v>Warren</v>
      </c>
      <c r="K430" s="3" t="str">
        <f>VLOOKUP(F430,'Customers (2)'!A:I,7,0)</f>
        <v>United States</v>
      </c>
      <c r="L430" s="3" t="str">
        <f>VLOOKUP(F430,'Customers (2)'!A:I,9,0)</f>
        <v>No</v>
      </c>
      <c r="M430" s="4" t="s">
        <v>189</v>
      </c>
      <c r="N430" s="4" t="str">
        <f>VLOOKUP(M430,'Products (2)'!A:G,2,0)</f>
        <v>Robusta</v>
      </c>
      <c r="O430" s="4" t="str">
        <f>VLOOKUP(M430,'Products (2)'!A:G,3,0)</f>
        <v>Light</v>
      </c>
      <c r="P430" s="4">
        <f>VLOOKUP(M430,'Products (2)'!A:G,7,0)</f>
        <v>0.71699999999999997</v>
      </c>
      <c r="Q430" s="3">
        <v>5</v>
      </c>
      <c r="R430" s="5">
        <f>INDEX([1]products!$A$1:$G$49,MATCH([1]orders!$D430,[1]products!$A$1:$A$49,0),MATCH([1]orders!K$1,[1]products!$A$1:$G$1,0))</f>
        <v>1</v>
      </c>
      <c r="S430" s="6">
        <f>INDEX([1]products!$A$1:$G$49,MATCH([1]orders!$D430,[1]products!$A$1:$A$49,0),MATCH([1]orders!L$1,[1]products!$A$1:$G$1,0))</f>
        <v>11.95</v>
      </c>
      <c r="T430" s="6">
        <f t="shared" si="36"/>
        <v>59.75</v>
      </c>
      <c r="U430" s="22">
        <f t="shared" si="40"/>
        <v>3.585</v>
      </c>
      <c r="V430" s="22">
        <f t="shared" si="41"/>
        <v>6</v>
      </c>
    </row>
    <row r="431" spans="1:22" x14ac:dyDescent="0.3">
      <c r="A431" s="1" t="s">
        <v>856</v>
      </c>
      <c r="B431" s="2">
        <v>44367</v>
      </c>
      <c r="C431" s="2" t="str">
        <f t="shared" si="37"/>
        <v>Sunday</v>
      </c>
      <c r="D431" s="2" t="str">
        <f t="shared" si="38"/>
        <v>June</v>
      </c>
      <c r="E431" s="2" t="str">
        <f t="shared" si="39"/>
        <v>2021</v>
      </c>
      <c r="F431" s="3" t="s">
        <v>749</v>
      </c>
      <c r="G431" s="3" t="str">
        <f>VLOOKUP(F432,'Customers (2)'!A:I,2,0)</f>
        <v>Melosa Kippen</v>
      </c>
      <c r="H431" s="3" t="str">
        <f>VLOOKUP(F431,'Customers (2)'!A:I,3,0)</f>
        <v>tfarraac@behance.net</v>
      </c>
      <c r="I431" s="3" t="str">
        <f>VLOOKUP(F431,'Customers (2)'!A:I,4,0)</f>
        <v>+1 (432) 648-9589</v>
      </c>
      <c r="J431" s="3" t="str">
        <f>VLOOKUP(F431,'Customers (2)'!A:I,6,0)</f>
        <v>Odessa</v>
      </c>
      <c r="K431" s="3" t="str">
        <f>VLOOKUP(F431,'Customers (2)'!A:I,7,0)</f>
        <v>United States</v>
      </c>
      <c r="L431" s="3" t="str">
        <f>VLOOKUP(F431,'Customers (2)'!A:I,9,0)</f>
        <v>No</v>
      </c>
      <c r="M431" s="4" t="s">
        <v>6</v>
      </c>
      <c r="N431" s="4" t="str">
        <f>VLOOKUP(M431,'Products (2)'!A:G,2,0)</f>
        <v>Arabica</v>
      </c>
      <c r="O431" s="4" t="str">
        <f>VLOOKUP(M431,'Products (2)'!A:G,3,0)</f>
        <v>Light</v>
      </c>
      <c r="P431" s="4">
        <f>VLOOKUP(M431,'Products (2)'!A:G,7,0)</f>
        <v>1.1655</v>
      </c>
      <c r="Q431" s="3">
        <v>6</v>
      </c>
      <c r="R431" s="5">
        <f>INDEX([1]products!$A$1:$G$49,MATCH([1]orders!$D431,[1]products!$A$1:$A$49,0),MATCH([1]orders!K$1,[1]products!$A$1:$G$1,0))</f>
        <v>1</v>
      </c>
      <c r="S431" s="6">
        <f>INDEX([1]products!$A$1:$G$49,MATCH([1]orders!$D431,[1]products!$A$1:$A$49,0),MATCH([1]orders!L$1,[1]products!$A$1:$G$1,0))</f>
        <v>12.95</v>
      </c>
      <c r="T431" s="6">
        <f t="shared" si="36"/>
        <v>77.699999999999989</v>
      </c>
      <c r="U431" s="22">
        <f t="shared" si="40"/>
        <v>6.9930000000000003</v>
      </c>
      <c r="V431" s="22">
        <f t="shared" si="41"/>
        <v>9.0000000000000018</v>
      </c>
    </row>
    <row r="432" spans="1:22" x14ac:dyDescent="0.3">
      <c r="A432" s="1" t="s">
        <v>857</v>
      </c>
      <c r="B432" s="2">
        <v>44504</v>
      </c>
      <c r="C432" s="2" t="str">
        <f t="shared" si="37"/>
        <v>Thursday</v>
      </c>
      <c r="D432" s="2" t="str">
        <f t="shared" si="38"/>
        <v>November</v>
      </c>
      <c r="E432" s="2" t="str">
        <f t="shared" si="39"/>
        <v>2021</v>
      </c>
      <c r="F432" s="3" t="s">
        <v>858</v>
      </c>
      <c r="G432" s="3" t="str">
        <f>VLOOKUP(F433,'Customers (2)'!A:I,2,0)</f>
        <v>Witty Ranson</v>
      </c>
      <c r="H432" s="3" t="str">
        <f>VLOOKUP(F432,'Customers (2)'!A:I,3,0)</f>
        <v>mkippenby@dion.ne.jp</v>
      </c>
      <c r="I432" s="3" t="str">
        <f>VLOOKUP(F432,'Customers (2)'!A:I,4,0)</f>
        <v>+1 (601) 262-2557</v>
      </c>
      <c r="J432" s="3" t="str">
        <f>VLOOKUP(F432,'Customers (2)'!A:I,6,0)</f>
        <v>Jackson</v>
      </c>
      <c r="K432" s="3" t="str">
        <f>VLOOKUP(F432,'Customers (2)'!A:I,7,0)</f>
        <v>United States</v>
      </c>
      <c r="L432" s="3" t="str">
        <f>VLOOKUP(F432,'Customers (2)'!A:I,9,0)</f>
        <v>Yes</v>
      </c>
      <c r="M432" s="4" t="s">
        <v>101</v>
      </c>
      <c r="N432" s="4" t="str">
        <f>VLOOKUP(M432,'Products (2)'!A:G,2,0)</f>
        <v>Robusta</v>
      </c>
      <c r="O432" s="4" t="str">
        <f>VLOOKUP(M432,'Products (2)'!A:G,3,0)</f>
        <v>Dark</v>
      </c>
      <c r="P432" s="4">
        <f>VLOOKUP(M432,'Products (2)'!A:G,7,0)</f>
        <v>0.16109999999999997</v>
      </c>
      <c r="Q432" s="3">
        <v>2</v>
      </c>
      <c r="R432" s="5">
        <f>INDEX([1]products!$A$1:$G$49,MATCH([1]orders!$D432,[1]products!$A$1:$A$49,0),MATCH([1]orders!K$1,[1]products!$A$1:$G$1,0))</f>
        <v>0.2</v>
      </c>
      <c r="S432" s="6">
        <f>INDEX([1]products!$A$1:$G$49,MATCH([1]orders!$D432,[1]products!$A$1:$A$49,0),MATCH([1]orders!L$1,[1]products!$A$1:$G$1,0))</f>
        <v>2.6849999999999996</v>
      </c>
      <c r="T432" s="6">
        <f t="shared" si="36"/>
        <v>5.3699999999999992</v>
      </c>
      <c r="U432" s="22">
        <f t="shared" si="40"/>
        <v>0.32219999999999993</v>
      </c>
      <c r="V432" s="22">
        <f t="shared" si="41"/>
        <v>6</v>
      </c>
    </row>
    <row r="433" spans="1:22" x14ac:dyDescent="0.3">
      <c r="A433" s="1" t="s">
        <v>859</v>
      </c>
      <c r="B433" s="2">
        <v>44291</v>
      </c>
      <c r="C433" s="2" t="str">
        <f t="shared" si="37"/>
        <v>Monday</v>
      </c>
      <c r="D433" s="2" t="str">
        <f t="shared" si="38"/>
        <v>April</v>
      </c>
      <c r="E433" s="2" t="str">
        <f t="shared" si="39"/>
        <v>2021</v>
      </c>
      <c r="F433" s="3" t="s">
        <v>860</v>
      </c>
      <c r="G433" s="3" t="str">
        <f>VLOOKUP(F434,'Customers (2)'!A:I,2,0)</f>
        <v>Rod Gowdie</v>
      </c>
      <c r="H433" s="3" t="str">
        <f>VLOOKUP(F433,'Customers (2)'!A:I,3,0)</f>
        <v>wransonbz@ted.com</v>
      </c>
      <c r="I433" s="3" t="str">
        <f>VLOOKUP(F433,'Customers (2)'!A:I,4,0)</f>
        <v>+353 (376) 165-2897</v>
      </c>
      <c r="J433" s="3" t="str">
        <f>VLOOKUP(F433,'Customers (2)'!A:I,6,0)</f>
        <v>Kildare</v>
      </c>
      <c r="K433" s="3" t="str">
        <f>VLOOKUP(F433,'Customers (2)'!A:I,7,0)</f>
        <v>Ireland</v>
      </c>
      <c r="L433" s="3" t="str">
        <f>VLOOKUP(F433,'Customers (2)'!A:I,9,0)</f>
        <v>Yes</v>
      </c>
      <c r="M433" s="4" t="s">
        <v>530</v>
      </c>
      <c r="N433" s="4" t="str">
        <f>VLOOKUP(M433,'Products (2)'!A:G,2,0)</f>
        <v>Excelsa</v>
      </c>
      <c r="O433" s="4" t="str">
        <f>VLOOKUP(M433,'Products (2)'!A:G,3,0)</f>
        <v>Dark</v>
      </c>
      <c r="P433" s="4">
        <f>VLOOKUP(M433,'Products (2)'!A:G,7,0)</f>
        <v>3.07395</v>
      </c>
      <c r="Q433" s="3">
        <v>3</v>
      </c>
      <c r="R433" s="5">
        <f>INDEX([1]products!$A$1:$G$49,MATCH([1]orders!$D433,[1]products!$A$1:$A$49,0),MATCH([1]orders!K$1,[1]products!$A$1:$G$1,0))</f>
        <v>2.5</v>
      </c>
      <c r="S433" s="6">
        <f>INDEX([1]products!$A$1:$G$49,MATCH([1]orders!$D433,[1]products!$A$1:$A$49,0),MATCH([1]orders!L$1,[1]products!$A$1:$G$1,0))</f>
        <v>27.945</v>
      </c>
      <c r="T433" s="6">
        <f t="shared" si="36"/>
        <v>83.835000000000008</v>
      </c>
      <c r="U433" s="22">
        <f t="shared" si="40"/>
        <v>9.2218499999999999</v>
      </c>
      <c r="V433" s="22">
        <f t="shared" si="41"/>
        <v>10.999999999999998</v>
      </c>
    </row>
    <row r="434" spans="1:22" x14ac:dyDescent="0.3">
      <c r="A434" s="1" t="s">
        <v>861</v>
      </c>
      <c r="B434" s="2">
        <v>43808</v>
      </c>
      <c r="C434" s="2" t="str">
        <f t="shared" si="37"/>
        <v>Monday</v>
      </c>
      <c r="D434" s="2" t="str">
        <f t="shared" si="38"/>
        <v>December</v>
      </c>
      <c r="E434" s="2" t="str">
        <f t="shared" si="39"/>
        <v>2019</v>
      </c>
      <c r="F434" s="3" t="s">
        <v>862</v>
      </c>
      <c r="G434" s="3" t="str">
        <f>VLOOKUP(F435,'Customers (2)'!A:I,2,0)</f>
        <v>Lemuel Rignold</v>
      </c>
      <c r="H434" s="3">
        <f>VLOOKUP(F434,'Customers (2)'!A:I,3,0)</f>
        <v>0</v>
      </c>
      <c r="I434" s="3" t="str">
        <f>VLOOKUP(F434,'Customers (2)'!A:I,4,0)</f>
        <v>+1 (360) 347-6756</v>
      </c>
      <c r="J434" s="3" t="str">
        <f>VLOOKUP(F434,'Customers (2)'!A:I,6,0)</f>
        <v>Milwaukee</v>
      </c>
      <c r="K434" s="3" t="str">
        <f>VLOOKUP(F434,'Customers (2)'!A:I,7,0)</f>
        <v>United States</v>
      </c>
      <c r="L434" s="3" t="str">
        <f>VLOOKUP(F434,'Customers (2)'!A:I,9,0)</f>
        <v>No</v>
      </c>
      <c r="M434" s="4" t="s">
        <v>61</v>
      </c>
      <c r="N434" s="4" t="str">
        <f>VLOOKUP(M434,'Products (2)'!A:G,2,0)</f>
        <v>Arabica</v>
      </c>
      <c r="O434" s="4" t="str">
        <f>VLOOKUP(M434,'Products (2)'!A:G,3,0)</f>
        <v>Medium</v>
      </c>
      <c r="P434" s="4">
        <f>VLOOKUP(M434,'Products (2)'!A:G,7,0)</f>
        <v>1.0125</v>
      </c>
      <c r="Q434" s="3">
        <v>2</v>
      </c>
      <c r="R434" s="5">
        <f>INDEX([1]products!$A$1:$G$49,MATCH([1]orders!$D434,[1]products!$A$1:$A$49,0),MATCH([1]orders!K$1,[1]products!$A$1:$G$1,0))</f>
        <v>1</v>
      </c>
      <c r="S434" s="6">
        <f>INDEX([1]products!$A$1:$G$49,MATCH([1]orders!$D434,[1]products!$A$1:$A$49,0),MATCH([1]orders!L$1,[1]products!$A$1:$G$1,0))</f>
        <v>11.25</v>
      </c>
      <c r="T434" s="6">
        <f t="shared" si="36"/>
        <v>22.5</v>
      </c>
      <c r="U434" s="22">
        <f t="shared" si="40"/>
        <v>2.0249999999999999</v>
      </c>
      <c r="V434" s="22">
        <f t="shared" si="41"/>
        <v>9</v>
      </c>
    </row>
    <row r="435" spans="1:22" x14ac:dyDescent="0.3">
      <c r="A435" s="1" t="s">
        <v>863</v>
      </c>
      <c r="B435" s="2">
        <v>44563</v>
      </c>
      <c r="C435" s="2" t="str">
        <f t="shared" si="37"/>
        <v>Sunday</v>
      </c>
      <c r="D435" s="2" t="str">
        <f t="shared" si="38"/>
        <v>January</v>
      </c>
      <c r="E435" s="2" t="str">
        <f t="shared" si="39"/>
        <v>2022</v>
      </c>
      <c r="F435" s="3" t="s">
        <v>864</v>
      </c>
      <c r="G435" s="3" t="str">
        <f>VLOOKUP(F436,'Customers (2)'!A:I,2,0)</f>
        <v>Nevsa Fields</v>
      </c>
      <c r="H435" s="3" t="str">
        <f>VLOOKUP(F435,'Customers (2)'!A:I,3,0)</f>
        <v>lrignoldc1@miibeian.gov.cn</v>
      </c>
      <c r="I435" s="3" t="str">
        <f>VLOOKUP(F435,'Customers (2)'!A:I,4,0)</f>
        <v>+1 (916) 472-7804</v>
      </c>
      <c r="J435" s="3" t="str">
        <f>VLOOKUP(F435,'Customers (2)'!A:I,6,0)</f>
        <v>Sacramento</v>
      </c>
      <c r="K435" s="3" t="str">
        <f>VLOOKUP(F435,'Customers (2)'!A:I,7,0)</f>
        <v>United States</v>
      </c>
      <c r="L435" s="3" t="str">
        <f>VLOOKUP(F435,'Customers (2)'!A:I,9,0)</f>
        <v>Yes</v>
      </c>
      <c r="M435" s="4" t="s">
        <v>197</v>
      </c>
      <c r="N435" s="4" t="str">
        <f>VLOOKUP(M435,'Products (2)'!A:G,2,0)</f>
        <v>Liberica</v>
      </c>
      <c r="O435" s="4" t="str">
        <f>VLOOKUP(M435,'Products (2)'!A:G,3,0)</f>
        <v>Medium</v>
      </c>
      <c r="P435" s="4">
        <f>VLOOKUP(M435,'Products (2)'!A:G,7,0)</f>
        <v>4.3504499999999995</v>
      </c>
      <c r="Q435" s="3">
        <v>6</v>
      </c>
      <c r="R435" s="5">
        <f>INDEX([1]products!$A$1:$G$49,MATCH([1]orders!$D435,[1]products!$A$1:$A$49,0),MATCH([1]orders!K$1,[1]products!$A$1:$G$1,0))</f>
        <v>2.5</v>
      </c>
      <c r="S435" s="6">
        <f>INDEX([1]products!$A$1:$G$49,MATCH([1]orders!$D435,[1]products!$A$1:$A$49,0),MATCH([1]orders!L$1,[1]products!$A$1:$G$1,0))</f>
        <v>33.464999999999996</v>
      </c>
      <c r="T435" s="6">
        <f t="shared" si="36"/>
        <v>200.78999999999996</v>
      </c>
      <c r="U435" s="22">
        <f t="shared" si="40"/>
        <v>26.102699999999999</v>
      </c>
      <c r="V435" s="22">
        <f t="shared" si="41"/>
        <v>13</v>
      </c>
    </row>
    <row r="436" spans="1:22" x14ac:dyDescent="0.3">
      <c r="A436" s="1" t="s">
        <v>865</v>
      </c>
      <c r="B436" s="2">
        <v>43807</v>
      </c>
      <c r="C436" s="2" t="str">
        <f t="shared" si="37"/>
        <v>Sunday</v>
      </c>
      <c r="D436" s="2" t="str">
        <f t="shared" si="38"/>
        <v>December</v>
      </c>
      <c r="E436" s="2" t="str">
        <f t="shared" si="39"/>
        <v>2019</v>
      </c>
      <c r="F436" s="3" t="s">
        <v>866</v>
      </c>
      <c r="G436" s="3" t="str">
        <f>VLOOKUP(F437,'Customers (2)'!A:I,2,0)</f>
        <v>Chance Rowthorn</v>
      </c>
      <c r="H436" s="3">
        <f>VLOOKUP(F436,'Customers (2)'!A:I,3,0)</f>
        <v>0</v>
      </c>
      <c r="I436" s="3" t="str">
        <f>VLOOKUP(F436,'Customers (2)'!A:I,4,0)</f>
        <v>+1 (617) 535-7583</v>
      </c>
      <c r="J436" s="3" t="str">
        <f>VLOOKUP(F436,'Customers (2)'!A:I,6,0)</f>
        <v>Boston</v>
      </c>
      <c r="K436" s="3" t="str">
        <f>VLOOKUP(F436,'Customers (2)'!A:I,7,0)</f>
        <v>United States</v>
      </c>
      <c r="L436" s="3" t="str">
        <f>VLOOKUP(F436,'Customers (2)'!A:I,9,0)</f>
        <v>No</v>
      </c>
      <c r="M436" s="4" t="s">
        <v>61</v>
      </c>
      <c r="N436" s="4" t="str">
        <f>VLOOKUP(M436,'Products (2)'!A:G,2,0)</f>
        <v>Arabica</v>
      </c>
      <c r="O436" s="4" t="str">
        <f>VLOOKUP(M436,'Products (2)'!A:G,3,0)</f>
        <v>Medium</v>
      </c>
      <c r="P436" s="4">
        <f>VLOOKUP(M436,'Products (2)'!A:G,7,0)</f>
        <v>1.0125</v>
      </c>
      <c r="Q436" s="3">
        <v>6</v>
      </c>
      <c r="R436" s="5">
        <f>INDEX([1]products!$A$1:$G$49,MATCH([1]orders!$D436,[1]products!$A$1:$A$49,0),MATCH([1]orders!K$1,[1]products!$A$1:$G$1,0))</f>
        <v>1</v>
      </c>
      <c r="S436" s="6">
        <f>INDEX([1]products!$A$1:$G$49,MATCH([1]orders!$D436,[1]products!$A$1:$A$49,0),MATCH([1]orders!L$1,[1]products!$A$1:$G$1,0))</f>
        <v>11.25</v>
      </c>
      <c r="T436" s="6">
        <f t="shared" si="36"/>
        <v>67.5</v>
      </c>
      <c r="U436" s="22">
        <f t="shared" si="40"/>
        <v>6.0749999999999993</v>
      </c>
      <c r="V436" s="22">
        <f t="shared" si="41"/>
        <v>8.9999999999999982</v>
      </c>
    </row>
    <row r="437" spans="1:22" x14ac:dyDescent="0.3">
      <c r="A437" s="1" t="s">
        <v>867</v>
      </c>
      <c r="B437" s="2">
        <v>44528</v>
      </c>
      <c r="C437" s="2" t="str">
        <f t="shared" si="37"/>
        <v>Sunday</v>
      </c>
      <c r="D437" s="2" t="str">
        <f t="shared" si="38"/>
        <v>November</v>
      </c>
      <c r="E437" s="2" t="str">
        <f t="shared" si="39"/>
        <v>2021</v>
      </c>
      <c r="F437" s="3" t="s">
        <v>868</v>
      </c>
      <c r="G437" s="3" t="str">
        <f>VLOOKUP(F438,'Customers (2)'!A:I,2,0)</f>
        <v>Orly Ryland</v>
      </c>
      <c r="H437" s="3" t="str">
        <f>VLOOKUP(F437,'Customers (2)'!A:I,3,0)</f>
        <v>crowthornc3@msn.com</v>
      </c>
      <c r="I437" s="3" t="str">
        <f>VLOOKUP(F437,'Customers (2)'!A:I,4,0)</f>
        <v>+1 (785) 380-3311</v>
      </c>
      <c r="J437" s="3" t="str">
        <f>VLOOKUP(F437,'Customers (2)'!A:I,6,0)</f>
        <v>Topeka</v>
      </c>
      <c r="K437" s="3" t="str">
        <f>VLOOKUP(F437,'Customers (2)'!A:I,7,0)</f>
        <v>United States</v>
      </c>
      <c r="L437" s="3" t="str">
        <f>VLOOKUP(F437,'Customers (2)'!A:I,9,0)</f>
        <v>No</v>
      </c>
      <c r="M437" s="4" t="s">
        <v>3</v>
      </c>
      <c r="N437" s="4" t="str">
        <f>VLOOKUP(M437,'Products (2)'!A:G,2,0)</f>
        <v>Excelsa</v>
      </c>
      <c r="O437" s="4" t="str">
        <f>VLOOKUP(M437,'Products (2)'!A:G,3,0)</f>
        <v>Medium</v>
      </c>
      <c r="P437" s="4">
        <f>VLOOKUP(M437,'Products (2)'!A:G,7,0)</f>
        <v>0.90749999999999997</v>
      </c>
      <c r="Q437" s="3">
        <v>1</v>
      </c>
      <c r="R437" s="5">
        <f>INDEX([1]products!$A$1:$G$49,MATCH([1]orders!$D437,[1]products!$A$1:$A$49,0),MATCH([1]orders!K$1,[1]products!$A$1:$G$1,0))</f>
        <v>0.5</v>
      </c>
      <c r="S437" s="6">
        <f>INDEX([1]products!$A$1:$G$49,MATCH([1]orders!$D437,[1]products!$A$1:$A$49,0),MATCH([1]orders!L$1,[1]products!$A$1:$G$1,0))</f>
        <v>8.25</v>
      </c>
      <c r="T437" s="6">
        <f t="shared" si="36"/>
        <v>8.25</v>
      </c>
      <c r="U437" s="22">
        <f t="shared" si="40"/>
        <v>0.90749999999999997</v>
      </c>
      <c r="V437" s="22">
        <f t="shared" si="41"/>
        <v>11</v>
      </c>
    </row>
    <row r="438" spans="1:22" x14ac:dyDescent="0.3">
      <c r="A438" s="1" t="s">
        <v>869</v>
      </c>
      <c r="B438" s="2">
        <v>44631</v>
      </c>
      <c r="C438" s="2" t="str">
        <f t="shared" si="37"/>
        <v>Friday</v>
      </c>
      <c r="D438" s="2" t="str">
        <f t="shared" si="38"/>
        <v>March</v>
      </c>
      <c r="E438" s="2" t="str">
        <f t="shared" si="39"/>
        <v>2022</v>
      </c>
      <c r="F438" s="3" t="s">
        <v>870</v>
      </c>
      <c r="G438" s="3" t="str">
        <f>VLOOKUP(F439,'Customers (2)'!A:I,2,0)</f>
        <v>Willabella Abramski</v>
      </c>
      <c r="H438" s="3" t="str">
        <f>VLOOKUP(F438,'Customers (2)'!A:I,3,0)</f>
        <v>orylandc4@deviantart.com</v>
      </c>
      <c r="I438" s="3" t="str">
        <f>VLOOKUP(F438,'Customers (2)'!A:I,4,0)</f>
        <v>+1 (701) 417-3513</v>
      </c>
      <c r="J438" s="3" t="str">
        <f>VLOOKUP(F438,'Customers (2)'!A:I,6,0)</f>
        <v>Fargo</v>
      </c>
      <c r="K438" s="3" t="str">
        <f>VLOOKUP(F438,'Customers (2)'!A:I,7,0)</f>
        <v>United States</v>
      </c>
      <c r="L438" s="3" t="str">
        <f>VLOOKUP(F438,'Customers (2)'!A:I,9,0)</f>
        <v>Yes</v>
      </c>
      <c r="M438" s="4" t="s">
        <v>19</v>
      </c>
      <c r="N438" s="4" t="str">
        <f>VLOOKUP(M438,'Products (2)'!A:G,2,0)</f>
        <v>Liberica</v>
      </c>
      <c r="O438" s="4" t="str">
        <f>VLOOKUP(M438,'Products (2)'!A:G,3,0)</f>
        <v>Light</v>
      </c>
      <c r="P438" s="4">
        <f>VLOOKUP(M438,'Products (2)'!A:G,7,0)</f>
        <v>0.61814999999999998</v>
      </c>
      <c r="Q438" s="3">
        <v>2</v>
      </c>
      <c r="R438" s="5">
        <f>INDEX([1]products!$A$1:$G$49,MATCH([1]orders!$D438,[1]products!$A$1:$A$49,0),MATCH([1]orders!K$1,[1]products!$A$1:$G$1,0))</f>
        <v>0.2</v>
      </c>
      <c r="S438" s="6">
        <f>INDEX([1]products!$A$1:$G$49,MATCH([1]orders!$D438,[1]products!$A$1:$A$49,0),MATCH([1]orders!L$1,[1]products!$A$1:$G$1,0))</f>
        <v>4.7549999999999999</v>
      </c>
      <c r="T438" s="6">
        <f t="shared" si="36"/>
        <v>9.51</v>
      </c>
      <c r="U438" s="22">
        <f t="shared" si="40"/>
        <v>1.2363</v>
      </c>
      <c r="V438" s="22">
        <f t="shared" si="41"/>
        <v>13</v>
      </c>
    </row>
    <row r="439" spans="1:22" x14ac:dyDescent="0.3">
      <c r="A439" s="1" t="s">
        <v>871</v>
      </c>
      <c r="B439" s="2">
        <v>44213</v>
      </c>
      <c r="C439" s="2" t="str">
        <f t="shared" si="37"/>
        <v>Sunday</v>
      </c>
      <c r="D439" s="2" t="str">
        <f t="shared" si="38"/>
        <v>January</v>
      </c>
      <c r="E439" s="2" t="str">
        <f t="shared" si="39"/>
        <v>2021</v>
      </c>
      <c r="F439" s="3" t="s">
        <v>872</v>
      </c>
      <c r="G439" s="3" t="str">
        <f>VLOOKUP(F440,'Customers (2)'!A:I,2,0)</f>
        <v>Morgen Seson</v>
      </c>
      <c r="H439" s="3">
        <f>VLOOKUP(F439,'Customers (2)'!A:I,3,0)</f>
        <v>0</v>
      </c>
      <c r="I439" s="3" t="str">
        <f>VLOOKUP(F439,'Customers (2)'!A:I,4,0)</f>
        <v>+1 (832) 263-0050</v>
      </c>
      <c r="J439" s="3" t="str">
        <f>VLOOKUP(F439,'Customers (2)'!A:I,6,0)</f>
        <v>Houston</v>
      </c>
      <c r="K439" s="3" t="str">
        <f>VLOOKUP(F439,'Customers (2)'!A:I,7,0)</f>
        <v>United States</v>
      </c>
      <c r="L439" s="3" t="str">
        <f>VLOOKUP(F439,'Customers (2)'!A:I,9,0)</f>
        <v>No</v>
      </c>
      <c r="M439" s="4" t="s">
        <v>109</v>
      </c>
      <c r="N439" s="4" t="str">
        <f>VLOOKUP(M439,'Products (2)'!A:G,2,0)</f>
        <v>Liberica</v>
      </c>
      <c r="O439" s="4" t="str">
        <f>VLOOKUP(M439,'Products (2)'!A:G,3,0)</f>
        <v>Dark</v>
      </c>
      <c r="P439" s="4">
        <f>VLOOKUP(M439,'Products (2)'!A:G,7,0)</f>
        <v>3.8720499999999998</v>
      </c>
      <c r="Q439" s="3">
        <v>1</v>
      </c>
      <c r="R439" s="5">
        <f>INDEX([1]products!$A$1:$G$49,MATCH([1]orders!$D439,[1]products!$A$1:$A$49,0),MATCH([1]orders!K$1,[1]products!$A$1:$G$1,0))</f>
        <v>2.5</v>
      </c>
      <c r="S439" s="6">
        <f>INDEX([1]products!$A$1:$G$49,MATCH([1]orders!$D439,[1]products!$A$1:$A$49,0),MATCH([1]orders!L$1,[1]products!$A$1:$G$1,0))</f>
        <v>29.784999999999997</v>
      </c>
      <c r="T439" s="6">
        <f t="shared" si="36"/>
        <v>29.784999999999997</v>
      </c>
      <c r="U439" s="22">
        <f t="shared" si="40"/>
        <v>3.8720499999999998</v>
      </c>
      <c r="V439" s="22">
        <f t="shared" si="41"/>
        <v>13</v>
      </c>
    </row>
    <row r="440" spans="1:22" x14ac:dyDescent="0.3">
      <c r="A440" s="1" t="s">
        <v>873</v>
      </c>
      <c r="B440" s="2">
        <v>43483</v>
      </c>
      <c r="C440" s="2" t="str">
        <f t="shared" si="37"/>
        <v>Friday</v>
      </c>
      <c r="D440" s="2" t="str">
        <f t="shared" si="38"/>
        <v>January</v>
      </c>
      <c r="E440" s="2" t="str">
        <f t="shared" si="39"/>
        <v>2019</v>
      </c>
      <c r="F440" s="3" t="s">
        <v>874</v>
      </c>
      <c r="G440" s="3" t="str">
        <f>VLOOKUP(F441,'Customers (2)'!A:I,2,0)</f>
        <v>Chickie Ragless</v>
      </c>
      <c r="H440" s="3" t="str">
        <f>VLOOKUP(F440,'Customers (2)'!A:I,3,0)</f>
        <v>msesonck@census.gov</v>
      </c>
      <c r="I440" s="3" t="str">
        <f>VLOOKUP(F440,'Customers (2)'!A:I,4,0)</f>
        <v>+1 (206) 642-0902</v>
      </c>
      <c r="J440" s="3" t="str">
        <f>VLOOKUP(F440,'Customers (2)'!A:I,6,0)</f>
        <v>Seattle</v>
      </c>
      <c r="K440" s="3" t="str">
        <f>VLOOKUP(F440,'Customers (2)'!A:I,7,0)</f>
        <v>United States</v>
      </c>
      <c r="L440" s="3" t="str">
        <f>VLOOKUP(F440,'Customers (2)'!A:I,9,0)</f>
        <v>No</v>
      </c>
      <c r="M440" s="4" t="s">
        <v>123</v>
      </c>
      <c r="N440" s="4" t="str">
        <f>VLOOKUP(M440,'Products (2)'!A:G,2,0)</f>
        <v>Liberica</v>
      </c>
      <c r="O440" s="4" t="str">
        <f>VLOOKUP(M440,'Products (2)'!A:G,3,0)</f>
        <v>Dark</v>
      </c>
      <c r="P440" s="4">
        <f>VLOOKUP(M440,'Products (2)'!A:G,7,0)</f>
        <v>1.0101</v>
      </c>
      <c r="Q440" s="3">
        <v>2</v>
      </c>
      <c r="R440" s="5">
        <f>INDEX([1]products!$A$1:$G$49,MATCH([1]orders!$D440,[1]products!$A$1:$A$49,0),MATCH([1]orders!K$1,[1]products!$A$1:$G$1,0))</f>
        <v>0.5</v>
      </c>
      <c r="S440" s="6">
        <f>INDEX([1]products!$A$1:$G$49,MATCH([1]orders!$D440,[1]products!$A$1:$A$49,0),MATCH([1]orders!L$1,[1]products!$A$1:$G$1,0))</f>
        <v>7.77</v>
      </c>
      <c r="T440" s="6">
        <f t="shared" si="36"/>
        <v>15.54</v>
      </c>
      <c r="U440" s="22">
        <f t="shared" si="40"/>
        <v>2.0202</v>
      </c>
      <c r="V440" s="22">
        <f t="shared" si="41"/>
        <v>13</v>
      </c>
    </row>
    <row r="441" spans="1:22" x14ac:dyDescent="0.3">
      <c r="A441" s="1" t="s">
        <v>875</v>
      </c>
      <c r="B441" s="2">
        <v>43562</v>
      </c>
      <c r="C441" s="2" t="str">
        <f t="shared" si="37"/>
        <v>Sunday</v>
      </c>
      <c r="D441" s="2" t="str">
        <f t="shared" si="38"/>
        <v>April</v>
      </c>
      <c r="E441" s="2" t="str">
        <f t="shared" si="39"/>
        <v>2019</v>
      </c>
      <c r="F441" s="3" t="s">
        <v>876</v>
      </c>
      <c r="G441" s="3" t="str">
        <f>VLOOKUP(F442,'Customers (2)'!A:I,2,0)</f>
        <v>Freda Hollows</v>
      </c>
      <c r="H441" s="3" t="str">
        <f>VLOOKUP(F441,'Customers (2)'!A:I,3,0)</f>
        <v>craglessc7@webmd.com</v>
      </c>
      <c r="I441" s="3" t="str">
        <f>VLOOKUP(F441,'Customers (2)'!A:I,4,0)</f>
        <v>+353 (736) 602-8469</v>
      </c>
      <c r="J441" s="3" t="str">
        <f>VLOOKUP(F441,'Customers (2)'!A:I,6,0)</f>
        <v>Caherconlish</v>
      </c>
      <c r="K441" s="3" t="str">
        <f>VLOOKUP(F441,'Customers (2)'!A:I,7,0)</f>
        <v>Ireland</v>
      </c>
      <c r="L441" s="3" t="str">
        <f>VLOOKUP(F441,'Customers (2)'!A:I,9,0)</f>
        <v>No</v>
      </c>
      <c r="M441" s="4" t="s">
        <v>176</v>
      </c>
      <c r="N441" s="4" t="str">
        <f>VLOOKUP(M441,'Products (2)'!A:G,2,0)</f>
        <v>Excelsa</v>
      </c>
      <c r="O441" s="4" t="str">
        <f>VLOOKUP(M441,'Products (2)'!A:G,3,0)</f>
        <v>Light</v>
      </c>
      <c r="P441" s="4">
        <f>VLOOKUP(M441,'Products (2)'!A:G,7,0)</f>
        <v>0.98009999999999997</v>
      </c>
      <c r="Q441" s="3">
        <v>4</v>
      </c>
      <c r="R441" s="5">
        <f>INDEX([1]products!$A$1:$G$49,MATCH([1]orders!$D441,[1]products!$A$1:$A$49,0),MATCH([1]orders!K$1,[1]products!$A$1:$G$1,0))</f>
        <v>0.5</v>
      </c>
      <c r="S441" s="6">
        <f>INDEX([1]products!$A$1:$G$49,MATCH([1]orders!$D441,[1]products!$A$1:$A$49,0),MATCH([1]orders!L$1,[1]products!$A$1:$G$1,0))</f>
        <v>8.91</v>
      </c>
      <c r="T441" s="6">
        <f t="shared" si="36"/>
        <v>35.64</v>
      </c>
      <c r="U441" s="22">
        <f t="shared" si="40"/>
        <v>3.9203999999999999</v>
      </c>
      <c r="V441" s="22">
        <f t="shared" si="41"/>
        <v>11</v>
      </c>
    </row>
    <row r="442" spans="1:22" x14ac:dyDescent="0.3">
      <c r="A442" s="1" t="s">
        <v>877</v>
      </c>
      <c r="B442" s="2">
        <v>44230</v>
      </c>
      <c r="C442" s="2" t="str">
        <f t="shared" si="37"/>
        <v>Wednesday</v>
      </c>
      <c r="D442" s="2" t="str">
        <f t="shared" si="38"/>
        <v>February</v>
      </c>
      <c r="E442" s="2" t="str">
        <f t="shared" si="39"/>
        <v>2021</v>
      </c>
      <c r="F442" s="3" t="s">
        <v>878</v>
      </c>
      <c r="G442" s="3" t="str">
        <f>VLOOKUP(F443,'Customers (2)'!A:I,2,0)</f>
        <v>Livy Lathleiff</v>
      </c>
      <c r="H442" s="3" t="str">
        <f>VLOOKUP(F442,'Customers (2)'!A:I,3,0)</f>
        <v>fhollowsc8@blogtalkradio.com</v>
      </c>
      <c r="I442" s="3" t="str">
        <f>VLOOKUP(F442,'Customers (2)'!A:I,4,0)</f>
        <v>+1 (716) 632-6865</v>
      </c>
      <c r="J442" s="3" t="str">
        <f>VLOOKUP(F442,'Customers (2)'!A:I,6,0)</f>
        <v>Buffalo</v>
      </c>
      <c r="K442" s="3" t="str">
        <f>VLOOKUP(F442,'Customers (2)'!A:I,7,0)</f>
        <v>United States</v>
      </c>
      <c r="L442" s="3" t="str">
        <f>VLOOKUP(F442,'Customers (2)'!A:I,9,0)</f>
        <v>Yes</v>
      </c>
      <c r="M442" s="4" t="s">
        <v>171</v>
      </c>
      <c r="N442" s="4" t="str">
        <f>VLOOKUP(M442,'Products (2)'!A:G,2,0)</f>
        <v>Arabica</v>
      </c>
      <c r="O442" s="4" t="str">
        <f>VLOOKUP(M442,'Products (2)'!A:G,3,0)</f>
        <v>Medium</v>
      </c>
      <c r="P442" s="4">
        <f>VLOOKUP(M442,'Products (2)'!A:G,7,0)</f>
        <v>2.3287499999999994</v>
      </c>
      <c r="Q442" s="3">
        <v>4</v>
      </c>
      <c r="R442" s="5">
        <f>INDEX([1]products!$A$1:$G$49,MATCH([1]orders!$D442,[1]products!$A$1:$A$49,0),MATCH([1]orders!K$1,[1]products!$A$1:$G$1,0))</f>
        <v>2.5</v>
      </c>
      <c r="S442" s="6">
        <f>INDEX([1]products!$A$1:$G$49,MATCH([1]orders!$D442,[1]products!$A$1:$A$49,0),MATCH([1]orders!L$1,[1]products!$A$1:$G$1,0))</f>
        <v>25.874999999999996</v>
      </c>
      <c r="T442" s="6">
        <f t="shared" si="36"/>
        <v>103.49999999999999</v>
      </c>
      <c r="U442" s="22">
        <f t="shared" si="40"/>
        <v>9.3149999999999977</v>
      </c>
      <c r="V442" s="22">
        <f t="shared" si="41"/>
        <v>9</v>
      </c>
    </row>
    <row r="443" spans="1:22" x14ac:dyDescent="0.3">
      <c r="A443" s="1" t="s">
        <v>879</v>
      </c>
      <c r="B443" s="2">
        <v>43573</v>
      </c>
      <c r="C443" s="2" t="str">
        <f t="shared" si="37"/>
        <v>Thursday</v>
      </c>
      <c r="D443" s="2" t="str">
        <f t="shared" si="38"/>
        <v>April</v>
      </c>
      <c r="E443" s="2" t="str">
        <f t="shared" si="39"/>
        <v>2019</v>
      </c>
      <c r="F443" s="3" t="s">
        <v>880</v>
      </c>
      <c r="G443" s="3" t="str">
        <f>VLOOKUP(F444,'Customers (2)'!A:I,2,0)</f>
        <v>Koralle Heads</v>
      </c>
      <c r="H443" s="3" t="str">
        <f>VLOOKUP(F443,'Customers (2)'!A:I,3,0)</f>
        <v>llathleiffc9@nationalgeographic.com</v>
      </c>
      <c r="I443" s="3" t="str">
        <f>VLOOKUP(F443,'Customers (2)'!A:I,4,0)</f>
        <v>+353 (895) 566-0110</v>
      </c>
      <c r="J443" s="3" t="str">
        <f>VLOOKUP(F443,'Customers (2)'!A:I,6,0)</f>
        <v>Shankill</v>
      </c>
      <c r="K443" s="3" t="str">
        <f>VLOOKUP(F443,'Customers (2)'!A:I,7,0)</f>
        <v>Ireland</v>
      </c>
      <c r="L443" s="3" t="str">
        <f>VLOOKUP(F443,'Customers (2)'!A:I,9,0)</f>
        <v>Yes</v>
      </c>
      <c r="M443" s="4" t="s">
        <v>245</v>
      </c>
      <c r="N443" s="4" t="str">
        <f>VLOOKUP(M443,'Products (2)'!A:G,2,0)</f>
        <v>Excelsa</v>
      </c>
      <c r="O443" s="4" t="str">
        <f>VLOOKUP(M443,'Products (2)'!A:G,3,0)</f>
        <v>Dark</v>
      </c>
      <c r="P443" s="4">
        <f>VLOOKUP(M443,'Products (2)'!A:G,7,0)</f>
        <v>1.3365</v>
      </c>
      <c r="Q443" s="3">
        <v>3</v>
      </c>
      <c r="R443" s="5">
        <f>INDEX([1]products!$A$1:$G$49,MATCH([1]orders!$D443,[1]products!$A$1:$A$49,0),MATCH([1]orders!K$1,[1]products!$A$1:$G$1,0))</f>
        <v>1</v>
      </c>
      <c r="S443" s="6">
        <f>INDEX([1]products!$A$1:$G$49,MATCH([1]orders!$D443,[1]products!$A$1:$A$49,0),MATCH([1]orders!L$1,[1]products!$A$1:$G$1,0))</f>
        <v>12.15</v>
      </c>
      <c r="T443" s="6">
        <f t="shared" si="36"/>
        <v>36.450000000000003</v>
      </c>
      <c r="U443" s="22">
        <f t="shared" si="40"/>
        <v>4.0095000000000001</v>
      </c>
      <c r="V443" s="22">
        <f t="shared" si="41"/>
        <v>10.999999999999998</v>
      </c>
    </row>
    <row r="444" spans="1:22" x14ac:dyDescent="0.3">
      <c r="A444" s="1" t="s">
        <v>881</v>
      </c>
      <c r="B444" s="2">
        <v>44384</v>
      </c>
      <c r="C444" s="2" t="str">
        <f t="shared" si="37"/>
        <v>Wednesday</v>
      </c>
      <c r="D444" s="2" t="str">
        <f t="shared" si="38"/>
        <v>July</v>
      </c>
      <c r="E444" s="2" t="str">
        <f t="shared" si="39"/>
        <v>2021</v>
      </c>
      <c r="F444" s="3" t="s">
        <v>882</v>
      </c>
      <c r="G444" s="3" t="str">
        <f>VLOOKUP(F445,'Customers (2)'!A:I,2,0)</f>
        <v>Theo Bowne</v>
      </c>
      <c r="H444" s="3" t="str">
        <f>VLOOKUP(F444,'Customers (2)'!A:I,3,0)</f>
        <v>kheadsca@jalbum.net</v>
      </c>
      <c r="I444" s="3" t="str">
        <f>VLOOKUP(F444,'Customers (2)'!A:I,4,0)</f>
        <v>+1 (484) 131-2636</v>
      </c>
      <c r="J444" s="3" t="str">
        <f>VLOOKUP(F444,'Customers (2)'!A:I,6,0)</f>
        <v>Bethlehem</v>
      </c>
      <c r="K444" s="3" t="str">
        <f>VLOOKUP(F444,'Customers (2)'!A:I,7,0)</f>
        <v>United States</v>
      </c>
      <c r="L444" s="3" t="str">
        <f>VLOOKUP(F444,'Customers (2)'!A:I,9,0)</f>
        <v>No</v>
      </c>
      <c r="M444" s="4" t="s">
        <v>157</v>
      </c>
      <c r="N444" s="4" t="str">
        <f>VLOOKUP(M444,'Products (2)'!A:G,2,0)</f>
        <v>Robusta</v>
      </c>
      <c r="O444" s="4" t="str">
        <f>VLOOKUP(M444,'Products (2)'!A:G,3,0)</f>
        <v>Light</v>
      </c>
      <c r="P444" s="4">
        <f>VLOOKUP(M444,'Products (2)'!A:G,7,0)</f>
        <v>0.43019999999999992</v>
      </c>
      <c r="Q444" s="3">
        <v>5</v>
      </c>
      <c r="R444" s="5">
        <f>INDEX([1]products!$A$1:$G$49,MATCH([1]orders!$D444,[1]products!$A$1:$A$49,0),MATCH([1]orders!K$1,[1]products!$A$1:$G$1,0))</f>
        <v>0.5</v>
      </c>
      <c r="S444" s="6">
        <f>INDEX([1]products!$A$1:$G$49,MATCH([1]orders!$D444,[1]products!$A$1:$A$49,0),MATCH([1]orders!L$1,[1]products!$A$1:$G$1,0))</f>
        <v>7.169999999999999</v>
      </c>
      <c r="T444" s="6">
        <f t="shared" si="36"/>
        <v>35.849999999999994</v>
      </c>
      <c r="U444" s="22">
        <f t="shared" si="40"/>
        <v>2.1509999999999998</v>
      </c>
      <c r="V444" s="22">
        <f t="shared" si="41"/>
        <v>6.0000000000000009</v>
      </c>
    </row>
    <row r="445" spans="1:22" x14ac:dyDescent="0.3">
      <c r="A445" s="1" t="s">
        <v>883</v>
      </c>
      <c r="B445" s="2">
        <v>44250</v>
      </c>
      <c r="C445" s="2" t="str">
        <f t="shared" si="37"/>
        <v>Tuesday</v>
      </c>
      <c r="D445" s="2" t="str">
        <f t="shared" si="38"/>
        <v>February</v>
      </c>
      <c r="E445" s="2" t="str">
        <f t="shared" si="39"/>
        <v>2021</v>
      </c>
      <c r="F445" s="3" t="s">
        <v>884</v>
      </c>
      <c r="G445" s="3" t="str">
        <f>VLOOKUP(F446,'Customers (2)'!A:I,2,0)</f>
        <v>Rasia Jacquemard</v>
      </c>
      <c r="H445" s="3" t="str">
        <f>VLOOKUP(F445,'Customers (2)'!A:I,3,0)</f>
        <v>tbownecb@unicef.org</v>
      </c>
      <c r="I445" s="3" t="str">
        <f>VLOOKUP(F445,'Customers (2)'!A:I,4,0)</f>
        <v>+353 (540) 432-8009</v>
      </c>
      <c r="J445" s="3" t="str">
        <f>VLOOKUP(F445,'Customers (2)'!A:I,6,0)</f>
        <v>Watergrasshill</v>
      </c>
      <c r="K445" s="3" t="str">
        <f>VLOOKUP(F445,'Customers (2)'!A:I,7,0)</f>
        <v>Ireland</v>
      </c>
      <c r="L445" s="3" t="str">
        <f>VLOOKUP(F445,'Customers (2)'!A:I,9,0)</f>
        <v>Yes</v>
      </c>
      <c r="M445" s="4" t="s">
        <v>254</v>
      </c>
      <c r="N445" s="4" t="str">
        <f>VLOOKUP(M445,'Products (2)'!A:G,2,0)</f>
        <v>Excelsa</v>
      </c>
      <c r="O445" s="4" t="str">
        <f>VLOOKUP(M445,'Products (2)'!A:G,3,0)</f>
        <v>Light</v>
      </c>
      <c r="P445" s="4">
        <f>VLOOKUP(M445,'Products (2)'!A:G,7,0)</f>
        <v>0.49004999999999999</v>
      </c>
      <c r="Q445" s="3">
        <v>5</v>
      </c>
      <c r="R445" s="5">
        <f>INDEX([1]products!$A$1:$G$49,MATCH([1]orders!$D445,[1]products!$A$1:$A$49,0),MATCH([1]orders!K$1,[1]products!$A$1:$G$1,0))</f>
        <v>0.2</v>
      </c>
      <c r="S445" s="6">
        <f>INDEX([1]products!$A$1:$G$49,MATCH([1]orders!$D445,[1]products!$A$1:$A$49,0),MATCH([1]orders!L$1,[1]products!$A$1:$G$1,0))</f>
        <v>4.4550000000000001</v>
      </c>
      <c r="T445" s="6">
        <f t="shared" si="36"/>
        <v>22.274999999999999</v>
      </c>
      <c r="U445" s="22">
        <f t="shared" si="40"/>
        <v>2.45025</v>
      </c>
      <c r="V445" s="22">
        <f t="shared" si="41"/>
        <v>11.000000000000002</v>
      </c>
    </row>
    <row r="446" spans="1:22" x14ac:dyDescent="0.3">
      <c r="A446" s="1" t="s">
        <v>885</v>
      </c>
      <c r="B446" s="2">
        <v>44418</v>
      </c>
      <c r="C446" s="2" t="str">
        <f t="shared" si="37"/>
        <v>Tuesday</v>
      </c>
      <c r="D446" s="2" t="str">
        <f t="shared" si="38"/>
        <v>August</v>
      </c>
      <c r="E446" s="2" t="str">
        <f t="shared" si="39"/>
        <v>2021</v>
      </c>
      <c r="F446" s="3" t="s">
        <v>886</v>
      </c>
      <c r="G446" s="3" t="str">
        <f>VLOOKUP(F447,'Customers (2)'!A:I,2,0)</f>
        <v>Kizzie Warman</v>
      </c>
      <c r="H446" s="3" t="str">
        <f>VLOOKUP(F446,'Customers (2)'!A:I,3,0)</f>
        <v>rjacquemardcc@acquirethisname.com</v>
      </c>
      <c r="I446" s="3" t="str">
        <f>VLOOKUP(F446,'Customers (2)'!A:I,4,0)</f>
        <v>+353 (959) 389-1521</v>
      </c>
      <c r="J446" s="3" t="str">
        <f>VLOOKUP(F446,'Customers (2)'!A:I,6,0)</f>
        <v>Monasterevin</v>
      </c>
      <c r="K446" s="3" t="str">
        <f>VLOOKUP(F446,'Customers (2)'!A:I,7,0)</f>
        <v>Ireland</v>
      </c>
      <c r="L446" s="3" t="str">
        <f>VLOOKUP(F446,'Customers (2)'!A:I,9,0)</f>
        <v>No</v>
      </c>
      <c r="M446" s="4" t="s">
        <v>64</v>
      </c>
      <c r="N446" s="4" t="str">
        <f>VLOOKUP(M446,'Products (2)'!A:G,2,0)</f>
        <v>Excelsa</v>
      </c>
      <c r="O446" s="4" t="str">
        <f>VLOOKUP(M446,'Products (2)'!A:G,3,0)</f>
        <v>Medium</v>
      </c>
      <c r="P446" s="4">
        <f>VLOOKUP(M446,'Products (2)'!A:G,7,0)</f>
        <v>0.45374999999999999</v>
      </c>
      <c r="Q446" s="3">
        <v>6</v>
      </c>
      <c r="R446" s="5">
        <f>INDEX([1]products!$A$1:$G$49,MATCH([1]orders!$D446,[1]products!$A$1:$A$49,0),MATCH([1]orders!K$1,[1]products!$A$1:$G$1,0))</f>
        <v>0.2</v>
      </c>
      <c r="S446" s="6">
        <f>INDEX([1]products!$A$1:$G$49,MATCH([1]orders!$D446,[1]products!$A$1:$A$49,0),MATCH([1]orders!L$1,[1]products!$A$1:$G$1,0))</f>
        <v>4.125</v>
      </c>
      <c r="T446" s="6">
        <f t="shared" si="36"/>
        <v>24.75</v>
      </c>
      <c r="U446" s="22">
        <f t="shared" si="40"/>
        <v>2.7225000000000001</v>
      </c>
      <c r="V446" s="22">
        <f t="shared" si="41"/>
        <v>11</v>
      </c>
    </row>
    <row r="447" spans="1:22" x14ac:dyDescent="0.3">
      <c r="A447" s="1" t="s">
        <v>887</v>
      </c>
      <c r="B447" s="2">
        <v>43784</v>
      </c>
      <c r="C447" s="2" t="str">
        <f t="shared" si="37"/>
        <v>Friday</v>
      </c>
      <c r="D447" s="2" t="str">
        <f t="shared" si="38"/>
        <v>November</v>
      </c>
      <c r="E447" s="2" t="str">
        <f t="shared" si="39"/>
        <v>2019</v>
      </c>
      <c r="F447" s="3" t="s">
        <v>888</v>
      </c>
      <c r="G447" s="3" t="str">
        <f>VLOOKUP(F448,'Customers (2)'!A:I,2,0)</f>
        <v>Wain Cholomin</v>
      </c>
      <c r="H447" s="3" t="str">
        <f>VLOOKUP(F447,'Customers (2)'!A:I,3,0)</f>
        <v>kwarmancd@printfriendly.com</v>
      </c>
      <c r="I447" s="3">
        <f>VLOOKUP(F447,'Customers (2)'!A:I,4,0)</f>
        <v>0</v>
      </c>
      <c r="J447" s="3" t="str">
        <f>VLOOKUP(F447,'Customers (2)'!A:I,6,0)</f>
        <v>Sandyford</v>
      </c>
      <c r="K447" s="3" t="str">
        <f>VLOOKUP(F447,'Customers (2)'!A:I,7,0)</f>
        <v>Ireland</v>
      </c>
      <c r="L447" s="3" t="str">
        <f>VLOOKUP(F447,'Customers (2)'!A:I,9,0)</f>
        <v>Yes</v>
      </c>
      <c r="M447" s="4" t="s">
        <v>197</v>
      </c>
      <c r="N447" s="4" t="str">
        <f>VLOOKUP(M447,'Products (2)'!A:G,2,0)</f>
        <v>Liberica</v>
      </c>
      <c r="O447" s="4" t="str">
        <f>VLOOKUP(M447,'Products (2)'!A:G,3,0)</f>
        <v>Medium</v>
      </c>
      <c r="P447" s="4">
        <f>VLOOKUP(M447,'Products (2)'!A:G,7,0)</f>
        <v>4.3504499999999995</v>
      </c>
      <c r="Q447" s="3">
        <v>2</v>
      </c>
      <c r="R447" s="5">
        <f>INDEX([1]products!$A$1:$G$49,MATCH([1]orders!$D447,[1]products!$A$1:$A$49,0),MATCH([1]orders!K$1,[1]products!$A$1:$G$1,0))</f>
        <v>2.5</v>
      </c>
      <c r="S447" s="6">
        <f>INDEX([1]products!$A$1:$G$49,MATCH([1]orders!$D447,[1]products!$A$1:$A$49,0),MATCH([1]orders!L$1,[1]products!$A$1:$G$1,0))</f>
        <v>33.464999999999996</v>
      </c>
      <c r="T447" s="6">
        <f t="shared" si="36"/>
        <v>66.929999999999993</v>
      </c>
      <c r="U447" s="22">
        <f t="shared" si="40"/>
        <v>8.700899999999999</v>
      </c>
      <c r="V447" s="22">
        <f t="shared" si="41"/>
        <v>13</v>
      </c>
    </row>
    <row r="448" spans="1:22" x14ac:dyDescent="0.3">
      <c r="A448" s="1" t="s">
        <v>889</v>
      </c>
      <c r="B448" s="2">
        <v>43816</v>
      </c>
      <c r="C448" s="2" t="str">
        <f t="shared" si="37"/>
        <v>Tuesday</v>
      </c>
      <c r="D448" s="2" t="str">
        <f t="shared" si="38"/>
        <v>December</v>
      </c>
      <c r="E448" s="2" t="str">
        <f t="shared" si="39"/>
        <v>2019</v>
      </c>
      <c r="F448" s="3" t="s">
        <v>890</v>
      </c>
      <c r="G448" s="3" t="str">
        <f>VLOOKUP(F449,'Customers (2)'!A:I,2,0)</f>
        <v>Arleen Braidman</v>
      </c>
      <c r="H448" s="3" t="str">
        <f>VLOOKUP(F448,'Customers (2)'!A:I,3,0)</f>
        <v>wcholomince@about.com</v>
      </c>
      <c r="I448" s="3" t="str">
        <f>VLOOKUP(F448,'Customers (2)'!A:I,4,0)</f>
        <v>+44 (512) 340-9049</v>
      </c>
      <c r="J448" s="3" t="str">
        <f>VLOOKUP(F448,'Customers (2)'!A:I,6,0)</f>
        <v>Birmingham</v>
      </c>
      <c r="K448" s="3" t="str">
        <f>VLOOKUP(F448,'Customers (2)'!A:I,7,0)</f>
        <v>United Kingdom</v>
      </c>
      <c r="L448" s="3" t="str">
        <f>VLOOKUP(F448,'Customers (2)'!A:I,9,0)</f>
        <v>Yes</v>
      </c>
      <c r="M448" s="4" t="s">
        <v>78</v>
      </c>
      <c r="N448" s="4" t="str">
        <f>VLOOKUP(M448,'Products (2)'!A:G,2,0)</f>
        <v>Liberica</v>
      </c>
      <c r="O448" s="4" t="str">
        <f>VLOOKUP(M448,'Products (2)'!A:G,3,0)</f>
        <v>Medium</v>
      </c>
      <c r="P448" s="4">
        <f>VLOOKUP(M448,'Products (2)'!A:G,7,0)</f>
        <v>1.1349</v>
      </c>
      <c r="Q448" s="3">
        <v>1</v>
      </c>
      <c r="R448" s="5">
        <f>INDEX([1]products!$A$1:$G$49,MATCH([1]orders!$D448,[1]products!$A$1:$A$49,0),MATCH([1]orders!K$1,[1]products!$A$1:$G$1,0))</f>
        <v>0.5</v>
      </c>
      <c r="S448" s="6">
        <f>INDEX([1]products!$A$1:$G$49,MATCH([1]orders!$D448,[1]products!$A$1:$A$49,0),MATCH([1]orders!L$1,[1]products!$A$1:$G$1,0))</f>
        <v>8.73</v>
      </c>
      <c r="T448" s="6">
        <f t="shared" si="36"/>
        <v>8.73</v>
      </c>
      <c r="U448" s="22">
        <f t="shared" si="40"/>
        <v>1.1349</v>
      </c>
      <c r="V448" s="22">
        <f t="shared" si="41"/>
        <v>13</v>
      </c>
    </row>
    <row r="449" spans="1:22" x14ac:dyDescent="0.3">
      <c r="A449" s="1" t="s">
        <v>891</v>
      </c>
      <c r="B449" s="2">
        <v>43908</v>
      </c>
      <c r="C449" s="2" t="str">
        <f t="shared" si="37"/>
        <v>Wednesday</v>
      </c>
      <c r="D449" s="2" t="str">
        <f t="shared" si="38"/>
        <v>March</v>
      </c>
      <c r="E449" s="2" t="str">
        <f t="shared" si="39"/>
        <v>2020</v>
      </c>
      <c r="F449" s="3" t="s">
        <v>892</v>
      </c>
      <c r="G449" s="3" t="str">
        <f>VLOOKUP(F450,'Customers (2)'!A:I,2,0)</f>
        <v>Pru Durban</v>
      </c>
      <c r="H449" s="3" t="str">
        <f>VLOOKUP(F449,'Customers (2)'!A:I,3,0)</f>
        <v>abraidmancf@census.gov</v>
      </c>
      <c r="I449" s="3">
        <f>VLOOKUP(F449,'Customers (2)'!A:I,4,0)</f>
        <v>0</v>
      </c>
      <c r="J449" s="3" t="str">
        <f>VLOOKUP(F449,'Customers (2)'!A:I,6,0)</f>
        <v>Phoenix</v>
      </c>
      <c r="K449" s="3" t="str">
        <f>VLOOKUP(F449,'Customers (2)'!A:I,7,0)</f>
        <v>United States</v>
      </c>
      <c r="L449" s="3" t="str">
        <f>VLOOKUP(F449,'Customers (2)'!A:I,9,0)</f>
        <v>No</v>
      </c>
      <c r="M449" s="4" t="s">
        <v>22</v>
      </c>
      <c r="N449" s="4" t="str">
        <f>VLOOKUP(M449,'Products (2)'!A:G,2,0)</f>
        <v>Robusta</v>
      </c>
      <c r="O449" s="4" t="str">
        <f>VLOOKUP(M449,'Products (2)'!A:G,3,0)</f>
        <v>Medium</v>
      </c>
      <c r="P449" s="4">
        <f>VLOOKUP(M449,'Products (2)'!A:G,7,0)</f>
        <v>0.35819999999999996</v>
      </c>
      <c r="Q449" s="3">
        <v>3</v>
      </c>
      <c r="R449" s="5">
        <f>INDEX([1]products!$A$1:$G$49,MATCH([1]orders!$D449,[1]products!$A$1:$A$49,0),MATCH([1]orders!K$1,[1]products!$A$1:$G$1,0))</f>
        <v>0.5</v>
      </c>
      <c r="S449" s="6">
        <f>INDEX([1]products!$A$1:$G$49,MATCH([1]orders!$D449,[1]products!$A$1:$A$49,0),MATCH([1]orders!L$1,[1]products!$A$1:$G$1,0))</f>
        <v>5.97</v>
      </c>
      <c r="T449" s="6">
        <f t="shared" si="36"/>
        <v>17.91</v>
      </c>
      <c r="U449" s="22">
        <f t="shared" si="40"/>
        <v>1.0745999999999998</v>
      </c>
      <c r="V449" s="22">
        <f t="shared" si="41"/>
        <v>5.9999999999999982</v>
      </c>
    </row>
    <row r="450" spans="1:22" x14ac:dyDescent="0.3">
      <c r="A450" s="1" t="s">
        <v>893</v>
      </c>
      <c r="B450" s="2">
        <v>44718</v>
      </c>
      <c r="C450" s="2" t="str">
        <f t="shared" si="37"/>
        <v>Monday</v>
      </c>
      <c r="D450" s="2" t="str">
        <f t="shared" si="38"/>
        <v>June</v>
      </c>
      <c r="E450" s="2" t="str">
        <f t="shared" si="39"/>
        <v>2022</v>
      </c>
      <c r="F450" s="3" t="s">
        <v>894</v>
      </c>
      <c r="G450" s="3" t="str">
        <f>VLOOKUP(F451,'Customers (2)'!A:I,2,0)</f>
        <v>Antone Harrold</v>
      </c>
      <c r="H450" s="3" t="str">
        <f>VLOOKUP(F450,'Customers (2)'!A:I,3,0)</f>
        <v>pdurbancg@symantec.com</v>
      </c>
      <c r="I450" s="3" t="str">
        <f>VLOOKUP(F450,'Customers (2)'!A:I,4,0)</f>
        <v>+353 (709) 884-1892</v>
      </c>
      <c r="J450" s="3" t="str">
        <f>VLOOKUP(F450,'Customers (2)'!A:I,6,0)</f>
        <v>Longford</v>
      </c>
      <c r="K450" s="3" t="str">
        <f>VLOOKUP(F450,'Customers (2)'!A:I,7,0)</f>
        <v>Ireland</v>
      </c>
      <c r="L450" s="3" t="str">
        <f>VLOOKUP(F450,'Customers (2)'!A:I,9,0)</f>
        <v>No</v>
      </c>
      <c r="M450" s="4" t="s">
        <v>157</v>
      </c>
      <c r="N450" s="4" t="str">
        <f>VLOOKUP(M450,'Products (2)'!A:G,2,0)</f>
        <v>Robusta</v>
      </c>
      <c r="O450" s="4" t="str">
        <f>VLOOKUP(M450,'Products (2)'!A:G,3,0)</f>
        <v>Light</v>
      </c>
      <c r="P450" s="4">
        <f>VLOOKUP(M450,'Products (2)'!A:G,7,0)</f>
        <v>0.43019999999999992</v>
      </c>
      <c r="Q450" s="3">
        <v>1</v>
      </c>
      <c r="R450" s="5">
        <f>INDEX([1]products!$A$1:$G$49,MATCH([1]orders!$D450,[1]products!$A$1:$A$49,0),MATCH([1]orders!K$1,[1]products!$A$1:$G$1,0))</f>
        <v>0.5</v>
      </c>
      <c r="S450" s="6">
        <f>INDEX([1]products!$A$1:$G$49,MATCH([1]orders!$D450,[1]products!$A$1:$A$49,0),MATCH([1]orders!L$1,[1]products!$A$1:$G$1,0))</f>
        <v>7.169999999999999</v>
      </c>
      <c r="T450" s="6">
        <f t="shared" ref="T450:T513" si="42">Q450*S450</f>
        <v>7.169999999999999</v>
      </c>
      <c r="U450" s="22">
        <f t="shared" si="40"/>
        <v>0.43019999999999992</v>
      </c>
      <c r="V450" s="22">
        <f t="shared" si="41"/>
        <v>6</v>
      </c>
    </row>
    <row r="451" spans="1:22" x14ac:dyDescent="0.3">
      <c r="A451" s="1" t="s">
        <v>895</v>
      </c>
      <c r="B451" s="2">
        <v>44336</v>
      </c>
      <c r="C451" s="2" t="str">
        <f t="shared" ref="C451:C514" si="43">TEXT(B451,"dddd")</f>
        <v>Thursday</v>
      </c>
      <c r="D451" s="2" t="str">
        <f t="shared" ref="D451:D514" si="44">TEXT(B451,"MMMM")</f>
        <v>May</v>
      </c>
      <c r="E451" s="2" t="str">
        <f t="shared" ref="E451:E514" si="45">TEXT(B451,"YYYY")</f>
        <v>2021</v>
      </c>
      <c r="F451" s="3" t="s">
        <v>896</v>
      </c>
      <c r="G451" s="3" t="str">
        <f>VLOOKUP(F452,'Customers (2)'!A:I,2,0)</f>
        <v>Sim Pamphilon</v>
      </c>
      <c r="H451" s="3" t="str">
        <f>VLOOKUP(F451,'Customers (2)'!A:I,3,0)</f>
        <v>aharroldch@miibeian.gov.cn</v>
      </c>
      <c r="I451" s="3" t="str">
        <f>VLOOKUP(F451,'Customers (2)'!A:I,4,0)</f>
        <v>+1 (419) 153-2104</v>
      </c>
      <c r="J451" s="3" t="str">
        <f>VLOOKUP(F451,'Customers (2)'!A:I,6,0)</f>
        <v>Toledo</v>
      </c>
      <c r="K451" s="3" t="str">
        <f>VLOOKUP(F451,'Customers (2)'!A:I,7,0)</f>
        <v>United States</v>
      </c>
      <c r="L451" s="3" t="str">
        <f>VLOOKUP(F451,'Customers (2)'!A:I,9,0)</f>
        <v>No</v>
      </c>
      <c r="M451" s="4" t="s">
        <v>101</v>
      </c>
      <c r="N451" s="4" t="str">
        <f>VLOOKUP(M451,'Products (2)'!A:G,2,0)</f>
        <v>Robusta</v>
      </c>
      <c r="O451" s="4" t="str">
        <f>VLOOKUP(M451,'Products (2)'!A:G,3,0)</f>
        <v>Dark</v>
      </c>
      <c r="P451" s="4">
        <f>VLOOKUP(M451,'Products (2)'!A:G,7,0)</f>
        <v>0.16109999999999997</v>
      </c>
      <c r="Q451" s="3">
        <v>2</v>
      </c>
      <c r="R451" s="5">
        <f>INDEX([1]products!$A$1:$G$49,MATCH([1]orders!$D451,[1]products!$A$1:$A$49,0),MATCH([1]orders!K$1,[1]products!$A$1:$G$1,0))</f>
        <v>0.2</v>
      </c>
      <c r="S451" s="6">
        <f>INDEX([1]products!$A$1:$G$49,MATCH([1]orders!$D451,[1]products!$A$1:$A$49,0),MATCH([1]orders!L$1,[1]products!$A$1:$G$1,0))</f>
        <v>2.6849999999999996</v>
      </c>
      <c r="T451" s="6">
        <f t="shared" si="42"/>
        <v>5.3699999999999992</v>
      </c>
      <c r="U451" s="22">
        <f t="shared" ref="U451:U514" si="46">Q451*P451</f>
        <v>0.32219999999999993</v>
      </c>
      <c r="V451" s="22">
        <f t="shared" ref="V451:V514" si="47">U451/T451*100</f>
        <v>6</v>
      </c>
    </row>
    <row r="452" spans="1:22" x14ac:dyDescent="0.3">
      <c r="A452" s="1" t="s">
        <v>897</v>
      </c>
      <c r="B452" s="2">
        <v>44207</v>
      </c>
      <c r="C452" s="2" t="str">
        <f t="shared" si="43"/>
        <v>Monday</v>
      </c>
      <c r="D452" s="2" t="str">
        <f t="shared" si="44"/>
        <v>January</v>
      </c>
      <c r="E452" s="2" t="str">
        <f t="shared" si="45"/>
        <v>2021</v>
      </c>
      <c r="F452" s="3" t="s">
        <v>898</v>
      </c>
      <c r="G452" s="3" t="str">
        <f>VLOOKUP(F453,'Customers (2)'!A:I,2,0)</f>
        <v>Mohandis Spurden</v>
      </c>
      <c r="H452" s="3" t="str">
        <f>VLOOKUP(F452,'Customers (2)'!A:I,3,0)</f>
        <v>spamphilonci@mlb.com</v>
      </c>
      <c r="I452" s="3" t="str">
        <f>VLOOKUP(F452,'Customers (2)'!A:I,4,0)</f>
        <v>+353 (456) 630-8490</v>
      </c>
      <c r="J452" s="3" t="str">
        <f>VLOOKUP(F452,'Customers (2)'!A:I,6,0)</f>
        <v>Ballylinan</v>
      </c>
      <c r="K452" s="3" t="str">
        <f>VLOOKUP(F452,'Customers (2)'!A:I,7,0)</f>
        <v>Ireland</v>
      </c>
      <c r="L452" s="3" t="str">
        <f>VLOOKUP(F452,'Customers (2)'!A:I,9,0)</f>
        <v>No</v>
      </c>
      <c r="M452" s="4" t="s">
        <v>19</v>
      </c>
      <c r="N452" s="4" t="str">
        <f>VLOOKUP(M452,'Products (2)'!A:G,2,0)</f>
        <v>Liberica</v>
      </c>
      <c r="O452" s="4" t="str">
        <f>VLOOKUP(M452,'Products (2)'!A:G,3,0)</f>
        <v>Light</v>
      </c>
      <c r="P452" s="4">
        <f>VLOOKUP(M452,'Products (2)'!A:G,7,0)</f>
        <v>0.61814999999999998</v>
      </c>
      <c r="Q452" s="3">
        <v>5</v>
      </c>
      <c r="R452" s="5">
        <f>INDEX([1]products!$A$1:$G$49,MATCH([1]orders!$D452,[1]products!$A$1:$A$49,0),MATCH([1]orders!K$1,[1]products!$A$1:$G$1,0))</f>
        <v>0.2</v>
      </c>
      <c r="S452" s="6">
        <f>INDEX([1]products!$A$1:$G$49,MATCH([1]orders!$D452,[1]products!$A$1:$A$49,0),MATCH([1]orders!L$1,[1]products!$A$1:$G$1,0))</f>
        <v>4.7549999999999999</v>
      </c>
      <c r="T452" s="6">
        <f t="shared" si="42"/>
        <v>23.774999999999999</v>
      </c>
      <c r="U452" s="22">
        <f t="shared" si="46"/>
        <v>3.0907499999999999</v>
      </c>
      <c r="V452" s="22">
        <f t="shared" si="47"/>
        <v>13</v>
      </c>
    </row>
    <row r="453" spans="1:22" x14ac:dyDescent="0.3">
      <c r="A453" s="1" t="s">
        <v>899</v>
      </c>
      <c r="B453" s="2">
        <v>43518</v>
      </c>
      <c r="C453" s="2" t="str">
        <f t="shared" si="43"/>
        <v>Friday</v>
      </c>
      <c r="D453" s="2" t="str">
        <f t="shared" si="44"/>
        <v>February</v>
      </c>
      <c r="E453" s="2" t="str">
        <f t="shared" si="45"/>
        <v>2019</v>
      </c>
      <c r="F453" s="3" t="s">
        <v>900</v>
      </c>
      <c r="G453" s="3" t="str">
        <f>VLOOKUP(F454,'Customers (2)'!A:I,2,0)</f>
        <v>Morgen Seson</v>
      </c>
      <c r="H453" s="3" t="str">
        <f>VLOOKUP(F453,'Customers (2)'!A:I,3,0)</f>
        <v>mspurdencj@exblog.jp</v>
      </c>
      <c r="I453" s="3" t="str">
        <f>VLOOKUP(F453,'Customers (2)'!A:I,4,0)</f>
        <v>+1 (704) 256-1371</v>
      </c>
      <c r="J453" s="3" t="str">
        <f>VLOOKUP(F453,'Customers (2)'!A:I,6,0)</f>
        <v>Charlotte</v>
      </c>
      <c r="K453" s="3" t="str">
        <f>VLOOKUP(F453,'Customers (2)'!A:I,7,0)</f>
        <v>United States</v>
      </c>
      <c r="L453" s="3" t="str">
        <f>VLOOKUP(F453,'Customers (2)'!A:I,9,0)</f>
        <v>Yes</v>
      </c>
      <c r="M453" s="4" t="s">
        <v>35</v>
      </c>
      <c r="N453" s="4" t="str">
        <f>VLOOKUP(M453,'Products (2)'!A:G,2,0)</f>
        <v>Robusta</v>
      </c>
      <c r="O453" s="4" t="str">
        <f>VLOOKUP(M453,'Products (2)'!A:G,3,0)</f>
        <v>Dark</v>
      </c>
      <c r="P453" s="4">
        <f>VLOOKUP(M453,'Products (2)'!A:G,7,0)</f>
        <v>1.2350999999999999</v>
      </c>
      <c r="Q453" s="3">
        <v>2</v>
      </c>
      <c r="R453" s="5">
        <f>INDEX([1]products!$A$1:$G$49,MATCH([1]orders!$D453,[1]products!$A$1:$A$49,0),MATCH([1]orders!K$1,[1]products!$A$1:$G$1,0))</f>
        <v>2.5</v>
      </c>
      <c r="S453" s="6">
        <f>INDEX([1]products!$A$1:$G$49,MATCH([1]orders!$D453,[1]products!$A$1:$A$49,0),MATCH([1]orders!L$1,[1]products!$A$1:$G$1,0))</f>
        <v>20.584999999999997</v>
      </c>
      <c r="T453" s="6">
        <f t="shared" si="42"/>
        <v>41.169999999999995</v>
      </c>
      <c r="U453" s="22">
        <f t="shared" si="46"/>
        <v>2.4701999999999997</v>
      </c>
      <c r="V453" s="22">
        <f t="shared" si="47"/>
        <v>6.0000000000000009</v>
      </c>
    </row>
    <row r="454" spans="1:22" x14ac:dyDescent="0.3">
      <c r="A454" s="1" t="s">
        <v>901</v>
      </c>
      <c r="B454" s="2">
        <v>44524</v>
      </c>
      <c r="C454" s="2" t="str">
        <f t="shared" si="43"/>
        <v>Wednesday</v>
      </c>
      <c r="D454" s="2" t="str">
        <f t="shared" si="44"/>
        <v>November</v>
      </c>
      <c r="E454" s="2" t="str">
        <f t="shared" si="45"/>
        <v>2021</v>
      </c>
      <c r="F454" s="3" t="s">
        <v>874</v>
      </c>
      <c r="G454" s="3" t="str">
        <f>VLOOKUP(F455,'Customers (2)'!A:I,2,0)</f>
        <v>Nalani Pirrone</v>
      </c>
      <c r="H454" s="3" t="str">
        <f>VLOOKUP(F454,'Customers (2)'!A:I,3,0)</f>
        <v>msesonck@census.gov</v>
      </c>
      <c r="I454" s="3" t="str">
        <f>VLOOKUP(F454,'Customers (2)'!A:I,4,0)</f>
        <v>+1 (206) 642-0902</v>
      </c>
      <c r="J454" s="3" t="str">
        <f>VLOOKUP(F454,'Customers (2)'!A:I,6,0)</f>
        <v>Seattle</v>
      </c>
      <c r="K454" s="3" t="str">
        <f>VLOOKUP(F454,'Customers (2)'!A:I,7,0)</f>
        <v>United States</v>
      </c>
      <c r="L454" s="3" t="str">
        <f>VLOOKUP(F454,'Customers (2)'!A:I,9,0)</f>
        <v>No</v>
      </c>
      <c r="M454" s="4" t="s">
        <v>115</v>
      </c>
      <c r="N454" s="4" t="str">
        <f>VLOOKUP(M454,'Products (2)'!A:G,2,0)</f>
        <v>Arabica</v>
      </c>
      <c r="O454" s="4" t="str">
        <f>VLOOKUP(M454,'Products (2)'!A:G,3,0)</f>
        <v>Light</v>
      </c>
      <c r="P454" s="4">
        <f>VLOOKUP(M454,'Products (2)'!A:G,7,0)</f>
        <v>0.34964999999999996</v>
      </c>
      <c r="Q454" s="3">
        <v>3</v>
      </c>
      <c r="R454" s="5">
        <f>INDEX([1]products!$A$1:$G$49,MATCH([1]orders!$D454,[1]products!$A$1:$A$49,0),MATCH([1]orders!K$1,[1]products!$A$1:$G$1,0))</f>
        <v>0.2</v>
      </c>
      <c r="S454" s="6">
        <f>INDEX([1]products!$A$1:$G$49,MATCH([1]orders!$D454,[1]products!$A$1:$A$49,0),MATCH([1]orders!L$1,[1]products!$A$1:$G$1,0))</f>
        <v>3.8849999999999998</v>
      </c>
      <c r="T454" s="6">
        <f t="shared" si="42"/>
        <v>11.654999999999999</v>
      </c>
      <c r="U454" s="22">
        <f t="shared" si="46"/>
        <v>1.0489499999999998</v>
      </c>
      <c r="V454" s="22">
        <f t="shared" si="47"/>
        <v>9</v>
      </c>
    </row>
    <row r="455" spans="1:22" x14ac:dyDescent="0.3">
      <c r="A455" s="1" t="s">
        <v>902</v>
      </c>
      <c r="B455" s="2">
        <v>44579</v>
      </c>
      <c r="C455" s="2" t="str">
        <f t="shared" si="43"/>
        <v>Tuesday</v>
      </c>
      <c r="D455" s="2" t="str">
        <f t="shared" si="44"/>
        <v>January</v>
      </c>
      <c r="E455" s="2" t="str">
        <f t="shared" si="45"/>
        <v>2022</v>
      </c>
      <c r="F455" s="3" t="s">
        <v>903</v>
      </c>
      <c r="G455" s="3" t="str">
        <f>VLOOKUP(F456,'Customers (2)'!A:I,2,0)</f>
        <v>Reube Cawley</v>
      </c>
      <c r="H455" s="3" t="str">
        <f>VLOOKUP(F455,'Customers (2)'!A:I,3,0)</f>
        <v>npirronecl@weibo.com</v>
      </c>
      <c r="I455" s="3" t="str">
        <f>VLOOKUP(F455,'Customers (2)'!A:I,4,0)</f>
        <v>+1 (570) 223-3194</v>
      </c>
      <c r="J455" s="3" t="str">
        <f>VLOOKUP(F455,'Customers (2)'!A:I,6,0)</f>
        <v>Wilkes Barre</v>
      </c>
      <c r="K455" s="3" t="str">
        <f>VLOOKUP(F455,'Customers (2)'!A:I,7,0)</f>
        <v>United States</v>
      </c>
      <c r="L455" s="3" t="str">
        <f>VLOOKUP(F455,'Customers (2)'!A:I,9,0)</f>
        <v>No</v>
      </c>
      <c r="M455" s="4" t="s">
        <v>83</v>
      </c>
      <c r="N455" s="4" t="str">
        <f>VLOOKUP(M455,'Products (2)'!A:G,2,0)</f>
        <v>Liberica</v>
      </c>
      <c r="O455" s="4" t="str">
        <f>VLOOKUP(M455,'Products (2)'!A:G,3,0)</f>
        <v>Light</v>
      </c>
      <c r="P455" s="4">
        <f>VLOOKUP(M455,'Products (2)'!A:G,7,0)</f>
        <v>1.2363</v>
      </c>
      <c r="Q455" s="3">
        <v>4</v>
      </c>
      <c r="R455" s="5">
        <f>INDEX([1]products!$A$1:$G$49,MATCH([1]orders!$D455,[1]products!$A$1:$A$49,0),MATCH([1]orders!K$1,[1]products!$A$1:$G$1,0))</f>
        <v>0.5</v>
      </c>
      <c r="S455" s="6">
        <f>INDEX([1]products!$A$1:$G$49,MATCH([1]orders!$D455,[1]products!$A$1:$A$49,0),MATCH([1]orders!L$1,[1]products!$A$1:$G$1,0))</f>
        <v>9.51</v>
      </c>
      <c r="T455" s="6">
        <f t="shared" si="42"/>
        <v>38.04</v>
      </c>
      <c r="U455" s="22">
        <f t="shared" si="46"/>
        <v>4.9451999999999998</v>
      </c>
      <c r="V455" s="22">
        <f t="shared" si="47"/>
        <v>13</v>
      </c>
    </row>
    <row r="456" spans="1:22" x14ac:dyDescent="0.3">
      <c r="A456" s="1" t="s">
        <v>904</v>
      </c>
      <c r="B456" s="2">
        <v>44421</v>
      </c>
      <c r="C456" s="2" t="str">
        <f t="shared" si="43"/>
        <v>Friday</v>
      </c>
      <c r="D456" s="2" t="str">
        <f t="shared" si="44"/>
        <v>August</v>
      </c>
      <c r="E456" s="2" t="str">
        <f t="shared" si="45"/>
        <v>2021</v>
      </c>
      <c r="F456" s="3" t="s">
        <v>905</v>
      </c>
      <c r="G456" s="3" t="str">
        <f>VLOOKUP(F457,'Customers (2)'!A:I,2,0)</f>
        <v>Stan Barribal</v>
      </c>
      <c r="H456" s="3" t="str">
        <f>VLOOKUP(F456,'Customers (2)'!A:I,3,0)</f>
        <v>rcawleycm@yellowbook.com</v>
      </c>
      <c r="I456" s="3">
        <f>VLOOKUP(F456,'Customers (2)'!A:I,4,0)</f>
        <v>0</v>
      </c>
      <c r="J456" s="3" t="str">
        <f>VLOOKUP(F456,'Customers (2)'!A:I,6,0)</f>
        <v>Ballyboden</v>
      </c>
      <c r="K456" s="3" t="str">
        <f>VLOOKUP(F456,'Customers (2)'!A:I,7,0)</f>
        <v>Ireland</v>
      </c>
      <c r="L456" s="3" t="str">
        <f>VLOOKUP(F456,'Customers (2)'!A:I,9,0)</f>
        <v>Yes</v>
      </c>
      <c r="M456" s="4" t="s">
        <v>35</v>
      </c>
      <c r="N456" s="4" t="str">
        <f>VLOOKUP(M456,'Products (2)'!A:G,2,0)</f>
        <v>Robusta</v>
      </c>
      <c r="O456" s="4" t="str">
        <f>VLOOKUP(M456,'Products (2)'!A:G,3,0)</f>
        <v>Dark</v>
      </c>
      <c r="P456" s="4">
        <f>VLOOKUP(M456,'Products (2)'!A:G,7,0)</f>
        <v>1.2350999999999999</v>
      </c>
      <c r="Q456" s="3">
        <v>4</v>
      </c>
      <c r="R456" s="5">
        <f>INDEX([1]products!$A$1:$G$49,MATCH([1]orders!$D456,[1]products!$A$1:$A$49,0),MATCH([1]orders!K$1,[1]products!$A$1:$G$1,0))</f>
        <v>2.5</v>
      </c>
      <c r="S456" s="6">
        <f>INDEX([1]products!$A$1:$G$49,MATCH([1]orders!$D456,[1]products!$A$1:$A$49,0),MATCH([1]orders!L$1,[1]products!$A$1:$G$1,0))</f>
        <v>20.584999999999997</v>
      </c>
      <c r="T456" s="6">
        <f t="shared" si="42"/>
        <v>82.339999999999989</v>
      </c>
      <c r="U456" s="22">
        <f t="shared" si="46"/>
        <v>4.9403999999999995</v>
      </c>
      <c r="V456" s="22">
        <f t="shared" si="47"/>
        <v>6.0000000000000009</v>
      </c>
    </row>
    <row r="457" spans="1:22" x14ac:dyDescent="0.3">
      <c r="A457" s="1" t="s">
        <v>906</v>
      </c>
      <c r="B457" s="2">
        <v>43841</v>
      </c>
      <c r="C457" s="2" t="str">
        <f t="shared" si="43"/>
        <v>Saturday</v>
      </c>
      <c r="D457" s="2" t="str">
        <f t="shared" si="44"/>
        <v>January</v>
      </c>
      <c r="E457" s="2" t="str">
        <f t="shared" si="45"/>
        <v>2020</v>
      </c>
      <c r="F457" s="3" t="s">
        <v>907</v>
      </c>
      <c r="G457" s="3" t="str">
        <f>VLOOKUP(F458,'Customers (2)'!A:I,2,0)</f>
        <v>Agnes Adamides</v>
      </c>
      <c r="H457" s="3" t="str">
        <f>VLOOKUP(F457,'Customers (2)'!A:I,3,0)</f>
        <v>sbarribalcn@microsoft.com</v>
      </c>
      <c r="I457" s="3" t="str">
        <f>VLOOKUP(F457,'Customers (2)'!A:I,4,0)</f>
        <v>+353 (310) 256-3698</v>
      </c>
      <c r="J457" s="3" t="str">
        <f>VLOOKUP(F457,'Customers (2)'!A:I,6,0)</f>
        <v>Bagenalstown</v>
      </c>
      <c r="K457" s="3" t="str">
        <f>VLOOKUP(F457,'Customers (2)'!A:I,7,0)</f>
        <v>Ireland</v>
      </c>
      <c r="L457" s="3" t="str">
        <f>VLOOKUP(F457,'Customers (2)'!A:I,9,0)</f>
        <v>Yes</v>
      </c>
      <c r="M457" s="4" t="s">
        <v>19</v>
      </c>
      <c r="N457" s="4" t="str">
        <f>VLOOKUP(M457,'Products (2)'!A:G,2,0)</f>
        <v>Liberica</v>
      </c>
      <c r="O457" s="4" t="str">
        <f>VLOOKUP(M457,'Products (2)'!A:G,3,0)</f>
        <v>Light</v>
      </c>
      <c r="P457" s="4">
        <f>VLOOKUP(M457,'Products (2)'!A:G,7,0)</f>
        <v>0.61814999999999998</v>
      </c>
      <c r="Q457" s="3">
        <v>2</v>
      </c>
      <c r="R457" s="5">
        <f>INDEX([1]products!$A$1:$G$49,MATCH([1]orders!$D457,[1]products!$A$1:$A$49,0),MATCH([1]orders!K$1,[1]products!$A$1:$G$1,0))</f>
        <v>0.2</v>
      </c>
      <c r="S457" s="6">
        <f>INDEX([1]products!$A$1:$G$49,MATCH([1]orders!$D457,[1]products!$A$1:$A$49,0),MATCH([1]orders!L$1,[1]products!$A$1:$G$1,0))</f>
        <v>4.7549999999999999</v>
      </c>
      <c r="T457" s="6">
        <f t="shared" si="42"/>
        <v>9.51</v>
      </c>
      <c r="U457" s="22">
        <f t="shared" si="46"/>
        <v>1.2363</v>
      </c>
      <c r="V457" s="22">
        <f t="shared" si="47"/>
        <v>13</v>
      </c>
    </row>
    <row r="458" spans="1:22" x14ac:dyDescent="0.3">
      <c r="A458" s="1" t="s">
        <v>908</v>
      </c>
      <c r="B458" s="2">
        <v>44017</v>
      </c>
      <c r="C458" s="2" t="str">
        <f t="shared" si="43"/>
        <v>Sunday</v>
      </c>
      <c r="D458" s="2" t="str">
        <f t="shared" si="44"/>
        <v>July</v>
      </c>
      <c r="E458" s="2" t="str">
        <f t="shared" si="45"/>
        <v>2020</v>
      </c>
      <c r="F458" s="3" t="s">
        <v>909</v>
      </c>
      <c r="G458" s="3" t="str">
        <f>VLOOKUP(F459,'Customers (2)'!A:I,2,0)</f>
        <v>Carmelita Thowes</v>
      </c>
      <c r="H458" s="3" t="str">
        <f>VLOOKUP(F458,'Customers (2)'!A:I,3,0)</f>
        <v>aadamidesco@bizjournals.com</v>
      </c>
      <c r="I458" s="3" t="str">
        <f>VLOOKUP(F458,'Customers (2)'!A:I,4,0)</f>
        <v>+44 (131) 485-2183</v>
      </c>
      <c r="J458" s="3" t="str">
        <f>VLOOKUP(F458,'Customers (2)'!A:I,6,0)</f>
        <v>Liverpool</v>
      </c>
      <c r="K458" s="3" t="str">
        <f>VLOOKUP(F458,'Customers (2)'!A:I,7,0)</f>
        <v>United Kingdom</v>
      </c>
      <c r="L458" s="3" t="str">
        <f>VLOOKUP(F458,'Customers (2)'!A:I,9,0)</f>
        <v>No</v>
      </c>
      <c r="M458" s="4" t="s">
        <v>35</v>
      </c>
      <c r="N458" s="4" t="str">
        <f>VLOOKUP(M458,'Products (2)'!A:G,2,0)</f>
        <v>Robusta</v>
      </c>
      <c r="O458" s="4" t="str">
        <f>VLOOKUP(M458,'Products (2)'!A:G,3,0)</f>
        <v>Dark</v>
      </c>
      <c r="P458" s="4">
        <f>VLOOKUP(M458,'Products (2)'!A:G,7,0)</f>
        <v>1.2350999999999999</v>
      </c>
      <c r="Q458" s="3">
        <v>2</v>
      </c>
      <c r="R458" s="5">
        <f>INDEX([1]products!$A$1:$G$49,MATCH([1]orders!$D458,[1]products!$A$1:$A$49,0),MATCH([1]orders!K$1,[1]products!$A$1:$G$1,0))</f>
        <v>2.5</v>
      </c>
      <c r="S458" s="6">
        <f>INDEX([1]products!$A$1:$G$49,MATCH([1]orders!$D458,[1]products!$A$1:$A$49,0),MATCH([1]orders!L$1,[1]products!$A$1:$G$1,0))</f>
        <v>20.584999999999997</v>
      </c>
      <c r="T458" s="6">
        <f t="shared" si="42"/>
        <v>41.169999999999995</v>
      </c>
      <c r="U458" s="22">
        <f t="shared" si="46"/>
        <v>2.4701999999999997</v>
      </c>
      <c r="V458" s="22">
        <f t="shared" si="47"/>
        <v>6.0000000000000009</v>
      </c>
    </row>
    <row r="459" spans="1:22" x14ac:dyDescent="0.3">
      <c r="A459" s="1" t="s">
        <v>910</v>
      </c>
      <c r="B459" s="2">
        <v>43671</v>
      </c>
      <c r="C459" s="2" t="str">
        <f t="shared" si="43"/>
        <v>Thursday</v>
      </c>
      <c r="D459" s="2" t="str">
        <f t="shared" si="44"/>
        <v>July</v>
      </c>
      <c r="E459" s="2" t="str">
        <f t="shared" si="45"/>
        <v>2019</v>
      </c>
      <c r="F459" s="3" t="s">
        <v>911</v>
      </c>
      <c r="G459" s="3" t="str">
        <f>VLOOKUP(F460,'Customers (2)'!A:I,2,0)</f>
        <v>Rodolfo Willoway</v>
      </c>
      <c r="H459" s="3" t="str">
        <f>VLOOKUP(F459,'Customers (2)'!A:I,3,0)</f>
        <v>cthowescp@craigslist.org</v>
      </c>
      <c r="I459" s="3" t="str">
        <f>VLOOKUP(F459,'Customers (2)'!A:I,4,0)</f>
        <v>+1 (585) 785-2424</v>
      </c>
      <c r="J459" s="3" t="str">
        <f>VLOOKUP(F459,'Customers (2)'!A:I,6,0)</f>
        <v>Rochester</v>
      </c>
      <c r="K459" s="3" t="str">
        <f>VLOOKUP(F459,'Customers (2)'!A:I,7,0)</f>
        <v>United States</v>
      </c>
      <c r="L459" s="3" t="str">
        <f>VLOOKUP(F459,'Customers (2)'!A:I,9,0)</f>
        <v>No</v>
      </c>
      <c r="M459" s="4" t="s">
        <v>83</v>
      </c>
      <c r="N459" s="4" t="str">
        <f>VLOOKUP(M459,'Products (2)'!A:G,2,0)</f>
        <v>Liberica</v>
      </c>
      <c r="O459" s="4" t="str">
        <f>VLOOKUP(M459,'Products (2)'!A:G,3,0)</f>
        <v>Light</v>
      </c>
      <c r="P459" s="4">
        <f>VLOOKUP(M459,'Products (2)'!A:G,7,0)</f>
        <v>1.2363</v>
      </c>
      <c r="Q459" s="3">
        <v>5</v>
      </c>
      <c r="R459" s="5">
        <f>INDEX([1]products!$A$1:$G$49,MATCH([1]orders!$D459,[1]products!$A$1:$A$49,0),MATCH([1]orders!K$1,[1]products!$A$1:$G$1,0))</f>
        <v>0.5</v>
      </c>
      <c r="S459" s="6">
        <f>INDEX([1]products!$A$1:$G$49,MATCH([1]orders!$D459,[1]products!$A$1:$A$49,0),MATCH([1]orders!L$1,[1]products!$A$1:$G$1,0))</f>
        <v>9.51</v>
      </c>
      <c r="T459" s="6">
        <f t="shared" si="42"/>
        <v>47.55</v>
      </c>
      <c r="U459" s="22">
        <f t="shared" si="46"/>
        <v>6.1814999999999998</v>
      </c>
      <c r="V459" s="22">
        <f t="shared" si="47"/>
        <v>13</v>
      </c>
    </row>
    <row r="460" spans="1:22" x14ac:dyDescent="0.3">
      <c r="A460" s="1" t="s">
        <v>912</v>
      </c>
      <c r="B460" s="2">
        <v>44707</v>
      </c>
      <c r="C460" s="2" t="str">
        <f t="shared" si="43"/>
        <v>Thursday</v>
      </c>
      <c r="D460" s="2" t="str">
        <f t="shared" si="44"/>
        <v>May</v>
      </c>
      <c r="E460" s="2" t="str">
        <f t="shared" si="45"/>
        <v>2022</v>
      </c>
      <c r="F460" s="3" t="s">
        <v>913</v>
      </c>
      <c r="G460" s="3" t="str">
        <f>VLOOKUP(F461,'Customers (2)'!A:I,2,0)</f>
        <v>Alvis Elwin</v>
      </c>
      <c r="H460" s="3" t="str">
        <f>VLOOKUP(F460,'Customers (2)'!A:I,3,0)</f>
        <v>rwillowaycq@admin.ch</v>
      </c>
      <c r="I460" s="3" t="str">
        <f>VLOOKUP(F460,'Customers (2)'!A:I,4,0)</f>
        <v>+1 (520) 126-8439</v>
      </c>
      <c r="J460" s="3" t="str">
        <f>VLOOKUP(F460,'Customers (2)'!A:I,6,0)</f>
        <v>Tucson</v>
      </c>
      <c r="K460" s="3" t="str">
        <f>VLOOKUP(F460,'Customers (2)'!A:I,7,0)</f>
        <v>United States</v>
      </c>
      <c r="L460" s="3" t="str">
        <f>VLOOKUP(F460,'Customers (2)'!A:I,9,0)</f>
        <v>No</v>
      </c>
      <c r="M460" s="4" t="s">
        <v>61</v>
      </c>
      <c r="N460" s="4" t="str">
        <f>VLOOKUP(M460,'Products (2)'!A:G,2,0)</f>
        <v>Arabica</v>
      </c>
      <c r="O460" s="4" t="str">
        <f>VLOOKUP(M460,'Products (2)'!A:G,3,0)</f>
        <v>Medium</v>
      </c>
      <c r="P460" s="4">
        <f>VLOOKUP(M460,'Products (2)'!A:G,7,0)</f>
        <v>1.0125</v>
      </c>
      <c r="Q460" s="3">
        <v>4</v>
      </c>
      <c r="R460" s="5">
        <f>INDEX([1]products!$A$1:$G$49,MATCH([1]orders!$D460,[1]products!$A$1:$A$49,0),MATCH([1]orders!K$1,[1]products!$A$1:$G$1,0))</f>
        <v>1</v>
      </c>
      <c r="S460" s="6">
        <f>INDEX([1]products!$A$1:$G$49,MATCH([1]orders!$D460,[1]products!$A$1:$A$49,0),MATCH([1]orders!L$1,[1]products!$A$1:$G$1,0))</f>
        <v>11.25</v>
      </c>
      <c r="T460" s="6">
        <f t="shared" si="42"/>
        <v>45</v>
      </c>
      <c r="U460" s="22">
        <f t="shared" si="46"/>
        <v>4.05</v>
      </c>
      <c r="V460" s="22">
        <f t="shared" si="47"/>
        <v>9</v>
      </c>
    </row>
    <row r="461" spans="1:22" x14ac:dyDescent="0.3">
      <c r="A461" s="1" t="s">
        <v>914</v>
      </c>
      <c r="B461" s="2">
        <v>43840</v>
      </c>
      <c r="C461" s="2" t="str">
        <f t="shared" si="43"/>
        <v>Friday</v>
      </c>
      <c r="D461" s="2" t="str">
        <f t="shared" si="44"/>
        <v>January</v>
      </c>
      <c r="E461" s="2" t="str">
        <f t="shared" si="45"/>
        <v>2020</v>
      </c>
      <c r="F461" s="3" t="s">
        <v>915</v>
      </c>
      <c r="G461" s="3" t="str">
        <f>VLOOKUP(F462,'Customers (2)'!A:I,2,0)</f>
        <v>Araldo Bilbrook</v>
      </c>
      <c r="H461" s="3" t="str">
        <f>VLOOKUP(F461,'Customers (2)'!A:I,3,0)</f>
        <v>aelwincr@privacy.gov.au</v>
      </c>
      <c r="I461" s="3" t="str">
        <f>VLOOKUP(F461,'Customers (2)'!A:I,4,0)</f>
        <v>+1 (612) 244-0885</v>
      </c>
      <c r="J461" s="3" t="str">
        <f>VLOOKUP(F461,'Customers (2)'!A:I,6,0)</f>
        <v>Minneapolis</v>
      </c>
      <c r="K461" s="3" t="str">
        <f>VLOOKUP(F461,'Customers (2)'!A:I,7,0)</f>
        <v>United States</v>
      </c>
      <c r="L461" s="3" t="str">
        <f>VLOOKUP(F461,'Customers (2)'!A:I,9,0)</f>
        <v>No</v>
      </c>
      <c r="M461" s="4" t="s">
        <v>19</v>
      </c>
      <c r="N461" s="4" t="str">
        <f>VLOOKUP(M461,'Products (2)'!A:G,2,0)</f>
        <v>Liberica</v>
      </c>
      <c r="O461" s="4" t="str">
        <f>VLOOKUP(M461,'Products (2)'!A:G,3,0)</f>
        <v>Light</v>
      </c>
      <c r="P461" s="4">
        <f>VLOOKUP(M461,'Products (2)'!A:G,7,0)</f>
        <v>0.61814999999999998</v>
      </c>
      <c r="Q461" s="3">
        <v>5</v>
      </c>
      <c r="R461" s="5">
        <f>INDEX([1]products!$A$1:$G$49,MATCH([1]orders!$D461,[1]products!$A$1:$A$49,0),MATCH([1]orders!K$1,[1]products!$A$1:$G$1,0))</f>
        <v>0.2</v>
      </c>
      <c r="S461" s="6">
        <f>INDEX([1]products!$A$1:$G$49,MATCH([1]orders!$D461,[1]products!$A$1:$A$49,0),MATCH([1]orders!L$1,[1]products!$A$1:$G$1,0))</f>
        <v>4.7549999999999999</v>
      </c>
      <c r="T461" s="6">
        <f t="shared" si="42"/>
        <v>23.774999999999999</v>
      </c>
      <c r="U461" s="22">
        <f t="shared" si="46"/>
        <v>3.0907499999999999</v>
      </c>
      <c r="V461" s="22">
        <f t="shared" si="47"/>
        <v>13</v>
      </c>
    </row>
    <row r="462" spans="1:22" x14ac:dyDescent="0.3">
      <c r="A462" s="1" t="s">
        <v>916</v>
      </c>
      <c r="B462" s="2">
        <v>43602</v>
      </c>
      <c r="C462" s="2" t="str">
        <f t="shared" si="43"/>
        <v>Friday</v>
      </c>
      <c r="D462" s="2" t="str">
        <f t="shared" si="44"/>
        <v>May</v>
      </c>
      <c r="E462" s="2" t="str">
        <f t="shared" si="45"/>
        <v>2019</v>
      </c>
      <c r="F462" s="3" t="s">
        <v>917</v>
      </c>
      <c r="G462" s="3" t="str">
        <f>VLOOKUP(F463,'Customers (2)'!A:I,2,0)</f>
        <v>Ransell McKall</v>
      </c>
      <c r="H462" s="3" t="str">
        <f>VLOOKUP(F462,'Customers (2)'!A:I,3,0)</f>
        <v>abilbrookcs@booking.com</v>
      </c>
      <c r="I462" s="3" t="str">
        <f>VLOOKUP(F462,'Customers (2)'!A:I,4,0)</f>
        <v>+353 (138) 323-3320</v>
      </c>
      <c r="J462" s="3" t="str">
        <f>VLOOKUP(F462,'Customers (2)'!A:I,6,0)</f>
        <v>Ashbourne</v>
      </c>
      <c r="K462" s="3" t="str">
        <f>VLOOKUP(F462,'Customers (2)'!A:I,7,0)</f>
        <v>Ireland</v>
      </c>
      <c r="L462" s="3" t="str">
        <f>VLOOKUP(F462,'Customers (2)'!A:I,9,0)</f>
        <v>Yes</v>
      </c>
      <c r="M462" s="4" t="s">
        <v>146</v>
      </c>
      <c r="N462" s="4" t="str">
        <f>VLOOKUP(M462,'Products (2)'!A:G,2,0)</f>
        <v>Robusta</v>
      </c>
      <c r="O462" s="4" t="str">
        <f>VLOOKUP(M462,'Products (2)'!A:G,3,0)</f>
        <v>Dark</v>
      </c>
      <c r="P462" s="4">
        <f>VLOOKUP(M462,'Products (2)'!A:G,7,0)</f>
        <v>0.32219999999999993</v>
      </c>
      <c r="Q462" s="3">
        <v>3</v>
      </c>
      <c r="R462" s="5">
        <f>INDEX([1]products!$A$1:$G$49,MATCH([1]orders!$D462,[1]products!$A$1:$A$49,0),MATCH([1]orders!K$1,[1]products!$A$1:$G$1,0))</f>
        <v>0.5</v>
      </c>
      <c r="S462" s="6">
        <f>INDEX([1]products!$A$1:$G$49,MATCH([1]orders!$D462,[1]products!$A$1:$A$49,0),MATCH([1]orders!L$1,[1]products!$A$1:$G$1,0))</f>
        <v>5.3699999999999992</v>
      </c>
      <c r="T462" s="6">
        <f t="shared" si="42"/>
        <v>16.11</v>
      </c>
      <c r="U462" s="22">
        <f t="shared" si="46"/>
        <v>0.96659999999999979</v>
      </c>
      <c r="V462" s="22">
        <f t="shared" si="47"/>
        <v>5.9999999999999991</v>
      </c>
    </row>
    <row r="463" spans="1:22" x14ac:dyDescent="0.3">
      <c r="A463" s="1" t="s">
        <v>918</v>
      </c>
      <c r="B463" s="2">
        <v>44036</v>
      </c>
      <c r="C463" s="2" t="str">
        <f t="shared" si="43"/>
        <v>Friday</v>
      </c>
      <c r="D463" s="2" t="str">
        <f t="shared" si="44"/>
        <v>July</v>
      </c>
      <c r="E463" s="2" t="str">
        <f t="shared" si="45"/>
        <v>2020</v>
      </c>
      <c r="F463" s="3" t="s">
        <v>919</v>
      </c>
      <c r="G463" s="3" t="str">
        <f>VLOOKUP(F464,'Customers (2)'!A:I,2,0)</f>
        <v>Borg Daile</v>
      </c>
      <c r="H463" s="3" t="str">
        <f>VLOOKUP(F463,'Customers (2)'!A:I,3,0)</f>
        <v>rmckallct@sakura.ne.jp</v>
      </c>
      <c r="I463" s="3" t="str">
        <f>VLOOKUP(F463,'Customers (2)'!A:I,4,0)</f>
        <v>+44 (841) 988-2775</v>
      </c>
      <c r="J463" s="3" t="str">
        <f>VLOOKUP(F463,'Customers (2)'!A:I,6,0)</f>
        <v>Bristol</v>
      </c>
      <c r="K463" s="3" t="str">
        <f>VLOOKUP(F463,'Customers (2)'!A:I,7,0)</f>
        <v>United Kingdom</v>
      </c>
      <c r="L463" s="3" t="str">
        <f>VLOOKUP(F463,'Customers (2)'!A:I,9,0)</f>
        <v>Yes</v>
      </c>
      <c r="M463" s="4" t="s">
        <v>101</v>
      </c>
      <c r="N463" s="4" t="str">
        <f>VLOOKUP(M463,'Products (2)'!A:G,2,0)</f>
        <v>Robusta</v>
      </c>
      <c r="O463" s="4" t="str">
        <f>VLOOKUP(M463,'Products (2)'!A:G,3,0)</f>
        <v>Dark</v>
      </c>
      <c r="P463" s="4">
        <f>VLOOKUP(M463,'Products (2)'!A:G,7,0)</f>
        <v>0.16109999999999997</v>
      </c>
      <c r="Q463" s="3">
        <v>4</v>
      </c>
      <c r="R463" s="5">
        <f>INDEX([1]products!$A$1:$G$49,MATCH([1]orders!$D463,[1]products!$A$1:$A$49,0),MATCH([1]orders!K$1,[1]products!$A$1:$G$1,0))</f>
        <v>0.2</v>
      </c>
      <c r="S463" s="6">
        <f>INDEX([1]products!$A$1:$G$49,MATCH([1]orders!$D463,[1]products!$A$1:$A$49,0),MATCH([1]orders!L$1,[1]products!$A$1:$G$1,0))</f>
        <v>2.6849999999999996</v>
      </c>
      <c r="T463" s="6">
        <f t="shared" si="42"/>
        <v>10.739999999999998</v>
      </c>
      <c r="U463" s="22">
        <f t="shared" si="46"/>
        <v>0.64439999999999986</v>
      </c>
      <c r="V463" s="22">
        <f t="shared" si="47"/>
        <v>6</v>
      </c>
    </row>
    <row r="464" spans="1:22" x14ac:dyDescent="0.3">
      <c r="A464" s="1" t="s">
        <v>920</v>
      </c>
      <c r="B464" s="2">
        <v>44124</v>
      </c>
      <c r="C464" s="2" t="str">
        <f t="shared" si="43"/>
        <v>Tuesday</v>
      </c>
      <c r="D464" s="2" t="str">
        <f t="shared" si="44"/>
        <v>October</v>
      </c>
      <c r="E464" s="2" t="str">
        <f t="shared" si="45"/>
        <v>2020</v>
      </c>
      <c r="F464" s="3" t="s">
        <v>921</v>
      </c>
      <c r="G464" s="3" t="str">
        <f>VLOOKUP(F465,'Customers (2)'!A:I,2,0)</f>
        <v>Adolphe Treherne</v>
      </c>
      <c r="H464" s="3" t="str">
        <f>VLOOKUP(F464,'Customers (2)'!A:I,3,0)</f>
        <v>bdailecu@vistaprint.com</v>
      </c>
      <c r="I464" s="3" t="str">
        <f>VLOOKUP(F464,'Customers (2)'!A:I,4,0)</f>
        <v>+1 (770) 330-7785</v>
      </c>
      <c r="J464" s="3" t="str">
        <f>VLOOKUP(F464,'Customers (2)'!A:I,6,0)</f>
        <v>Atlanta</v>
      </c>
      <c r="K464" s="3" t="str">
        <f>VLOOKUP(F464,'Customers (2)'!A:I,7,0)</f>
        <v>United States</v>
      </c>
      <c r="L464" s="3" t="str">
        <f>VLOOKUP(F464,'Customers (2)'!A:I,9,0)</f>
        <v>Yes</v>
      </c>
      <c r="M464" s="4" t="s">
        <v>27</v>
      </c>
      <c r="N464" s="4" t="str">
        <f>VLOOKUP(M464,'Products (2)'!A:G,2,0)</f>
        <v>Arabica</v>
      </c>
      <c r="O464" s="4" t="str">
        <f>VLOOKUP(M464,'Products (2)'!A:G,3,0)</f>
        <v>Dark</v>
      </c>
      <c r="P464" s="4">
        <f>VLOOKUP(M464,'Products (2)'!A:G,7,0)</f>
        <v>0.89549999999999985</v>
      </c>
      <c r="Q464" s="3">
        <v>5</v>
      </c>
      <c r="R464" s="5">
        <f>INDEX([1]products!$A$1:$G$49,MATCH([1]orders!$D464,[1]products!$A$1:$A$49,0),MATCH([1]orders!K$1,[1]products!$A$1:$G$1,0))</f>
        <v>1</v>
      </c>
      <c r="S464" s="6">
        <f>INDEX([1]products!$A$1:$G$49,MATCH([1]orders!$D464,[1]products!$A$1:$A$49,0),MATCH([1]orders!L$1,[1]products!$A$1:$G$1,0))</f>
        <v>9.9499999999999993</v>
      </c>
      <c r="T464" s="6">
        <f t="shared" si="42"/>
        <v>49.75</v>
      </c>
      <c r="U464" s="22">
        <f t="shared" si="46"/>
        <v>4.4774999999999991</v>
      </c>
      <c r="V464" s="22">
        <f t="shared" si="47"/>
        <v>8.9999999999999982</v>
      </c>
    </row>
    <row r="465" spans="1:22" x14ac:dyDescent="0.3">
      <c r="A465" s="1" t="s">
        <v>922</v>
      </c>
      <c r="B465" s="2">
        <v>43730</v>
      </c>
      <c r="C465" s="2" t="str">
        <f t="shared" si="43"/>
        <v>Sunday</v>
      </c>
      <c r="D465" s="2" t="str">
        <f t="shared" si="44"/>
        <v>September</v>
      </c>
      <c r="E465" s="2" t="str">
        <f t="shared" si="45"/>
        <v>2019</v>
      </c>
      <c r="F465" s="3" t="s">
        <v>923</v>
      </c>
      <c r="G465" s="3" t="str">
        <f>VLOOKUP(F466,'Customers (2)'!A:I,2,0)</f>
        <v>Annetta Brentnall</v>
      </c>
      <c r="H465" s="3" t="str">
        <f>VLOOKUP(F465,'Customers (2)'!A:I,3,0)</f>
        <v>atrehernecv@state.tx.us</v>
      </c>
      <c r="I465" s="3" t="str">
        <f>VLOOKUP(F465,'Customers (2)'!A:I,4,0)</f>
        <v>+353 (860) 359-7907</v>
      </c>
      <c r="J465" s="3" t="str">
        <f>VLOOKUP(F465,'Customers (2)'!A:I,6,0)</f>
        <v>Farranacoush</v>
      </c>
      <c r="K465" s="3" t="str">
        <f>VLOOKUP(F465,'Customers (2)'!A:I,7,0)</f>
        <v>Ireland</v>
      </c>
      <c r="L465" s="3" t="str">
        <f>VLOOKUP(F465,'Customers (2)'!A:I,9,0)</f>
        <v>No</v>
      </c>
      <c r="M465" s="4" t="s">
        <v>9</v>
      </c>
      <c r="N465" s="4" t="str">
        <f>VLOOKUP(M465,'Products (2)'!A:G,2,0)</f>
        <v>Excelsa</v>
      </c>
      <c r="O465" s="4" t="str">
        <f>VLOOKUP(M465,'Products (2)'!A:G,3,0)</f>
        <v>Medium</v>
      </c>
      <c r="P465" s="4">
        <f>VLOOKUP(M465,'Products (2)'!A:G,7,0)</f>
        <v>1.5125</v>
      </c>
      <c r="Q465" s="3">
        <v>2</v>
      </c>
      <c r="R465" s="5">
        <f>INDEX([1]products!$A$1:$G$49,MATCH([1]orders!$D465,[1]products!$A$1:$A$49,0),MATCH([1]orders!K$1,[1]products!$A$1:$G$1,0))</f>
        <v>1</v>
      </c>
      <c r="S465" s="6">
        <f>INDEX([1]products!$A$1:$G$49,MATCH([1]orders!$D465,[1]products!$A$1:$A$49,0),MATCH([1]orders!L$1,[1]products!$A$1:$G$1,0))</f>
        <v>13.75</v>
      </c>
      <c r="T465" s="6">
        <f t="shared" si="42"/>
        <v>27.5</v>
      </c>
      <c r="U465" s="22">
        <f t="shared" si="46"/>
        <v>3.0249999999999999</v>
      </c>
      <c r="V465" s="22">
        <f t="shared" si="47"/>
        <v>11</v>
      </c>
    </row>
    <row r="466" spans="1:22" x14ac:dyDescent="0.3">
      <c r="A466" s="1" t="s">
        <v>924</v>
      </c>
      <c r="B466" s="2">
        <v>43989</v>
      </c>
      <c r="C466" s="2" t="str">
        <f t="shared" si="43"/>
        <v>Sunday</v>
      </c>
      <c r="D466" s="2" t="str">
        <f t="shared" si="44"/>
        <v>June</v>
      </c>
      <c r="E466" s="2" t="str">
        <f t="shared" si="45"/>
        <v>2020</v>
      </c>
      <c r="F466" s="3" t="s">
        <v>925</v>
      </c>
      <c r="G466" s="3" t="str">
        <f>VLOOKUP(F467,'Customers (2)'!A:I,2,0)</f>
        <v>Dick Drinkall</v>
      </c>
      <c r="H466" s="3" t="str">
        <f>VLOOKUP(F466,'Customers (2)'!A:I,3,0)</f>
        <v>abrentnallcw@biglobe.ne.jp</v>
      </c>
      <c r="I466" s="3" t="str">
        <f>VLOOKUP(F466,'Customers (2)'!A:I,4,0)</f>
        <v>+44 (373) 897-1797</v>
      </c>
      <c r="J466" s="3" t="str">
        <f>VLOOKUP(F466,'Customers (2)'!A:I,6,0)</f>
        <v>East End</v>
      </c>
      <c r="K466" s="3" t="str">
        <f>VLOOKUP(F466,'Customers (2)'!A:I,7,0)</f>
        <v>United Kingdom</v>
      </c>
      <c r="L466" s="3" t="str">
        <f>VLOOKUP(F466,'Customers (2)'!A:I,9,0)</f>
        <v>No</v>
      </c>
      <c r="M466" s="4" t="s">
        <v>109</v>
      </c>
      <c r="N466" s="4" t="str">
        <f>VLOOKUP(M466,'Products (2)'!A:G,2,0)</f>
        <v>Liberica</v>
      </c>
      <c r="O466" s="4" t="str">
        <f>VLOOKUP(M466,'Products (2)'!A:G,3,0)</f>
        <v>Dark</v>
      </c>
      <c r="P466" s="4">
        <f>VLOOKUP(M466,'Products (2)'!A:G,7,0)</f>
        <v>3.8720499999999998</v>
      </c>
      <c r="Q466" s="3">
        <v>4</v>
      </c>
      <c r="R466" s="5">
        <f>INDEX([1]products!$A$1:$G$49,MATCH([1]orders!$D466,[1]products!$A$1:$A$49,0),MATCH([1]orders!K$1,[1]products!$A$1:$G$1,0))</f>
        <v>2.5</v>
      </c>
      <c r="S466" s="6">
        <f>INDEX([1]products!$A$1:$G$49,MATCH([1]orders!$D466,[1]products!$A$1:$A$49,0),MATCH([1]orders!L$1,[1]products!$A$1:$G$1,0))</f>
        <v>29.784999999999997</v>
      </c>
      <c r="T466" s="6">
        <f t="shared" si="42"/>
        <v>119.13999999999999</v>
      </c>
      <c r="U466" s="22">
        <f t="shared" si="46"/>
        <v>15.488199999999999</v>
      </c>
      <c r="V466" s="22">
        <f t="shared" si="47"/>
        <v>13</v>
      </c>
    </row>
    <row r="467" spans="1:22" x14ac:dyDescent="0.3">
      <c r="A467" s="1" t="s">
        <v>926</v>
      </c>
      <c r="B467" s="2">
        <v>43814</v>
      </c>
      <c r="C467" s="2" t="str">
        <f t="shared" si="43"/>
        <v>Sunday</v>
      </c>
      <c r="D467" s="2" t="str">
        <f t="shared" si="44"/>
        <v>December</v>
      </c>
      <c r="E467" s="2" t="str">
        <f t="shared" si="45"/>
        <v>2019</v>
      </c>
      <c r="F467" s="3" t="s">
        <v>927</v>
      </c>
      <c r="G467" s="3" t="str">
        <f>VLOOKUP(F468,'Customers (2)'!A:I,2,0)</f>
        <v>Dagny Kornel</v>
      </c>
      <c r="H467" s="3" t="str">
        <f>VLOOKUP(F467,'Customers (2)'!A:I,3,0)</f>
        <v>ddrinkallcx@psu.edu</v>
      </c>
      <c r="I467" s="3" t="str">
        <f>VLOOKUP(F467,'Customers (2)'!A:I,4,0)</f>
        <v>+1 (865) 407-3871</v>
      </c>
      <c r="J467" s="3" t="str">
        <f>VLOOKUP(F467,'Customers (2)'!A:I,6,0)</f>
        <v>Knoxville</v>
      </c>
      <c r="K467" s="3" t="str">
        <f>VLOOKUP(F467,'Customers (2)'!A:I,7,0)</f>
        <v>United States</v>
      </c>
      <c r="L467" s="3" t="str">
        <f>VLOOKUP(F467,'Customers (2)'!A:I,9,0)</f>
        <v>Yes</v>
      </c>
      <c r="M467" s="4" t="s">
        <v>35</v>
      </c>
      <c r="N467" s="4" t="str">
        <f>VLOOKUP(M467,'Products (2)'!A:G,2,0)</f>
        <v>Robusta</v>
      </c>
      <c r="O467" s="4" t="str">
        <f>VLOOKUP(M467,'Products (2)'!A:G,3,0)</f>
        <v>Dark</v>
      </c>
      <c r="P467" s="4">
        <f>VLOOKUP(M467,'Products (2)'!A:G,7,0)</f>
        <v>1.2350999999999999</v>
      </c>
      <c r="Q467" s="3">
        <v>1</v>
      </c>
      <c r="R467" s="5">
        <f>INDEX([1]products!$A$1:$G$49,MATCH([1]orders!$D467,[1]products!$A$1:$A$49,0),MATCH([1]orders!K$1,[1]products!$A$1:$G$1,0))</f>
        <v>2.5</v>
      </c>
      <c r="S467" s="6">
        <f>INDEX([1]products!$A$1:$G$49,MATCH([1]orders!$D467,[1]products!$A$1:$A$49,0),MATCH([1]orders!L$1,[1]products!$A$1:$G$1,0))</f>
        <v>20.584999999999997</v>
      </c>
      <c r="T467" s="6">
        <f t="shared" si="42"/>
        <v>20.584999999999997</v>
      </c>
      <c r="U467" s="22">
        <f t="shared" si="46"/>
        <v>1.2350999999999999</v>
      </c>
      <c r="V467" s="22">
        <f t="shared" si="47"/>
        <v>6.0000000000000009</v>
      </c>
    </row>
    <row r="468" spans="1:22" x14ac:dyDescent="0.3">
      <c r="A468" s="1" t="s">
        <v>928</v>
      </c>
      <c r="B468" s="2">
        <v>44171</v>
      </c>
      <c r="C468" s="2" t="str">
        <f t="shared" si="43"/>
        <v>Sunday</v>
      </c>
      <c r="D468" s="2" t="str">
        <f t="shared" si="44"/>
        <v>December</v>
      </c>
      <c r="E468" s="2" t="str">
        <f t="shared" si="45"/>
        <v>2020</v>
      </c>
      <c r="F468" s="3" t="s">
        <v>929</v>
      </c>
      <c r="G468" s="3" t="str">
        <f>VLOOKUP(F469,'Customers (2)'!A:I,2,0)</f>
        <v>Rhona Lequeux</v>
      </c>
      <c r="H468" s="3" t="str">
        <f>VLOOKUP(F468,'Customers (2)'!A:I,3,0)</f>
        <v>dkornelcy@cyberchimps.com</v>
      </c>
      <c r="I468" s="3" t="str">
        <f>VLOOKUP(F468,'Customers (2)'!A:I,4,0)</f>
        <v>+1 (989) 565-9120</v>
      </c>
      <c r="J468" s="3" t="str">
        <f>VLOOKUP(F468,'Customers (2)'!A:I,6,0)</f>
        <v>Saginaw</v>
      </c>
      <c r="K468" s="3" t="str">
        <f>VLOOKUP(F468,'Customers (2)'!A:I,7,0)</f>
        <v>United States</v>
      </c>
      <c r="L468" s="3" t="str">
        <f>VLOOKUP(F468,'Customers (2)'!A:I,9,0)</f>
        <v>Yes</v>
      </c>
      <c r="M468" s="4" t="s">
        <v>54</v>
      </c>
      <c r="N468" s="4" t="str">
        <f>VLOOKUP(M468,'Products (2)'!A:G,2,0)</f>
        <v>Arabica</v>
      </c>
      <c r="O468" s="4" t="str">
        <f>VLOOKUP(M468,'Products (2)'!A:G,3,0)</f>
        <v>Dark</v>
      </c>
      <c r="P468" s="4">
        <f>VLOOKUP(M468,'Products (2)'!A:G,7,0)</f>
        <v>0.26865</v>
      </c>
      <c r="Q468" s="3">
        <v>3</v>
      </c>
      <c r="R468" s="5">
        <f>INDEX([1]products!$A$1:$G$49,MATCH([1]orders!$D468,[1]products!$A$1:$A$49,0),MATCH([1]orders!K$1,[1]products!$A$1:$G$1,0))</f>
        <v>0.2</v>
      </c>
      <c r="S468" s="6">
        <f>INDEX([1]products!$A$1:$G$49,MATCH([1]orders!$D468,[1]products!$A$1:$A$49,0),MATCH([1]orders!L$1,[1]products!$A$1:$G$1,0))</f>
        <v>2.9849999999999999</v>
      </c>
      <c r="T468" s="6">
        <f t="shared" si="42"/>
        <v>8.9550000000000001</v>
      </c>
      <c r="U468" s="22">
        <f t="shared" si="46"/>
        <v>0.80594999999999994</v>
      </c>
      <c r="V468" s="22">
        <f t="shared" si="47"/>
        <v>9</v>
      </c>
    </row>
    <row r="469" spans="1:22" x14ac:dyDescent="0.3">
      <c r="A469" s="1" t="s">
        <v>930</v>
      </c>
      <c r="B469" s="2">
        <v>44536</v>
      </c>
      <c r="C469" s="2" t="str">
        <f t="shared" si="43"/>
        <v>Monday</v>
      </c>
      <c r="D469" s="2" t="str">
        <f t="shared" si="44"/>
        <v>December</v>
      </c>
      <c r="E469" s="2" t="str">
        <f t="shared" si="45"/>
        <v>2021</v>
      </c>
      <c r="F469" s="3" t="s">
        <v>931</v>
      </c>
      <c r="G469" s="3" t="str">
        <f>VLOOKUP(F470,'Customers (2)'!A:I,2,0)</f>
        <v>Julius Mccaull</v>
      </c>
      <c r="H469" s="3" t="str">
        <f>VLOOKUP(F469,'Customers (2)'!A:I,3,0)</f>
        <v>rlequeuxcz@newyorker.com</v>
      </c>
      <c r="I469" s="3" t="str">
        <f>VLOOKUP(F469,'Customers (2)'!A:I,4,0)</f>
        <v>+1 (904) 161-6088</v>
      </c>
      <c r="J469" s="3" t="str">
        <f>VLOOKUP(F469,'Customers (2)'!A:I,6,0)</f>
        <v>Saint Augustine</v>
      </c>
      <c r="K469" s="3" t="str">
        <f>VLOOKUP(F469,'Customers (2)'!A:I,7,0)</f>
        <v>United States</v>
      </c>
      <c r="L469" s="3" t="str">
        <f>VLOOKUP(F469,'Customers (2)'!A:I,9,0)</f>
        <v>No</v>
      </c>
      <c r="M469" s="4" t="s">
        <v>72</v>
      </c>
      <c r="N469" s="4" t="str">
        <f>VLOOKUP(M469,'Products (2)'!A:G,2,0)</f>
        <v>Arabica</v>
      </c>
      <c r="O469" s="4" t="str">
        <f>VLOOKUP(M469,'Products (2)'!A:G,3,0)</f>
        <v>Dark</v>
      </c>
      <c r="P469" s="4">
        <f>VLOOKUP(M469,'Products (2)'!A:G,7,0)</f>
        <v>0.5373</v>
      </c>
      <c r="Q469" s="3">
        <v>1</v>
      </c>
      <c r="R469" s="5">
        <f>INDEX([1]products!$A$1:$G$49,MATCH([1]orders!$D469,[1]products!$A$1:$A$49,0),MATCH([1]orders!K$1,[1]products!$A$1:$G$1,0))</f>
        <v>0.5</v>
      </c>
      <c r="S469" s="6">
        <f>INDEX([1]products!$A$1:$G$49,MATCH([1]orders!$D469,[1]products!$A$1:$A$49,0),MATCH([1]orders!L$1,[1]products!$A$1:$G$1,0))</f>
        <v>5.97</v>
      </c>
      <c r="T469" s="6">
        <f t="shared" si="42"/>
        <v>5.97</v>
      </c>
      <c r="U469" s="22">
        <f t="shared" si="46"/>
        <v>0.5373</v>
      </c>
      <c r="V469" s="22">
        <f t="shared" si="47"/>
        <v>9.0000000000000018</v>
      </c>
    </row>
    <row r="470" spans="1:22" x14ac:dyDescent="0.3">
      <c r="A470" s="1" t="s">
        <v>932</v>
      </c>
      <c r="B470" s="2">
        <v>44023</v>
      </c>
      <c r="C470" s="2" t="str">
        <f t="shared" si="43"/>
        <v>Saturday</v>
      </c>
      <c r="D470" s="2" t="str">
        <f t="shared" si="44"/>
        <v>July</v>
      </c>
      <c r="E470" s="2" t="str">
        <f t="shared" si="45"/>
        <v>2020</v>
      </c>
      <c r="F470" s="3" t="s">
        <v>933</v>
      </c>
      <c r="G470" s="3" t="str">
        <f>VLOOKUP(F471,'Customers (2)'!A:I,2,0)</f>
        <v>Ailey Brash</v>
      </c>
      <c r="H470" s="3" t="str">
        <f>VLOOKUP(F470,'Customers (2)'!A:I,3,0)</f>
        <v>jmccaulld0@parallels.com</v>
      </c>
      <c r="I470" s="3">
        <f>VLOOKUP(F470,'Customers (2)'!A:I,4,0)</f>
        <v>0</v>
      </c>
      <c r="J470" s="3" t="str">
        <f>VLOOKUP(F470,'Customers (2)'!A:I,6,0)</f>
        <v>San Rafael</v>
      </c>
      <c r="K470" s="3" t="str">
        <f>VLOOKUP(F470,'Customers (2)'!A:I,7,0)</f>
        <v>United States</v>
      </c>
      <c r="L470" s="3" t="str">
        <f>VLOOKUP(F470,'Customers (2)'!A:I,9,0)</f>
        <v>Yes</v>
      </c>
      <c r="M470" s="4" t="s">
        <v>9</v>
      </c>
      <c r="N470" s="4" t="str">
        <f>VLOOKUP(M470,'Products (2)'!A:G,2,0)</f>
        <v>Excelsa</v>
      </c>
      <c r="O470" s="4" t="str">
        <f>VLOOKUP(M470,'Products (2)'!A:G,3,0)</f>
        <v>Medium</v>
      </c>
      <c r="P470" s="4">
        <f>VLOOKUP(M470,'Products (2)'!A:G,7,0)</f>
        <v>1.5125</v>
      </c>
      <c r="Q470" s="3">
        <v>3</v>
      </c>
      <c r="R470" s="5">
        <f>INDEX([1]products!$A$1:$G$49,MATCH([1]orders!$D470,[1]products!$A$1:$A$49,0),MATCH([1]orders!K$1,[1]products!$A$1:$G$1,0))</f>
        <v>1</v>
      </c>
      <c r="S470" s="6">
        <f>INDEX([1]products!$A$1:$G$49,MATCH([1]orders!$D470,[1]products!$A$1:$A$49,0),MATCH([1]orders!L$1,[1]products!$A$1:$G$1,0))</f>
        <v>13.75</v>
      </c>
      <c r="T470" s="6">
        <f t="shared" si="42"/>
        <v>41.25</v>
      </c>
      <c r="U470" s="22">
        <f t="shared" si="46"/>
        <v>4.5374999999999996</v>
      </c>
      <c r="V470" s="22">
        <f t="shared" si="47"/>
        <v>10.999999999999998</v>
      </c>
    </row>
    <row r="471" spans="1:22" x14ac:dyDescent="0.3">
      <c r="A471" s="1" t="s">
        <v>934</v>
      </c>
      <c r="B471" s="2">
        <v>44375</v>
      </c>
      <c r="C471" s="2" t="str">
        <f t="shared" si="43"/>
        <v>Monday</v>
      </c>
      <c r="D471" s="2" t="str">
        <f t="shared" si="44"/>
        <v>June</v>
      </c>
      <c r="E471" s="2" t="str">
        <f t="shared" si="45"/>
        <v>2021</v>
      </c>
      <c r="F471" s="3" t="s">
        <v>935</v>
      </c>
      <c r="G471" s="3" t="str">
        <f>VLOOKUP(F472,'Customers (2)'!A:I,2,0)</f>
        <v>Alberto Hutchinson</v>
      </c>
      <c r="H471" s="3" t="str">
        <f>VLOOKUP(F471,'Customers (2)'!A:I,3,0)</f>
        <v>abrashda@plala.or.jp</v>
      </c>
      <c r="I471" s="3" t="str">
        <f>VLOOKUP(F471,'Customers (2)'!A:I,4,0)</f>
        <v>+1 (917) 544-7136</v>
      </c>
      <c r="J471" s="3" t="str">
        <f>VLOOKUP(F471,'Customers (2)'!A:I,6,0)</f>
        <v>Flushing</v>
      </c>
      <c r="K471" s="3" t="str">
        <f>VLOOKUP(F471,'Customers (2)'!A:I,7,0)</f>
        <v>United States</v>
      </c>
      <c r="L471" s="3" t="str">
        <f>VLOOKUP(F471,'Customers (2)'!A:I,9,0)</f>
        <v>Yes</v>
      </c>
      <c r="M471" s="4" t="s">
        <v>254</v>
      </c>
      <c r="N471" s="4" t="str">
        <f>VLOOKUP(M471,'Products (2)'!A:G,2,0)</f>
        <v>Excelsa</v>
      </c>
      <c r="O471" s="4" t="str">
        <f>VLOOKUP(M471,'Products (2)'!A:G,3,0)</f>
        <v>Light</v>
      </c>
      <c r="P471" s="4">
        <f>VLOOKUP(M471,'Products (2)'!A:G,7,0)</f>
        <v>0.49004999999999999</v>
      </c>
      <c r="Q471" s="3">
        <v>5</v>
      </c>
      <c r="R471" s="5">
        <f>INDEX([1]products!$A$1:$G$49,MATCH([1]orders!$D471,[1]products!$A$1:$A$49,0),MATCH([1]orders!K$1,[1]products!$A$1:$G$1,0))</f>
        <v>0.2</v>
      </c>
      <c r="S471" s="6">
        <f>INDEX([1]products!$A$1:$G$49,MATCH([1]orders!$D471,[1]products!$A$1:$A$49,0),MATCH([1]orders!L$1,[1]products!$A$1:$G$1,0))</f>
        <v>4.4550000000000001</v>
      </c>
      <c r="T471" s="6">
        <f t="shared" si="42"/>
        <v>22.274999999999999</v>
      </c>
      <c r="U471" s="22">
        <f t="shared" si="46"/>
        <v>2.45025</v>
      </c>
      <c r="V471" s="22">
        <f t="shared" si="47"/>
        <v>11.000000000000002</v>
      </c>
    </row>
    <row r="472" spans="1:22" x14ac:dyDescent="0.3">
      <c r="A472" s="1" t="s">
        <v>936</v>
      </c>
      <c r="B472" s="2">
        <v>44656</v>
      </c>
      <c r="C472" s="2" t="str">
        <f t="shared" si="43"/>
        <v>Tuesday</v>
      </c>
      <c r="D472" s="2" t="str">
        <f t="shared" si="44"/>
        <v>April</v>
      </c>
      <c r="E472" s="2" t="str">
        <f t="shared" si="45"/>
        <v>2022</v>
      </c>
      <c r="F472" s="3" t="s">
        <v>937</v>
      </c>
      <c r="G472" s="3" t="str">
        <f>VLOOKUP(F473,'Customers (2)'!A:I,2,0)</f>
        <v>Lamond Gheeraert</v>
      </c>
      <c r="H472" s="3" t="str">
        <f>VLOOKUP(F472,'Customers (2)'!A:I,3,0)</f>
        <v>ahutchinsond2@imgur.com</v>
      </c>
      <c r="I472" s="3" t="str">
        <f>VLOOKUP(F472,'Customers (2)'!A:I,4,0)</f>
        <v>+1 (404) 775-3251</v>
      </c>
      <c r="J472" s="3" t="str">
        <f>VLOOKUP(F472,'Customers (2)'!A:I,6,0)</f>
        <v>Lawrenceville</v>
      </c>
      <c r="K472" s="3" t="str">
        <f>VLOOKUP(F472,'Customers (2)'!A:I,7,0)</f>
        <v>United States</v>
      </c>
      <c r="L472" s="3" t="str">
        <f>VLOOKUP(F472,'Customers (2)'!A:I,9,0)</f>
        <v>Yes</v>
      </c>
      <c r="M472" s="4" t="s">
        <v>67</v>
      </c>
      <c r="N472" s="4" t="str">
        <f>VLOOKUP(M472,'Products (2)'!A:G,2,0)</f>
        <v>Arabica</v>
      </c>
      <c r="O472" s="4" t="str">
        <f>VLOOKUP(M472,'Products (2)'!A:G,3,0)</f>
        <v>Medium</v>
      </c>
      <c r="P472" s="4">
        <f>VLOOKUP(M472,'Products (2)'!A:G,7,0)</f>
        <v>0.60749999999999993</v>
      </c>
      <c r="Q472" s="3">
        <v>1</v>
      </c>
      <c r="R472" s="5">
        <f>INDEX([1]products!$A$1:$G$49,MATCH([1]orders!$D472,[1]products!$A$1:$A$49,0),MATCH([1]orders!K$1,[1]products!$A$1:$G$1,0))</f>
        <v>0.5</v>
      </c>
      <c r="S472" s="6">
        <f>INDEX([1]products!$A$1:$G$49,MATCH([1]orders!$D472,[1]products!$A$1:$A$49,0),MATCH([1]orders!L$1,[1]products!$A$1:$G$1,0))</f>
        <v>6.75</v>
      </c>
      <c r="T472" s="6">
        <f t="shared" si="42"/>
        <v>6.75</v>
      </c>
      <c r="U472" s="22">
        <f t="shared" si="46"/>
        <v>0.60749999999999993</v>
      </c>
      <c r="V472" s="22">
        <f t="shared" si="47"/>
        <v>8.9999999999999982</v>
      </c>
    </row>
    <row r="473" spans="1:22" x14ac:dyDescent="0.3">
      <c r="A473" s="1" t="s">
        <v>938</v>
      </c>
      <c r="B473" s="2">
        <v>44644</v>
      </c>
      <c r="C473" s="2" t="str">
        <f t="shared" si="43"/>
        <v>Thursday</v>
      </c>
      <c r="D473" s="2" t="str">
        <f t="shared" si="44"/>
        <v>March</v>
      </c>
      <c r="E473" s="2" t="str">
        <f t="shared" si="45"/>
        <v>2022</v>
      </c>
      <c r="F473" s="3" t="s">
        <v>939</v>
      </c>
      <c r="G473" s="3" t="str">
        <f>VLOOKUP(F474,'Customers (2)'!A:I,2,0)</f>
        <v>Roxine Drivers</v>
      </c>
      <c r="H473" s="3">
        <f>VLOOKUP(F473,'Customers (2)'!A:I,3,0)</f>
        <v>0</v>
      </c>
      <c r="I473" s="3" t="str">
        <f>VLOOKUP(F473,'Customers (2)'!A:I,4,0)</f>
        <v>+1 (785) 654-9564</v>
      </c>
      <c r="J473" s="3" t="str">
        <f>VLOOKUP(F473,'Customers (2)'!A:I,6,0)</f>
        <v>Topeka</v>
      </c>
      <c r="K473" s="3" t="str">
        <f>VLOOKUP(F473,'Customers (2)'!A:I,7,0)</f>
        <v>United States</v>
      </c>
      <c r="L473" s="3" t="str">
        <f>VLOOKUP(F473,'Customers (2)'!A:I,9,0)</f>
        <v>Yes</v>
      </c>
      <c r="M473" s="4" t="s">
        <v>197</v>
      </c>
      <c r="N473" s="4" t="str">
        <f>VLOOKUP(M473,'Products (2)'!A:G,2,0)</f>
        <v>Liberica</v>
      </c>
      <c r="O473" s="4" t="str">
        <f>VLOOKUP(M473,'Products (2)'!A:G,3,0)</f>
        <v>Medium</v>
      </c>
      <c r="P473" s="4">
        <f>VLOOKUP(M473,'Products (2)'!A:G,7,0)</f>
        <v>4.3504499999999995</v>
      </c>
      <c r="Q473" s="3">
        <v>4</v>
      </c>
      <c r="R473" s="5">
        <f>INDEX([1]products!$A$1:$G$49,MATCH([1]orders!$D473,[1]products!$A$1:$A$49,0),MATCH([1]orders!K$1,[1]products!$A$1:$G$1,0))</f>
        <v>2.5</v>
      </c>
      <c r="S473" s="6">
        <f>INDEX([1]products!$A$1:$G$49,MATCH([1]orders!$D473,[1]products!$A$1:$A$49,0),MATCH([1]orders!L$1,[1]products!$A$1:$G$1,0))</f>
        <v>33.464999999999996</v>
      </c>
      <c r="T473" s="6">
        <f t="shared" si="42"/>
        <v>133.85999999999999</v>
      </c>
      <c r="U473" s="22">
        <f t="shared" si="46"/>
        <v>17.401799999999998</v>
      </c>
      <c r="V473" s="22">
        <f t="shared" si="47"/>
        <v>13</v>
      </c>
    </row>
    <row r="474" spans="1:22" x14ac:dyDescent="0.3">
      <c r="A474" s="1" t="s">
        <v>940</v>
      </c>
      <c r="B474" s="2">
        <v>43869</v>
      </c>
      <c r="C474" s="2" t="str">
        <f t="shared" si="43"/>
        <v>Saturday</v>
      </c>
      <c r="D474" s="2" t="str">
        <f t="shared" si="44"/>
        <v>February</v>
      </c>
      <c r="E474" s="2" t="str">
        <f t="shared" si="45"/>
        <v>2020</v>
      </c>
      <c r="F474" s="3" t="s">
        <v>941</v>
      </c>
      <c r="G474" s="3" t="str">
        <f>VLOOKUP(F475,'Customers (2)'!A:I,2,0)</f>
        <v>Heloise Zeal</v>
      </c>
      <c r="H474" s="3" t="str">
        <f>VLOOKUP(F474,'Customers (2)'!A:I,3,0)</f>
        <v>rdriversd4@hexun.com</v>
      </c>
      <c r="I474" s="3" t="str">
        <f>VLOOKUP(F474,'Customers (2)'!A:I,4,0)</f>
        <v>+1 (913) 127-4257</v>
      </c>
      <c r="J474" s="3" t="str">
        <f>VLOOKUP(F474,'Customers (2)'!A:I,6,0)</f>
        <v>Shawnee Mission</v>
      </c>
      <c r="K474" s="3" t="str">
        <f>VLOOKUP(F474,'Customers (2)'!A:I,7,0)</f>
        <v>United States</v>
      </c>
      <c r="L474" s="3" t="str">
        <f>VLOOKUP(F474,'Customers (2)'!A:I,9,0)</f>
        <v>No</v>
      </c>
      <c r="M474" s="4" t="s">
        <v>54</v>
      </c>
      <c r="N474" s="4" t="str">
        <f>VLOOKUP(M474,'Products (2)'!A:G,2,0)</f>
        <v>Arabica</v>
      </c>
      <c r="O474" s="4" t="str">
        <f>VLOOKUP(M474,'Products (2)'!A:G,3,0)</f>
        <v>Dark</v>
      </c>
      <c r="P474" s="4">
        <f>VLOOKUP(M474,'Products (2)'!A:G,7,0)</f>
        <v>0.26865</v>
      </c>
      <c r="Q474" s="3">
        <v>2</v>
      </c>
      <c r="R474" s="5">
        <f>INDEX([1]products!$A$1:$G$49,MATCH([1]orders!$D474,[1]products!$A$1:$A$49,0),MATCH([1]orders!K$1,[1]products!$A$1:$G$1,0))</f>
        <v>0.2</v>
      </c>
      <c r="S474" s="6">
        <f>INDEX([1]products!$A$1:$G$49,MATCH([1]orders!$D474,[1]products!$A$1:$A$49,0),MATCH([1]orders!L$1,[1]products!$A$1:$G$1,0))</f>
        <v>2.9849999999999999</v>
      </c>
      <c r="T474" s="6">
        <f t="shared" si="42"/>
        <v>5.97</v>
      </c>
      <c r="U474" s="22">
        <f t="shared" si="46"/>
        <v>0.5373</v>
      </c>
      <c r="V474" s="22">
        <f t="shared" si="47"/>
        <v>9.0000000000000018</v>
      </c>
    </row>
    <row r="475" spans="1:22" x14ac:dyDescent="0.3">
      <c r="A475" s="1" t="s">
        <v>942</v>
      </c>
      <c r="B475" s="2">
        <v>44603</v>
      </c>
      <c r="C475" s="2" t="str">
        <f t="shared" si="43"/>
        <v>Friday</v>
      </c>
      <c r="D475" s="2" t="str">
        <f t="shared" si="44"/>
        <v>February</v>
      </c>
      <c r="E475" s="2" t="str">
        <f t="shared" si="45"/>
        <v>2022</v>
      </c>
      <c r="F475" s="3" t="s">
        <v>943</v>
      </c>
      <c r="G475" s="3" t="str">
        <f>VLOOKUP(F476,'Customers (2)'!A:I,2,0)</f>
        <v>Granger Smallcombe</v>
      </c>
      <c r="H475" s="3" t="str">
        <f>VLOOKUP(F475,'Customers (2)'!A:I,3,0)</f>
        <v>hzeald5@google.de</v>
      </c>
      <c r="I475" s="3" t="str">
        <f>VLOOKUP(F475,'Customers (2)'!A:I,4,0)</f>
        <v>+1 (206) 775-4468</v>
      </c>
      <c r="J475" s="3" t="str">
        <f>VLOOKUP(F475,'Customers (2)'!A:I,6,0)</f>
        <v>Seattle</v>
      </c>
      <c r="K475" s="3" t="str">
        <f>VLOOKUP(F475,'Customers (2)'!A:I,7,0)</f>
        <v>United States</v>
      </c>
      <c r="L475" s="3" t="str">
        <f>VLOOKUP(F475,'Customers (2)'!A:I,9,0)</f>
        <v>No</v>
      </c>
      <c r="M475" s="4" t="s">
        <v>6</v>
      </c>
      <c r="N475" s="4" t="str">
        <f>VLOOKUP(M475,'Products (2)'!A:G,2,0)</f>
        <v>Arabica</v>
      </c>
      <c r="O475" s="4" t="str">
        <f>VLOOKUP(M475,'Products (2)'!A:G,3,0)</f>
        <v>Light</v>
      </c>
      <c r="P475" s="4">
        <f>VLOOKUP(M475,'Products (2)'!A:G,7,0)</f>
        <v>1.1655</v>
      </c>
      <c r="Q475" s="3">
        <v>2</v>
      </c>
      <c r="R475" s="5">
        <f>INDEX([1]products!$A$1:$G$49,MATCH([1]orders!$D475,[1]products!$A$1:$A$49,0),MATCH([1]orders!K$1,[1]products!$A$1:$G$1,0))</f>
        <v>1</v>
      </c>
      <c r="S475" s="6">
        <f>INDEX([1]products!$A$1:$G$49,MATCH([1]orders!$D475,[1]products!$A$1:$A$49,0),MATCH([1]orders!L$1,[1]products!$A$1:$G$1,0))</f>
        <v>12.95</v>
      </c>
      <c r="T475" s="6">
        <f t="shared" si="42"/>
        <v>25.9</v>
      </c>
      <c r="U475" s="22">
        <f t="shared" si="46"/>
        <v>2.331</v>
      </c>
      <c r="V475" s="22">
        <f t="shared" si="47"/>
        <v>9</v>
      </c>
    </row>
    <row r="476" spans="1:22" x14ac:dyDescent="0.3">
      <c r="A476" s="1" t="s">
        <v>944</v>
      </c>
      <c r="B476" s="2">
        <v>44014</v>
      </c>
      <c r="C476" s="2" t="str">
        <f t="shared" si="43"/>
        <v>Thursday</v>
      </c>
      <c r="D476" s="2" t="str">
        <f t="shared" si="44"/>
        <v>July</v>
      </c>
      <c r="E476" s="2" t="str">
        <f t="shared" si="45"/>
        <v>2020</v>
      </c>
      <c r="F476" s="3" t="s">
        <v>945</v>
      </c>
      <c r="G476" s="3" t="str">
        <f>VLOOKUP(F477,'Customers (2)'!A:I,2,0)</f>
        <v>Daryn Dibley</v>
      </c>
      <c r="H476" s="3" t="str">
        <f>VLOOKUP(F476,'Customers (2)'!A:I,3,0)</f>
        <v>gsmallcombed6@ucla.edu</v>
      </c>
      <c r="I476" s="3" t="str">
        <f>VLOOKUP(F476,'Customers (2)'!A:I,4,0)</f>
        <v>+353 (374) 810-4528</v>
      </c>
      <c r="J476" s="3" t="str">
        <f>VLOOKUP(F476,'Customers (2)'!A:I,6,0)</f>
        <v>Kilkenny</v>
      </c>
      <c r="K476" s="3" t="str">
        <f>VLOOKUP(F476,'Customers (2)'!A:I,7,0)</f>
        <v>Ireland</v>
      </c>
      <c r="L476" s="3" t="str">
        <f>VLOOKUP(F476,'Customers (2)'!A:I,9,0)</f>
        <v>Yes</v>
      </c>
      <c r="M476" s="4" t="s">
        <v>112</v>
      </c>
      <c r="N476" s="4" t="str">
        <f>VLOOKUP(M476,'Products (2)'!A:G,2,0)</f>
        <v>Excelsa</v>
      </c>
      <c r="O476" s="4" t="str">
        <f>VLOOKUP(M476,'Products (2)'!A:G,3,0)</f>
        <v>Medium</v>
      </c>
      <c r="P476" s="4">
        <f>VLOOKUP(M476,'Products (2)'!A:G,7,0)</f>
        <v>3.4787499999999998</v>
      </c>
      <c r="Q476" s="3">
        <v>1</v>
      </c>
      <c r="R476" s="5">
        <f>INDEX([1]products!$A$1:$G$49,MATCH([1]orders!$D476,[1]products!$A$1:$A$49,0),MATCH([1]orders!K$1,[1]products!$A$1:$G$1,0))</f>
        <v>2.5</v>
      </c>
      <c r="S476" s="6">
        <f>INDEX([1]products!$A$1:$G$49,MATCH([1]orders!$D476,[1]products!$A$1:$A$49,0),MATCH([1]orders!L$1,[1]products!$A$1:$G$1,0))</f>
        <v>31.624999999999996</v>
      </c>
      <c r="T476" s="6">
        <f t="shared" si="42"/>
        <v>31.624999999999996</v>
      </c>
      <c r="U476" s="22">
        <f t="shared" si="46"/>
        <v>3.4787499999999998</v>
      </c>
      <c r="V476" s="22">
        <f t="shared" si="47"/>
        <v>11</v>
      </c>
    </row>
    <row r="477" spans="1:22" x14ac:dyDescent="0.3">
      <c r="A477" s="1" t="s">
        <v>946</v>
      </c>
      <c r="B477" s="2">
        <v>44767</v>
      </c>
      <c r="C477" s="2" t="str">
        <f t="shared" si="43"/>
        <v>Monday</v>
      </c>
      <c r="D477" s="2" t="str">
        <f t="shared" si="44"/>
        <v>July</v>
      </c>
      <c r="E477" s="2" t="str">
        <f t="shared" si="45"/>
        <v>2022</v>
      </c>
      <c r="F477" s="3" t="s">
        <v>947</v>
      </c>
      <c r="G477" s="3" t="str">
        <f>VLOOKUP(F478,'Customers (2)'!A:I,2,0)</f>
        <v>Gardy Dimitriou</v>
      </c>
      <c r="H477" s="3" t="str">
        <f>VLOOKUP(F477,'Customers (2)'!A:I,3,0)</f>
        <v>ddibleyd7@feedburner.com</v>
      </c>
      <c r="I477" s="3">
        <f>VLOOKUP(F477,'Customers (2)'!A:I,4,0)</f>
        <v>0</v>
      </c>
      <c r="J477" s="3" t="str">
        <f>VLOOKUP(F477,'Customers (2)'!A:I,6,0)</f>
        <v>Kissimmee</v>
      </c>
      <c r="K477" s="3" t="str">
        <f>VLOOKUP(F477,'Customers (2)'!A:I,7,0)</f>
        <v>United States</v>
      </c>
      <c r="L477" s="3" t="str">
        <f>VLOOKUP(F477,'Customers (2)'!A:I,9,0)</f>
        <v>No</v>
      </c>
      <c r="M477" s="4" t="s">
        <v>77</v>
      </c>
      <c r="N477" s="4" t="str">
        <f>VLOOKUP(M477,'Products (2)'!A:G,2,0)</f>
        <v>Liberica</v>
      </c>
      <c r="O477" s="4" t="str">
        <f>VLOOKUP(M477,'Products (2)'!A:G,3,0)</f>
        <v>Medium</v>
      </c>
      <c r="P477" s="4">
        <f>VLOOKUP(M477,'Products (2)'!A:G,7,0)</f>
        <v>0.56745000000000001</v>
      </c>
      <c r="Q477" s="3">
        <v>2</v>
      </c>
      <c r="R477" s="5">
        <f>INDEX([1]products!$A$1:$G$49,MATCH([1]orders!$D477,[1]products!$A$1:$A$49,0),MATCH([1]orders!K$1,[1]products!$A$1:$G$1,0))</f>
        <v>0.2</v>
      </c>
      <c r="S477" s="6">
        <f>INDEX([1]products!$A$1:$G$49,MATCH([1]orders!$D477,[1]products!$A$1:$A$49,0),MATCH([1]orders!L$1,[1]products!$A$1:$G$1,0))</f>
        <v>4.3650000000000002</v>
      </c>
      <c r="T477" s="6">
        <f t="shared" si="42"/>
        <v>8.73</v>
      </c>
      <c r="U477" s="22">
        <f t="shared" si="46"/>
        <v>1.1349</v>
      </c>
      <c r="V477" s="22">
        <f t="shared" si="47"/>
        <v>13</v>
      </c>
    </row>
    <row r="478" spans="1:22" x14ac:dyDescent="0.3">
      <c r="A478" s="1" t="s">
        <v>948</v>
      </c>
      <c r="B478" s="2">
        <v>44274</v>
      </c>
      <c r="C478" s="2" t="str">
        <f t="shared" si="43"/>
        <v>Friday</v>
      </c>
      <c r="D478" s="2" t="str">
        <f t="shared" si="44"/>
        <v>March</v>
      </c>
      <c r="E478" s="2" t="str">
        <f t="shared" si="45"/>
        <v>2021</v>
      </c>
      <c r="F478" s="3" t="s">
        <v>949</v>
      </c>
      <c r="G478" s="3" t="str">
        <f>VLOOKUP(F479,'Customers (2)'!A:I,2,0)</f>
        <v>Fanny Flanagan</v>
      </c>
      <c r="H478" s="3" t="str">
        <f>VLOOKUP(F478,'Customers (2)'!A:I,3,0)</f>
        <v>gdimitrioud8@chronoengine.com</v>
      </c>
      <c r="I478" s="3" t="str">
        <f>VLOOKUP(F478,'Customers (2)'!A:I,4,0)</f>
        <v>+1 (585) 303-7337</v>
      </c>
      <c r="J478" s="3" t="str">
        <f>VLOOKUP(F478,'Customers (2)'!A:I,6,0)</f>
        <v>Rochester</v>
      </c>
      <c r="K478" s="3" t="str">
        <f>VLOOKUP(F478,'Customers (2)'!A:I,7,0)</f>
        <v>United States</v>
      </c>
      <c r="L478" s="3" t="str">
        <f>VLOOKUP(F478,'Customers (2)'!A:I,9,0)</f>
        <v>Yes</v>
      </c>
      <c r="M478" s="4" t="s">
        <v>254</v>
      </c>
      <c r="N478" s="4" t="str">
        <f>VLOOKUP(M478,'Products (2)'!A:G,2,0)</f>
        <v>Excelsa</v>
      </c>
      <c r="O478" s="4" t="str">
        <f>VLOOKUP(M478,'Products (2)'!A:G,3,0)</f>
        <v>Light</v>
      </c>
      <c r="P478" s="4">
        <f>VLOOKUP(M478,'Products (2)'!A:G,7,0)</f>
        <v>0.49004999999999999</v>
      </c>
      <c r="Q478" s="3">
        <v>6</v>
      </c>
      <c r="R478" s="5">
        <f>INDEX([1]products!$A$1:$G$49,MATCH([1]orders!$D478,[1]products!$A$1:$A$49,0),MATCH([1]orders!K$1,[1]products!$A$1:$G$1,0))</f>
        <v>0.2</v>
      </c>
      <c r="S478" s="6">
        <f>INDEX([1]products!$A$1:$G$49,MATCH([1]orders!$D478,[1]products!$A$1:$A$49,0),MATCH([1]orders!L$1,[1]products!$A$1:$G$1,0))</f>
        <v>4.4550000000000001</v>
      </c>
      <c r="T478" s="6">
        <f t="shared" si="42"/>
        <v>26.73</v>
      </c>
      <c r="U478" s="22">
        <f t="shared" si="46"/>
        <v>2.9402999999999997</v>
      </c>
      <c r="V478" s="22">
        <f t="shared" si="47"/>
        <v>10.999999999999998</v>
      </c>
    </row>
    <row r="479" spans="1:22" x14ac:dyDescent="0.3">
      <c r="A479" s="1" t="s">
        <v>950</v>
      </c>
      <c r="B479" s="2">
        <v>43962</v>
      </c>
      <c r="C479" s="2" t="str">
        <f t="shared" si="43"/>
        <v>Monday</v>
      </c>
      <c r="D479" s="2" t="str">
        <f t="shared" si="44"/>
        <v>May</v>
      </c>
      <c r="E479" s="2" t="str">
        <f t="shared" si="45"/>
        <v>2020</v>
      </c>
      <c r="F479" s="3" t="s">
        <v>951</v>
      </c>
      <c r="G479" s="3" t="str">
        <f>VLOOKUP(F480,'Customers (2)'!A:I,2,0)</f>
        <v>Ailey Brash</v>
      </c>
      <c r="H479" s="3" t="str">
        <f>VLOOKUP(F479,'Customers (2)'!A:I,3,0)</f>
        <v>fflanagand9@woothemes.com</v>
      </c>
      <c r="I479" s="3" t="str">
        <f>VLOOKUP(F479,'Customers (2)'!A:I,4,0)</f>
        <v>+1 (903) 455-7155</v>
      </c>
      <c r="J479" s="3" t="str">
        <f>VLOOKUP(F479,'Customers (2)'!A:I,6,0)</f>
        <v>Tyler</v>
      </c>
      <c r="K479" s="3" t="str">
        <f>VLOOKUP(F479,'Customers (2)'!A:I,7,0)</f>
        <v>United States</v>
      </c>
      <c r="L479" s="3" t="str">
        <f>VLOOKUP(F479,'Customers (2)'!A:I,9,0)</f>
        <v>No</v>
      </c>
      <c r="M479" s="4" t="s">
        <v>77</v>
      </c>
      <c r="N479" s="4" t="str">
        <f>VLOOKUP(M479,'Products (2)'!A:G,2,0)</f>
        <v>Liberica</v>
      </c>
      <c r="O479" s="4" t="str">
        <f>VLOOKUP(M479,'Products (2)'!A:G,3,0)</f>
        <v>Medium</v>
      </c>
      <c r="P479" s="4">
        <f>VLOOKUP(M479,'Products (2)'!A:G,7,0)</f>
        <v>0.56745000000000001</v>
      </c>
      <c r="Q479" s="3">
        <v>6</v>
      </c>
      <c r="R479" s="5">
        <f>INDEX([1]products!$A$1:$G$49,MATCH([1]orders!$D479,[1]products!$A$1:$A$49,0),MATCH([1]orders!K$1,[1]products!$A$1:$G$1,0))</f>
        <v>0.2</v>
      </c>
      <c r="S479" s="6">
        <f>INDEX([1]products!$A$1:$G$49,MATCH([1]orders!$D479,[1]products!$A$1:$A$49,0),MATCH([1]orders!L$1,[1]products!$A$1:$G$1,0))</f>
        <v>4.3650000000000002</v>
      </c>
      <c r="T479" s="6">
        <f t="shared" si="42"/>
        <v>26.19</v>
      </c>
      <c r="U479" s="22">
        <f t="shared" si="46"/>
        <v>3.4047000000000001</v>
      </c>
      <c r="V479" s="22">
        <f t="shared" si="47"/>
        <v>13</v>
      </c>
    </row>
    <row r="480" spans="1:22" x14ac:dyDescent="0.3">
      <c r="A480" s="1" t="s">
        <v>952</v>
      </c>
      <c r="B480" s="2">
        <v>43624</v>
      </c>
      <c r="C480" s="2" t="str">
        <f t="shared" si="43"/>
        <v>Saturday</v>
      </c>
      <c r="D480" s="2" t="str">
        <f t="shared" si="44"/>
        <v>June</v>
      </c>
      <c r="E480" s="2" t="str">
        <f t="shared" si="45"/>
        <v>2019</v>
      </c>
      <c r="F480" s="3" t="s">
        <v>935</v>
      </c>
      <c r="G480" s="3" t="str">
        <f>VLOOKUP(F481,'Customers (2)'!A:I,2,0)</f>
        <v>Ailey Brash</v>
      </c>
      <c r="H480" s="3" t="str">
        <f>VLOOKUP(F480,'Customers (2)'!A:I,3,0)</f>
        <v>abrashda@plala.or.jp</v>
      </c>
      <c r="I480" s="3" t="str">
        <f>VLOOKUP(F480,'Customers (2)'!A:I,4,0)</f>
        <v>+1 (917) 544-7136</v>
      </c>
      <c r="J480" s="3" t="str">
        <f>VLOOKUP(F480,'Customers (2)'!A:I,6,0)</f>
        <v>Flushing</v>
      </c>
      <c r="K480" s="3" t="str">
        <f>VLOOKUP(F480,'Customers (2)'!A:I,7,0)</f>
        <v>United States</v>
      </c>
      <c r="L480" s="3" t="str">
        <f>VLOOKUP(F480,'Customers (2)'!A:I,9,0)</f>
        <v>Yes</v>
      </c>
      <c r="M480" s="4" t="s">
        <v>179</v>
      </c>
      <c r="N480" s="4" t="str">
        <f>VLOOKUP(M480,'Products (2)'!A:G,2,0)</f>
        <v>Robusta</v>
      </c>
      <c r="O480" s="4" t="str">
        <f>VLOOKUP(M480,'Products (2)'!A:G,3,0)</f>
        <v>Dark</v>
      </c>
      <c r="P480" s="4">
        <f>VLOOKUP(M480,'Products (2)'!A:G,7,0)</f>
        <v>0.53699999999999992</v>
      </c>
      <c r="Q480" s="3">
        <v>6</v>
      </c>
      <c r="R480" s="5">
        <f>INDEX([1]products!$A$1:$G$49,MATCH([1]orders!$D480,[1]products!$A$1:$A$49,0),MATCH([1]orders!K$1,[1]products!$A$1:$G$1,0))</f>
        <v>1</v>
      </c>
      <c r="S480" s="6">
        <f>INDEX([1]products!$A$1:$G$49,MATCH([1]orders!$D480,[1]products!$A$1:$A$49,0),MATCH([1]orders!L$1,[1]products!$A$1:$G$1,0))</f>
        <v>8.9499999999999993</v>
      </c>
      <c r="T480" s="6">
        <f t="shared" si="42"/>
        <v>53.699999999999996</v>
      </c>
      <c r="U480" s="22">
        <f t="shared" si="46"/>
        <v>3.2219999999999995</v>
      </c>
      <c r="V480" s="22">
        <f t="shared" si="47"/>
        <v>6</v>
      </c>
    </row>
    <row r="481" spans="1:22" x14ac:dyDescent="0.3">
      <c r="A481" s="1" t="s">
        <v>952</v>
      </c>
      <c r="B481" s="2">
        <v>43624</v>
      </c>
      <c r="C481" s="2" t="str">
        <f t="shared" si="43"/>
        <v>Saturday</v>
      </c>
      <c r="D481" s="2" t="str">
        <f t="shared" si="44"/>
        <v>June</v>
      </c>
      <c r="E481" s="2" t="str">
        <f t="shared" si="45"/>
        <v>2019</v>
      </c>
      <c r="F481" s="3" t="s">
        <v>935</v>
      </c>
      <c r="G481" s="3" t="str">
        <f>VLOOKUP(F482,'Customers (2)'!A:I,2,0)</f>
        <v>Ailey Brash</v>
      </c>
      <c r="H481" s="3" t="str">
        <f>VLOOKUP(F481,'Customers (2)'!A:I,3,0)</f>
        <v>abrashda@plala.or.jp</v>
      </c>
      <c r="I481" s="3" t="str">
        <f>VLOOKUP(F481,'Customers (2)'!A:I,4,0)</f>
        <v>+1 (917) 544-7136</v>
      </c>
      <c r="J481" s="3" t="str">
        <f>VLOOKUP(F481,'Customers (2)'!A:I,6,0)</f>
        <v>Flushing</v>
      </c>
      <c r="K481" s="3" t="str">
        <f>VLOOKUP(F481,'Customers (2)'!A:I,7,0)</f>
        <v>United States</v>
      </c>
      <c r="L481" s="3" t="str">
        <f>VLOOKUP(F481,'Customers (2)'!A:I,9,0)</f>
        <v>Yes</v>
      </c>
      <c r="M481" s="4" t="s">
        <v>112</v>
      </c>
      <c r="N481" s="4" t="str">
        <f>VLOOKUP(M481,'Products (2)'!A:G,2,0)</f>
        <v>Excelsa</v>
      </c>
      <c r="O481" s="4" t="str">
        <f>VLOOKUP(M481,'Products (2)'!A:G,3,0)</f>
        <v>Medium</v>
      </c>
      <c r="P481" s="4">
        <f>VLOOKUP(M481,'Products (2)'!A:G,7,0)</f>
        <v>3.4787499999999998</v>
      </c>
      <c r="Q481" s="3">
        <v>4</v>
      </c>
      <c r="R481" s="5">
        <f>INDEX([1]products!$A$1:$G$49,MATCH([1]orders!$D481,[1]products!$A$1:$A$49,0),MATCH([1]orders!K$1,[1]products!$A$1:$G$1,0))</f>
        <v>2.5</v>
      </c>
      <c r="S481" s="6">
        <f>INDEX([1]products!$A$1:$G$49,MATCH([1]orders!$D481,[1]products!$A$1:$A$49,0),MATCH([1]orders!L$1,[1]products!$A$1:$G$1,0))</f>
        <v>31.624999999999996</v>
      </c>
      <c r="T481" s="6">
        <f t="shared" si="42"/>
        <v>126.49999999999999</v>
      </c>
      <c r="U481" s="22">
        <f t="shared" si="46"/>
        <v>13.914999999999999</v>
      </c>
      <c r="V481" s="22">
        <f t="shared" si="47"/>
        <v>11</v>
      </c>
    </row>
    <row r="482" spans="1:22" x14ac:dyDescent="0.3">
      <c r="A482" s="1" t="s">
        <v>952</v>
      </c>
      <c r="B482" s="2">
        <v>43624</v>
      </c>
      <c r="C482" s="2" t="str">
        <f t="shared" si="43"/>
        <v>Saturday</v>
      </c>
      <c r="D482" s="2" t="str">
        <f t="shared" si="44"/>
        <v>June</v>
      </c>
      <c r="E482" s="2" t="str">
        <f t="shared" si="45"/>
        <v>2019</v>
      </c>
      <c r="F482" s="3" t="s">
        <v>935</v>
      </c>
      <c r="G482" s="3" t="str">
        <f>VLOOKUP(F483,'Customers (2)'!A:I,2,0)</f>
        <v>Nanny Izhakov</v>
      </c>
      <c r="H482" s="3" t="str">
        <f>VLOOKUP(F482,'Customers (2)'!A:I,3,0)</f>
        <v>abrashda@plala.or.jp</v>
      </c>
      <c r="I482" s="3" t="str">
        <f>VLOOKUP(F482,'Customers (2)'!A:I,4,0)</f>
        <v>+1 (917) 544-7136</v>
      </c>
      <c r="J482" s="3" t="str">
        <f>VLOOKUP(F482,'Customers (2)'!A:I,6,0)</f>
        <v>Flushing</v>
      </c>
      <c r="K482" s="3" t="str">
        <f>VLOOKUP(F482,'Customers (2)'!A:I,7,0)</f>
        <v>United States</v>
      </c>
      <c r="L482" s="3" t="str">
        <f>VLOOKUP(F482,'Customers (2)'!A:I,9,0)</f>
        <v>Yes</v>
      </c>
      <c r="M482" s="4" t="s">
        <v>64</v>
      </c>
      <c r="N482" s="4" t="str">
        <f>VLOOKUP(M482,'Products (2)'!A:G,2,0)</f>
        <v>Excelsa</v>
      </c>
      <c r="O482" s="4" t="str">
        <f>VLOOKUP(M482,'Products (2)'!A:G,3,0)</f>
        <v>Medium</v>
      </c>
      <c r="P482" s="4">
        <f>VLOOKUP(M482,'Products (2)'!A:G,7,0)</f>
        <v>0.45374999999999999</v>
      </c>
      <c r="Q482" s="3">
        <v>1</v>
      </c>
      <c r="R482" s="5">
        <f>INDEX([1]products!$A$1:$G$49,MATCH([1]orders!$D482,[1]products!$A$1:$A$49,0),MATCH([1]orders!K$1,[1]products!$A$1:$G$1,0))</f>
        <v>0.2</v>
      </c>
      <c r="S482" s="6">
        <f>INDEX([1]products!$A$1:$G$49,MATCH([1]orders!$D482,[1]products!$A$1:$A$49,0),MATCH([1]orders!L$1,[1]products!$A$1:$G$1,0))</f>
        <v>4.125</v>
      </c>
      <c r="T482" s="6">
        <f t="shared" si="42"/>
        <v>4.125</v>
      </c>
      <c r="U482" s="22">
        <f t="shared" si="46"/>
        <v>0.45374999999999999</v>
      </c>
      <c r="V482" s="22">
        <f t="shared" si="47"/>
        <v>11</v>
      </c>
    </row>
    <row r="483" spans="1:22" x14ac:dyDescent="0.3">
      <c r="A483" s="1" t="s">
        <v>953</v>
      </c>
      <c r="B483" s="2">
        <v>43747</v>
      </c>
      <c r="C483" s="2" t="str">
        <f t="shared" si="43"/>
        <v>Wednesday</v>
      </c>
      <c r="D483" s="2" t="str">
        <f t="shared" si="44"/>
        <v>October</v>
      </c>
      <c r="E483" s="2" t="str">
        <f t="shared" si="45"/>
        <v>2019</v>
      </c>
      <c r="F483" s="3" t="s">
        <v>954</v>
      </c>
      <c r="G483" s="3" t="str">
        <f>VLOOKUP(F484,'Customers (2)'!A:I,2,0)</f>
        <v>Stanly Keets</v>
      </c>
      <c r="H483" s="3" t="str">
        <f>VLOOKUP(F483,'Customers (2)'!A:I,3,0)</f>
        <v>nizhakovdd@aol.com</v>
      </c>
      <c r="I483" s="3" t="str">
        <f>VLOOKUP(F483,'Customers (2)'!A:I,4,0)</f>
        <v>+44 (570) 683-9517</v>
      </c>
      <c r="J483" s="3" t="str">
        <f>VLOOKUP(F483,'Customers (2)'!A:I,6,0)</f>
        <v>Seaton</v>
      </c>
      <c r="K483" s="3" t="str">
        <f>VLOOKUP(F483,'Customers (2)'!A:I,7,0)</f>
        <v>United Kingdom</v>
      </c>
      <c r="L483" s="3" t="str">
        <f>VLOOKUP(F483,'Customers (2)'!A:I,9,0)</f>
        <v>No</v>
      </c>
      <c r="M483" s="4" t="s">
        <v>189</v>
      </c>
      <c r="N483" s="4" t="str">
        <f>VLOOKUP(M483,'Products (2)'!A:G,2,0)</f>
        <v>Robusta</v>
      </c>
      <c r="O483" s="4" t="str">
        <f>VLOOKUP(M483,'Products (2)'!A:G,3,0)</f>
        <v>Light</v>
      </c>
      <c r="P483" s="4">
        <f>VLOOKUP(M483,'Products (2)'!A:G,7,0)</f>
        <v>0.71699999999999997</v>
      </c>
      <c r="Q483" s="3">
        <v>2</v>
      </c>
      <c r="R483" s="5">
        <f>INDEX([1]products!$A$1:$G$49,MATCH([1]orders!$D483,[1]products!$A$1:$A$49,0),MATCH([1]orders!K$1,[1]products!$A$1:$G$1,0))</f>
        <v>1</v>
      </c>
      <c r="S483" s="6">
        <f>INDEX([1]products!$A$1:$G$49,MATCH([1]orders!$D483,[1]products!$A$1:$A$49,0),MATCH([1]orders!L$1,[1]products!$A$1:$G$1,0))</f>
        <v>11.95</v>
      </c>
      <c r="T483" s="6">
        <f t="shared" si="42"/>
        <v>23.9</v>
      </c>
      <c r="U483" s="22">
        <f t="shared" si="46"/>
        <v>1.4339999999999999</v>
      </c>
      <c r="V483" s="22">
        <f t="shared" si="47"/>
        <v>6</v>
      </c>
    </row>
    <row r="484" spans="1:22" x14ac:dyDescent="0.3">
      <c r="A484" s="1" t="s">
        <v>955</v>
      </c>
      <c r="B484" s="2">
        <v>44247</v>
      </c>
      <c r="C484" s="2" t="str">
        <f t="shared" si="43"/>
        <v>Saturday</v>
      </c>
      <c r="D484" s="2" t="str">
        <f t="shared" si="44"/>
        <v>February</v>
      </c>
      <c r="E484" s="2" t="str">
        <f t="shared" si="45"/>
        <v>2021</v>
      </c>
      <c r="F484" s="3" t="s">
        <v>956</v>
      </c>
      <c r="G484" s="3" t="str">
        <f>VLOOKUP(F485,'Customers (2)'!A:I,2,0)</f>
        <v>Orion Dyott</v>
      </c>
      <c r="H484" s="3" t="str">
        <f>VLOOKUP(F484,'Customers (2)'!A:I,3,0)</f>
        <v>skeetsde@answers.com</v>
      </c>
      <c r="I484" s="3" t="str">
        <f>VLOOKUP(F484,'Customers (2)'!A:I,4,0)</f>
        <v>+1 (703) 230-2979</v>
      </c>
      <c r="J484" s="3" t="str">
        <f>VLOOKUP(F484,'Customers (2)'!A:I,6,0)</f>
        <v>Alexandria</v>
      </c>
      <c r="K484" s="3" t="str">
        <f>VLOOKUP(F484,'Customers (2)'!A:I,7,0)</f>
        <v>United States</v>
      </c>
      <c r="L484" s="3" t="str">
        <f>VLOOKUP(F484,'Customers (2)'!A:I,9,0)</f>
        <v>Yes</v>
      </c>
      <c r="M484" s="4" t="s">
        <v>530</v>
      </c>
      <c r="N484" s="4" t="str">
        <f>VLOOKUP(M484,'Products (2)'!A:G,2,0)</f>
        <v>Excelsa</v>
      </c>
      <c r="O484" s="4" t="str">
        <f>VLOOKUP(M484,'Products (2)'!A:G,3,0)</f>
        <v>Dark</v>
      </c>
      <c r="P484" s="4">
        <f>VLOOKUP(M484,'Products (2)'!A:G,7,0)</f>
        <v>3.07395</v>
      </c>
      <c r="Q484" s="3">
        <v>5</v>
      </c>
      <c r="R484" s="5">
        <f>INDEX([1]products!$A$1:$G$49,MATCH([1]orders!$D484,[1]products!$A$1:$A$49,0),MATCH([1]orders!K$1,[1]products!$A$1:$G$1,0))</f>
        <v>2.5</v>
      </c>
      <c r="S484" s="6">
        <f>INDEX([1]products!$A$1:$G$49,MATCH([1]orders!$D484,[1]products!$A$1:$A$49,0),MATCH([1]orders!L$1,[1]products!$A$1:$G$1,0))</f>
        <v>27.945</v>
      </c>
      <c r="T484" s="6">
        <f t="shared" si="42"/>
        <v>139.72499999999999</v>
      </c>
      <c r="U484" s="22">
        <f t="shared" si="46"/>
        <v>15.36975</v>
      </c>
      <c r="V484" s="22">
        <f t="shared" si="47"/>
        <v>11</v>
      </c>
    </row>
    <row r="485" spans="1:22" x14ac:dyDescent="0.3">
      <c r="A485" s="1" t="s">
        <v>957</v>
      </c>
      <c r="B485" s="2">
        <v>43790</v>
      </c>
      <c r="C485" s="2" t="str">
        <f t="shared" si="43"/>
        <v>Thursday</v>
      </c>
      <c r="D485" s="2" t="str">
        <f t="shared" si="44"/>
        <v>November</v>
      </c>
      <c r="E485" s="2" t="str">
        <f t="shared" si="45"/>
        <v>2019</v>
      </c>
      <c r="F485" s="3" t="s">
        <v>958</v>
      </c>
      <c r="G485" s="3" t="str">
        <f>VLOOKUP(F486,'Customers (2)'!A:I,2,0)</f>
        <v>Keefer Cake</v>
      </c>
      <c r="H485" s="3">
        <f>VLOOKUP(F485,'Customers (2)'!A:I,3,0)</f>
        <v>0</v>
      </c>
      <c r="I485" s="3" t="str">
        <f>VLOOKUP(F485,'Customers (2)'!A:I,4,0)</f>
        <v>+1 (801) 322-2923</v>
      </c>
      <c r="J485" s="3" t="str">
        <f>VLOOKUP(F485,'Customers (2)'!A:I,6,0)</f>
        <v>Salt Lake City</v>
      </c>
      <c r="K485" s="3" t="str">
        <f>VLOOKUP(F485,'Customers (2)'!A:I,7,0)</f>
        <v>United States</v>
      </c>
      <c r="L485" s="3" t="str">
        <f>VLOOKUP(F485,'Customers (2)'!A:I,9,0)</f>
        <v>Yes</v>
      </c>
      <c r="M485" s="4" t="s">
        <v>109</v>
      </c>
      <c r="N485" s="4" t="str">
        <f>VLOOKUP(M485,'Products (2)'!A:G,2,0)</f>
        <v>Liberica</v>
      </c>
      <c r="O485" s="4" t="str">
        <f>VLOOKUP(M485,'Products (2)'!A:G,3,0)</f>
        <v>Dark</v>
      </c>
      <c r="P485" s="4">
        <f>VLOOKUP(M485,'Products (2)'!A:G,7,0)</f>
        <v>3.8720499999999998</v>
      </c>
      <c r="Q485" s="3">
        <v>2</v>
      </c>
      <c r="R485" s="5">
        <f>INDEX([1]products!$A$1:$G$49,MATCH([1]orders!$D485,[1]products!$A$1:$A$49,0),MATCH([1]orders!K$1,[1]products!$A$1:$G$1,0))</f>
        <v>2.5</v>
      </c>
      <c r="S485" s="6">
        <f>INDEX([1]products!$A$1:$G$49,MATCH([1]orders!$D485,[1]products!$A$1:$A$49,0),MATCH([1]orders!L$1,[1]products!$A$1:$G$1,0))</f>
        <v>29.784999999999997</v>
      </c>
      <c r="T485" s="6">
        <f t="shared" si="42"/>
        <v>59.569999999999993</v>
      </c>
      <c r="U485" s="22">
        <f t="shared" si="46"/>
        <v>7.7440999999999995</v>
      </c>
      <c r="V485" s="22">
        <f t="shared" si="47"/>
        <v>13</v>
      </c>
    </row>
    <row r="486" spans="1:22" x14ac:dyDescent="0.3">
      <c r="A486" s="1" t="s">
        <v>959</v>
      </c>
      <c r="B486" s="2">
        <v>44479</v>
      </c>
      <c r="C486" s="2" t="str">
        <f t="shared" si="43"/>
        <v>Sunday</v>
      </c>
      <c r="D486" s="2" t="str">
        <f t="shared" si="44"/>
        <v>October</v>
      </c>
      <c r="E486" s="2" t="str">
        <f t="shared" si="45"/>
        <v>2021</v>
      </c>
      <c r="F486" s="3" t="s">
        <v>960</v>
      </c>
      <c r="G486" s="3" t="str">
        <f>VLOOKUP(F487,'Customers (2)'!A:I,2,0)</f>
        <v>Morna Hansed</v>
      </c>
      <c r="H486" s="3" t="str">
        <f>VLOOKUP(F486,'Customers (2)'!A:I,3,0)</f>
        <v>kcakedg@huffingtonpost.com</v>
      </c>
      <c r="I486" s="3">
        <f>VLOOKUP(F486,'Customers (2)'!A:I,4,0)</f>
        <v>0</v>
      </c>
      <c r="J486" s="3" t="str">
        <f>VLOOKUP(F486,'Customers (2)'!A:I,6,0)</f>
        <v>San Jose</v>
      </c>
      <c r="K486" s="3" t="str">
        <f>VLOOKUP(F486,'Customers (2)'!A:I,7,0)</f>
        <v>United States</v>
      </c>
      <c r="L486" s="3" t="str">
        <f>VLOOKUP(F486,'Customers (2)'!A:I,9,0)</f>
        <v>No</v>
      </c>
      <c r="M486" s="4" t="s">
        <v>83</v>
      </c>
      <c r="N486" s="4" t="str">
        <f>VLOOKUP(M486,'Products (2)'!A:G,2,0)</f>
        <v>Liberica</v>
      </c>
      <c r="O486" s="4" t="str">
        <f>VLOOKUP(M486,'Products (2)'!A:G,3,0)</f>
        <v>Light</v>
      </c>
      <c r="P486" s="4">
        <f>VLOOKUP(M486,'Products (2)'!A:G,7,0)</f>
        <v>1.2363</v>
      </c>
      <c r="Q486" s="3">
        <v>6</v>
      </c>
      <c r="R486" s="5">
        <f>INDEX([1]products!$A$1:$G$49,MATCH([1]orders!$D486,[1]products!$A$1:$A$49,0),MATCH([1]orders!K$1,[1]products!$A$1:$G$1,0))</f>
        <v>0.5</v>
      </c>
      <c r="S486" s="6">
        <f>INDEX([1]products!$A$1:$G$49,MATCH([1]orders!$D486,[1]products!$A$1:$A$49,0),MATCH([1]orders!L$1,[1]products!$A$1:$G$1,0))</f>
        <v>9.51</v>
      </c>
      <c r="T486" s="6">
        <f t="shared" si="42"/>
        <v>57.06</v>
      </c>
      <c r="U486" s="22">
        <f t="shared" si="46"/>
        <v>7.4177999999999997</v>
      </c>
      <c r="V486" s="22">
        <f t="shared" si="47"/>
        <v>12.999999999999998</v>
      </c>
    </row>
    <row r="487" spans="1:22" x14ac:dyDescent="0.3">
      <c r="A487" s="1" t="s">
        <v>961</v>
      </c>
      <c r="B487" s="2">
        <v>44413</v>
      </c>
      <c r="C487" s="2" t="str">
        <f t="shared" si="43"/>
        <v>Thursday</v>
      </c>
      <c r="D487" s="2" t="str">
        <f t="shared" si="44"/>
        <v>August</v>
      </c>
      <c r="E487" s="2" t="str">
        <f t="shared" si="45"/>
        <v>2021</v>
      </c>
      <c r="F487" s="3" t="s">
        <v>962</v>
      </c>
      <c r="G487" s="3" t="str">
        <f>VLOOKUP(F488,'Customers (2)'!A:I,2,0)</f>
        <v>Franny Kienlein</v>
      </c>
      <c r="H487" s="3" t="str">
        <f>VLOOKUP(F487,'Customers (2)'!A:I,3,0)</f>
        <v>mhanseddh@instagram.com</v>
      </c>
      <c r="I487" s="3" t="str">
        <f>VLOOKUP(F487,'Customers (2)'!A:I,4,0)</f>
        <v>+353 (997) 520-7802</v>
      </c>
      <c r="J487" s="3" t="str">
        <f>VLOOKUP(F487,'Customers (2)'!A:I,6,0)</f>
        <v>Tr谩 Mh贸r</v>
      </c>
      <c r="K487" s="3" t="str">
        <f>VLOOKUP(F487,'Customers (2)'!A:I,7,0)</f>
        <v>Ireland</v>
      </c>
      <c r="L487" s="3" t="str">
        <f>VLOOKUP(F487,'Customers (2)'!A:I,9,0)</f>
        <v>Yes</v>
      </c>
      <c r="M487" s="4" t="s">
        <v>182</v>
      </c>
      <c r="N487" s="4" t="str">
        <f>VLOOKUP(M487,'Products (2)'!A:G,2,0)</f>
        <v>Robusta</v>
      </c>
      <c r="O487" s="4" t="str">
        <f>VLOOKUP(M487,'Products (2)'!A:G,3,0)</f>
        <v>Light</v>
      </c>
      <c r="P487" s="4">
        <f>VLOOKUP(M487,'Products (2)'!A:G,7,0)</f>
        <v>0.21509999999999996</v>
      </c>
      <c r="Q487" s="3">
        <v>6</v>
      </c>
      <c r="R487" s="5">
        <f>INDEX([1]products!$A$1:$G$49,MATCH([1]orders!$D487,[1]products!$A$1:$A$49,0),MATCH([1]orders!K$1,[1]products!$A$1:$G$1,0))</f>
        <v>0.2</v>
      </c>
      <c r="S487" s="6">
        <f>INDEX([1]products!$A$1:$G$49,MATCH([1]orders!$D487,[1]products!$A$1:$A$49,0),MATCH([1]orders!L$1,[1]products!$A$1:$G$1,0))</f>
        <v>3.5849999999999995</v>
      </c>
      <c r="T487" s="6">
        <f t="shared" si="42"/>
        <v>21.509999999999998</v>
      </c>
      <c r="U487" s="22">
        <f t="shared" si="46"/>
        <v>1.2905999999999997</v>
      </c>
      <c r="V487" s="22">
        <f t="shared" si="47"/>
        <v>5.9999999999999991</v>
      </c>
    </row>
    <row r="488" spans="1:22" x14ac:dyDescent="0.3">
      <c r="A488" s="1" t="s">
        <v>963</v>
      </c>
      <c r="B488" s="2">
        <v>44043</v>
      </c>
      <c r="C488" s="2" t="str">
        <f t="shared" si="43"/>
        <v>Friday</v>
      </c>
      <c r="D488" s="2" t="str">
        <f t="shared" si="44"/>
        <v>July</v>
      </c>
      <c r="E488" s="2" t="str">
        <f t="shared" si="45"/>
        <v>2020</v>
      </c>
      <c r="F488" s="3" t="s">
        <v>964</v>
      </c>
      <c r="G488" s="3" t="str">
        <f>VLOOKUP(F489,'Customers (2)'!A:I,2,0)</f>
        <v>Klarika Egglestone</v>
      </c>
      <c r="H488" s="3" t="str">
        <f>VLOOKUP(F488,'Customers (2)'!A:I,3,0)</f>
        <v>fkienleindi@trellian.com</v>
      </c>
      <c r="I488" s="3" t="str">
        <f>VLOOKUP(F488,'Customers (2)'!A:I,4,0)</f>
        <v>+353 (972) 241-3434</v>
      </c>
      <c r="J488" s="3" t="str">
        <f>VLOOKUP(F488,'Customers (2)'!A:I,6,0)</f>
        <v>Coolock</v>
      </c>
      <c r="K488" s="3" t="str">
        <f>VLOOKUP(F488,'Customers (2)'!A:I,7,0)</f>
        <v>Ireland</v>
      </c>
      <c r="L488" s="3" t="str">
        <f>VLOOKUP(F488,'Customers (2)'!A:I,9,0)</f>
        <v>Yes</v>
      </c>
      <c r="M488" s="4" t="s">
        <v>78</v>
      </c>
      <c r="N488" s="4" t="str">
        <f>VLOOKUP(M488,'Products (2)'!A:G,2,0)</f>
        <v>Liberica</v>
      </c>
      <c r="O488" s="4" t="str">
        <f>VLOOKUP(M488,'Products (2)'!A:G,3,0)</f>
        <v>Medium</v>
      </c>
      <c r="P488" s="4">
        <f>VLOOKUP(M488,'Products (2)'!A:G,7,0)</f>
        <v>1.1349</v>
      </c>
      <c r="Q488" s="3">
        <v>6</v>
      </c>
      <c r="R488" s="5">
        <f>INDEX([1]products!$A$1:$G$49,MATCH([1]orders!$D488,[1]products!$A$1:$A$49,0),MATCH([1]orders!K$1,[1]products!$A$1:$G$1,0))</f>
        <v>0.5</v>
      </c>
      <c r="S488" s="6">
        <f>INDEX([1]products!$A$1:$G$49,MATCH([1]orders!$D488,[1]products!$A$1:$A$49,0),MATCH([1]orders!L$1,[1]products!$A$1:$G$1,0))</f>
        <v>8.73</v>
      </c>
      <c r="T488" s="6">
        <f t="shared" si="42"/>
        <v>52.38</v>
      </c>
      <c r="U488" s="22">
        <f t="shared" si="46"/>
        <v>6.8094000000000001</v>
      </c>
      <c r="V488" s="22">
        <f t="shared" si="47"/>
        <v>13</v>
      </c>
    </row>
    <row r="489" spans="1:22" x14ac:dyDescent="0.3">
      <c r="A489" s="1" t="s">
        <v>965</v>
      </c>
      <c r="B489" s="2">
        <v>44093</v>
      </c>
      <c r="C489" s="2" t="str">
        <f t="shared" si="43"/>
        <v>Saturday</v>
      </c>
      <c r="D489" s="2" t="str">
        <f t="shared" si="44"/>
        <v>September</v>
      </c>
      <c r="E489" s="2" t="str">
        <f t="shared" si="45"/>
        <v>2020</v>
      </c>
      <c r="F489" s="3" t="s">
        <v>966</v>
      </c>
      <c r="G489" s="3" t="str">
        <f>VLOOKUP(F490,'Customers (2)'!A:I,2,0)</f>
        <v>Becky Semkins</v>
      </c>
      <c r="H489" s="3" t="str">
        <f>VLOOKUP(F489,'Customers (2)'!A:I,3,0)</f>
        <v>kegglestonedj@sphinn.com</v>
      </c>
      <c r="I489" s="3" t="str">
        <f>VLOOKUP(F489,'Customers (2)'!A:I,4,0)</f>
        <v>+353 (452) 975-6438</v>
      </c>
      <c r="J489" s="3" t="str">
        <f>VLOOKUP(F489,'Customers (2)'!A:I,6,0)</f>
        <v>Coolock</v>
      </c>
      <c r="K489" s="3" t="str">
        <f>VLOOKUP(F489,'Customers (2)'!A:I,7,0)</f>
        <v>Ireland</v>
      </c>
      <c r="L489" s="3" t="str">
        <f>VLOOKUP(F489,'Customers (2)'!A:I,9,0)</f>
        <v>No</v>
      </c>
      <c r="M489" s="4" t="s">
        <v>245</v>
      </c>
      <c r="N489" s="4" t="str">
        <f>VLOOKUP(M489,'Products (2)'!A:G,2,0)</f>
        <v>Excelsa</v>
      </c>
      <c r="O489" s="4" t="str">
        <f>VLOOKUP(M489,'Products (2)'!A:G,3,0)</f>
        <v>Dark</v>
      </c>
      <c r="P489" s="4">
        <f>VLOOKUP(M489,'Products (2)'!A:G,7,0)</f>
        <v>1.3365</v>
      </c>
      <c r="Q489" s="3">
        <v>6</v>
      </c>
      <c r="R489" s="5">
        <f>INDEX([1]products!$A$1:$G$49,MATCH([1]orders!$D489,[1]products!$A$1:$A$49,0),MATCH([1]orders!K$1,[1]products!$A$1:$G$1,0))</f>
        <v>1</v>
      </c>
      <c r="S489" s="6">
        <f>INDEX([1]products!$A$1:$G$49,MATCH([1]orders!$D489,[1]products!$A$1:$A$49,0),MATCH([1]orders!L$1,[1]products!$A$1:$G$1,0))</f>
        <v>12.15</v>
      </c>
      <c r="T489" s="6">
        <f t="shared" si="42"/>
        <v>72.900000000000006</v>
      </c>
      <c r="U489" s="22">
        <f t="shared" si="46"/>
        <v>8.0190000000000001</v>
      </c>
      <c r="V489" s="22">
        <f t="shared" si="47"/>
        <v>10.999999999999998</v>
      </c>
    </row>
    <row r="490" spans="1:22" x14ac:dyDescent="0.3">
      <c r="A490" s="1" t="s">
        <v>967</v>
      </c>
      <c r="B490" s="2">
        <v>43954</v>
      </c>
      <c r="C490" s="2" t="str">
        <f t="shared" si="43"/>
        <v>Sunday</v>
      </c>
      <c r="D490" s="2" t="str">
        <f t="shared" si="44"/>
        <v>May</v>
      </c>
      <c r="E490" s="2" t="str">
        <f t="shared" si="45"/>
        <v>2020</v>
      </c>
      <c r="F490" s="3" t="s">
        <v>968</v>
      </c>
      <c r="G490" s="3" t="str">
        <f>VLOOKUP(F491,'Customers (2)'!A:I,2,0)</f>
        <v>Sean Lorenzetti</v>
      </c>
      <c r="H490" s="3" t="str">
        <f>VLOOKUP(F490,'Customers (2)'!A:I,3,0)</f>
        <v>bsemkinsdk@unc.edu</v>
      </c>
      <c r="I490" s="3" t="str">
        <f>VLOOKUP(F490,'Customers (2)'!A:I,4,0)</f>
        <v>+353 (209) 764-2690</v>
      </c>
      <c r="J490" s="3" t="str">
        <f>VLOOKUP(F490,'Customers (2)'!A:I,6,0)</f>
        <v>Kinnegad</v>
      </c>
      <c r="K490" s="3" t="str">
        <f>VLOOKUP(F490,'Customers (2)'!A:I,7,0)</f>
        <v>Ireland</v>
      </c>
      <c r="L490" s="3" t="str">
        <f>VLOOKUP(F490,'Customers (2)'!A:I,9,0)</f>
        <v>Yes</v>
      </c>
      <c r="M490" s="4" t="s">
        <v>162</v>
      </c>
      <c r="N490" s="4" t="str">
        <f>VLOOKUP(M490,'Products (2)'!A:G,2,0)</f>
        <v>Robusta</v>
      </c>
      <c r="O490" s="4" t="str">
        <f>VLOOKUP(M490,'Products (2)'!A:G,3,0)</f>
        <v>Medium</v>
      </c>
      <c r="P490" s="4">
        <f>VLOOKUP(M490,'Products (2)'!A:G,7,0)</f>
        <v>0.17909999999999998</v>
      </c>
      <c r="Q490" s="3">
        <v>5</v>
      </c>
      <c r="R490" s="5">
        <f>INDEX([1]products!$A$1:$G$49,MATCH([1]orders!$D490,[1]products!$A$1:$A$49,0),MATCH([1]orders!K$1,[1]products!$A$1:$G$1,0))</f>
        <v>0.2</v>
      </c>
      <c r="S490" s="6">
        <f>INDEX([1]products!$A$1:$G$49,MATCH([1]orders!$D490,[1]products!$A$1:$A$49,0),MATCH([1]orders!L$1,[1]products!$A$1:$G$1,0))</f>
        <v>2.9849999999999999</v>
      </c>
      <c r="T490" s="6">
        <f t="shared" si="42"/>
        <v>14.924999999999999</v>
      </c>
      <c r="U490" s="22">
        <f t="shared" si="46"/>
        <v>0.89549999999999996</v>
      </c>
      <c r="V490" s="22">
        <f t="shared" si="47"/>
        <v>6.0000000000000009</v>
      </c>
    </row>
    <row r="491" spans="1:22" x14ac:dyDescent="0.3">
      <c r="A491" s="1" t="s">
        <v>969</v>
      </c>
      <c r="B491" s="2">
        <v>43654</v>
      </c>
      <c r="C491" s="2" t="str">
        <f t="shared" si="43"/>
        <v>Monday</v>
      </c>
      <c r="D491" s="2" t="str">
        <f t="shared" si="44"/>
        <v>July</v>
      </c>
      <c r="E491" s="2" t="str">
        <f t="shared" si="45"/>
        <v>2019</v>
      </c>
      <c r="F491" s="3" t="s">
        <v>970</v>
      </c>
      <c r="G491" s="3" t="str">
        <f>VLOOKUP(F492,'Customers (2)'!A:I,2,0)</f>
        <v>Bob Giannazzi</v>
      </c>
      <c r="H491" s="3" t="str">
        <f>VLOOKUP(F491,'Customers (2)'!A:I,3,0)</f>
        <v>slorenzettidl@is.gd</v>
      </c>
      <c r="I491" s="3" t="str">
        <f>VLOOKUP(F491,'Customers (2)'!A:I,4,0)</f>
        <v>+1 (915) 581-0694</v>
      </c>
      <c r="J491" s="3" t="str">
        <f>VLOOKUP(F491,'Customers (2)'!A:I,6,0)</f>
        <v>El Paso</v>
      </c>
      <c r="K491" s="3" t="str">
        <f>VLOOKUP(F491,'Customers (2)'!A:I,7,0)</f>
        <v>United States</v>
      </c>
      <c r="L491" s="3" t="str">
        <f>VLOOKUP(F491,'Customers (2)'!A:I,9,0)</f>
        <v>No</v>
      </c>
      <c r="M491" s="4" t="s">
        <v>132</v>
      </c>
      <c r="N491" s="4" t="str">
        <f>VLOOKUP(M491,'Products (2)'!A:G,2,0)</f>
        <v>Liberica</v>
      </c>
      <c r="O491" s="4" t="str">
        <f>VLOOKUP(M491,'Products (2)'!A:G,3,0)</f>
        <v>Light</v>
      </c>
      <c r="P491" s="4">
        <f>VLOOKUP(M491,'Products (2)'!A:G,7,0)</f>
        <v>2.0605000000000002</v>
      </c>
      <c r="Q491" s="3">
        <v>6</v>
      </c>
      <c r="R491" s="5">
        <f>INDEX([1]products!$A$1:$G$49,MATCH([1]orders!$D491,[1]products!$A$1:$A$49,0),MATCH([1]orders!K$1,[1]products!$A$1:$G$1,0))</f>
        <v>1</v>
      </c>
      <c r="S491" s="6">
        <f>INDEX([1]products!$A$1:$G$49,MATCH([1]orders!$D491,[1]products!$A$1:$A$49,0),MATCH([1]orders!L$1,[1]products!$A$1:$G$1,0))</f>
        <v>15.85</v>
      </c>
      <c r="T491" s="6">
        <f t="shared" si="42"/>
        <v>95.1</v>
      </c>
      <c r="U491" s="22">
        <f t="shared" si="46"/>
        <v>12.363000000000001</v>
      </c>
      <c r="V491" s="22">
        <f t="shared" si="47"/>
        <v>13.000000000000004</v>
      </c>
    </row>
    <row r="492" spans="1:22" x14ac:dyDescent="0.3">
      <c r="A492" s="1" t="s">
        <v>971</v>
      </c>
      <c r="B492" s="2">
        <v>43764</v>
      </c>
      <c r="C492" s="2" t="str">
        <f t="shared" si="43"/>
        <v>Saturday</v>
      </c>
      <c r="D492" s="2" t="str">
        <f t="shared" si="44"/>
        <v>October</v>
      </c>
      <c r="E492" s="2" t="str">
        <f t="shared" si="45"/>
        <v>2019</v>
      </c>
      <c r="F492" s="3" t="s">
        <v>972</v>
      </c>
      <c r="G492" s="3" t="str">
        <f>VLOOKUP(F493,'Customers (2)'!A:I,2,0)</f>
        <v>Kendra Backshell</v>
      </c>
      <c r="H492" s="3" t="str">
        <f>VLOOKUP(F492,'Customers (2)'!A:I,3,0)</f>
        <v>bgiannazzidm@apple.com</v>
      </c>
      <c r="I492" s="3" t="str">
        <f>VLOOKUP(F492,'Customers (2)'!A:I,4,0)</f>
        <v>+1 (754) 827-8970</v>
      </c>
      <c r="J492" s="3" t="str">
        <f>VLOOKUP(F492,'Customers (2)'!A:I,6,0)</f>
        <v>Fort Lauderdale</v>
      </c>
      <c r="K492" s="3" t="str">
        <f>VLOOKUP(F492,'Customers (2)'!A:I,7,0)</f>
        <v>United States</v>
      </c>
      <c r="L492" s="3" t="str">
        <f>VLOOKUP(F492,'Customers (2)'!A:I,9,0)</f>
        <v>No</v>
      </c>
      <c r="M492" s="4" t="s">
        <v>123</v>
      </c>
      <c r="N492" s="4" t="str">
        <f>VLOOKUP(M492,'Products (2)'!A:G,2,0)</f>
        <v>Liberica</v>
      </c>
      <c r="O492" s="4" t="str">
        <f>VLOOKUP(M492,'Products (2)'!A:G,3,0)</f>
        <v>Dark</v>
      </c>
      <c r="P492" s="4">
        <f>VLOOKUP(M492,'Products (2)'!A:G,7,0)</f>
        <v>1.0101</v>
      </c>
      <c r="Q492" s="3">
        <v>2</v>
      </c>
      <c r="R492" s="5">
        <f>INDEX([1]products!$A$1:$G$49,MATCH([1]orders!$D492,[1]products!$A$1:$A$49,0),MATCH([1]orders!K$1,[1]products!$A$1:$G$1,0))</f>
        <v>0.5</v>
      </c>
      <c r="S492" s="6">
        <f>INDEX([1]products!$A$1:$G$49,MATCH([1]orders!$D492,[1]products!$A$1:$A$49,0),MATCH([1]orders!L$1,[1]products!$A$1:$G$1,0))</f>
        <v>7.77</v>
      </c>
      <c r="T492" s="6">
        <f t="shared" si="42"/>
        <v>15.54</v>
      </c>
      <c r="U492" s="22">
        <f t="shared" si="46"/>
        <v>2.0202</v>
      </c>
      <c r="V492" s="22">
        <f t="shared" si="47"/>
        <v>13</v>
      </c>
    </row>
    <row r="493" spans="1:22" x14ac:dyDescent="0.3">
      <c r="A493" s="1" t="s">
        <v>973</v>
      </c>
      <c r="B493" s="2">
        <v>44101</v>
      </c>
      <c r="C493" s="2" t="str">
        <f t="shared" si="43"/>
        <v>Sunday</v>
      </c>
      <c r="D493" s="2" t="str">
        <f t="shared" si="44"/>
        <v>September</v>
      </c>
      <c r="E493" s="2" t="str">
        <f t="shared" si="45"/>
        <v>2020</v>
      </c>
      <c r="F493" s="3" t="s">
        <v>974</v>
      </c>
      <c r="G493" s="3" t="str">
        <f>VLOOKUP(F494,'Customers (2)'!A:I,2,0)</f>
        <v>Uriah Lethbrig</v>
      </c>
      <c r="H493" s="3">
        <f>VLOOKUP(F493,'Customers (2)'!A:I,3,0)</f>
        <v>0</v>
      </c>
      <c r="I493" s="3" t="str">
        <f>VLOOKUP(F493,'Customers (2)'!A:I,4,0)</f>
        <v>+1 (317) 595-9406</v>
      </c>
      <c r="J493" s="3" t="str">
        <f>VLOOKUP(F493,'Customers (2)'!A:I,6,0)</f>
        <v>Indianapolis</v>
      </c>
      <c r="K493" s="3" t="str">
        <f>VLOOKUP(F493,'Customers (2)'!A:I,7,0)</f>
        <v>United States</v>
      </c>
      <c r="L493" s="3" t="str">
        <f>VLOOKUP(F493,'Customers (2)'!A:I,9,0)</f>
        <v>No</v>
      </c>
      <c r="M493" s="4" t="s">
        <v>38</v>
      </c>
      <c r="N493" s="4" t="str">
        <f>VLOOKUP(M493,'Products (2)'!A:G,2,0)</f>
        <v>Liberica</v>
      </c>
      <c r="O493" s="4" t="str">
        <f>VLOOKUP(M493,'Products (2)'!A:G,3,0)</f>
        <v>Dark</v>
      </c>
      <c r="P493" s="4">
        <f>VLOOKUP(M493,'Products (2)'!A:G,7,0)</f>
        <v>0.50505</v>
      </c>
      <c r="Q493" s="3">
        <v>6</v>
      </c>
      <c r="R493" s="5">
        <f>INDEX([1]products!$A$1:$G$49,MATCH([1]orders!$D493,[1]products!$A$1:$A$49,0),MATCH([1]orders!K$1,[1]products!$A$1:$G$1,0))</f>
        <v>0.2</v>
      </c>
      <c r="S493" s="6">
        <f>INDEX([1]products!$A$1:$G$49,MATCH([1]orders!$D493,[1]products!$A$1:$A$49,0),MATCH([1]orders!L$1,[1]products!$A$1:$G$1,0))</f>
        <v>3.8849999999999998</v>
      </c>
      <c r="T493" s="6">
        <f t="shared" si="42"/>
        <v>23.31</v>
      </c>
      <c r="U493" s="22">
        <f t="shared" si="46"/>
        <v>3.0303</v>
      </c>
      <c r="V493" s="22">
        <f t="shared" si="47"/>
        <v>13</v>
      </c>
    </row>
    <row r="494" spans="1:22" x14ac:dyDescent="0.3">
      <c r="A494" s="1" t="s">
        <v>975</v>
      </c>
      <c r="B494" s="2">
        <v>44620</v>
      </c>
      <c r="C494" s="2" t="str">
        <f t="shared" si="43"/>
        <v>Monday</v>
      </c>
      <c r="D494" s="2" t="str">
        <f t="shared" si="44"/>
        <v>February</v>
      </c>
      <c r="E494" s="2" t="str">
        <f t="shared" si="45"/>
        <v>2022</v>
      </c>
      <c r="F494" s="3" t="s">
        <v>976</v>
      </c>
      <c r="G494" s="3" t="str">
        <f>VLOOKUP(F495,'Customers (2)'!A:I,2,0)</f>
        <v>Sky Farnish</v>
      </c>
      <c r="H494" s="3" t="str">
        <f>VLOOKUP(F494,'Customers (2)'!A:I,3,0)</f>
        <v>ulethbrigdo@hc360.com</v>
      </c>
      <c r="I494" s="3" t="str">
        <f>VLOOKUP(F494,'Customers (2)'!A:I,4,0)</f>
        <v>+1 (414) 580-9714</v>
      </c>
      <c r="J494" s="3" t="str">
        <f>VLOOKUP(F494,'Customers (2)'!A:I,6,0)</f>
        <v>Milwaukee</v>
      </c>
      <c r="K494" s="3" t="str">
        <f>VLOOKUP(F494,'Customers (2)'!A:I,7,0)</f>
        <v>United States</v>
      </c>
      <c r="L494" s="3" t="str">
        <f>VLOOKUP(F494,'Customers (2)'!A:I,9,0)</f>
        <v>Yes</v>
      </c>
      <c r="M494" s="4" t="s">
        <v>64</v>
      </c>
      <c r="N494" s="4" t="str">
        <f>VLOOKUP(M494,'Products (2)'!A:G,2,0)</f>
        <v>Excelsa</v>
      </c>
      <c r="O494" s="4" t="str">
        <f>VLOOKUP(M494,'Products (2)'!A:G,3,0)</f>
        <v>Medium</v>
      </c>
      <c r="P494" s="4">
        <f>VLOOKUP(M494,'Products (2)'!A:G,7,0)</f>
        <v>0.45374999999999999</v>
      </c>
      <c r="Q494" s="3">
        <v>1</v>
      </c>
      <c r="R494" s="5">
        <f>INDEX([1]products!$A$1:$G$49,MATCH([1]orders!$D494,[1]products!$A$1:$A$49,0),MATCH([1]orders!K$1,[1]products!$A$1:$G$1,0))</f>
        <v>0.2</v>
      </c>
      <c r="S494" s="6">
        <f>INDEX([1]products!$A$1:$G$49,MATCH([1]orders!$D494,[1]products!$A$1:$A$49,0),MATCH([1]orders!L$1,[1]products!$A$1:$G$1,0))</f>
        <v>4.125</v>
      </c>
      <c r="T494" s="6">
        <f t="shared" si="42"/>
        <v>4.125</v>
      </c>
      <c r="U494" s="22">
        <f t="shared" si="46"/>
        <v>0.45374999999999999</v>
      </c>
      <c r="V494" s="22">
        <f t="shared" si="47"/>
        <v>11</v>
      </c>
    </row>
    <row r="495" spans="1:22" x14ac:dyDescent="0.3">
      <c r="A495" s="1" t="s">
        <v>977</v>
      </c>
      <c r="B495" s="2">
        <v>44090</v>
      </c>
      <c r="C495" s="2" t="str">
        <f t="shared" si="43"/>
        <v>Wednesday</v>
      </c>
      <c r="D495" s="2" t="str">
        <f t="shared" si="44"/>
        <v>September</v>
      </c>
      <c r="E495" s="2" t="str">
        <f t="shared" si="45"/>
        <v>2020</v>
      </c>
      <c r="F495" s="3" t="s">
        <v>978</v>
      </c>
      <c r="G495" s="3" t="str">
        <f>VLOOKUP(F496,'Customers (2)'!A:I,2,0)</f>
        <v>Felicia Jecock</v>
      </c>
      <c r="H495" s="3" t="str">
        <f>VLOOKUP(F495,'Customers (2)'!A:I,3,0)</f>
        <v>sfarnishdp@dmoz.org</v>
      </c>
      <c r="I495" s="3" t="str">
        <f>VLOOKUP(F495,'Customers (2)'!A:I,4,0)</f>
        <v>+44 (847) 377-8172</v>
      </c>
      <c r="J495" s="3" t="str">
        <f>VLOOKUP(F495,'Customers (2)'!A:I,6,0)</f>
        <v>Eaton</v>
      </c>
      <c r="K495" s="3" t="str">
        <f>VLOOKUP(F495,'Customers (2)'!A:I,7,0)</f>
        <v>United Kingdom</v>
      </c>
      <c r="L495" s="3" t="str">
        <f>VLOOKUP(F495,'Customers (2)'!A:I,9,0)</f>
        <v>No</v>
      </c>
      <c r="M495" s="4" t="s">
        <v>22</v>
      </c>
      <c r="N495" s="4" t="str">
        <f>VLOOKUP(M495,'Products (2)'!A:G,2,0)</f>
        <v>Robusta</v>
      </c>
      <c r="O495" s="4" t="str">
        <f>VLOOKUP(M495,'Products (2)'!A:G,3,0)</f>
        <v>Medium</v>
      </c>
      <c r="P495" s="4">
        <f>VLOOKUP(M495,'Products (2)'!A:G,7,0)</f>
        <v>0.35819999999999996</v>
      </c>
      <c r="Q495" s="3">
        <v>6</v>
      </c>
      <c r="R495" s="5">
        <f>INDEX([1]products!$A$1:$G$49,MATCH([1]orders!$D495,[1]products!$A$1:$A$49,0),MATCH([1]orders!K$1,[1]products!$A$1:$G$1,0))</f>
        <v>0.5</v>
      </c>
      <c r="S495" s="6">
        <f>INDEX([1]products!$A$1:$G$49,MATCH([1]orders!$D495,[1]products!$A$1:$A$49,0),MATCH([1]orders!L$1,[1]products!$A$1:$G$1,0))</f>
        <v>5.97</v>
      </c>
      <c r="T495" s="6">
        <f t="shared" si="42"/>
        <v>35.82</v>
      </c>
      <c r="U495" s="22">
        <f t="shared" si="46"/>
        <v>2.1491999999999996</v>
      </c>
      <c r="V495" s="22">
        <f t="shared" si="47"/>
        <v>5.9999999999999982</v>
      </c>
    </row>
    <row r="496" spans="1:22" x14ac:dyDescent="0.3">
      <c r="A496" s="1" t="s">
        <v>979</v>
      </c>
      <c r="B496" s="2">
        <v>44132</v>
      </c>
      <c r="C496" s="2" t="str">
        <f t="shared" si="43"/>
        <v>Wednesday</v>
      </c>
      <c r="D496" s="2" t="str">
        <f t="shared" si="44"/>
        <v>October</v>
      </c>
      <c r="E496" s="2" t="str">
        <f t="shared" si="45"/>
        <v>2020</v>
      </c>
      <c r="F496" s="3" t="s">
        <v>980</v>
      </c>
      <c r="G496" s="3" t="str">
        <f>VLOOKUP(F497,'Customers (2)'!A:I,2,0)</f>
        <v>Currey MacAllister</v>
      </c>
      <c r="H496" s="3" t="str">
        <f>VLOOKUP(F496,'Customers (2)'!A:I,3,0)</f>
        <v>fjecockdq@unicef.org</v>
      </c>
      <c r="I496" s="3" t="str">
        <f>VLOOKUP(F496,'Customers (2)'!A:I,4,0)</f>
        <v>+1 (225) 116-2959</v>
      </c>
      <c r="J496" s="3" t="str">
        <f>VLOOKUP(F496,'Customers (2)'!A:I,6,0)</f>
        <v>Baton Rouge</v>
      </c>
      <c r="K496" s="3" t="str">
        <f>VLOOKUP(F496,'Customers (2)'!A:I,7,0)</f>
        <v>United States</v>
      </c>
      <c r="L496" s="3" t="str">
        <f>VLOOKUP(F496,'Customers (2)'!A:I,9,0)</f>
        <v>No</v>
      </c>
      <c r="M496" s="4" t="s">
        <v>132</v>
      </c>
      <c r="N496" s="4" t="str">
        <f>VLOOKUP(M496,'Products (2)'!A:G,2,0)</f>
        <v>Liberica</v>
      </c>
      <c r="O496" s="4" t="str">
        <f>VLOOKUP(M496,'Products (2)'!A:G,3,0)</f>
        <v>Light</v>
      </c>
      <c r="P496" s="4">
        <f>VLOOKUP(M496,'Products (2)'!A:G,7,0)</f>
        <v>2.0605000000000002</v>
      </c>
      <c r="Q496" s="3">
        <v>2</v>
      </c>
      <c r="R496" s="5">
        <f>INDEX([1]products!$A$1:$G$49,MATCH([1]orders!$D496,[1]products!$A$1:$A$49,0),MATCH([1]orders!K$1,[1]products!$A$1:$G$1,0))</f>
        <v>1</v>
      </c>
      <c r="S496" s="6">
        <f>INDEX([1]products!$A$1:$G$49,MATCH([1]orders!$D496,[1]products!$A$1:$A$49,0),MATCH([1]orders!L$1,[1]products!$A$1:$G$1,0))</f>
        <v>15.85</v>
      </c>
      <c r="T496" s="6">
        <f t="shared" si="42"/>
        <v>31.7</v>
      </c>
      <c r="U496" s="22">
        <f t="shared" si="46"/>
        <v>4.1210000000000004</v>
      </c>
      <c r="V496" s="22">
        <f t="shared" si="47"/>
        <v>13</v>
      </c>
    </row>
    <row r="497" spans="1:22" x14ac:dyDescent="0.3">
      <c r="A497" s="1" t="s">
        <v>981</v>
      </c>
      <c r="B497" s="2">
        <v>43710</v>
      </c>
      <c r="C497" s="2" t="str">
        <f t="shared" si="43"/>
        <v>Monday</v>
      </c>
      <c r="D497" s="2" t="str">
        <f t="shared" si="44"/>
        <v>September</v>
      </c>
      <c r="E497" s="2" t="str">
        <f t="shared" si="45"/>
        <v>2019</v>
      </c>
      <c r="F497" s="3" t="s">
        <v>982</v>
      </c>
      <c r="G497" s="3" t="str">
        <f>VLOOKUP(F498,'Customers (2)'!A:I,2,0)</f>
        <v>Hamlen Pallister</v>
      </c>
      <c r="H497" s="3">
        <f>VLOOKUP(F497,'Customers (2)'!A:I,3,0)</f>
        <v>0</v>
      </c>
      <c r="I497" s="3" t="str">
        <f>VLOOKUP(F497,'Customers (2)'!A:I,4,0)</f>
        <v>+1 (203) 490-3839</v>
      </c>
      <c r="J497" s="3" t="str">
        <f>VLOOKUP(F497,'Customers (2)'!A:I,6,0)</f>
        <v>Danbury</v>
      </c>
      <c r="K497" s="3" t="str">
        <f>VLOOKUP(F497,'Customers (2)'!A:I,7,0)</f>
        <v>United States</v>
      </c>
      <c r="L497" s="3" t="str">
        <f>VLOOKUP(F497,'Customers (2)'!A:I,9,0)</f>
        <v>Yes</v>
      </c>
      <c r="M497" s="4" t="s">
        <v>132</v>
      </c>
      <c r="N497" s="4" t="str">
        <f>VLOOKUP(M497,'Products (2)'!A:G,2,0)</f>
        <v>Liberica</v>
      </c>
      <c r="O497" s="4" t="str">
        <f>VLOOKUP(M497,'Products (2)'!A:G,3,0)</f>
        <v>Light</v>
      </c>
      <c r="P497" s="4">
        <f>VLOOKUP(M497,'Products (2)'!A:G,7,0)</f>
        <v>2.0605000000000002</v>
      </c>
      <c r="Q497" s="3">
        <v>5</v>
      </c>
      <c r="R497" s="5">
        <f>INDEX([1]products!$A$1:$G$49,MATCH([1]orders!$D497,[1]products!$A$1:$A$49,0),MATCH([1]orders!K$1,[1]products!$A$1:$G$1,0))</f>
        <v>1</v>
      </c>
      <c r="S497" s="6">
        <f>INDEX([1]products!$A$1:$G$49,MATCH([1]orders!$D497,[1]products!$A$1:$A$49,0),MATCH([1]orders!L$1,[1]products!$A$1:$G$1,0))</f>
        <v>15.85</v>
      </c>
      <c r="T497" s="6">
        <f t="shared" si="42"/>
        <v>79.25</v>
      </c>
      <c r="U497" s="22">
        <f t="shared" si="46"/>
        <v>10.302500000000002</v>
      </c>
      <c r="V497" s="22">
        <f t="shared" si="47"/>
        <v>13.000000000000004</v>
      </c>
    </row>
    <row r="498" spans="1:22" x14ac:dyDescent="0.3">
      <c r="A498" s="1" t="s">
        <v>983</v>
      </c>
      <c r="B498" s="2">
        <v>44438</v>
      </c>
      <c r="C498" s="2" t="str">
        <f t="shared" si="43"/>
        <v>Monday</v>
      </c>
      <c r="D498" s="2" t="str">
        <f t="shared" si="44"/>
        <v>August</v>
      </c>
      <c r="E498" s="2" t="str">
        <f t="shared" si="45"/>
        <v>2021</v>
      </c>
      <c r="F498" s="3" t="s">
        <v>984</v>
      </c>
      <c r="G498" s="3" t="str">
        <f>VLOOKUP(F499,'Customers (2)'!A:I,2,0)</f>
        <v>Chantal Mersh</v>
      </c>
      <c r="H498" s="3" t="str">
        <f>VLOOKUP(F498,'Customers (2)'!A:I,3,0)</f>
        <v>hpallisterds@ning.com</v>
      </c>
      <c r="I498" s="3" t="str">
        <f>VLOOKUP(F498,'Customers (2)'!A:I,4,0)</f>
        <v>+1 (850) 517-1353</v>
      </c>
      <c r="J498" s="3" t="str">
        <f>VLOOKUP(F498,'Customers (2)'!A:I,6,0)</f>
        <v>Pensacola</v>
      </c>
      <c r="K498" s="3" t="str">
        <f>VLOOKUP(F498,'Customers (2)'!A:I,7,0)</f>
        <v>United States</v>
      </c>
      <c r="L498" s="3" t="str">
        <f>VLOOKUP(F498,'Customers (2)'!A:I,9,0)</f>
        <v>No</v>
      </c>
      <c r="M498" s="4" t="s">
        <v>51</v>
      </c>
      <c r="N498" s="4" t="str">
        <f>VLOOKUP(M498,'Products (2)'!A:G,2,0)</f>
        <v>Excelsa</v>
      </c>
      <c r="O498" s="4" t="str">
        <f>VLOOKUP(M498,'Products (2)'!A:G,3,0)</f>
        <v>Dark</v>
      </c>
      <c r="P498" s="4">
        <f>VLOOKUP(M498,'Products (2)'!A:G,7,0)</f>
        <v>0.40095000000000003</v>
      </c>
      <c r="Q498" s="3">
        <v>3</v>
      </c>
      <c r="R498" s="5">
        <f>INDEX([1]products!$A$1:$G$49,MATCH([1]orders!$D498,[1]products!$A$1:$A$49,0),MATCH([1]orders!K$1,[1]products!$A$1:$G$1,0))</f>
        <v>0.2</v>
      </c>
      <c r="S498" s="6">
        <f>INDEX([1]products!$A$1:$G$49,MATCH([1]orders!$D498,[1]products!$A$1:$A$49,0),MATCH([1]orders!L$1,[1]products!$A$1:$G$1,0))</f>
        <v>3.645</v>
      </c>
      <c r="T498" s="6">
        <f t="shared" si="42"/>
        <v>10.935</v>
      </c>
      <c r="U498" s="22">
        <f t="shared" si="46"/>
        <v>1.2028500000000002</v>
      </c>
      <c r="V498" s="22">
        <f t="shared" si="47"/>
        <v>11.000000000000002</v>
      </c>
    </row>
    <row r="499" spans="1:22" x14ac:dyDescent="0.3">
      <c r="A499" s="1" t="s">
        <v>985</v>
      </c>
      <c r="B499" s="2">
        <v>44351</v>
      </c>
      <c r="C499" s="2" t="str">
        <f t="shared" si="43"/>
        <v>Friday</v>
      </c>
      <c r="D499" s="2" t="str">
        <f t="shared" si="44"/>
        <v>June</v>
      </c>
      <c r="E499" s="2" t="str">
        <f t="shared" si="45"/>
        <v>2021</v>
      </c>
      <c r="F499" s="3" t="s">
        <v>986</v>
      </c>
      <c r="G499" s="3" t="str">
        <f>VLOOKUP(F500,'Customers (2)'!A:I,2,0)</f>
        <v>Marja Urion</v>
      </c>
      <c r="H499" s="3" t="str">
        <f>VLOOKUP(F499,'Customers (2)'!A:I,3,0)</f>
        <v>cmershdt@drupal.org</v>
      </c>
      <c r="I499" s="3" t="str">
        <f>VLOOKUP(F499,'Customers (2)'!A:I,4,0)</f>
        <v>+353 (343) 889-4565</v>
      </c>
      <c r="J499" s="3" t="str">
        <f>VLOOKUP(F499,'Customers (2)'!A:I,6,0)</f>
        <v>Milltown</v>
      </c>
      <c r="K499" s="3" t="str">
        <f>VLOOKUP(F499,'Customers (2)'!A:I,7,0)</f>
        <v>Ireland</v>
      </c>
      <c r="L499" s="3" t="str">
        <f>VLOOKUP(F499,'Customers (2)'!A:I,9,0)</f>
        <v>No</v>
      </c>
      <c r="M499" s="4" t="s">
        <v>27</v>
      </c>
      <c r="N499" s="4" t="str">
        <f>VLOOKUP(M499,'Products (2)'!A:G,2,0)</f>
        <v>Arabica</v>
      </c>
      <c r="O499" s="4" t="str">
        <f>VLOOKUP(M499,'Products (2)'!A:G,3,0)</f>
        <v>Dark</v>
      </c>
      <c r="P499" s="4">
        <f>VLOOKUP(M499,'Products (2)'!A:G,7,0)</f>
        <v>0.89549999999999985</v>
      </c>
      <c r="Q499" s="3">
        <v>4</v>
      </c>
      <c r="R499" s="5">
        <f>INDEX([1]products!$A$1:$G$49,MATCH([1]orders!$D499,[1]products!$A$1:$A$49,0),MATCH([1]orders!K$1,[1]products!$A$1:$G$1,0))</f>
        <v>1</v>
      </c>
      <c r="S499" s="6">
        <f>INDEX([1]products!$A$1:$G$49,MATCH([1]orders!$D499,[1]products!$A$1:$A$49,0),MATCH([1]orders!L$1,[1]products!$A$1:$G$1,0))</f>
        <v>9.9499999999999993</v>
      </c>
      <c r="T499" s="6">
        <f t="shared" si="42"/>
        <v>39.799999999999997</v>
      </c>
      <c r="U499" s="22">
        <f t="shared" si="46"/>
        <v>3.5819999999999994</v>
      </c>
      <c r="V499" s="22">
        <f t="shared" si="47"/>
        <v>9</v>
      </c>
    </row>
    <row r="500" spans="1:22" x14ac:dyDescent="0.3">
      <c r="A500" s="1" t="s">
        <v>987</v>
      </c>
      <c r="B500" s="2">
        <v>44159</v>
      </c>
      <c r="C500" s="2" t="str">
        <f t="shared" si="43"/>
        <v>Tuesday</v>
      </c>
      <c r="D500" s="2" t="str">
        <f t="shared" si="44"/>
        <v>November</v>
      </c>
      <c r="E500" s="2" t="str">
        <f t="shared" si="45"/>
        <v>2020</v>
      </c>
      <c r="F500" s="3" t="s">
        <v>988</v>
      </c>
      <c r="G500" s="3" t="str">
        <f>VLOOKUP(F501,'Customers (2)'!A:I,2,0)</f>
        <v>Malynda Purbrick</v>
      </c>
      <c r="H500" s="3" t="str">
        <f>VLOOKUP(F500,'Customers (2)'!A:I,3,0)</f>
        <v>murione5@alexa.com</v>
      </c>
      <c r="I500" s="3" t="str">
        <f>VLOOKUP(F500,'Customers (2)'!A:I,4,0)</f>
        <v>+353 (715) 989-0283</v>
      </c>
      <c r="J500" s="3" t="str">
        <f>VLOOKUP(F500,'Customers (2)'!A:I,6,0)</f>
        <v>Virginia</v>
      </c>
      <c r="K500" s="3" t="str">
        <f>VLOOKUP(F500,'Customers (2)'!A:I,7,0)</f>
        <v>Ireland</v>
      </c>
      <c r="L500" s="3" t="str">
        <f>VLOOKUP(F500,'Customers (2)'!A:I,9,0)</f>
        <v>Yes</v>
      </c>
      <c r="M500" s="4" t="s">
        <v>2</v>
      </c>
      <c r="N500" s="4" t="str">
        <f>VLOOKUP(M500,'Products (2)'!A:G,2,0)</f>
        <v>Robusta</v>
      </c>
      <c r="O500" s="4" t="str">
        <f>VLOOKUP(M500,'Products (2)'!A:G,3,0)</f>
        <v>Medium</v>
      </c>
      <c r="P500" s="4">
        <f>VLOOKUP(M500,'Products (2)'!A:G,7,0)</f>
        <v>0.59699999999999998</v>
      </c>
      <c r="Q500" s="3">
        <v>5</v>
      </c>
      <c r="R500" s="5">
        <f>INDEX([1]products!$A$1:$G$49,MATCH([1]orders!$D500,[1]products!$A$1:$A$49,0),MATCH([1]orders!K$1,[1]products!$A$1:$G$1,0))</f>
        <v>1</v>
      </c>
      <c r="S500" s="6">
        <f>INDEX([1]products!$A$1:$G$49,MATCH([1]orders!$D500,[1]products!$A$1:$A$49,0),MATCH([1]orders!L$1,[1]products!$A$1:$G$1,0))</f>
        <v>9.9499999999999993</v>
      </c>
      <c r="T500" s="6">
        <f t="shared" si="42"/>
        <v>49.75</v>
      </c>
      <c r="U500" s="22">
        <f t="shared" si="46"/>
        <v>2.9849999999999999</v>
      </c>
      <c r="V500" s="22">
        <f t="shared" si="47"/>
        <v>6</v>
      </c>
    </row>
    <row r="501" spans="1:22" x14ac:dyDescent="0.3">
      <c r="A501" s="1" t="s">
        <v>989</v>
      </c>
      <c r="B501" s="2">
        <v>44003</v>
      </c>
      <c r="C501" s="2" t="str">
        <f t="shared" si="43"/>
        <v>Sunday</v>
      </c>
      <c r="D501" s="2" t="str">
        <f t="shared" si="44"/>
        <v>June</v>
      </c>
      <c r="E501" s="2" t="str">
        <f t="shared" si="45"/>
        <v>2020</v>
      </c>
      <c r="F501" s="3" t="s">
        <v>990</v>
      </c>
      <c r="G501" s="3" t="str">
        <f>VLOOKUP(F502,'Customers (2)'!A:I,2,0)</f>
        <v>Alf Housaman</v>
      </c>
      <c r="H501" s="3">
        <f>VLOOKUP(F501,'Customers (2)'!A:I,3,0)</f>
        <v>0</v>
      </c>
      <c r="I501" s="3" t="str">
        <f>VLOOKUP(F501,'Customers (2)'!A:I,4,0)</f>
        <v>+353 (160) 183-4278</v>
      </c>
      <c r="J501" s="3" t="str">
        <f>VLOOKUP(F501,'Customers (2)'!A:I,6,0)</f>
        <v>Balally</v>
      </c>
      <c r="K501" s="3" t="str">
        <f>VLOOKUP(F501,'Customers (2)'!A:I,7,0)</f>
        <v>Ireland</v>
      </c>
      <c r="L501" s="3" t="str">
        <f>VLOOKUP(F501,'Customers (2)'!A:I,9,0)</f>
        <v>Yes</v>
      </c>
      <c r="M501" s="4" t="s">
        <v>101</v>
      </c>
      <c r="N501" s="4" t="str">
        <f>VLOOKUP(M501,'Products (2)'!A:G,2,0)</f>
        <v>Robusta</v>
      </c>
      <c r="O501" s="4" t="str">
        <f>VLOOKUP(M501,'Products (2)'!A:G,3,0)</f>
        <v>Dark</v>
      </c>
      <c r="P501" s="4">
        <f>VLOOKUP(M501,'Products (2)'!A:G,7,0)</f>
        <v>0.16109999999999997</v>
      </c>
      <c r="Q501" s="3">
        <v>3</v>
      </c>
      <c r="R501" s="5">
        <f>INDEX([1]products!$A$1:$G$49,MATCH([1]orders!$D501,[1]products!$A$1:$A$49,0),MATCH([1]orders!K$1,[1]products!$A$1:$G$1,0))</f>
        <v>0.2</v>
      </c>
      <c r="S501" s="6">
        <f>INDEX([1]products!$A$1:$G$49,MATCH([1]orders!$D501,[1]products!$A$1:$A$49,0),MATCH([1]orders!L$1,[1]products!$A$1:$G$1,0))</f>
        <v>2.6849999999999996</v>
      </c>
      <c r="T501" s="6">
        <f t="shared" si="42"/>
        <v>8.0549999999999997</v>
      </c>
      <c r="U501" s="22">
        <f t="shared" si="46"/>
        <v>0.4832999999999999</v>
      </c>
      <c r="V501" s="22">
        <f t="shared" si="47"/>
        <v>5.9999999999999991</v>
      </c>
    </row>
    <row r="502" spans="1:22" x14ac:dyDescent="0.3">
      <c r="A502" s="1" t="s">
        <v>991</v>
      </c>
      <c r="B502" s="2">
        <v>44025</v>
      </c>
      <c r="C502" s="2" t="str">
        <f t="shared" si="43"/>
        <v>Monday</v>
      </c>
      <c r="D502" s="2" t="str">
        <f t="shared" si="44"/>
        <v>July</v>
      </c>
      <c r="E502" s="2" t="str">
        <f t="shared" si="45"/>
        <v>2020</v>
      </c>
      <c r="F502" s="3" t="s">
        <v>992</v>
      </c>
      <c r="G502" s="3" t="str">
        <f>VLOOKUP(F503,'Customers (2)'!A:I,2,0)</f>
        <v>Gladi Ducker</v>
      </c>
      <c r="H502" s="3">
        <f>VLOOKUP(F502,'Customers (2)'!A:I,3,0)</f>
        <v>0</v>
      </c>
      <c r="I502" s="3" t="str">
        <f>VLOOKUP(F502,'Customers (2)'!A:I,4,0)</f>
        <v>+1 (616) 511-3898</v>
      </c>
      <c r="J502" s="3" t="str">
        <f>VLOOKUP(F502,'Customers (2)'!A:I,6,0)</f>
        <v>Grand Rapids</v>
      </c>
      <c r="K502" s="3" t="str">
        <f>VLOOKUP(F502,'Customers (2)'!A:I,7,0)</f>
        <v>United States</v>
      </c>
      <c r="L502" s="3" t="str">
        <f>VLOOKUP(F502,'Customers (2)'!A:I,9,0)</f>
        <v>No</v>
      </c>
      <c r="M502" s="4" t="s">
        <v>189</v>
      </c>
      <c r="N502" s="4" t="str">
        <f>VLOOKUP(M502,'Products (2)'!A:G,2,0)</f>
        <v>Robusta</v>
      </c>
      <c r="O502" s="4" t="str">
        <f>VLOOKUP(M502,'Products (2)'!A:G,3,0)</f>
        <v>Light</v>
      </c>
      <c r="P502" s="4">
        <f>VLOOKUP(M502,'Products (2)'!A:G,7,0)</f>
        <v>0.71699999999999997</v>
      </c>
      <c r="Q502" s="3">
        <v>4</v>
      </c>
      <c r="R502" s="5">
        <f>INDEX([1]products!$A$1:$G$49,MATCH([1]orders!$D502,[1]products!$A$1:$A$49,0),MATCH([1]orders!K$1,[1]products!$A$1:$G$1,0))</f>
        <v>1</v>
      </c>
      <c r="S502" s="6">
        <f>INDEX([1]products!$A$1:$G$49,MATCH([1]orders!$D502,[1]products!$A$1:$A$49,0),MATCH([1]orders!L$1,[1]products!$A$1:$G$1,0))</f>
        <v>11.95</v>
      </c>
      <c r="T502" s="6">
        <f t="shared" si="42"/>
        <v>47.8</v>
      </c>
      <c r="U502" s="22">
        <f t="shared" si="46"/>
        <v>2.8679999999999999</v>
      </c>
      <c r="V502" s="22">
        <f t="shared" si="47"/>
        <v>6</v>
      </c>
    </row>
    <row r="503" spans="1:22" x14ac:dyDescent="0.3">
      <c r="A503" s="1" t="s">
        <v>993</v>
      </c>
      <c r="B503" s="2">
        <v>43467</v>
      </c>
      <c r="C503" s="2" t="str">
        <f t="shared" si="43"/>
        <v>Wednesday</v>
      </c>
      <c r="D503" s="2" t="str">
        <f t="shared" si="44"/>
        <v>January</v>
      </c>
      <c r="E503" s="2" t="str">
        <f t="shared" si="45"/>
        <v>2019</v>
      </c>
      <c r="F503" s="3" t="s">
        <v>994</v>
      </c>
      <c r="G503" s="3" t="str">
        <f>VLOOKUP(F504,'Customers (2)'!A:I,2,0)</f>
        <v>Gladi Ducker</v>
      </c>
      <c r="H503" s="3" t="str">
        <f>VLOOKUP(F503,'Customers (2)'!A:I,3,0)</f>
        <v>gduckerdx@patch.com</v>
      </c>
      <c r="I503" s="3" t="str">
        <f>VLOOKUP(F503,'Customers (2)'!A:I,4,0)</f>
        <v>+44 (749) 987-9016</v>
      </c>
      <c r="J503" s="3" t="str">
        <f>VLOOKUP(F503,'Customers (2)'!A:I,6,0)</f>
        <v>Belfast</v>
      </c>
      <c r="K503" s="3" t="str">
        <f>VLOOKUP(F503,'Customers (2)'!A:I,7,0)</f>
        <v>United Kingdom</v>
      </c>
      <c r="L503" s="3" t="str">
        <f>VLOOKUP(F503,'Customers (2)'!A:I,9,0)</f>
        <v>No</v>
      </c>
      <c r="M503" s="4" t="s">
        <v>162</v>
      </c>
      <c r="N503" s="4" t="str">
        <f>VLOOKUP(M503,'Products (2)'!A:G,2,0)</f>
        <v>Robusta</v>
      </c>
      <c r="O503" s="4" t="str">
        <f>VLOOKUP(M503,'Products (2)'!A:G,3,0)</f>
        <v>Medium</v>
      </c>
      <c r="P503" s="4">
        <f>VLOOKUP(M503,'Products (2)'!A:G,7,0)</f>
        <v>0.17909999999999998</v>
      </c>
      <c r="Q503" s="3">
        <v>4</v>
      </c>
      <c r="R503" s="5">
        <f>INDEX([1]products!$A$1:$G$49,MATCH([1]orders!$D503,[1]products!$A$1:$A$49,0),MATCH([1]orders!K$1,[1]products!$A$1:$G$1,0))</f>
        <v>0.2</v>
      </c>
      <c r="S503" s="6">
        <f>INDEX([1]products!$A$1:$G$49,MATCH([1]orders!$D503,[1]products!$A$1:$A$49,0),MATCH([1]orders!L$1,[1]products!$A$1:$G$1,0))</f>
        <v>2.9849999999999999</v>
      </c>
      <c r="T503" s="6">
        <f t="shared" si="42"/>
        <v>11.94</v>
      </c>
      <c r="U503" s="22">
        <f t="shared" si="46"/>
        <v>0.71639999999999993</v>
      </c>
      <c r="V503" s="22">
        <f t="shared" si="47"/>
        <v>6</v>
      </c>
    </row>
    <row r="504" spans="1:22" x14ac:dyDescent="0.3">
      <c r="A504" s="1" t="s">
        <v>993</v>
      </c>
      <c r="B504" s="2">
        <v>43467</v>
      </c>
      <c r="C504" s="2" t="str">
        <f t="shared" si="43"/>
        <v>Wednesday</v>
      </c>
      <c r="D504" s="2" t="str">
        <f t="shared" si="44"/>
        <v>January</v>
      </c>
      <c r="E504" s="2" t="str">
        <f t="shared" si="45"/>
        <v>2019</v>
      </c>
      <c r="F504" s="3" t="s">
        <v>994</v>
      </c>
      <c r="G504" s="3" t="str">
        <f>VLOOKUP(F505,'Customers (2)'!A:I,2,0)</f>
        <v>Gladi Ducker</v>
      </c>
      <c r="H504" s="3" t="str">
        <f>VLOOKUP(F504,'Customers (2)'!A:I,3,0)</f>
        <v>gduckerdx@patch.com</v>
      </c>
      <c r="I504" s="3" t="str">
        <f>VLOOKUP(F504,'Customers (2)'!A:I,4,0)</f>
        <v>+44 (749) 987-9016</v>
      </c>
      <c r="J504" s="3" t="str">
        <f>VLOOKUP(F504,'Customers (2)'!A:I,6,0)</f>
        <v>Belfast</v>
      </c>
      <c r="K504" s="3" t="str">
        <f>VLOOKUP(F504,'Customers (2)'!A:I,7,0)</f>
        <v>United Kingdom</v>
      </c>
      <c r="L504" s="3" t="str">
        <f>VLOOKUP(F504,'Customers (2)'!A:I,9,0)</f>
        <v>No</v>
      </c>
      <c r="M504" s="4" t="s">
        <v>64</v>
      </c>
      <c r="N504" s="4" t="str">
        <f>VLOOKUP(M504,'Products (2)'!A:G,2,0)</f>
        <v>Excelsa</v>
      </c>
      <c r="O504" s="4" t="str">
        <f>VLOOKUP(M504,'Products (2)'!A:G,3,0)</f>
        <v>Medium</v>
      </c>
      <c r="P504" s="4">
        <f>VLOOKUP(M504,'Products (2)'!A:G,7,0)</f>
        <v>0.45374999999999999</v>
      </c>
      <c r="Q504" s="3">
        <v>4</v>
      </c>
      <c r="R504" s="5">
        <f>INDEX([1]products!$A$1:$G$49,MATCH([1]orders!$D504,[1]products!$A$1:$A$49,0),MATCH([1]orders!K$1,[1]products!$A$1:$G$1,0))</f>
        <v>0.2</v>
      </c>
      <c r="S504" s="6">
        <f>INDEX([1]products!$A$1:$G$49,MATCH([1]orders!$D504,[1]products!$A$1:$A$49,0),MATCH([1]orders!L$1,[1]products!$A$1:$G$1,0))</f>
        <v>4.125</v>
      </c>
      <c r="T504" s="6">
        <f t="shared" si="42"/>
        <v>16.5</v>
      </c>
      <c r="U504" s="22">
        <f t="shared" si="46"/>
        <v>1.8149999999999999</v>
      </c>
      <c r="V504" s="22">
        <f t="shared" si="47"/>
        <v>11</v>
      </c>
    </row>
    <row r="505" spans="1:22" x14ac:dyDescent="0.3">
      <c r="A505" s="1" t="s">
        <v>993</v>
      </c>
      <c r="B505" s="2">
        <v>43467</v>
      </c>
      <c r="C505" s="2" t="str">
        <f t="shared" si="43"/>
        <v>Wednesday</v>
      </c>
      <c r="D505" s="2" t="str">
        <f t="shared" si="44"/>
        <v>January</v>
      </c>
      <c r="E505" s="2" t="str">
        <f t="shared" si="45"/>
        <v>2019</v>
      </c>
      <c r="F505" s="3" t="s">
        <v>994</v>
      </c>
      <c r="G505" s="3" t="str">
        <f>VLOOKUP(F506,'Customers (2)'!A:I,2,0)</f>
        <v>Gladi Ducker</v>
      </c>
      <c r="H505" s="3" t="str">
        <f>VLOOKUP(F505,'Customers (2)'!A:I,3,0)</f>
        <v>gduckerdx@patch.com</v>
      </c>
      <c r="I505" s="3" t="str">
        <f>VLOOKUP(F505,'Customers (2)'!A:I,4,0)</f>
        <v>+44 (749) 987-9016</v>
      </c>
      <c r="J505" s="3" t="str">
        <f>VLOOKUP(F505,'Customers (2)'!A:I,6,0)</f>
        <v>Belfast</v>
      </c>
      <c r="K505" s="3" t="str">
        <f>VLOOKUP(F505,'Customers (2)'!A:I,7,0)</f>
        <v>United Kingdom</v>
      </c>
      <c r="L505" s="3" t="str">
        <f>VLOOKUP(F505,'Customers (2)'!A:I,9,0)</f>
        <v>No</v>
      </c>
      <c r="M505" s="4" t="s">
        <v>13</v>
      </c>
      <c r="N505" s="4" t="str">
        <f>VLOOKUP(M505,'Products (2)'!A:G,2,0)</f>
        <v>Liberica</v>
      </c>
      <c r="O505" s="4" t="str">
        <f>VLOOKUP(M505,'Products (2)'!A:G,3,0)</f>
        <v>Dark</v>
      </c>
      <c r="P505" s="4">
        <f>VLOOKUP(M505,'Products (2)'!A:G,7,0)</f>
        <v>1.6835</v>
      </c>
      <c r="Q505" s="3">
        <v>4</v>
      </c>
      <c r="R505" s="5">
        <f>INDEX([1]products!$A$1:$G$49,MATCH([1]orders!$D505,[1]products!$A$1:$A$49,0),MATCH([1]orders!K$1,[1]products!$A$1:$G$1,0))</f>
        <v>1</v>
      </c>
      <c r="S505" s="6">
        <f>INDEX([1]products!$A$1:$G$49,MATCH([1]orders!$D505,[1]products!$A$1:$A$49,0),MATCH([1]orders!L$1,[1]products!$A$1:$G$1,0))</f>
        <v>12.95</v>
      </c>
      <c r="T505" s="6">
        <f t="shared" si="42"/>
        <v>51.8</v>
      </c>
      <c r="U505" s="22">
        <f t="shared" si="46"/>
        <v>6.734</v>
      </c>
      <c r="V505" s="22">
        <f t="shared" si="47"/>
        <v>13</v>
      </c>
    </row>
    <row r="506" spans="1:22" x14ac:dyDescent="0.3">
      <c r="A506" s="1" t="s">
        <v>993</v>
      </c>
      <c r="B506" s="2">
        <v>43467</v>
      </c>
      <c r="C506" s="2" t="str">
        <f t="shared" si="43"/>
        <v>Wednesday</v>
      </c>
      <c r="D506" s="2" t="str">
        <f t="shared" si="44"/>
        <v>January</v>
      </c>
      <c r="E506" s="2" t="str">
        <f t="shared" si="45"/>
        <v>2019</v>
      </c>
      <c r="F506" s="3" t="s">
        <v>994</v>
      </c>
      <c r="G506" s="3" t="str">
        <f>VLOOKUP(F507,'Customers (2)'!A:I,2,0)</f>
        <v>Wain Stearley</v>
      </c>
      <c r="H506" s="3" t="str">
        <f>VLOOKUP(F506,'Customers (2)'!A:I,3,0)</f>
        <v>gduckerdx@patch.com</v>
      </c>
      <c r="I506" s="3" t="str">
        <f>VLOOKUP(F506,'Customers (2)'!A:I,4,0)</f>
        <v>+44 (749) 987-9016</v>
      </c>
      <c r="J506" s="3" t="str">
        <f>VLOOKUP(F506,'Customers (2)'!A:I,6,0)</f>
        <v>Belfast</v>
      </c>
      <c r="K506" s="3" t="str">
        <f>VLOOKUP(F506,'Customers (2)'!A:I,7,0)</f>
        <v>United Kingdom</v>
      </c>
      <c r="L506" s="3" t="str">
        <f>VLOOKUP(F506,'Customers (2)'!A:I,9,0)</f>
        <v>No</v>
      </c>
      <c r="M506" s="4" t="s">
        <v>19</v>
      </c>
      <c r="N506" s="4" t="str">
        <f>VLOOKUP(M506,'Products (2)'!A:G,2,0)</f>
        <v>Liberica</v>
      </c>
      <c r="O506" s="4" t="str">
        <f>VLOOKUP(M506,'Products (2)'!A:G,3,0)</f>
        <v>Light</v>
      </c>
      <c r="P506" s="4">
        <f>VLOOKUP(M506,'Products (2)'!A:G,7,0)</f>
        <v>0.61814999999999998</v>
      </c>
      <c r="Q506" s="3">
        <v>3</v>
      </c>
      <c r="R506" s="5">
        <f>INDEX([1]products!$A$1:$G$49,MATCH([1]orders!$D506,[1]products!$A$1:$A$49,0),MATCH([1]orders!K$1,[1]products!$A$1:$G$1,0))</f>
        <v>0.2</v>
      </c>
      <c r="S506" s="6">
        <f>INDEX([1]products!$A$1:$G$49,MATCH([1]orders!$D506,[1]products!$A$1:$A$49,0),MATCH([1]orders!L$1,[1]products!$A$1:$G$1,0))</f>
        <v>4.7549999999999999</v>
      </c>
      <c r="T506" s="6">
        <f t="shared" si="42"/>
        <v>14.265000000000001</v>
      </c>
      <c r="U506" s="22">
        <f t="shared" si="46"/>
        <v>1.8544499999999999</v>
      </c>
      <c r="V506" s="22">
        <f t="shared" si="47"/>
        <v>12.999999999999998</v>
      </c>
    </row>
    <row r="507" spans="1:22" x14ac:dyDescent="0.3">
      <c r="A507" s="1" t="s">
        <v>995</v>
      </c>
      <c r="B507" s="2">
        <v>44609</v>
      </c>
      <c r="C507" s="2" t="str">
        <f t="shared" si="43"/>
        <v>Thursday</v>
      </c>
      <c r="D507" s="2" t="str">
        <f t="shared" si="44"/>
        <v>February</v>
      </c>
      <c r="E507" s="2" t="str">
        <f t="shared" si="45"/>
        <v>2022</v>
      </c>
      <c r="F507" s="3" t="s">
        <v>996</v>
      </c>
      <c r="G507" s="3" t="str">
        <f>VLOOKUP(F508,'Customers (2)'!A:I,2,0)</f>
        <v>Diane-marie Wincer</v>
      </c>
      <c r="H507" s="3" t="str">
        <f>VLOOKUP(F507,'Customers (2)'!A:I,3,0)</f>
        <v>wstearleye1@census.gov</v>
      </c>
      <c r="I507" s="3" t="str">
        <f>VLOOKUP(F507,'Customers (2)'!A:I,4,0)</f>
        <v>+1 (336) 213-3687</v>
      </c>
      <c r="J507" s="3" t="str">
        <f>VLOOKUP(F507,'Customers (2)'!A:I,6,0)</f>
        <v>High Point</v>
      </c>
      <c r="K507" s="3" t="str">
        <f>VLOOKUP(F507,'Customers (2)'!A:I,7,0)</f>
        <v>United States</v>
      </c>
      <c r="L507" s="3" t="str">
        <f>VLOOKUP(F507,'Customers (2)'!A:I,9,0)</f>
        <v>No</v>
      </c>
      <c r="M507" s="4" t="s">
        <v>77</v>
      </c>
      <c r="N507" s="4" t="str">
        <f>VLOOKUP(M507,'Products (2)'!A:G,2,0)</f>
        <v>Liberica</v>
      </c>
      <c r="O507" s="4" t="str">
        <f>VLOOKUP(M507,'Products (2)'!A:G,3,0)</f>
        <v>Medium</v>
      </c>
      <c r="P507" s="4">
        <f>VLOOKUP(M507,'Products (2)'!A:G,7,0)</f>
        <v>0.56745000000000001</v>
      </c>
      <c r="Q507" s="3">
        <v>6</v>
      </c>
      <c r="R507" s="5">
        <f>INDEX([1]products!$A$1:$G$49,MATCH([1]orders!$D507,[1]products!$A$1:$A$49,0),MATCH([1]orders!K$1,[1]products!$A$1:$G$1,0))</f>
        <v>0.2</v>
      </c>
      <c r="S507" s="6">
        <f>INDEX([1]products!$A$1:$G$49,MATCH([1]orders!$D507,[1]products!$A$1:$A$49,0),MATCH([1]orders!L$1,[1]products!$A$1:$G$1,0))</f>
        <v>4.3650000000000002</v>
      </c>
      <c r="T507" s="6">
        <f t="shared" si="42"/>
        <v>26.19</v>
      </c>
      <c r="U507" s="22">
        <f t="shared" si="46"/>
        <v>3.4047000000000001</v>
      </c>
      <c r="V507" s="22">
        <f t="shared" si="47"/>
        <v>13</v>
      </c>
    </row>
    <row r="508" spans="1:22" x14ac:dyDescent="0.3">
      <c r="A508" s="1" t="s">
        <v>997</v>
      </c>
      <c r="B508" s="2">
        <v>44184</v>
      </c>
      <c r="C508" s="2" t="str">
        <f t="shared" si="43"/>
        <v>Saturday</v>
      </c>
      <c r="D508" s="2" t="str">
        <f t="shared" si="44"/>
        <v>December</v>
      </c>
      <c r="E508" s="2" t="str">
        <f t="shared" si="45"/>
        <v>2020</v>
      </c>
      <c r="F508" s="3" t="s">
        <v>998</v>
      </c>
      <c r="G508" s="3" t="str">
        <f>VLOOKUP(F509,'Customers (2)'!A:I,2,0)</f>
        <v>Perry Lyfield</v>
      </c>
      <c r="H508" s="3" t="str">
        <f>VLOOKUP(F508,'Customers (2)'!A:I,3,0)</f>
        <v>dwincere2@marriott.com</v>
      </c>
      <c r="I508" s="3" t="str">
        <f>VLOOKUP(F508,'Customers (2)'!A:I,4,0)</f>
        <v>+1 (915) 676-6367</v>
      </c>
      <c r="J508" s="3" t="str">
        <f>VLOOKUP(F508,'Customers (2)'!A:I,6,0)</f>
        <v>El Paso</v>
      </c>
      <c r="K508" s="3" t="str">
        <f>VLOOKUP(F508,'Customers (2)'!A:I,7,0)</f>
        <v>United States</v>
      </c>
      <c r="L508" s="3" t="str">
        <f>VLOOKUP(F508,'Customers (2)'!A:I,9,0)</f>
        <v>Yes</v>
      </c>
      <c r="M508" s="4" t="s">
        <v>6</v>
      </c>
      <c r="N508" s="4" t="str">
        <f>VLOOKUP(M508,'Products (2)'!A:G,2,0)</f>
        <v>Arabica</v>
      </c>
      <c r="O508" s="4" t="str">
        <f>VLOOKUP(M508,'Products (2)'!A:G,3,0)</f>
        <v>Light</v>
      </c>
      <c r="P508" s="4">
        <f>VLOOKUP(M508,'Products (2)'!A:G,7,0)</f>
        <v>1.1655</v>
      </c>
      <c r="Q508" s="3">
        <v>2</v>
      </c>
      <c r="R508" s="5">
        <f>INDEX([1]products!$A$1:$G$49,MATCH([1]orders!$D508,[1]products!$A$1:$A$49,0),MATCH([1]orders!K$1,[1]products!$A$1:$G$1,0))</f>
        <v>1</v>
      </c>
      <c r="S508" s="6">
        <f>INDEX([1]products!$A$1:$G$49,MATCH([1]orders!$D508,[1]products!$A$1:$A$49,0),MATCH([1]orders!L$1,[1]products!$A$1:$G$1,0))</f>
        <v>12.95</v>
      </c>
      <c r="T508" s="6">
        <f t="shared" si="42"/>
        <v>25.9</v>
      </c>
      <c r="U508" s="22">
        <f t="shared" si="46"/>
        <v>2.331</v>
      </c>
      <c r="V508" s="22">
        <f t="shared" si="47"/>
        <v>9</v>
      </c>
    </row>
    <row r="509" spans="1:22" x14ac:dyDescent="0.3">
      <c r="A509" s="1" t="s">
        <v>999</v>
      </c>
      <c r="B509" s="2">
        <v>43516</v>
      </c>
      <c r="C509" s="2" t="str">
        <f t="shared" si="43"/>
        <v>Wednesday</v>
      </c>
      <c r="D509" s="2" t="str">
        <f t="shared" si="44"/>
        <v>February</v>
      </c>
      <c r="E509" s="2" t="str">
        <f t="shared" si="45"/>
        <v>2019</v>
      </c>
      <c r="F509" s="3" t="s">
        <v>1000</v>
      </c>
      <c r="G509" s="3" t="str">
        <f>VLOOKUP(F510,'Customers (2)'!A:I,2,0)</f>
        <v>Heall Perris</v>
      </c>
      <c r="H509" s="3" t="str">
        <f>VLOOKUP(F509,'Customers (2)'!A:I,3,0)</f>
        <v>plyfielde3@baidu.com</v>
      </c>
      <c r="I509" s="3" t="str">
        <f>VLOOKUP(F509,'Customers (2)'!A:I,4,0)</f>
        <v>+1 (216) 614-9325</v>
      </c>
      <c r="J509" s="3" t="str">
        <f>VLOOKUP(F509,'Customers (2)'!A:I,6,0)</f>
        <v>Cleveland</v>
      </c>
      <c r="K509" s="3" t="str">
        <f>VLOOKUP(F509,'Customers (2)'!A:I,7,0)</f>
        <v>United States</v>
      </c>
      <c r="L509" s="3" t="str">
        <f>VLOOKUP(F509,'Customers (2)'!A:I,9,0)</f>
        <v>Yes</v>
      </c>
      <c r="M509" s="4" t="s">
        <v>204</v>
      </c>
      <c r="N509" s="4" t="str">
        <f>VLOOKUP(M509,'Products (2)'!A:G,2,0)</f>
        <v>Arabica</v>
      </c>
      <c r="O509" s="4" t="str">
        <f>VLOOKUP(M509,'Products (2)'!A:G,3,0)</f>
        <v>Light</v>
      </c>
      <c r="P509" s="4">
        <f>VLOOKUP(M509,'Products (2)'!A:G,7,0)</f>
        <v>2.6806499999999995</v>
      </c>
      <c r="Q509" s="3">
        <v>3</v>
      </c>
      <c r="R509" s="5">
        <f>INDEX([1]products!$A$1:$G$49,MATCH([1]orders!$D509,[1]products!$A$1:$A$49,0),MATCH([1]orders!K$1,[1]products!$A$1:$G$1,0))</f>
        <v>2.5</v>
      </c>
      <c r="S509" s="6">
        <f>INDEX([1]products!$A$1:$G$49,MATCH([1]orders!$D509,[1]products!$A$1:$A$49,0),MATCH([1]orders!L$1,[1]products!$A$1:$G$1,0))</f>
        <v>29.784999999999997</v>
      </c>
      <c r="T509" s="6">
        <f t="shared" si="42"/>
        <v>89.35499999999999</v>
      </c>
      <c r="U509" s="22">
        <f t="shared" si="46"/>
        <v>8.0419499999999982</v>
      </c>
      <c r="V509" s="22">
        <f t="shared" si="47"/>
        <v>8.9999999999999982</v>
      </c>
    </row>
    <row r="510" spans="1:22" x14ac:dyDescent="0.3">
      <c r="A510" s="1" t="s">
        <v>1001</v>
      </c>
      <c r="B510" s="2">
        <v>44210</v>
      </c>
      <c r="C510" s="2" t="str">
        <f t="shared" si="43"/>
        <v>Thursday</v>
      </c>
      <c r="D510" s="2" t="str">
        <f t="shared" si="44"/>
        <v>January</v>
      </c>
      <c r="E510" s="2" t="str">
        <f t="shared" si="45"/>
        <v>2021</v>
      </c>
      <c r="F510" s="3" t="s">
        <v>1002</v>
      </c>
      <c r="G510" s="3" t="str">
        <f>VLOOKUP(F511,'Customers (2)'!A:I,2,0)</f>
        <v>Marja Urion</v>
      </c>
      <c r="H510" s="3" t="str">
        <f>VLOOKUP(F510,'Customers (2)'!A:I,3,0)</f>
        <v>hperrise4@studiopress.com</v>
      </c>
      <c r="I510" s="3" t="str">
        <f>VLOOKUP(F510,'Customers (2)'!A:I,4,0)</f>
        <v>+353 (954) 293-8675</v>
      </c>
      <c r="J510" s="3" t="str">
        <f>VLOOKUP(F510,'Customers (2)'!A:I,6,0)</f>
        <v>Ballymahon</v>
      </c>
      <c r="K510" s="3" t="str">
        <f>VLOOKUP(F510,'Customers (2)'!A:I,7,0)</f>
        <v>Ireland</v>
      </c>
      <c r="L510" s="3" t="str">
        <f>VLOOKUP(F510,'Customers (2)'!A:I,9,0)</f>
        <v>No</v>
      </c>
      <c r="M510" s="4" t="s">
        <v>123</v>
      </c>
      <c r="N510" s="4" t="str">
        <f>VLOOKUP(M510,'Products (2)'!A:G,2,0)</f>
        <v>Liberica</v>
      </c>
      <c r="O510" s="4" t="str">
        <f>VLOOKUP(M510,'Products (2)'!A:G,3,0)</f>
        <v>Dark</v>
      </c>
      <c r="P510" s="4">
        <f>VLOOKUP(M510,'Products (2)'!A:G,7,0)</f>
        <v>1.0101</v>
      </c>
      <c r="Q510" s="3">
        <v>6</v>
      </c>
      <c r="R510" s="5">
        <f>INDEX([1]products!$A$1:$G$49,MATCH([1]orders!$D510,[1]products!$A$1:$A$49,0),MATCH([1]orders!K$1,[1]products!$A$1:$G$1,0))</f>
        <v>0.5</v>
      </c>
      <c r="S510" s="6">
        <f>INDEX([1]products!$A$1:$G$49,MATCH([1]orders!$D510,[1]products!$A$1:$A$49,0),MATCH([1]orders!L$1,[1]products!$A$1:$G$1,0))</f>
        <v>7.77</v>
      </c>
      <c r="T510" s="6">
        <f t="shared" si="42"/>
        <v>46.62</v>
      </c>
      <c r="U510" s="22">
        <f t="shared" si="46"/>
        <v>6.0606</v>
      </c>
      <c r="V510" s="22">
        <f t="shared" si="47"/>
        <v>13</v>
      </c>
    </row>
    <row r="511" spans="1:22" x14ac:dyDescent="0.3">
      <c r="A511" s="1" t="s">
        <v>1003</v>
      </c>
      <c r="B511" s="2">
        <v>43785</v>
      </c>
      <c r="C511" s="2" t="str">
        <f t="shared" si="43"/>
        <v>Saturday</v>
      </c>
      <c r="D511" s="2" t="str">
        <f t="shared" si="44"/>
        <v>November</v>
      </c>
      <c r="E511" s="2" t="str">
        <f t="shared" si="45"/>
        <v>2019</v>
      </c>
      <c r="F511" s="3" t="s">
        <v>988</v>
      </c>
      <c r="G511" s="3" t="str">
        <f>VLOOKUP(F512,'Customers (2)'!A:I,2,0)</f>
        <v>Camellia Kid</v>
      </c>
      <c r="H511" s="3" t="str">
        <f>VLOOKUP(F511,'Customers (2)'!A:I,3,0)</f>
        <v>murione5@alexa.com</v>
      </c>
      <c r="I511" s="3" t="str">
        <f>VLOOKUP(F511,'Customers (2)'!A:I,4,0)</f>
        <v>+353 (715) 989-0283</v>
      </c>
      <c r="J511" s="3" t="str">
        <f>VLOOKUP(F511,'Customers (2)'!A:I,6,0)</f>
        <v>Virginia</v>
      </c>
      <c r="K511" s="3" t="str">
        <f>VLOOKUP(F511,'Customers (2)'!A:I,7,0)</f>
        <v>Ireland</v>
      </c>
      <c r="L511" s="3" t="str">
        <f>VLOOKUP(F511,'Customers (2)'!A:I,9,0)</f>
        <v>Yes</v>
      </c>
      <c r="M511" s="4" t="s">
        <v>27</v>
      </c>
      <c r="N511" s="4" t="str">
        <f>VLOOKUP(M511,'Products (2)'!A:G,2,0)</f>
        <v>Arabica</v>
      </c>
      <c r="O511" s="4" t="str">
        <f>VLOOKUP(M511,'Products (2)'!A:G,3,0)</f>
        <v>Dark</v>
      </c>
      <c r="P511" s="4">
        <f>VLOOKUP(M511,'Products (2)'!A:G,7,0)</f>
        <v>0.89549999999999985</v>
      </c>
      <c r="Q511" s="3">
        <v>3</v>
      </c>
      <c r="R511" s="5">
        <f>INDEX([1]products!$A$1:$G$49,MATCH([1]orders!$D511,[1]products!$A$1:$A$49,0),MATCH([1]orders!K$1,[1]products!$A$1:$G$1,0))</f>
        <v>1</v>
      </c>
      <c r="S511" s="6">
        <f>INDEX([1]products!$A$1:$G$49,MATCH([1]orders!$D511,[1]products!$A$1:$A$49,0),MATCH([1]orders!L$1,[1]products!$A$1:$G$1,0))</f>
        <v>9.9499999999999993</v>
      </c>
      <c r="T511" s="6">
        <f t="shared" si="42"/>
        <v>29.849999999999998</v>
      </c>
      <c r="U511" s="22">
        <f t="shared" si="46"/>
        <v>2.6864999999999997</v>
      </c>
      <c r="V511" s="22">
        <f t="shared" si="47"/>
        <v>9</v>
      </c>
    </row>
    <row r="512" spans="1:22" x14ac:dyDescent="0.3">
      <c r="A512" s="1" t="s">
        <v>1004</v>
      </c>
      <c r="B512" s="2">
        <v>43803</v>
      </c>
      <c r="C512" s="2" t="str">
        <f t="shared" si="43"/>
        <v>Wednesday</v>
      </c>
      <c r="D512" s="2" t="str">
        <f t="shared" si="44"/>
        <v>December</v>
      </c>
      <c r="E512" s="2" t="str">
        <f t="shared" si="45"/>
        <v>2019</v>
      </c>
      <c r="F512" s="3" t="s">
        <v>1005</v>
      </c>
      <c r="G512" s="3" t="str">
        <f>VLOOKUP(F513,'Customers (2)'!A:I,2,0)</f>
        <v>Carolann Beine</v>
      </c>
      <c r="H512" s="3" t="str">
        <f>VLOOKUP(F512,'Customers (2)'!A:I,3,0)</f>
        <v>ckide6@narod.ru</v>
      </c>
      <c r="I512" s="3" t="str">
        <f>VLOOKUP(F512,'Customers (2)'!A:I,4,0)</f>
        <v>+353 (866) 707-2603</v>
      </c>
      <c r="J512" s="3" t="str">
        <f>VLOOKUP(F512,'Customers (2)'!A:I,6,0)</f>
        <v>Whitegate</v>
      </c>
      <c r="K512" s="3" t="str">
        <f>VLOOKUP(F512,'Customers (2)'!A:I,7,0)</f>
        <v>Ireland</v>
      </c>
      <c r="L512" s="3" t="str">
        <f>VLOOKUP(F512,'Customers (2)'!A:I,9,0)</f>
        <v>Yes</v>
      </c>
      <c r="M512" s="4" t="s">
        <v>182</v>
      </c>
      <c r="N512" s="4" t="str">
        <f>VLOOKUP(M512,'Products (2)'!A:G,2,0)</f>
        <v>Robusta</v>
      </c>
      <c r="O512" s="4" t="str">
        <f>VLOOKUP(M512,'Products (2)'!A:G,3,0)</f>
        <v>Light</v>
      </c>
      <c r="P512" s="4">
        <f>VLOOKUP(M512,'Products (2)'!A:G,7,0)</f>
        <v>0.21509999999999996</v>
      </c>
      <c r="Q512" s="3">
        <v>3</v>
      </c>
      <c r="R512" s="5">
        <f>INDEX([1]products!$A$1:$G$49,MATCH([1]orders!$D512,[1]products!$A$1:$A$49,0),MATCH([1]orders!K$1,[1]products!$A$1:$G$1,0))</f>
        <v>0.2</v>
      </c>
      <c r="S512" s="6">
        <f>INDEX([1]products!$A$1:$G$49,MATCH([1]orders!$D512,[1]products!$A$1:$A$49,0),MATCH([1]orders!L$1,[1]products!$A$1:$G$1,0))</f>
        <v>3.5849999999999995</v>
      </c>
      <c r="T512" s="6">
        <f t="shared" si="42"/>
        <v>10.754999999999999</v>
      </c>
      <c r="U512" s="22">
        <f t="shared" si="46"/>
        <v>0.64529999999999987</v>
      </c>
      <c r="V512" s="22">
        <f t="shared" si="47"/>
        <v>5.9999999999999991</v>
      </c>
    </row>
    <row r="513" spans="1:22" x14ac:dyDescent="0.3">
      <c r="A513" s="1" t="s">
        <v>1006</v>
      </c>
      <c r="B513" s="2">
        <v>44043</v>
      </c>
      <c r="C513" s="2" t="str">
        <f t="shared" si="43"/>
        <v>Friday</v>
      </c>
      <c r="D513" s="2" t="str">
        <f t="shared" si="44"/>
        <v>July</v>
      </c>
      <c r="E513" s="2" t="str">
        <f t="shared" si="45"/>
        <v>2020</v>
      </c>
      <c r="F513" s="3" t="s">
        <v>1007</v>
      </c>
      <c r="G513" s="3" t="str">
        <f>VLOOKUP(F514,'Customers (2)'!A:I,2,0)</f>
        <v>Celia Bakeup</v>
      </c>
      <c r="H513" s="3" t="str">
        <f>VLOOKUP(F513,'Customers (2)'!A:I,3,0)</f>
        <v>cbeinee7@xinhuanet.com</v>
      </c>
      <c r="I513" s="3" t="str">
        <f>VLOOKUP(F513,'Customers (2)'!A:I,4,0)</f>
        <v>+1 (205) 468-0236</v>
      </c>
      <c r="J513" s="3" t="str">
        <f>VLOOKUP(F513,'Customers (2)'!A:I,6,0)</f>
        <v>Birmingham</v>
      </c>
      <c r="K513" s="3" t="str">
        <f>VLOOKUP(F513,'Customers (2)'!A:I,7,0)</f>
        <v>United States</v>
      </c>
      <c r="L513" s="3" t="str">
        <f>VLOOKUP(F513,'Customers (2)'!A:I,9,0)</f>
        <v>Yes</v>
      </c>
      <c r="M513" s="4" t="s">
        <v>44</v>
      </c>
      <c r="N513" s="4" t="str">
        <f>VLOOKUP(M513,'Products (2)'!A:G,2,0)</f>
        <v>Arabica</v>
      </c>
      <c r="O513" s="4" t="str">
        <f>VLOOKUP(M513,'Products (2)'!A:G,3,0)</f>
        <v>Medium</v>
      </c>
      <c r="P513" s="4">
        <f>VLOOKUP(M513,'Products (2)'!A:G,7,0)</f>
        <v>0.30374999999999996</v>
      </c>
      <c r="Q513" s="3">
        <v>4</v>
      </c>
      <c r="R513" s="5">
        <f>INDEX([1]products!$A$1:$G$49,MATCH([1]orders!$D513,[1]products!$A$1:$A$49,0),MATCH([1]orders!K$1,[1]products!$A$1:$G$1,0))</f>
        <v>0.2</v>
      </c>
      <c r="S513" s="6">
        <f>INDEX([1]products!$A$1:$G$49,MATCH([1]orders!$D513,[1]products!$A$1:$A$49,0),MATCH([1]orders!L$1,[1]products!$A$1:$G$1,0))</f>
        <v>3.375</v>
      </c>
      <c r="T513" s="6">
        <f t="shared" si="42"/>
        <v>13.5</v>
      </c>
      <c r="U513" s="22">
        <f t="shared" si="46"/>
        <v>1.2149999999999999</v>
      </c>
      <c r="V513" s="22">
        <f t="shared" si="47"/>
        <v>8.9999999999999982</v>
      </c>
    </row>
    <row r="514" spans="1:22" x14ac:dyDescent="0.3">
      <c r="A514" s="1" t="s">
        <v>1008</v>
      </c>
      <c r="B514" s="2">
        <v>43535</v>
      </c>
      <c r="C514" s="2" t="str">
        <f t="shared" si="43"/>
        <v>Monday</v>
      </c>
      <c r="D514" s="2" t="str">
        <f t="shared" si="44"/>
        <v>March</v>
      </c>
      <c r="E514" s="2" t="str">
        <f t="shared" si="45"/>
        <v>2019</v>
      </c>
      <c r="F514" s="3" t="s">
        <v>1009</v>
      </c>
      <c r="G514" s="3" t="str">
        <f>VLOOKUP(F515,'Customers (2)'!A:I,2,0)</f>
        <v>Nataniel Helkin</v>
      </c>
      <c r="H514" s="3" t="str">
        <f>VLOOKUP(F514,'Customers (2)'!A:I,3,0)</f>
        <v>cbakeupe8@globo.com</v>
      </c>
      <c r="I514" s="3" t="str">
        <f>VLOOKUP(F514,'Customers (2)'!A:I,4,0)</f>
        <v>+1 (320) 375-8504</v>
      </c>
      <c r="J514" s="3" t="str">
        <f>VLOOKUP(F514,'Customers (2)'!A:I,6,0)</f>
        <v>Saint Cloud</v>
      </c>
      <c r="K514" s="3" t="str">
        <f>VLOOKUP(F514,'Customers (2)'!A:I,7,0)</f>
        <v>United States</v>
      </c>
      <c r="L514" s="3" t="str">
        <f>VLOOKUP(F514,'Customers (2)'!A:I,9,0)</f>
        <v>No</v>
      </c>
      <c r="M514" s="4" t="s">
        <v>132</v>
      </c>
      <c r="N514" s="4" t="str">
        <f>VLOOKUP(M514,'Products (2)'!A:G,2,0)</f>
        <v>Liberica</v>
      </c>
      <c r="O514" s="4" t="str">
        <f>VLOOKUP(M514,'Products (2)'!A:G,3,0)</f>
        <v>Light</v>
      </c>
      <c r="P514" s="4">
        <f>VLOOKUP(M514,'Products (2)'!A:G,7,0)</f>
        <v>2.0605000000000002</v>
      </c>
      <c r="Q514" s="3">
        <v>3</v>
      </c>
      <c r="R514" s="5">
        <f>INDEX([1]products!$A$1:$G$49,MATCH([1]orders!$D514,[1]products!$A$1:$A$49,0),MATCH([1]orders!K$1,[1]products!$A$1:$G$1,0))</f>
        <v>1</v>
      </c>
      <c r="S514" s="6">
        <f>INDEX([1]products!$A$1:$G$49,MATCH([1]orders!$D514,[1]products!$A$1:$A$49,0),MATCH([1]orders!L$1,[1]products!$A$1:$G$1,0))</f>
        <v>15.85</v>
      </c>
      <c r="T514" s="6">
        <f t="shared" ref="T514:T577" si="48">Q514*S514</f>
        <v>47.55</v>
      </c>
      <c r="U514" s="22">
        <f t="shared" si="46"/>
        <v>6.1815000000000007</v>
      </c>
      <c r="V514" s="22">
        <f t="shared" si="47"/>
        <v>13.000000000000004</v>
      </c>
    </row>
    <row r="515" spans="1:22" x14ac:dyDescent="0.3">
      <c r="A515" s="1" t="s">
        <v>1010</v>
      </c>
      <c r="B515" s="2">
        <v>44691</v>
      </c>
      <c r="C515" s="2" t="str">
        <f t="shared" ref="C515:C578" si="49">TEXT(B515,"dddd")</f>
        <v>Tuesday</v>
      </c>
      <c r="D515" s="2" t="str">
        <f t="shared" ref="D515:D578" si="50">TEXT(B515,"MMMM")</f>
        <v>May</v>
      </c>
      <c r="E515" s="2" t="str">
        <f t="shared" ref="E515:E578" si="51">TEXT(B515,"YYYY")</f>
        <v>2022</v>
      </c>
      <c r="F515" s="3" t="s">
        <v>1011</v>
      </c>
      <c r="G515" s="3" t="str">
        <f>VLOOKUP(F516,'Customers (2)'!A:I,2,0)</f>
        <v>Pippo Witherington</v>
      </c>
      <c r="H515" s="3" t="str">
        <f>VLOOKUP(F515,'Customers (2)'!A:I,3,0)</f>
        <v>nhelkine9@example.com</v>
      </c>
      <c r="I515" s="3">
        <f>VLOOKUP(F515,'Customers (2)'!A:I,4,0)</f>
        <v>0</v>
      </c>
      <c r="J515" s="3" t="str">
        <f>VLOOKUP(F515,'Customers (2)'!A:I,6,0)</f>
        <v>Philadelphia</v>
      </c>
      <c r="K515" s="3" t="str">
        <f>VLOOKUP(F515,'Customers (2)'!A:I,7,0)</f>
        <v>United States</v>
      </c>
      <c r="L515" s="3" t="str">
        <f>VLOOKUP(F515,'Customers (2)'!A:I,9,0)</f>
        <v>No</v>
      </c>
      <c r="M515" s="4" t="s">
        <v>132</v>
      </c>
      <c r="N515" s="4" t="str">
        <f>VLOOKUP(M515,'Products (2)'!A:G,2,0)</f>
        <v>Liberica</v>
      </c>
      <c r="O515" s="4" t="str">
        <f>VLOOKUP(M515,'Products (2)'!A:G,3,0)</f>
        <v>Light</v>
      </c>
      <c r="P515" s="4">
        <f>VLOOKUP(M515,'Products (2)'!A:G,7,0)</f>
        <v>2.0605000000000002</v>
      </c>
      <c r="Q515" s="3">
        <v>5</v>
      </c>
      <c r="R515" s="5">
        <f>INDEX([1]products!$A$1:$G$49,MATCH([1]orders!$D515,[1]products!$A$1:$A$49,0),MATCH([1]orders!K$1,[1]products!$A$1:$G$1,0))</f>
        <v>1</v>
      </c>
      <c r="S515" s="6">
        <f>INDEX([1]products!$A$1:$G$49,MATCH([1]orders!$D515,[1]products!$A$1:$A$49,0),MATCH([1]orders!L$1,[1]products!$A$1:$G$1,0))</f>
        <v>15.85</v>
      </c>
      <c r="T515" s="6">
        <f t="shared" si="48"/>
        <v>79.25</v>
      </c>
      <c r="U515" s="22">
        <f t="shared" ref="U515:U578" si="52">Q515*P515</f>
        <v>10.302500000000002</v>
      </c>
      <c r="V515" s="22">
        <f t="shared" ref="V515:V578" si="53">U515/T515*100</f>
        <v>13.000000000000004</v>
      </c>
    </row>
    <row r="516" spans="1:22" x14ac:dyDescent="0.3">
      <c r="A516" s="1" t="s">
        <v>1012</v>
      </c>
      <c r="B516" s="2">
        <v>44555</v>
      </c>
      <c r="C516" s="2" t="str">
        <f t="shared" si="49"/>
        <v>Saturday</v>
      </c>
      <c r="D516" s="2" t="str">
        <f t="shared" si="50"/>
        <v>December</v>
      </c>
      <c r="E516" s="2" t="str">
        <f t="shared" si="51"/>
        <v>2021</v>
      </c>
      <c r="F516" s="3" t="s">
        <v>1013</v>
      </c>
      <c r="G516" s="3" t="str">
        <f>VLOOKUP(F517,'Customers (2)'!A:I,2,0)</f>
        <v>Tildie Tilzey</v>
      </c>
      <c r="H516" s="3" t="str">
        <f>VLOOKUP(F516,'Customers (2)'!A:I,3,0)</f>
        <v>pwitheringtonea@networkadvertising.org</v>
      </c>
      <c r="I516" s="3" t="str">
        <f>VLOOKUP(F516,'Customers (2)'!A:I,4,0)</f>
        <v>+1 (810) 202-8870</v>
      </c>
      <c r="J516" s="3" t="str">
        <f>VLOOKUP(F516,'Customers (2)'!A:I,6,0)</f>
        <v>Detroit</v>
      </c>
      <c r="K516" s="3" t="str">
        <f>VLOOKUP(F516,'Customers (2)'!A:I,7,0)</f>
        <v>United States</v>
      </c>
      <c r="L516" s="3" t="str">
        <f>VLOOKUP(F516,'Customers (2)'!A:I,9,0)</f>
        <v>Yes</v>
      </c>
      <c r="M516" s="4" t="s">
        <v>77</v>
      </c>
      <c r="N516" s="4" t="str">
        <f>VLOOKUP(M516,'Products (2)'!A:G,2,0)</f>
        <v>Liberica</v>
      </c>
      <c r="O516" s="4" t="str">
        <f>VLOOKUP(M516,'Products (2)'!A:G,3,0)</f>
        <v>Medium</v>
      </c>
      <c r="P516" s="4">
        <f>VLOOKUP(M516,'Products (2)'!A:G,7,0)</f>
        <v>0.56745000000000001</v>
      </c>
      <c r="Q516" s="3">
        <v>6</v>
      </c>
      <c r="R516" s="5">
        <f>INDEX([1]products!$A$1:$G$49,MATCH([1]orders!$D516,[1]products!$A$1:$A$49,0),MATCH([1]orders!K$1,[1]products!$A$1:$G$1,0))</f>
        <v>0.2</v>
      </c>
      <c r="S516" s="6">
        <f>INDEX([1]products!$A$1:$G$49,MATCH([1]orders!$D516,[1]products!$A$1:$A$49,0),MATCH([1]orders!L$1,[1]products!$A$1:$G$1,0))</f>
        <v>4.3650000000000002</v>
      </c>
      <c r="T516" s="6">
        <f t="shared" si="48"/>
        <v>26.19</v>
      </c>
      <c r="U516" s="22">
        <f t="shared" si="52"/>
        <v>3.4047000000000001</v>
      </c>
      <c r="V516" s="22">
        <f t="shared" si="53"/>
        <v>13</v>
      </c>
    </row>
    <row r="517" spans="1:22" x14ac:dyDescent="0.3">
      <c r="A517" s="1" t="s">
        <v>1014</v>
      </c>
      <c r="B517" s="2">
        <v>44673</v>
      </c>
      <c r="C517" s="2" t="str">
        <f t="shared" si="49"/>
        <v>Friday</v>
      </c>
      <c r="D517" s="2" t="str">
        <f t="shared" si="50"/>
        <v>April</v>
      </c>
      <c r="E517" s="2" t="str">
        <f t="shared" si="51"/>
        <v>2022</v>
      </c>
      <c r="F517" s="3" t="s">
        <v>1015</v>
      </c>
      <c r="G517" s="3" t="str">
        <f>VLOOKUP(F518,'Customers (2)'!A:I,2,0)</f>
        <v>Cindra Burling</v>
      </c>
      <c r="H517" s="3" t="str">
        <f>VLOOKUP(F517,'Customers (2)'!A:I,3,0)</f>
        <v>ttilzeyeb@hostgator.com</v>
      </c>
      <c r="I517" s="3" t="str">
        <f>VLOOKUP(F517,'Customers (2)'!A:I,4,0)</f>
        <v>+1 (314) 876-7205</v>
      </c>
      <c r="J517" s="3" t="str">
        <f>VLOOKUP(F517,'Customers (2)'!A:I,6,0)</f>
        <v>Saint Louis</v>
      </c>
      <c r="K517" s="3" t="str">
        <f>VLOOKUP(F517,'Customers (2)'!A:I,7,0)</f>
        <v>United States</v>
      </c>
      <c r="L517" s="3" t="str">
        <f>VLOOKUP(F517,'Customers (2)'!A:I,9,0)</f>
        <v>No</v>
      </c>
      <c r="M517" s="4" t="s">
        <v>157</v>
      </c>
      <c r="N517" s="4" t="str">
        <f>VLOOKUP(M517,'Products (2)'!A:G,2,0)</f>
        <v>Robusta</v>
      </c>
      <c r="O517" s="4" t="str">
        <f>VLOOKUP(M517,'Products (2)'!A:G,3,0)</f>
        <v>Light</v>
      </c>
      <c r="P517" s="4">
        <f>VLOOKUP(M517,'Products (2)'!A:G,7,0)</f>
        <v>0.43019999999999992</v>
      </c>
      <c r="Q517" s="3">
        <v>3</v>
      </c>
      <c r="R517" s="5">
        <f>INDEX([1]products!$A$1:$G$49,MATCH([1]orders!$D517,[1]products!$A$1:$A$49,0),MATCH([1]orders!K$1,[1]products!$A$1:$G$1,0))</f>
        <v>0.5</v>
      </c>
      <c r="S517" s="6">
        <f>INDEX([1]products!$A$1:$G$49,MATCH([1]orders!$D517,[1]products!$A$1:$A$49,0),MATCH([1]orders!L$1,[1]products!$A$1:$G$1,0))</f>
        <v>7.169999999999999</v>
      </c>
      <c r="T517" s="6">
        <f t="shared" si="48"/>
        <v>21.509999999999998</v>
      </c>
      <c r="U517" s="22">
        <f t="shared" si="52"/>
        <v>1.2905999999999997</v>
      </c>
      <c r="V517" s="22">
        <f t="shared" si="53"/>
        <v>5.9999999999999991</v>
      </c>
    </row>
    <row r="518" spans="1:22" x14ac:dyDescent="0.3">
      <c r="A518" s="1" t="s">
        <v>1016</v>
      </c>
      <c r="B518" s="2">
        <v>44723</v>
      </c>
      <c r="C518" s="2" t="str">
        <f t="shared" si="49"/>
        <v>Saturday</v>
      </c>
      <c r="D518" s="2" t="str">
        <f t="shared" si="50"/>
        <v>June</v>
      </c>
      <c r="E518" s="2" t="str">
        <f t="shared" si="51"/>
        <v>2022</v>
      </c>
      <c r="F518" s="3" t="s">
        <v>1017</v>
      </c>
      <c r="G518" s="3" t="str">
        <f>VLOOKUP(F519,'Customers (2)'!A:I,2,0)</f>
        <v>Channa Belamy</v>
      </c>
      <c r="H518" s="3">
        <f>VLOOKUP(F518,'Customers (2)'!A:I,3,0)</f>
        <v>0</v>
      </c>
      <c r="I518" s="3" t="str">
        <f>VLOOKUP(F518,'Customers (2)'!A:I,4,0)</f>
        <v>+1 (518) 562-5402</v>
      </c>
      <c r="J518" s="3" t="str">
        <f>VLOOKUP(F518,'Customers (2)'!A:I,6,0)</f>
        <v>Schenectady</v>
      </c>
      <c r="K518" s="3" t="str">
        <f>VLOOKUP(F518,'Customers (2)'!A:I,7,0)</f>
        <v>United States</v>
      </c>
      <c r="L518" s="3" t="str">
        <f>VLOOKUP(F518,'Customers (2)'!A:I,9,0)</f>
        <v>Yes</v>
      </c>
      <c r="M518" s="4" t="s">
        <v>35</v>
      </c>
      <c r="N518" s="4" t="str">
        <f>VLOOKUP(M518,'Products (2)'!A:G,2,0)</f>
        <v>Robusta</v>
      </c>
      <c r="O518" s="4" t="str">
        <f>VLOOKUP(M518,'Products (2)'!A:G,3,0)</f>
        <v>Dark</v>
      </c>
      <c r="P518" s="4">
        <f>VLOOKUP(M518,'Products (2)'!A:G,7,0)</f>
        <v>1.2350999999999999</v>
      </c>
      <c r="Q518" s="3">
        <v>5</v>
      </c>
      <c r="R518" s="5">
        <f>INDEX([1]products!$A$1:$G$49,MATCH([1]orders!$D518,[1]products!$A$1:$A$49,0),MATCH([1]orders!K$1,[1]products!$A$1:$G$1,0))</f>
        <v>2.5</v>
      </c>
      <c r="S518" s="6">
        <f>INDEX([1]products!$A$1:$G$49,MATCH([1]orders!$D518,[1]products!$A$1:$A$49,0),MATCH([1]orders!L$1,[1]products!$A$1:$G$1,0))</f>
        <v>20.584999999999997</v>
      </c>
      <c r="T518" s="6">
        <f t="shared" si="48"/>
        <v>102.92499999999998</v>
      </c>
      <c r="U518" s="22">
        <f t="shared" si="52"/>
        <v>6.1754999999999995</v>
      </c>
      <c r="V518" s="22">
        <f t="shared" si="53"/>
        <v>6.0000000000000009</v>
      </c>
    </row>
    <row r="519" spans="1:22" x14ac:dyDescent="0.3">
      <c r="A519" s="1" t="s">
        <v>1018</v>
      </c>
      <c r="B519" s="2">
        <v>44678</v>
      </c>
      <c r="C519" s="2" t="str">
        <f t="shared" si="49"/>
        <v>Wednesday</v>
      </c>
      <c r="D519" s="2" t="str">
        <f t="shared" si="50"/>
        <v>April</v>
      </c>
      <c r="E519" s="2" t="str">
        <f t="shared" si="51"/>
        <v>2022</v>
      </c>
      <c r="F519" s="3" t="s">
        <v>1019</v>
      </c>
      <c r="G519" s="3" t="str">
        <f>VLOOKUP(F520,'Customers (2)'!A:I,2,0)</f>
        <v>Karl Imorts</v>
      </c>
      <c r="H519" s="3">
        <f>VLOOKUP(F519,'Customers (2)'!A:I,3,0)</f>
        <v>0</v>
      </c>
      <c r="I519" s="3" t="str">
        <f>VLOOKUP(F519,'Customers (2)'!A:I,4,0)</f>
        <v>+1 (863) 303-5561</v>
      </c>
      <c r="J519" s="3" t="str">
        <f>VLOOKUP(F519,'Customers (2)'!A:I,6,0)</f>
        <v>Lakeland</v>
      </c>
      <c r="K519" s="3" t="str">
        <f>VLOOKUP(F519,'Customers (2)'!A:I,7,0)</f>
        <v>United States</v>
      </c>
      <c r="L519" s="3" t="str">
        <f>VLOOKUP(F519,'Customers (2)'!A:I,9,0)</f>
        <v>No</v>
      </c>
      <c r="M519" s="4" t="s">
        <v>38</v>
      </c>
      <c r="N519" s="4" t="str">
        <f>VLOOKUP(M519,'Products (2)'!A:G,2,0)</f>
        <v>Liberica</v>
      </c>
      <c r="O519" s="4" t="str">
        <f>VLOOKUP(M519,'Products (2)'!A:G,3,0)</f>
        <v>Dark</v>
      </c>
      <c r="P519" s="4">
        <f>VLOOKUP(M519,'Products (2)'!A:G,7,0)</f>
        <v>0.50505</v>
      </c>
      <c r="Q519" s="3">
        <v>2</v>
      </c>
      <c r="R519" s="5">
        <f>INDEX([1]products!$A$1:$G$49,MATCH([1]orders!$D519,[1]products!$A$1:$A$49,0),MATCH([1]orders!K$1,[1]products!$A$1:$G$1,0))</f>
        <v>0.2</v>
      </c>
      <c r="S519" s="6">
        <f>INDEX([1]products!$A$1:$G$49,MATCH([1]orders!$D519,[1]products!$A$1:$A$49,0),MATCH([1]orders!L$1,[1]products!$A$1:$G$1,0))</f>
        <v>3.8849999999999998</v>
      </c>
      <c r="T519" s="6">
        <f t="shared" si="48"/>
        <v>7.77</v>
      </c>
      <c r="U519" s="22">
        <f t="shared" si="52"/>
        <v>1.0101</v>
      </c>
      <c r="V519" s="22">
        <f t="shared" si="53"/>
        <v>13</v>
      </c>
    </row>
    <row r="520" spans="1:22" x14ac:dyDescent="0.3">
      <c r="A520" s="1" t="s">
        <v>1020</v>
      </c>
      <c r="B520" s="2">
        <v>44194</v>
      </c>
      <c r="C520" s="2" t="str">
        <f t="shared" si="49"/>
        <v>Tuesday</v>
      </c>
      <c r="D520" s="2" t="str">
        <f t="shared" si="50"/>
        <v>December</v>
      </c>
      <c r="E520" s="2" t="str">
        <f t="shared" si="51"/>
        <v>2020</v>
      </c>
      <c r="F520" s="3" t="s">
        <v>1021</v>
      </c>
      <c r="G520" s="3" t="str">
        <f>VLOOKUP(F521,'Customers (2)'!A:I,2,0)</f>
        <v>Marja Urion</v>
      </c>
      <c r="H520" s="3" t="str">
        <f>VLOOKUP(F520,'Customers (2)'!A:I,3,0)</f>
        <v>kimortsee@alexa.com</v>
      </c>
      <c r="I520" s="3" t="str">
        <f>VLOOKUP(F520,'Customers (2)'!A:I,4,0)</f>
        <v>+1 (321) 156-1160</v>
      </c>
      <c r="J520" s="3" t="str">
        <f>VLOOKUP(F520,'Customers (2)'!A:I,6,0)</f>
        <v>Melbourne</v>
      </c>
      <c r="K520" s="3" t="str">
        <f>VLOOKUP(F520,'Customers (2)'!A:I,7,0)</f>
        <v>United States</v>
      </c>
      <c r="L520" s="3" t="str">
        <f>VLOOKUP(F520,'Customers (2)'!A:I,9,0)</f>
        <v>No</v>
      </c>
      <c r="M520" s="4" t="s">
        <v>530</v>
      </c>
      <c r="N520" s="4" t="str">
        <f>VLOOKUP(M520,'Products (2)'!A:G,2,0)</f>
        <v>Excelsa</v>
      </c>
      <c r="O520" s="4" t="str">
        <f>VLOOKUP(M520,'Products (2)'!A:G,3,0)</f>
        <v>Dark</v>
      </c>
      <c r="P520" s="4">
        <f>VLOOKUP(M520,'Products (2)'!A:G,7,0)</f>
        <v>3.07395</v>
      </c>
      <c r="Q520" s="3">
        <v>5</v>
      </c>
      <c r="R520" s="5">
        <f>INDEX([1]products!$A$1:$G$49,MATCH([1]orders!$D520,[1]products!$A$1:$A$49,0),MATCH([1]orders!K$1,[1]products!$A$1:$G$1,0))</f>
        <v>2.5</v>
      </c>
      <c r="S520" s="6">
        <f>INDEX([1]products!$A$1:$G$49,MATCH([1]orders!$D520,[1]products!$A$1:$A$49,0),MATCH([1]orders!L$1,[1]products!$A$1:$G$1,0))</f>
        <v>27.945</v>
      </c>
      <c r="T520" s="6">
        <f t="shared" si="48"/>
        <v>139.72499999999999</v>
      </c>
      <c r="U520" s="22">
        <f t="shared" si="52"/>
        <v>15.36975</v>
      </c>
      <c r="V520" s="22">
        <f t="shared" si="53"/>
        <v>11</v>
      </c>
    </row>
    <row r="521" spans="1:22" x14ac:dyDescent="0.3">
      <c r="A521" s="1" t="s">
        <v>1022</v>
      </c>
      <c r="B521" s="2">
        <v>44026</v>
      </c>
      <c r="C521" s="2" t="str">
        <f t="shared" si="49"/>
        <v>Tuesday</v>
      </c>
      <c r="D521" s="2" t="str">
        <f t="shared" si="50"/>
        <v>July</v>
      </c>
      <c r="E521" s="2" t="str">
        <f t="shared" si="51"/>
        <v>2020</v>
      </c>
      <c r="F521" s="3" t="s">
        <v>988</v>
      </c>
      <c r="G521" s="3" t="str">
        <f>VLOOKUP(F522,'Customers (2)'!A:I,2,0)</f>
        <v>Mag Armistead</v>
      </c>
      <c r="H521" s="3" t="str">
        <f>VLOOKUP(F521,'Customers (2)'!A:I,3,0)</f>
        <v>murione5@alexa.com</v>
      </c>
      <c r="I521" s="3" t="str">
        <f>VLOOKUP(F521,'Customers (2)'!A:I,4,0)</f>
        <v>+353 (715) 989-0283</v>
      </c>
      <c r="J521" s="3" t="str">
        <f>VLOOKUP(F521,'Customers (2)'!A:I,6,0)</f>
        <v>Virginia</v>
      </c>
      <c r="K521" s="3" t="str">
        <f>VLOOKUP(F521,'Customers (2)'!A:I,7,0)</f>
        <v>Ireland</v>
      </c>
      <c r="L521" s="3" t="str">
        <f>VLOOKUP(F521,'Customers (2)'!A:I,9,0)</f>
        <v>Yes</v>
      </c>
      <c r="M521" s="4" t="s">
        <v>72</v>
      </c>
      <c r="N521" s="4" t="str">
        <f>VLOOKUP(M521,'Products (2)'!A:G,2,0)</f>
        <v>Arabica</v>
      </c>
      <c r="O521" s="4" t="str">
        <f>VLOOKUP(M521,'Products (2)'!A:G,3,0)</f>
        <v>Dark</v>
      </c>
      <c r="P521" s="4">
        <f>VLOOKUP(M521,'Products (2)'!A:G,7,0)</f>
        <v>0.5373</v>
      </c>
      <c r="Q521" s="3">
        <v>2</v>
      </c>
      <c r="R521" s="5">
        <f>INDEX([1]products!$A$1:$G$49,MATCH([1]orders!$D521,[1]products!$A$1:$A$49,0),MATCH([1]orders!K$1,[1]products!$A$1:$G$1,0))</f>
        <v>0.5</v>
      </c>
      <c r="S521" s="6">
        <f>INDEX([1]products!$A$1:$G$49,MATCH([1]orders!$D521,[1]products!$A$1:$A$49,0),MATCH([1]orders!L$1,[1]products!$A$1:$G$1,0))</f>
        <v>5.97</v>
      </c>
      <c r="T521" s="6">
        <f t="shared" si="48"/>
        <v>11.94</v>
      </c>
      <c r="U521" s="22">
        <f t="shared" si="52"/>
        <v>1.0746</v>
      </c>
      <c r="V521" s="22">
        <f t="shared" si="53"/>
        <v>9.0000000000000018</v>
      </c>
    </row>
    <row r="522" spans="1:22" x14ac:dyDescent="0.3">
      <c r="A522" s="1" t="s">
        <v>1023</v>
      </c>
      <c r="B522" s="2">
        <v>44446</v>
      </c>
      <c r="C522" s="2" t="str">
        <f t="shared" si="49"/>
        <v>Tuesday</v>
      </c>
      <c r="D522" s="2" t="str">
        <f t="shared" si="50"/>
        <v>September</v>
      </c>
      <c r="E522" s="2" t="str">
        <f t="shared" si="51"/>
        <v>2021</v>
      </c>
      <c r="F522" s="3" t="s">
        <v>1024</v>
      </c>
      <c r="G522" s="3" t="str">
        <f>VLOOKUP(F523,'Customers (2)'!A:I,2,0)</f>
        <v>Mag Armistead</v>
      </c>
      <c r="H522" s="3" t="str">
        <f>VLOOKUP(F522,'Customers (2)'!A:I,3,0)</f>
        <v>marmisteadeg@blogtalkradio.com</v>
      </c>
      <c r="I522" s="3" t="str">
        <f>VLOOKUP(F522,'Customers (2)'!A:I,4,0)</f>
        <v>+1 (504) 611-3400</v>
      </c>
      <c r="J522" s="3" t="str">
        <f>VLOOKUP(F522,'Customers (2)'!A:I,6,0)</f>
        <v>New Orleans</v>
      </c>
      <c r="K522" s="3" t="str">
        <f>VLOOKUP(F522,'Customers (2)'!A:I,7,0)</f>
        <v>United States</v>
      </c>
      <c r="L522" s="3" t="str">
        <f>VLOOKUP(F522,'Customers (2)'!A:I,9,0)</f>
        <v>No</v>
      </c>
      <c r="M522" s="4" t="s">
        <v>38</v>
      </c>
      <c r="N522" s="4" t="str">
        <f>VLOOKUP(M522,'Products (2)'!A:G,2,0)</f>
        <v>Liberica</v>
      </c>
      <c r="O522" s="4" t="str">
        <f>VLOOKUP(M522,'Products (2)'!A:G,3,0)</f>
        <v>Dark</v>
      </c>
      <c r="P522" s="4">
        <f>VLOOKUP(M522,'Products (2)'!A:G,7,0)</f>
        <v>0.50505</v>
      </c>
      <c r="Q522" s="3">
        <v>1</v>
      </c>
      <c r="R522" s="5">
        <f>INDEX([1]products!$A$1:$G$49,MATCH([1]orders!$D522,[1]products!$A$1:$A$49,0),MATCH([1]orders!K$1,[1]products!$A$1:$G$1,0))</f>
        <v>0.2</v>
      </c>
      <c r="S522" s="6">
        <f>INDEX([1]products!$A$1:$G$49,MATCH([1]orders!$D522,[1]products!$A$1:$A$49,0),MATCH([1]orders!L$1,[1]products!$A$1:$G$1,0))</f>
        <v>3.8849999999999998</v>
      </c>
      <c r="T522" s="6">
        <f t="shared" si="48"/>
        <v>3.8849999999999998</v>
      </c>
      <c r="U522" s="22">
        <f t="shared" si="52"/>
        <v>0.50505</v>
      </c>
      <c r="V522" s="22">
        <f t="shared" si="53"/>
        <v>13</v>
      </c>
    </row>
    <row r="523" spans="1:22" x14ac:dyDescent="0.3">
      <c r="A523" s="1" t="s">
        <v>1023</v>
      </c>
      <c r="B523" s="2">
        <v>44446</v>
      </c>
      <c r="C523" s="2" t="str">
        <f t="shared" si="49"/>
        <v>Tuesday</v>
      </c>
      <c r="D523" s="2" t="str">
        <f t="shared" si="50"/>
        <v>September</v>
      </c>
      <c r="E523" s="2" t="str">
        <f t="shared" si="51"/>
        <v>2021</v>
      </c>
      <c r="F523" s="3" t="s">
        <v>1024</v>
      </c>
      <c r="G523" s="3" t="str">
        <f>VLOOKUP(F524,'Customers (2)'!A:I,2,0)</f>
        <v>Vasili Upstone</v>
      </c>
      <c r="H523" s="3" t="str">
        <f>VLOOKUP(F523,'Customers (2)'!A:I,3,0)</f>
        <v>marmisteadeg@blogtalkradio.com</v>
      </c>
      <c r="I523" s="3" t="str">
        <f>VLOOKUP(F523,'Customers (2)'!A:I,4,0)</f>
        <v>+1 (504) 611-3400</v>
      </c>
      <c r="J523" s="3" t="str">
        <f>VLOOKUP(F523,'Customers (2)'!A:I,6,0)</f>
        <v>New Orleans</v>
      </c>
      <c r="K523" s="3" t="str">
        <f>VLOOKUP(F523,'Customers (2)'!A:I,7,0)</f>
        <v>United States</v>
      </c>
      <c r="L523" s="3" t="str">
        <f>VLOOKUP(F523,'Customers (2)'!A:I,9,0)</f>
        <v>No</v>
      </c>
      <c r="M523" s="4" t="s">
        <v>2</v>
      </c>
      <c r="N523" s="4" t="str">
        <f>VLOOKUP(M523,'Products (2)'!A:G,2,0)</f>
        <v>Robusta</v>
      </c>
      <c r="O523" s="4" t="str">
        <f>VLOOKUP(M523,'Products (2)'!A:G,3,0)</f>
        <v>Medium</v>
      </c>
      <c r="P523" s="4">
        <f>VLOOKUP(M523,'Products (2)'!A:G,7,0)</f>
        <v>0.59699999999999998</v>
      </c>
      <c r="Q523" s="3">
        <v>4</v>
      </c>
      <c r="R523" s="5">
        <f>INDEX([1]products!$A$1:$G$49,MATCH([1]orders!$D523,[1]products!$A$1:$A$49,0),MATCH([1]orders!K$1,[1]products!$A$1:$G$1,0))</f>
        <v>1</v>
      </c>
      <c r="S523" s="6">
        <f>INDEX([1]products!$A$1:$G$49,MATCH([1]orders!$D523,[1]products!$A$1:$A$49,0),MATCH([1]orders!L$1,[1]products!$A$1:$G$1,0))</f>
        <v>9.9499999999999993</v>
      </c>
      <c r="T523" s="6">
        <f t="shared" si="48"/>
        <v>39.799999999999997</v>
      </c>
      <c r="U523" s="22">
        <f t="shared" si="52"/>
        <v>2.3879999999999999</v>
      </c>
      <c r="V523" s="22">
        <f t="shared" si="53"/>
        <v>6.0000000000000009</v>
      </c>
    </row>
    <row r="524" spans="1:22" x14ac:dyDescent="0.3">
      <c r="A524" s="1" t="s">
        <v>1025</v>
      </c>
      <c r="B524" s="2">
        <v>43625</v>
      </c>
      <c r="C524" s="2" t="str">
        <f t="shared" si="49"/>
        <v>Sunday</v>
      </c>
      <c r="D524" s="2" t="str">
        <f t="shared" si="50"/>
        <v>June</v>
      </c>
      <c r="E524" s="2" t="str">
        <f t="shared" si="51"/>
        <v>2019</v>
      </c>
      <c r="F524" s="3" t="s">
        <v>1026</v>
      </c>
      <c r="G524" s="3" t="str">
        <f>VLOOKUP(F525,'Customers (2)'!A:I,2,0)</f>
        <v>Berty Beelby</v>
      </c>
      <c r="H524" s="3" t="str">
        <f>VLOOKUP(F524,'Customers (2)'!A:I,3,0)</f>
        <v>vupstoneei@google.pl</v>
      </c>
      <c r="I524" s="3" t="str">
        <f>VLOOKUP(F524,'Customers (2)'!A:I,4,0)</f>
        <v>+1 (785) 366-9983</v>
      </c>
      <c r="J524" s="3" t="str">
        <f>VLOOKUP(F524,'Customers (2)'!A:I,6,0)</f>
        <v>Topeka</v>
      </c>
      <c r="K524" s="3" t="str">
        <f>VLOOKUP(F524,'Customers (2)'!A:I,7,0)</f>
        <v>United States</v>
      </c>
      <c r="L524" s="3" t="str">
        <f>VLOOKUP(F524,'Customers (2)'!A:I,9,0)</f>
        <v>No</v>
      </c>
      <c r="M524" s="4" t="s">
        <v>22</v>
      </c>
      <c r="N524" s="4" t="str">
        <f>VLOOKUP(M524,'Products (2)'!A:G,2,0)</f>
        <v>Robusta</v>
      </c>
      <c r="O524" s="4" t="str">
        <f>VLOOKUP(M524,'Products (2)'!A:G,3,0)</f>
        <v>Medium</v>
      </c>
      <c r="P524" s="4">
        <f>VLOOKUP(M524,'Products (2)'!A:G,7,0)</f>
        <v>0.35819999999999996</v>
      </c>
      <c r="Q524" s="3">
        <v>5</v>
      </c>
      <c r="R524" s="5">
        <f>INDEX([1]products!$A$1:$G$49,MATCH([1]orders!$D524,[1]products!$A$1:$A$49,0),MATCH([1]orders!K$1,[1]products!$A$1:$G$1,0))</f>
        <v>0.5</v>
      </c>
      <c r="S524" s="6">
        <f>INDEX([1]products!$A$1:$G$49,MATCH([1]orders!$D524,[1]products!$A$1:$A$49,0),MATCH([1]orders!L$1,[1]products!$A$1:$G$1,0))</f>
        <v>5.97</v>
      </c>
      <c r="T524" s="6">
        <f t="shared" si="48"/>
        <v>29.849999999999998</v>
      </c>
      <c r="U524" s="22">
        <f t="shared" si="52"/>
        <v>1.7909999999999999</v>
      </c>
      <c r="V524" s="22">
        <f t="shared" si="53"/>
        <v>6.0000000000000009</v>
      </c>
    </row>
    <row r="525" spans="1:22" x14ac:dyDescent="0.3">
      <c r="A525" s="1" t="s">
        <v>1027</v>
      </c>
      <c r="B525" s="2">
        <v>44129</v>
      </c>
      <c r="C525" s="2" t="str">
        <f t="shared" si="49"/>
        <v>Sunday</v>
      </c>
      <c r="D525" s="2" t="str">
        <f t="shared" si="50"/>
        <v>October</v>
      </c>
      <c r="E525" s="2" t="str">
        <f t="shared" si="51"/>
        <v>2020</v>
      </c>
      <c r="F525" s="3" t="s">
        <v>1028</v>
      </c>
      <c r="G525" s="3" t="str">
        <f>VLOOKUP(F526,'Customers (2)'!A:I,2,0)</f>
        <v>Erny Stenyng</v>
      </c>
      <c r="H525" s="3" t="str">
        <f>VLOOKUP(F525,'Customers (2)'!A:I,3,0)</f>
        <v>bbeelbyej@rediff.com</v>
      </c>
      <c r="I525" s="3" t="str">
        <f>VLOOKUP(F525,'Customers (2)'!A:I,4,0)</f>
        <v>+353 (537) 360-4393</v>
      </c>
      <c r="J525" s="3" t="str">
        <f>VLOOKUP(F525,'Customers (2)'!A:I,6,0)</f>
        <v>Lucan</v>
      </c>
      <c r="K525" s="3" t="str">
        <f>VLOOKUP(F525,'Customers (2)'!A:I,7,0)</f>
        <v>Ireland</v>
      </c>
      <c r="L525" s="3" t="str">
        <f>VLOOKUP(F525,'Customers (2)'!A:I,9,0)</f>
        <v>No</v>
      </c>
      <c r="M525" s="4" t="s">
        <v>109</v>
      </c>
      <c r="N525" s="4" t="str">
        <f>VLOOKUP(M525,'Products (2)'!A:G,2,0)</f>
        <v>Liberica</v>
      </c>
      <c r="O525" s="4" t="str">
        <f>VLOOKUP(M525,'Products (2)'!A:G,3,0)</f>
        <v>Dark</v>
      </c>
      <c r="P525" s="4">
        <f>VLOOKUP(M525,'Products (2)'!A:G,7,0)</f>
        <v>3.8720499999999998</v>
      </c>
      <c r="Q525" s="3">
        <v>1</v>
      </c>
      <c r="R525" s="5">
        <f>INDEX([1]products!$A$1:$G$49,MATCH([1]orders!$D525,[1]products!$A$1:$A$49,0),MATCH([1]orders!K$1,[1]products!$A$1:$G$1,0))</f>
        <v>2.5</v>
      </c>
      <c r="S525" s="6">
        <f>INDEX([1]products!$A$1:$G$49,MATCH([1]orders!$D525,[1]products!$A$1:$A$49,0),MATCH([1]orders!L$1,[1]products!$A$1:$G$1,0))</f>
        <v>29.784999999999997</v>
      </c>
      <c r="T525" s="6">
        <f t="shared" si="48"/>
        <v>29.784999999999997</v>
      </c>
      <c r="U525" s="22">
        <f t="shared" si="52"/>
        <v>3.8720499999999998</v>
      </c>
      <c r="V525" s="22">
        <f t="shared" si="53"/>
        <v>13</v>
      </c>
    </row>
    <row r="526" spans="1:22" x14ac:dyDescent="0.3">
      <c r="A526" s="1" t="s">
        <v>1029</v>
      </c>
      <c r="B526" s="2">
        <v>44255</v>
      </c>
      <c r="C526" s="2" t="str">
        <f t="shared" si="49"/>
        <v>Sunday</v>
      </c>
      <c r="D526" s="2" t="str">
        <f t="shared" si="50"/>
        <v>February</v>
      </c>
      <c r="E526" s="2" t="str">
        <f t="shared" si="51"/>
        <v>2021</v>
      </c>
      <c r="F526" s="3" t="s">
        <v>1030</v>
      </c>
      <c r="G526" s="3" t="str">
        <f>VLOOKUP(F527,'Customers (2)'!A:I,2,0)</f>
        <v>Edin Yantsurev</v>
      </c>
      <c r="H526" s="3">
        <f>VLOOKUP(F526,'Customers (2)'!A:I,3,0)</f>
        <v>0</v>
      </c>
      <c r="I526" s="3" t="str">
        <f>VLOOKUP(F526,'Customers (2)'!A:I,4,0)</f>
        <v>+1 (217) 450-8384</v>
      </c>
      <c r="J526" s="3" t="str">
        <f>VLOOKUP(F526,'Customers (2)'!A:I,6,0)</f>
        <v>Springfield</v>
      </c>
      <c r="K526" s="3" t="str">
        <f>VLOOKUP(F526,'Customers (2)'!A:I,7,0)</f>
        <v>United States</v>
      </c>
      <c r="L526" s="3" t="str">
        <f>VLOOKUP(F526,'Customers (2)'!A:I,9,0)</f>
        <v>No</v>
      </c>
      <c r="M526" s="4" t="s">
        <v>104</v>
      </c>
      <c r="N526" s="4" t="str">
        <f>VLOOKUP(M526,'Products (2)'!A:G,2,0)</f>
        <v>Liberica</v>
      </c>
      <c r="O526" s="4" t="str">
        <f>VLOOKUP(M526,'Products (2)'!A:G,3,0)</f>
        <v>Light</v>
      </c>
      <c r="P526" s="4">
        <f>VLOOKUP(M526,'Products (2)'!A:G,7,0)</f>
        <v>4.7391499999999995</v>
      </c>
      <c r="Q526" s="3">
        <v>2</v>
      </c>
      <c r="R526" s="5">
        <f>INDEX([1]products!$A$1:$G$49,MATCH([1]orders!$D526,[1]products!$A$1:$A$49,0),MATCH([1]orders!K$1,[1]products!$A$1:$G$1,0))</f>
        <v>2.5</v>
      </c>
      <c r="S526" s="6">
        <f>INDEX([1]products!$A$1:$G$49,MATCH([1]orders!$D526,[1]products!$A$1:$A$49,0),MATCH([1]orders!L$1,[1]products!$A$1:$G$1,0))</f>
        <v>36.454999999999998</v>
      </c>
      <c r="T526" s="6">
        <f t="shared" si="48"/>
        <v>72.91</v>
      </c>
      <c r="U526" s="22">
        <f t="shared" si="52"/>
        <v>9.4782999999999991</v>
      </c>
      <c r="V526" s="22">
        <f t="shared" si="53"/>
        <v>13</v>
      </c>
    </row>
    <row r="527" spans="1:22" x14ac:dyDescent="0.3">
      <c r="A527" s="1" t="s">
        <v>1031</v>
      </c>
      <c r="B527" s="2">
        <v>44038</v>
      </c>
      <c r="C527" s="2" t="str">
        <f t="shared" si="49"/>
        <v>Sunday</v>
      </c>
      <c r="D527" s="2" t="str">
        <f t="shared" si="50"/>
        <v>July</v>
      </c>
      <c r="E527" s="2" t="str">
        <f t="shared" si="51"/>
        <v>2020</v>
      </c>
      <c r="F527" s="3" t="s">
        <v>1032</v>
      </c>
      <c r="G527" s="3" t="str">
        <f>VLOOKUP(F528,'Customers (2)'!A:I,2,0)</f>
        <v>Webb Speechly</v>
      </c>
      <c r="H527" s="3">
        <f>VLOOKUP(F527,'Customers (2)'!A:I,3,0)</f>
        <v>0</v>
      </c>
      <c r="I527" s="3" t="str">
        <f>VLOOKUP(F527,'Customers (2)'!A:I,4,0)</f>
        <v>+1 (856) 793-3491</v>
      </c>
      <c r="J527" s="3" t="str">
        <f>VLOOKUP(F527,'Customers (2)'!A:I,6,0)</f>
        <v>Camden</v>
      </c>
      <c r="K527" s="3" t="str">
        <f>VLOOKUP(F527,'Customers (2)'!A:I,7,0)</f>
        <v>United States</v>
      </c>
      <c r="L527" s="3" t="str">
        <f>VLOOKUP(F527,'Customers (2)'!A:I,9,0)</f>
        <v>Yes</v>
      </c>
      <c r="M527" s="4" t="s">
        <v>101</v>
      </c>
      <c r="N527" s="4" t="str">
        <f>VLOOKUP(M527,'Products (2)'!A:G,2,0)</f>
        <v>Robusta</v>
      </c>
      <c r="O527" s="4" t="str">
        <f>VLOOKUP(M527,'Products (2)'!A:G,3,0)</f>
        <v>Dark</v>
      </c>
      <c r="P527" s="4">
        <f>VLOOKUP(M527,'Products (2)'!A:G,7,0)</f>
        <v>0.16109999999999997</v>
      </c>
      <c r="Q527" s="3">
        <v>5</v>
      </c>
      <c r="R527" s="5">
        <f>INDEX([1]products!$A$1:$G$49,MATCH([1]orders!$D527,[1]products!$A$1:$A$49,0),MATCH([1]orders!K$1,[1]products!$A$1:$G$1,0))</f>
        <v>0.2</v>
      </c>
      <c r="S527" s="6">
        <f>INDEX([1]products!$A$1:$G$49,MATCH([1]orders!$D527,[1]products!$A$1:$A$49,0),MATCH([1]orders!L$1,[1]products!$A$1:$G$1,0))</f>
        <v>2.6849999999999996</v>
      </c>
      <c r="T527" s="6">
        <f t="shared" si="48"/>
        <v>13.424999999999997</v>
      </c>
      <c r="U527" s="22">
        <f t="shared" si="52"/>
        <v>0.80549999999999988</v>
      </c>
      <c r="V527" s="22">
        <f t="shared" si="53"/>
        <v>6.0000000000000009</v>
      </c>
    </row>
    <row r="528" spans="1:22" x14ac:dyDescent="0.3">
      <c r="A528" s="1" t="s">
        <v>1033</v>
      </c>
      <c r="B528" s="2">
        <v>44717</v>
      </c>
      <c r="C528" s="2" t="str">
        <f t="shared" si="49"/>
        <v>Sunday</v>
      </c>
      <c r="D528" s="2" t="str">
        <f t="shared" si="50"/>
        <v>June</v>
      </c>
      <c r="E528" s="2" t="str">
        <f t="shared" si="51"/>
        <v>2022</v>
      </c>
      <c r="F528" s="3" t="s">
        <v>1034</v>
      </c>
      <c r="G528" s="3" t="str">
        <f>VLOOKUP(F529,'Customers (2)'!A:I,2,0)</f>
        <v>Irvine Phillpot</v>
      </c>
      <c r="H528" s="3" t="str">
        <f>VLOOKUP(F528,'Customers (2)'!A:I,3,0)</f>
        <v>wspeechlyem@amazon.com</v>
      </c>
      <c r="I528" s="3" t="str">
        <f>VLOOKUP(F528,'Customers (2)'!A:I,4,0)</f>
        <v>+1 (206) 440-5750</v>
      </c>
      <c r="J528" s="3" t="str">
        <f>VLOOKUP(F528,'Customers (2)'!A:I,6,0)</f>
        <v>Seattle</v>
      </c>
      <c r="K528" s="3" t="str">
        <f>VLOOKUP(F528,'Customers (2)'!A:I,7,0)</f>
        <v>United States</v>
      </c>
      <c r="L528" s="3" t="str">
        <f>VLOOKUP(F528,'Customers (2)'!A:I,9,0)</f>
        <v>Yes</v>
      </c>
      <c r="M528" s="4" t="s">
        <v>112</v>
      </c>
      <c r="N528" s="4" t="str">
        <f>VLOOKUP(M528,'Products (2)'!A:G,2,0)</f>
        <v>Excelsa</v>
      </c>
      <c r="O528" s="4" t="str">
        <f>VLOOKUP(M528,'Products (2)'!A:G,3,0)</f>
        <v>Medium</v>
      </c>
      <c r="P528" s="4">
        <f>VLOOKUP(M528,'Products (2)'!A:G,7,0)</f>
        <v>3.4787499999999998</v>
      </c>
      <c r="Q528" s="3">
        <v>4</v>
      </c>
      <c r="R528" s="5">
        <f>INDEX([1]products!$A$1:$G$49,MATCH([1]orders!$D528,[1]products!$A$1:$A$49,0),MATCH([1]orders!K$1,[1]products!$A$1:$G$1,0))</f>
        <v>2.5</v>
      </c>
      <c r="S528" s="6">
        <f>INDEX([1]products!$A$1:$G$49,MATCH([1]orders!$D528,[1]products!$A$1:$A$49,0),MATCH([1]orders!L$1,[1]products!$A$1:$G$1,0))</f>
        <v>31.624999999999996</v>
      </c>
      <c r="T528" s="6">
        <f t="shared" si="48"/>
        <v>126.49999999999999</v>
      </c>
      <c r="U528" s="22">
        <f t="shared" si="52"/>
        <v>13.914999999999999</v>
      </c>
      <c r="V528" s="22">
        <f t="shared" si="53"/>
        <v>11</v>
      </c>
    </row>
    <row r="529" spans="1:22" x14ac:dyDescent="0.3">
      <c r="A529" s="1" t="s">
        <v>1035</v>
      </c>
      <c r="B529" s="2">
        <v>43517</v>
      </c>
      <c r="C529" s="2" t="str">
        <f t="shared" si="49"/>
        <v>Thursday</v>
      </c>
      <c r="D529" s="2" t="str">
        <f t="shared" si="50"/>
        <v>February</v>
      </c>
      <c r="E529" s="2" t="str">
        <f t="shared" si="51"/>
        <v>2019</v>
      </c>
      <c r="F529" s="3" t="s">
        <v>1036</v>
      </c>
      <c r="G529" s="3" t="str">
        <f>VLOOKUP(F530,'Customers (2)'!A:I,2,0)</f>
        <v>Lem Pennacci</v>
      </c>
      <c r="H529" s="3" t="str">
        <f>VLOOKUP(F529,'Customers (2)'!A:I,3,0)</f>
        <v>iphillpoten@buzzfeed.com</v>
      </c>
      <c r="I529" s="3" t="str">
        <f>VLOOKUP(F529,'Customers (2)'!A:I,4,0)</f>
        <v>+44 (610) 826-3107</v>
      </c>
      <c r="J529" s="3" t="str">
        <f>VLOOKUP(F529,'Customers (2)'!A:I,6,0)</f>
        <v>Wootton</v>
      </c>
      <c r="K529" s="3" t="str">
        <f>VLOOKUP(F529,'Customers (2)'!A:I,7,0)</f>
        <v>United Kingdom</v>
      </c>
      <c r="L529" s="3" t="str">
        <f>VLOOKUP(F529,'Customers (2)'!A:I,9,0)</f>
        <v>No</v>
      </c>
      <c r="M529" s="4" t="s">
        <v>3</v>
      </c>
      <c r="N529" s="4" t="str">
        <f>VLOOKUP(M529,'Products (2)'!A:G,2,0)</f>
        <v>Excelsa</v>
      </c>
      <c r="O529" s="4" t="str">
        <f>VLOOKUP(M529,'Products (2)'!A:G,3,0)</f>
        <v>Medium</v>
      </c>
      <c r="P529" s="4">
        <f>VLOOKUP(M529,'Products (2)'!A:G,7,0)</f>
        <v>0.90749999999999997</v>
      </c>
      <c r="Q529" s="3">
        <v>5</v>
      </c>
      <c r="R529" s="5">
        <f>INDEX([1]products!$A$1:$G$49,MATCH([1]orders!$D529,[1]products!$A$1:$A$49,0),MATCH([1]orders!K$1,[1]products!$A$1:$G$1,0))</f>
        <v>0.5</v>
      </c>
      <c r="S529" s="6">
        <f>INDEX([1]products!$A$1:$G$49,MATCH([1]orders!$D529,[1]products!$A$1:$A$49,0),MATCH([1]orders!L$1,[1]products!$A$1:$G$1,0))</f>
        <v>8.25</v>
      </c>
      <c r="T529" s="6">
        <f t="shared" si="48"/>
        <v>41.25</v>
      </c>
      <c r="U529" s="22">
        <f t="shared" si="52"/>
        <v>4.5374999999999996</v>
      </c>
      <c r="V529" s="22">
        <f t="shared" si="53"/>
        <v>10.999999999999998</v>
      </c>
    </row>
    <row r="530" spans="1:22" x14ac:dyDescent="0.3">
      <c r="A530" s="1" t="s">
        <v>1037</v>
      </c>
      <c r="B530" s="2">
        <v>43926</v>
      </c>
      <c r="C530" s="2" t="str">
        <f t="shared" si="49"/>
        <v>Sunday</v>
      </c>
      <c r="D530" s="2" t="str">
        <f t="shared" si="50"/>
        <v>April</v>
      </c>
      <c r="E530" s="2" t="str">
        <f t="shared" si="51"/>
        <v>2020</v>
      </c>
      <c r="F530" s="3" t="s">
        <v>1038</v>
      </c>
      <c r="G530" s="3" t="str">
        <f>VLOOKUP(F531,'Customers (2)'!A:I,2,0)</f>
        <v>Starr Arpin</v>
      </c>
      <c r="H530" s="3" t="str">
        <f>VLOOKUP(F530,'Customers (2)'!A:I,3,0)</f>
        <v>lpennaccieo@statcounter.com</v>
      </c>
      <c r="I530" s="3" t="str">
        <f>VLOOKUP(F530,'Customers (2)'!A:I,4,0)</f>
        <v>+1 (254) 597-0519</v>
      </c>
      <c r="J530" s="3" t="str">
        <f>VLOOKUP(F530,'Customers (2)'!A:I,6,0)</f>
        <v>Waco</v>
      </c>
      <c r="K530" s="3" t="str">
        <f>VLOOKUP(F530,'Customers (2)'!A:I,7,0)</f>
        <v>United States</v>
      </c>
      <c r="L530" s="3" t="str">
        <f>VLOOKUP(F530,'Customers (2)'!A:I,9,0)</f>
        <v>No</v>
      </c>
      <c r="M530" s="4" t="s">
        <v>176</v>
      </c>
      <c r="N530" s="4" t="str">
        <f>VLOOKUP(M530,'Products (2)'!A:G,2,0)</f>
        <v>Excelsa</v>
      </c>
      <c r="O530" s="4" t="str">
        <f>VLOOKUP(M530,'Products (2)'!A:G,3,0)</f>
        <v>Light</v>
      </c>
      <c r="P530" s="4">
        <f>VLOOKUP(M530,'Products (2)'!A:G,7,0)</f>
        <v>0.98009999999999997</v>
      </c>
      <c r="Q530" s="3">
        <v>6</v>
      </c>
      <c r="R530" s="5">
        <f>INDEX([1]products!$A$1:$G$49,MATCH([1]orders!$D530,[1]products!$A$1:$A$49,0),MATCH([1]orders!K$1,[1]products!$A$1:$G$1,0))</f>
        <v>0.5</v>
      </c>
      <c r="S530" s="6">
        <f>INDEX([1]products!$A$1:$G$49,MATCH([1]orders!$D530,[1]products!$A$1:$A$49,0),MATCH([1]orders!L$1,[1]products!$A$1:$G$1,0))</f>
        <v>8.91</v>
      </c>
      <c r="T530" s="6">
        <f t="shared" si="48"/>
        <v>53.46</v>
      </c>
      <c r="U530" s="22">
        <f t="shared" si="52"/>
        <v>5.8805999999999994</v>
      </c>
      <c r="V530" s="22">
        <f t="shared" si="53"/>
        <v>10.999999999999998</v>
      </c>
    </row>
    <row r="531" spans="1:22" x14ac:dyDescent="0.3">
      <c r="A531" s="1" t="s">
        <v>1039</v>
      </c>
      <c r="B531" s="2">
        <v>43475</v>
      </c>
      <c r="C531" s="2" t="str">
        <f t="shared" si="49"/>
        <v>Thursday</v>
      </c>
      <c r="D531" s="2" t="str">
        <f t="shared" si="50"/>
        <v>January</v>
      </c>
      <c r="E531" s="2" t="str">
        <f t="shared" si="51"/>
        <v>2019</v>
      </c>
      <c r="F531" s="3" t="s">
        <v>1040</v>
      </c>
      <c r="G531" s="3" t="str">
        <f>VLOOKUP(F532,'Customers (2)'!A:I,2,0)</f>
        <v>Donny Fries</v>
      </c>
      <c r="H531" s="3" t="str">
        <f>VLOOKUP(F531,'Customers (2)'!A:I,3,0)</f>
        <v>sarpinep@moonfruit.com</v>
      </c>
      <c r="I531" s="3" t="str">
        <f>VLOOKUP(F531,'Customers (2)'!A:I,4,0)</f>
        <v>+1 (804) 588-4160</v>
      </c>
      <c r="J531" s="3" t="str">
        <f>VLOOKUP(F531,'Customers (2)'!A:I,6,0)</f>
        <v>Richmond</v>
      </c>
      <c r="K531" s="3" t="str">
        <f>VLOOKUP(F531,'Customers (2)'!A:I,7,0)</f>
        <v>United States</v>
      </c>
      <c r="L531" s="3" t="str">
        <f>VLOOKUP(F531,'Customers (2)'!A:I,9,0)</f>
        <v>No</v>
      </c>
      <c r="M531" s="4" t="s">
        <v>2</v>
      </c>
      <c r="N531" s="4" t="str">
        <f>VLOOKUP(M531,'Products (2)'!A:G,2,0)</f>
        <v>Robusta</v>
      </c>
      <c r="O531" s="4" t="str">
        <f>VLOOKUP(M531,'Products (2)'!A:G,3,0)</f>
        <v>Medium</v>
      </c>
      <c r="P531" s="4">
        <f>VLOOKUP(M531,'Products (2)'!A:G,7,0)</f>
        <v>0.59699999999999998</v>
      </c>
      <c r="Q531" s="3">
        <v>6</v>
      </c>
      <c r="R531" s="5">
        <f>INDEX([1]products!$A$1:$G$49,MATCH([1]orders!$D531,[1]products!$A$1:$A$49,0),MATCH([1]orders!K$1,[1]products!$A$1:$G$1,0))</f>
        <v>1</v>
      </c>
      <c r="S531" s="6">
        <f>INDEX([1]products!$A$1:$G$49,MATCH([1]orders!$D531,[1]products!$A$1:$A$49,0),MATCH([1]orders!L$1,[1]products!$A$1:$G$1,0))</f>
        <v>9.9499999999999993</v>
      </c>
      <c r="T531" s="6">
        <f t="shared" si="48"/>
        <v>59.699999999999996</v>
      </c>
      <c r="U531" s="22">
        <f t="shared" si="52"/>
        <v>3.5819999999999999</v>
      </c>
      <c r="V531" s="22">
        <f t="shared" si="53"/>
        <v>6.0000000000000009</v>
      </c>
    </row>
    <row r="532" spans="1:22" x14ac:dyDescent="0.3">
      <c r="A532" s="1" t="s">
        <v>1041</v>
      </c>
      <c r="B532" s="2">
        <v>44663</v>
      </c>
      <c r="C532" s="2" t="str">
        <f t="shared" si="49"/>
        <v>Tuesday</v>
      </c>
      <c r="D532" s="2" t="str">
        <f t="shared" si="50"/>
        <v>April</v>
      </c>
      <c r="E532" s="2" t="str">
        <f t="shared" si="51"/>
        <v>2022</v>
      </c>
      <c r="F532" s="3" t="s">
        <v>1042</v>
      </c>
      <c r="G532" s="3" t="str">
        <f>VLOOKUP(F533,'Customers (2)'!A:I,2,0)</f>
        <v>Rana Sharer</v>
      </c>
      <c r="H532" s="3" t="str">
        <f>VLOOKUP(F532,'Customers (2)'!A:I,3,0)</f>
        <v>dfrieseq@cargocollective.com</v>
      </c>
      <c r="I532" s="3" t="str">
        <f>VLOOKUP(F532,'Customers (2)'!A:I,4,0)</f>
        <v>+1 (419) 138-9171</v>
      </c>
      <c r="J532" s="3" t="str">
        <f>VLOOKUP(F532,'Customers (2)'!A:I,6,0)</f>
        <v>Toledo</v>
      </c>
      <c r="K532" s="3" t="str">
        <f>VLOOKUP(F532,'Customers (2)'!A:I,7,0)</f>
        <v>United States</v>
      </c>
      <c r="L532" s="3" t="str">
        <f>VLOOKUP(F532,'Customers (2)'!A:I,9,0)</f>
        <v>No</v>
      </c>
      <c r="M532" s="4" t="s">
        <v>2</v>
      </c>
      <c r="N532" s="4" t="str">
        <f>VLOOKUP(M532,'Products (2)'!A:G,2,0)</f>
        <v>Robusta</v>
      </c>
      <c r="O532" s="4" t="str">
        <f>VLOOKUP(M532,'Products (2)'!A:G,3,0)</f>
        <v>Medium</v>
      </c>
      <c r="P532" s="4">
        <f>VLOOKUP(M532,'Products (2)'!A:G,7,0)</f>
        <v>0.59699999999999998</v>
      </c>
      <c r="Q532" s="3">
        <v>6</v>
      </c>
      <c r="R532" s="5">
        <f>INDEX([1]products!$A$1:$G$49,MATCH([1]orders!$D532,[1]products!$A$1:$A$49,0),MATCH([1]orders!K$1,[1]products!$A$1:$G$1,0))</f>
        <v>1</v>
      </c>
      <c r="S532" s="6">
        <f>INDEX([1]products!$A$1:$G$49,MATCH([1]orders!$D532,[1]products!$A$1:$A$49,0),MATCH([1]orders!L$1,[1]products!$A$1:$G$1,0))</f>
        <v>9.9499999999999993</v>
      </c>
      <c r="T532" s="6">
        <f t="shared" si="48"/>
        <v>59.699999999999996</v>
      </c>
      <c r="U532" s="22">
        <f t="shared" si="52"/>
        <v>3.5819999999999999</v>
      </c>
      <c r="V532" s="22">
        <f t="shared" si="53"/>
        <v>6.0000000000000009</v>
      </c>
    </row>
    <row r="533" spans="1:22" x14ac:dyDescent="0.3">
      <c r="A533" s="1" t="s">
        <v>1043</v>
      </c>
      <c r="B533" s="2">
        <v>44591</v>
      </c>
      <c r="C533" s="2" t="str">
        <f t="shared" si="49"/>
        <v>Sunday</v>
      </c>
      <c r="D533" s="2" t="str">
        <f t="shared" si="50"/>
        <v>January</v>
      </c>
      <c r="E533" s="2" t="str">
        <f t="shared" si="51"/>
        <v>2022</v>
      </c>
      <c r="F533" s="3" t="s">
        <v>1044</v>
      </c>
      <c r="G533" s="3" t="str">
        <f>VLOOKUP(F534,'Customers (2)'!A:I,2,0)</f>
        <v>Nannie Naseby</v>
      </c>
      <c r="H533" s="3" t="str">
        <f>VLOOKUP(F533,'Customers (2)'!A:I,3,0)</f>
        <v>rsharerer@flavors.me</v>
      </c>
      <c r="I533" s="3" t="str">
        <f>VLOOKUP(F533,'Customers (2)'!A:I,4,0)</f>
        <v>+1 (304) 632-1951</v>
      </c>
      <c r="J533" s="3" t="str">
        <f>VLOOKUP(F533,'Customers (2)'!A:I,6,0)</f>
        <v>Huntington</v>
      </c>
      <c r="K533" s="3" t="str">
        <f>VLOOKUP(F533,'Customers (2)'!A:I,7,0)</f>
        <v>United States</v>
      </c>
      <c r="L533" s="3" t="str">
        <f>VLOOKUP(F533,'Customers (2)'!A:I,9,0)</f>
        <v>No</v>
      </c>
      <c r="M533" s="4" t="s">
        <v>179</v>
      </c>
      <c r="N533" s="4" t="str">
        <f>VLOOKUP(M533,'Products (2)'!A:G,2,0)</f>
        <v>Robusta</v>
      </c>
      <c r="O533" s="4" t="str">
        <f>VLOOKUP(M533,'Products (2)'!A:G,3,0)</f>
        <v>Dark</v>
      </c>
      <c r="P533" s="4">
        <f>VLOOKUP(M533,'Products (2)'!A:G,7,0)</f>
        <v>0.53699999999999992</v>
      </c>
      <c r="Q533" s="3">
        <v>5</v>
      </c>
      <c r="R533" s="5">
        <f>INDEX([1]products!$A$1:$G$49,MATCH([1]orders!$D533,[1]products!$A$1:$A$49,0),MATCH([1]orders!K$1,[1]products!$A$1:$G$1,0))</f>
        <v>1</v>
      </c>
      <c r="S533" s="6">
        <f>INDEX([1]products!$A$1:$G$49,MATCH([1]orders!$D533,[1]products!$A$1:$A$49,0),MATCH([1]orders!L$1,[1]products!$A$1:$G$1,0))</f>
        <v>8.9499999999999993</v>
      </c>
      <c r="T533" s="6">
        <f t="shared" si="48"/>
        <v>44.75</v>
      </c>
      <c r="U533" s="22">
        <f t="shared" si="52"/>
        <v>2.6849999999999996</v>
      </c>
      <c r="V533" s="22">
        <f t="shared" si="53"/>
        <v>5.9999999999999991</v>
      </c>
    </row>
    <row r="534" spans="1:22" x14ac:dyDescent="0.3">
      <c r="A534" s="1" t="s">
        <v>1045</v>
      </c>
      <c r="B534" s="2">
        <v>44330</v>
      </c>
      <c r="C534" s="2" t="str">
        <f t="shared" si="49"/>
        <v>Friday</v>
      </c>
      <c r="D534" s="2" t="str">
        <f t="shared" si="50"/>
        <v>May</v>
      </c>
      <c r="E534" s="2" t="str">
        <f t="shared" si="51"/>
        <v>2021</v>
      </c>
      <c r="F534" s="3" t="s">
        <v>1046</v>
      </c>
      <c r="G534" s="3" t="str">
        <f>VLOOKUP(F535,'Customers (2)'!A:I,2,0)</f>
        <v>Rea Offell</v>
      </c>
      <c r="H534" s="3" t="str">
        <f>VLOOKUP(F534,'Customers (2)'!A:I,3,0)</f>
        <v>nnasebyes@umich.edu</v>
      </c>
      <c r="I534" s="3" t="str">
        <f>VLOOKUP(F534,'Customers (2)'!A:I,4,0)</f>
        <v>+1 (407) 225-7234</v>
      </c>
      <c r="J534" s="3" t="str">
        <f>VLOOKUP(F534,'Customers (2)'!A:I,6,0)</f>
        <v>Winter Haven</v>
      </c>
      <c r="K534" s="3" t="str">
        <f>VLOOKUP(F534,'Customers (2)'!A:I,7,0)</f>
        <v>United States</v>
      </c>
      <c r="L534" s="3" t="str">
        <f>VLOOKUP(F534,'Customers (2)'!A:I,9,0)</f>
        <v>Yes</v>
      </c>
      <c r="M534" s="4" t="s">
        <v>3</v>
      </c>
      <c r="N534" s="4" t="str">
        <f>VLOOKUP(M534,'Products (2)'!A:G,2,0)</f>
        <v>Excelsa</v>
      </c>
      <c r="O534" s="4" t="str">
        <f>VLOOKUP(M534,'Products (2)'!A:G,3,0)</f>
        <v>Medium</v>
      </c>
      <c r="P534" s="4">
        <f>VLOOKUP(M534,'Products (2)'!A:G,7,0)</f>
        <v>0.90749999999999997</v>
      </c>
      <c r="Q534" s="3">
        <v>2</v>
      </c>
      <c r="R534" s="5">
        <f>INDEX([1]products!$A$1:$G$49,MATCH([1]orders!$D534,[1]products!$A$1:$A$49,0),MATCH([1]orders!K$1,[1]products!$A$1:$G$1,0))</f>
        <v>0.5</v>
      </c>
      <c r="S534" s="6">
        <f>INDEX([1]products!$A$1:$G$49,MATCH([1]orders!$D534,[1]products!$A$1:$A$49,0),MATCH([1]orders!L$1,[1]products!$A$1:$G$1,0))</f>
        <v>8.25</v>
      </c>
      <c r="T534" s="6">
        <f t="shared" si="48"/>
        <v>16.5</v>
      </c>
      <c r="U534" s="22">
        <f t="shared" si="52"/>
        <v>1.8149999999999999</v>
      </c>
      <c r="V534" s="22">
        <f t="shared" si="53"/>
        <v>11</v>
      </c>
    </row>
    <row r="535" spans="1:22" x14ac:dyDescent="0.3">
      <c r="A535" s="1" t="s">
        <v>1047</v>
      </c>
      <c r="B535" s="2">
        <v>44724</v>
      </c>
      <c r="C535" s="2" t="str">
        <f t="shared" si="49"/>
        <v>Sunday</v>
      </c>
      <c r="D535" s="2" t="str">
        <f t="shared" si="50"/>
        <v>June</v>
      </c>
      <c r="E535" s="2" t="str">
        <f t="shared" si="51"/>
        <v>2022</v>
      </c>
      <c r="F535" s="3" t="s">
        <v>1048</v>
      </c>
      <c r="G535" s="3" t="str">
        <f>VLOOKUP(F536,'Customers (2)'!A:I,2,0)</f>
        <v>Kris O'Cullen</v>
      </c>
      <c r="H535" s="3">
        <f>VLOOKUP(F535,'Customers (2)'!A:I,3,0)</f>
        <v>0</v>
      </c>
      <c r="I535" s="3" t="str">
        <f>VLOOKUP(F535,'Customers (2)'!A:I,4,0)</f>
        <v>+1 (214) 171-1701</v>
      </c>
      <c r="J535" s="3" t="str">
        <f>VLOOKUP(F535,'Customers (2)'!A:I,6,0)</f>
        <v>Dallas</v>
      </c>
      <c r="K535" s="3" t="str">
        <f>VLOOKUP(F535,'Customers (2)'!A:I,7,0)</f>
        <v>United States</v>
      </c>
      <c r="L535" s="3" t="str">
        <f>VLOOKUP(F535,'Customers (2)'!A:I,9,0)</f>
        <v>No</v>
      </c>
      <c r="M535" s="4" t="s">
        <v>146</v>
      </c>
      <c r="N535" s="4" t="str">
        <f>VLOOKUP(M535,'Products (2)'!A:G,2,0)</f>
        <v>Robusta</v>
      </c>
      <c r="O535" s="4" t="str">
        <f>VLOOKUP(M535,'Products (2)'!A:G,3,0)</f>
        <v>Dark</v>
      </c>
      <c r="P535" s="4">
        <f>VLOOKUP(M535,'Products (2)'!A:G,7,0)</f>
        <v>0.32219999999999993</v>
      </c>
      <c r="Q535" s="3">
        <v>4</v>
      </c>
      <c r="R535" s="5">
        <f>INDEX([1]products!$A$1:$G$49,MATCH([1]orders!$D535,[1]products!$A$1:$A$49,0),MATCH([1]orders!K$1,[1]products!$A$1:$G$1,0))</f>
        <v>0.5</v>
      </c>
      <c r="S535" s="6">
        <f>INDEX([1]products!$A$1:$G$49,MATCH([1]orders!$D535,[1]products!$A$1:$A$49,0),MATCH([1]orders!L$1,[1]products!$A$1:$G$1,0))</f>
        <v>5.3699999999999992</v>
      </c>
      <c r="T535" s="6">
        <f t="shared" si="48"/>
        <v>21.479999999999997</v>
      </c>
      <c r="U535" s="22">
        <f t="shared" si="52"/>
        <v>1.2887999999999997</v>
      </c>
      <c r="V535" s="22">
        <f t="shared" si="53"/>
        <v>6</v>
      </c>
    </row>
    <row r="536" spans="1:22" x14ac:dyDescent="0.3">
      <c r="A536" s="1" t="s">
        <v>1049</v>
      </c>
      <c r="B536" s="2">
        <v>44563</v>
      </c>
      <c r="C536" s="2" t="str">
        <f t="shared" si="49"/>
        <v>Sunday</v>
      </c>
      <c r="D536" s="2" t="str">
        <f t="shared" si="50"/>
        <v>January</v>
      </c>
      <c r="E536" s="2" t="str">
        <f t="shared" si="51"/>
        <v>2022</v>
      </c>
      <c r="F536" s="3" t="s">
        <v>1050</v>
      </c>
      <c r="G536" s="3" t="str">
        <f>VLOOKUP(F537,'Customers (2)'!A:I,2,0)</f>
        <v>Timoteo Glisane</v>
      </c>
      <c r="H536" s="3" t="str">
        <f>VLOOKUP(F536,'Customers (2)'!A:I,3,0)</f>
        <v>koculleneu@ca.gov</v>
      </c>
      <c r="I536" s="3" t="str">
        <f>VLOOKUP(F536,'Customers (2)'!A:I,4,0)</f>
        <v>+353 (284) 183-7528</v>
      </c>
      <c r="J536" s="3" t="str">
        <f>VLOOKUP(F536,'Customers (2)'!A:I,6,0)</f>
        <v>Adare</v>
      </c>
      <c r="K536" s="3" t="str">
        <f>VLOOKUP(F536,'Customers (2)'!A:I,7,0)</f>
        <v>Ireland</v>
      </c>
      <c r="L536" s="3" t="str">
        <f>VLOOKUP(F536,'Customers (2)'!A:I,9,0)</f>
        <v>Yes</v>
      </c>
      <c r="M536" s="4" t="s">
        <v>41</v>
      </c>
      <c r="N536" s="4" t="str">
        <f>VLOOKUP(M536,'Products (2)'!A:G,2,0)</f>
        <v>Robusta</v>
      </c>
      <c r="O536" s="4" t="str">
        <f>VLOOKUP(M536,'Products (2)'!A:G,3,0)</f>
        <v>Medium</v>
      </c>
      <c r="P536" s="4">
        <f>VLOOKUP(M536,'Products (2)'!A:G,7,0)</f>
        <v>1.3730999999999998</v>
      </c>
      <c r="Q536" s="3">
        <v>2</v>
      </c>
      <c r="R536" s="5">
        <f>INDEX([1]products!$A$1:$G$49,MATCH([1]orders!$D536,[1]products!$A$1:$A$49,0),MATCH([1]orders!K$1,[1]products!$A$1:$G$1,0))</f>
        <v>2.5</v>
      </c>
      <c r="S536" s="6">
        <f>INDEX([1]products!$A$1:$G$49,MATCH([1]orders!$D536,[1]products!$A$1:$A$49,0),MATCH([1]orders!L$1,[1]products!$A$1:$G$1,0))</f>
        <v>22.884999999999998</v>
      </c>
      <c r="T536" s="6">
        <f t="shared" si="48"/>
        <v>45.769999999999996</v>
      </c>
      <c r="U536" s="22">
        <f t="shared" si="52"/>
        <v>2.7461999999999995</v>
      </c>
      <c r="V536" s="22">
        <f t="shared" si="53"/>
        <v>6</v>
      </c>
    </row>
    <row r="537" spans="1:22" x14ac:dyDescent="0.3">
      <c r="A537" s="1" t="s">
        <v>1051</v>
      </c>
      <c r="B537" s="2">
        <v>44585</v>
      </c>
      <c r="C537" s="2" t="str">
        <f t="shared" si="49"/>
        <v>Monday</v>
      </c>
      <c r="D537" s="2" t="str">
        <f t="shared" si="50"/>
        <v>January</v>
      </c>
      <c r="E537" s="2" t="str">
        <f t="shared" si="51"/>
        <v>2022</v>
      </c>
      <c r="F537" s="3" t="s">
        <v>1052</v>
      </c>
      <c r="G537" s="3" t="str">
        <f>VLOOKUP(F538,'Customers (2)'!A:I,2,0)</f>
        <v>Marja Urion</v>
      </c>
      <c r="H537" s="3">
        <f>VLOOKUP(F537,'Customers (2)'!A:I,3,0)</f>
        <v>0</v>
      </c>
      <c r="I537" s="3" t="str">
        <f>VLOOKUP(F537,'Customers (2)'!A:I,4,0)</f>
        <v>+353 (316) 279-4429</v>
      </c>
      <c r="J537" s="3" t="str">
        <f>VLOOKUP(F537,'Customers (2)'!A:I,6,0)</f>
        <v>Ballivor</v>
      </c>
      <c r="K537" s="3" t="str">
        <f>VLOOKUP(F537,'Customers (2)'!A:I,7,0)</f>
        <v>Ireland</v>
      </c>
      <c r="L537" s="3" t="str">
        <f>VLOOKUP(F537,'Customers (2)'!A:I,9,0)</f>
        <v>No</v>
      </c>
      <c r="M537" s="4" t="s">
        <v>19</v>
      </c>
      <c r="N537" s="4" t="str">
        <f>VLOOKUP(M537,'Products (2)'!A:G,2,0)</f>
        <v>Liberica</v>
      </c>
      <c r="O537" s="4" t="str">
        <f>VLOOKUP(M537,'Products (2)'!A:G,3,0)</f>
        <v>Light</v>
      </c>
      <c r="P537" s="4">
        <f>VLOOKUP(M537,'Products (2)'!A:G,7,0)</f>
        <v>0.61814999999999998</v>
      </c>
      <c r="Q537" s="3">
        <v>2</v>
      </c>
      <c r="R537" s="5">
        <f>INDEX([1]products!$A$1:$G$49,MATCH([1]orders!$D537,[1]products!$A$1:$A$49,0),MATCH([1]orders!K$1,[1]products!$A$1:$G$1,0))</f>
        <v>0.2</v>
      </c>
      <c r="S537" s="6">
        <f>INDEX([1]products!$A$1:$G$49,MATCH([1]orders!$D537,[1]products!$A$1:$A$49,0),MATCH([1]orders!L$1,[1]products!$A$1:$G$1,0))</f>
        <v>4.7549999999999999</v>
      </c>
      <c r="T537" s="6">
        <f t="shared" si="48"/>
        <v>9.51</v>
      </c>
      <c r="U537" s="22">
        <f t="shared" si="52"/>
        <v>1.2363</v>
      </c>
      <c r="V537" s="22">
        <f t="shared" si="53"/>
        <v>13</v>
      </c>
    </row>
    <row r="538" spans="1:22" x14ac:dyDescent="0.3">
      <c r="A538" s="1" t="s">
        <v>1053</v>
      </c>
      <c r="B538" s="2">
        <v>43544</v>
      </c>
      <c r="C538" s="2" t="str">
        <f t="shared" si="49"/>
        <v>Wednesday</v>
      </c>
      <c r="D538" s="2" t="str">
        <f t="shared" si="50"/>
        <v>March</v>
      </c>
      <c r="E538" s="2" t="str">
        <f t="shared" si="51"/>
        <v>2019</v>
      </c>
      <c r="F538" s="3" t="s">
        <v>988</v>
      </c>
      <c r="G538" s="3" t="str">
        <f>VLOOKUP(F539,'Customers (2)'!A:I,2,0)</f>
        <v>Hildegarde Brangan</v>
      </c>
      <c r="H538" s="3" t="str">
        <f>VLOOKUP(F538,'Customers (2)'!A:I,3,0)</f>
        <v>murione5@alexa.com</v>
      </c>
      <c r="I538" s="3" t="str">
        <f>VLOOKUP(F538,'Customers (2)'!A:I,4,0)</f>
        <v>+353 (715) 989-0283</v>
      </c>
      <c r="J538" s="3" t="str">
        <f>VLOOKUP(F538,'Customers (2)'!A:I,6,0)</f>
        <v>Virginia</v>
      </c>
      <c r="K538" s="3" t="str">
        <f>VLOOKUP(F538,'Customers (2)'!A:I,7,0)</f>
        <v>Ireland</v>
      </c>
      <c r="L538" s="3" t="str">
        <f>VLOOKUP(F538,'Customers (2)'!A:I,9,0)</f>
        <v>Yes</v>
      </c>
      <c r="M538" s="4" t="s">
        <v>101</v>
      </c>
      <c r="N538" s="4" t="str">
        <f>VLOOKUP(M538,'Products (2)'!A:G,2,0)</f>
        <v>Robusta</v>
      </c>
      <c r="O538" s="4" t="str">
        <f>VLOOKUP(M538,'Products (2)'!A:G,3,0)</f>
        <v>Dark</v>
      </c>
      <c r="P538" s="4">
        <f>VLOOKUP(M538,'Products (2)'!A:G,7,0)</f>
        <v>0.16109999999999997</v>
      </c>
      <c r="Q538" s="3">
        <v>3</v>
      </c>
      <c r="R538" s="5">
        <f>INDEX([1]products!$A$1:$G$49,MATCH([1]orders!$D538,[1]products!$A$1:$A$49,0),MATCH([1]orders!K$1,[1]products!$A$1:$G$1,0))</f>
        <v>0.2</v>
      </c>
      <c r="S538" s="6">
        <f>INDEX([1]products!$A$1:$G$49,MATCH([1]orders!$D538,[1]products!$A$1:$A$49,0),MATCH([1]orders!L$1,[1]products!$A$1:$G$1,0))</f>
        <v>2.6849999999999996</v>
      </c>
      <c r="T538" s="6">
        <f t="shared" si="48"/>
        <v>8.0549999999999997</v>
      </c>
      <c r="U538" s="22">
        <f t="shared" si="52"/>
        <v>0.4832999999999999</v>
      </c>
      <c r="V538" s="22">
        <f t="shared" si="53"/>
        <v>5.9999999999999991</v>
      </c>
    </row>
    <row r="539" spans="1:22" x14ac:dyDescent="0.3">
      <c r="A539" s="1" t="s">
        <v>1054</v>
      </c>
      <c r="B539" s="2">
        <v>44156</v>
      </c>
      <c r="C539" s="2" t="str">
        <f t="shared" si="49"/>
        <v>Saturday</v>
      </c>
      <c r="D539" s="2" t="str">
        <f t="shared" si="50"/>
        <v>November</v>
      </c>
      <c r="E539" s="2" t="str">
        <f t="shared" si="51"/>
        <v>2020</v>
      </c>
      <c r="F539" s="3" t="s">
        <v>1055</v>
      </c>
      <c r="G539" s="3" t="str">
        <f>VLOOKUP(F540,'Customers (2)'!A:I,2,0)</f>
        <v>Amii Gallyon</v>
      </c>
      <c r="H539" s="3" t="str">
        <f>VLOOKUP(F539,'Customers (2)'!A:I,3,0)</f>
        <v>hbranganex@woothemes.com</v>
      </c>
      <c r="I539" s="3">
        <f>VLOOKUP(F539,'Customers (2)'!A:I,4,0)</f>
        <v>0</v>
      </c>
      <c r="J539" s="3" t="str">
        <f>VLOOKUP(F539,'Customers (2)'!A:I,6,0)</f>
        <v>Evansville</v>
      </c>
      <c r="K539" s="3" t="str">
        <f>VLOOKUP(F539,'Customers (2)'!A:I,7,0)</f>
        <v>United States</v>
      </c>
      <c r="L539" s="3" t="str">
        <f>VLOOKUP(F539,'Customers (2)'!A:I,9,0)</f>
        <v>Yes</v>
      </c>
      <c r="M539" s="4" t="s">
        <v>530</v>
      </c>
      <c r="N539" s="4" t="str">
        <f>VLOOKUP(M539,'Products (2)'!A:G,2,0)</f>
        <v>Excelsa</v>
      </c>
      <c r="O539" s="4" t="str">
        <f>VLOOKUP(M539,'Products (2)'!A:G,3,0)</f>
        <v>Dark</v>
      </c>
      <c r="P539" s="4">
        <f>VLOOKUP(M539,'Products (2)'!A:G,7,0)</f>
        <v>3.07395</v>
      </c>
      <c r="Q539" s="3">
        <v>4</v>
      </c>
      <c r="R539" s="5">
        <f>INDEX([1]products!$A$1:$G$49,MATCH([1]orders!$D539,[1]products!$A$1:$A$49,0),MATCH([1]orders!K$1,[1]products!$A$1:$G$1,0))</f>
        <v>2.5</v>
      </c>
      <c r="S539" s="6">
        <f>INDEX([1]products!$A$1:$G$49,MATCH([1]orders!$D539,[1]products!$A$1:$A$49,0),MATCH([1]orders!L$1,[1]products!$A$1:$G$1,0))</f>
        <v>27.945</v>
      </c>
      <c r="T539" s="6">
        <f t="shared" si="48"/>
        <v>111.78</v>
      </c>
      <c r="U539" s="22">
        <f t="shared" si="52"/>
        <v>12.2958</v>
      </c>
      <c r="V539" s="22">
        <f t="shared" si="53"/>
        <v>11</v>
      </c>
    </row>
    <row r="540" spans="1:22" x14ac:dyDescent="0.3">
      <c r="A540" s="1" t="s">
        <v>1056</v>
      </c>
      <c r="B540" s="2">
        <v>44482</v>
      </c>
      <c r="C540" s="2" t="str">
        <f t="shared" si="49"/>
        <v>Wednesday</v>
      </c>
      <c r="D540" s="2" t="str">
        <f t="shared" si="50"/>
        <v>October</v>
      </c>
      <c r="E540" s="2" t="str">
        <f t="shared" si="51"/>
        <v>2021</v>
      </c>
      <c r="F540" s="3" t="s">
        <v>1057</v>
      </c>
      <c r="G540" s="3" t="str">
        <f>VLOOKUP(F541,'Customers (2)'!A:I,2,0)</f>
        <v>Birgit Domange</v>
      </c>
      <c r="H540" s="3" t="str">
        <f>VLOOKUP(F540,'Customers (2)'!A:I,3,0)</f>
        <v>agallyoney@engadget.com</v>
      </c>
      <c r="I540" s="3">
        <f>VLOOKUP(F540,'Customers (2)'!A:I,4,0)</f>
        <v>0</v>
      </c>
      <c r="J540" s="3" t="str">
        <f>VLOOKUP(F540,'Customers (2)'!A:I,6,0)</f>
        <v>Naperville</v>
      </c>
      <c r="K540" s="3" t="str">
        <f>VLOOKUP(F540,'Customers (2)'!A:I,7,0)</f>
        <v>United States</v>
      </c>
      <c r="L540" s="3" t="str">
        <f>VLOOKUP(F540,'Customers (2)'!A:I,9,0)</f>
        <v>Yes</v>
      </c>
      <c r="M540" s="4" t="s">
        <v>101</v>
      </c>
      <c r="N540" s="4" t="str">
        <f>VLOOKUP(M540,'Products (2)'!A:G,2,0)</f>
        <v>Robusta</v>
      </c>
      <c r="O540" s="4" t="str">
        <f>VLOOKUP(M540,'Products (2)'!A:G,3,0)</f>
        <v>Dark</v>
      </c>
      <c r="P540" s="4">
        <f>VLOOKUP(M540,'Products (2)'!A:G,7,0)</f>
        <v>0.16109999999999997</v>
      </c>
      <c r="Q540" s="3">
        <v>4</v>
      </c>
      <c r="R540" s="5">
        <f>INDEX([1]products!$A$1:$G$49,MATCH([1]orders!$D540,[1]products!$A$1:$A$49,0),MATCH([1]orders!K$1,[1]products!$A$1:$G$1,0))</f>
        <v>0.2</v>
      </c>
      <c r="S540" s="6">
        <f>INDEX([1]products!$A$1:$G$49,MATCH([1]orders!$D540,[1]products!$A$1:$A$49,0),MATCH([1]orders!L$1,[1]products!$A$1:$G$1,0))</f>
        <v>2.6849999999999996</v>
      </c>
      <c r="T540" s="6">
        <f t="shared" si="48"/>
        <v>10.739999999999998</v>
      </c>
      <c r="U540" s="22">
        <f t="shared" si="52"/>
        <v>0.64439999999999986</v>
      </c>
      <c r="V540" s="22">
        <f t="shared" si="53"/>
        <v>6</v>
      </c>
    </row>
    <row r="541" spans="1:22" x14ac:dyDescent="0.3">
      <c r="A541" s="1" t="s">
        <v>1058</v>
      </c>
      <c r="B541" s="2">
        <v>44488</v>
      </c>
      <c r="C541" s="2" t="str">
        <f t="shared" si="49"/>
        <v>Tuesday</v>
      </c>
      <c r="D541" s="2" t="str">
        <f t="shared" si="50"/>
        <v>October</v>
      </c>
      <c r="E541" s="2" t="str">
        <f t="shared" si="51"/>
        <v>2021</v>
      </c>
      <c r="F541" s="3" t="s">
        <v>1059</v>
      </c>
      <c r="G541" s="3" t="str">
        <f>VLOOKUP(F542,'Customers (2)'!A:I,2,0)</f>
        <v>Killian Osler</v>
      </c>
      <c r="H541" s="3" t="str">
        <f>VLOOKUP(F541,'Customers (2)'!A:I,3,0)</f>
        <v>bdomangeez@yahoo.co.jp</v>
      </c>
      <c r="I541" s="3">
        <f>VLOOKUP(F541,'Customers (2)'!A:I,4,0)</f>
        <v>0</v>
      </c>
      <c r="J541" s="3" t="str">
        <f>VLOOKUP(F541,'Customers (2)'!A:I,6,0)</f>
        <v>Charleston</v>
      </c>
      <c r="K541" s="3" t="str">
        <f>VLOOKUP(F541,'Customers (2)'!A:I,7,0)</f>
        <v>United States</v>
      </c>
      <c r="L541" s="3" t="str">
        <f>VLOOKUP(F541,'Customers (2)'!A:I,9,0)</f>
        <v>No</v>
      </c>
      <c r="M541" s="4" t="s">
        <v>146</v>
      </c>
      <c r="N541" s="4" t="str">
        <f>VLOOKUP(M541,'Products (2)'!A:G,2,0)</f>
        <v>Robusta</v>
      </c>
      <c r="O541" s="4" t="str">
        <f>VLOOKUP(M541,'Products (2)'!A:G,3,0)</f>
        <v>Dark</v>
      </c>
      <c r="P541" s="4">
        <f>VLOOKUP(M541,'Products (2)'!A:G,7,0)</f>
        <v>0.32219999999999993</v>
      </c>
      <c r="Q541" s="3">
        <v>5</v>
      </c>
      <c r="R541" s="5">
        <f>INDEX([1]products!$A$1:$G$49,MATCH([1]orders!$D541,[1]products!$A$1:$A$49,0),MATCH([1]orders!K$1,[1]products!$A$1:$G$1,0))</f>
        <v>0.5</v>
      </c>
      <c r="S541" s="6">
        <f>INDEX([1]products!$A$1:$G$49,MATCH([1]orders!$D541,[1]products!$A$1:$A$49,0),MATCH([1]orders!L$1,[1]products!$A$1:$G$1,0))</f>
        <v>5.3699999999999992</v>
      </c>
      <c r="T541" s="6">
        <f t="shared" si="48"/>
        <v>26.849999999999994</v>
      </c>
      <c r="U541" s="22">
        <f t="shared" si="52"/>
        <v>1.6109999999999998</v>
      </c>
      <c r="V541" s="22">
        <f t="shared" si="53"/>
        <v>6.0000000000000009</v>
      </c>
    </row>
    <row r="542" spans="1:22" x14ac:dyDescent="0.3">
      <c r="A542" s="1" t="s">
        <v>1060</v>
      </c>
      <c r="B542" s="2">
        <v>43584</v>
      </c>
      <c r="C542" s="2" t="str">
        <f t="shared" si="49"/>
        <v>Monday</v>
      </c>
      <c r="D542" s="2" t="str">
        <f t="shared" si="50"/>
        <v>April</v>
      </c>
      <c r="E542" s="2" t="str">
        <f t="shared" si="51"/>
        <v>2019</v>
      </c>
      <c r="F542" s="3" t="s">
        <v>1061</v>
      </c>
      <c r="G542" s="3" t="str">
        <f>VLOOKUP(F543,'Customers (2)'!A:I,2,0)</f>
        <v>Lora Dukes</v>
      </c>
      <c r="H542" s="3" t="str">
        <f>VLOOKUP(F542,'Customers (2)'!A:I,3,0)</f>
        <v>koslerf0@gmpg.org</v>
      </c>
      <c r="I542" s="3" t="str">
        <f>VLOOKUP(F542,'Customers (2)'!A:I,4,0)</f>
        <v>+1 (517) 647-5356</v>
      </c>
      <c r="J542" s="3" t="str">
        <f>VLOOKUP(F542,'Customers (2)'!A:I,6,0)</f>
        <v>Lansing</v>
      </c>
      <c r="K542" s="3" t="str">
        <f>VLOOKUP(F542,'Customers (2)'!A:I,7,0)</f>
        <v>United States</v>
      </c>
      <c r="L542" s="3" t="str">
        <f>VLOOKUP(F542,'Customers (2)'!A:I,9,0)</f>
        <v>Yes</v>
      </c>
      <c r="M542" s="4" t="s">
        <v>132</v>
      </c>
      <c r="N542" s="4" t="str">
        <f>VLOOKUP(M542,'Products (2)'!A:G,2,0)</f>
        <v>Liberica</v>
      </c>
      <c r="O542" s="4" t="str">
        <f>VLOOKUP(M542,'Products (2)'!A:G,3,0)</f>
        <v>Light</v>
      </c>
      <c r="P542" s="4">
        <f>VLOOKUP(M542,'Products (2)'!A:G,7,0)</f>
        <v>2.0605000000000002</v>
      </c>
      <c r="Q542" s="3">
        <v>4</v>
      </c>
      <c r="R542" s="5">
        <f>INDEX([1]products!$A$1:$G$49,MATCH([1]orders!$D542,[1]products!$A$1:$A$49,0),MATCH([1]orders!K$1,[1]products!$A$1:$G$1,0))</f>
        <v>1</v>
      </c>
      <c r="S542" s="6">
        <f>INDEX([1]products!$A$1:$G$49,MATCH([1]orders!$D542,[1]products!$A$1:$A$49,0),MATCH([1]orders!L$1,[1]products!$A$1:$G$1,0))</f>
        <v>15.85</v>
      </c>
      <c r="T542" s="6">
        <f t="shared" si="48"/>
        <v>63.4</v>
      </c>
      <c r="U542" s="22">
        <f t="shared" si="52"/>
        <v>8.2420000000000009</v>
      </c>
      <c r="V542" s="22">
        <f t="shared" si="53"/>
        <v>13</v>
      </c>
    </row>
    <row r="543" spans="1:22" x14ac:dyDescent="0.3">
      <c r="A543" s="1" t="s">
        <v>1062</v>
      </c>
      <c r="B543" s="2">
        <v>43750</v>
      </c>
      <c r="C543" s="2" t="str">
        <f t="shared" si="49"/>
        <v>Saturday</v>
      </c>
      <c r="D543" s="2" t="str">
        <f t="shared" si="50"/>
        <v>October</v>
      </c>
      <c r="E543" s="2" t="str">
        <f t="shared" si="51"/>
        <v>2019</v>
      </c>
      <c r="F543" s="3" t="s">
        <v>1063</v>
      </c>
      <c r="G543" s="3" t="str">
        <f>VLOOKUP(F544,'Customers (2)'!A:I,2,0)</f>
        <v>Zack Pellett</v>
      </c>
      <c r="H543" s="3">
        <f>VLOOKUP(F543,'Customers (2)'!A:I,3,0)</f>
        <v>0</v>
      </c>
      <c r="I543" s="3" t="str">
        <f>VLOOKUP(F543,'Customers (2)'!A:I,4,0)</f>
        <v>+353 (963) 987-6580</v>
      </c>
      <c r="J543" s="3" t="str">
        <f>VLOOKUP(F543,'Customers (2)'!A:I,6,0)</f>
        <v>Boyle</v>
      </c>
      <c r="K543" s="3" t="str">
        <f>VLOOKUP(F543,'Customers (2)'!A:I,7,0)</f>
        <v>Ireland</v>
      </c>
      <c r="L543" s="3" t="str">
        <f>VLOOKUP(F543,'Customers (2)'!A:I,9,0)</f>
        <v>Yes</v>
      </c>
      <c r="M543" s="4" t="s">
        <v>118</v>
      </c>
      <c r="N543" s="4" t="str">
        <f>VLOOKUP(M543,'Products (2)'!A:G,2,0)</f>
        <v>Arabica</v>
      </c>
      <c r="O543" s="4" t="str">
        <f>VLOOKUP(M543,'Products (2)'!A:G,3,0)</f>
        <v>Dark</v>
      </c>
      <c r="P543" s="4">
        <f>VLOOKUP(M543,'Products (2)'!A:G,7,0)</f>
        <v>2.0596499999999995</v>
      </c>
      <c r="Q543" s="3">
        <v>1</v>
      </c>
      <c r="R543" s="5">
        <f>INDEX([1]products!$A$1:$G$49,MATCH([1]orders!$D543,[1]products!$A$1:$A$49,0),MATCH([1]orders!K$1,[1]products!$A$1:$G$1,0))</f>
        <v>2.5</v>
      </c>
      <c r="S543" s="6">
        <f>INDEX([1]products!$A$1:$G$49,MATCH([1]orders!$D543,[1]products!$A$1:$A$49,0),MATCH([1]orders!L$1,[1]products!$A$1:$G$1,0))</f>
        <v>22.884999999999998</v>
      </c>
      <c r="T543" s="6">
        <f t="shared" si="48"/>
        <v>22.884999999999998</v>
      </c>
      <c r="U543" s="22">
        <f t="shared" si="52"/>
        <v>2.0596499999999995</v>
      </c>
      <c r="V543" s="22">
        <f t="shared" si="53"/>
        <v>8.9999999999999982</v>
      </c>
    </row>
    <row r="544" spans="1:22" x14ac:dyDescent="0.3">
      <c r="A544" s="1" t="s">
        <v>1064</v>
      </c>
      <c r="B544" s="2">
        <v>44335</v>
      </c>
      <c r="C544" s="2" t="str">
        <f t="shared" si="49"/>
        <v>Wednesday</v>
      </c>
      <c r="D544" s="2" t="str">
        <f t="shared" si="50"/>
        <v>May</v>
      </c>
      <c r="E544" s="2" t="str">
        <f t="shared" si="51"/>
        <v>2021</v>
      </c>
      <c r="F544" s="3" t="s">
        <v>1065</v>
      </c>
      <c r="G544" s="3" t="str">
        <f>VLOOKUP(F545,'Customers (2)'!A:I,2,0)</f>
        <v>Ilaire Sprakes</v>
      </c>
      <c r="H544" s="3" t="str">
        <f>VLOOKUP(F544,'Customers (2)'!A:I,3,0)</f>
        <v>zpellettf2@dailymotion.com</v>
      </c>
      <c r="I544" s="3" t="str">
        <f>VLOOKUP(F544,'Customers (2)'!A:I,4,0)</f>
        <v>+1 (318) 218-5955</v>
      </c>
      <c r="J544" s="3" t="str">
        <f>VLOOKUP(F544,'Customers (2)'!A:I,6,0)</f>
        <v>Shreveport</v>
      </c>
      <c r="K544" s="3" t="str">
        <f>VLOOKUP(F544,'Customers (2)'!A:I,7,0)</f>
        <v>United States</v>
      </c>
      <c r="L544" s="3" t="str">
        <f>VLOOKUP(F544,'Customers (2)'!A:I,9,0)</f>
        <v>No</v>
      </c>
      <c r="M544" s="4" t="s">
        <v>171</v>
      </c>
      <c r="N544" s="4" t="str">
        <f>VLOOKUP(M544,'Products (2)'!A:G,2,0)</f>
        <v>Arabica</v>
      </c>
      <c r="O544" s="4" t="str">
        <f>VLOOKUP(M544,'Products (2)'!A:G,3,0)</f>
        <v>Medium</v>
      </c>
      <c r="P544" s="4">
        <f>VLOOKUP(M544,'Products (2)'!A:G,7,0)</f>
        <v>2.3287499999999994</v>
      </c>
      <c r="Q544" s="3">
        <v>4</v>
      </c>
      <c r="R544" s="5">
        <f>INDEX([1]products!$A$1:$G$49,MATCH([1]orders!$D544,[1]products!$A$1:$A$49,0),MATCH([1]orders!K$1,[1]products!$A$1:$G$1,0))</f>
        <v>2.5</v>
      </c>
      <c r="S544" s="6">
        <f>INDEX([1]products!$A$1:$G$49,MATCH([1]orders!$D544,[1]products!$A$1:$A$49,0),MATCH([1]orders!L$1,[1]products!$A$1:$G$1,0))</f>
        <v>25.874999999999996</v>
      </c>
      <c r="T544" s="6">
        <f t="shared" si="48"/>
        <v>103.49999999999999</v>
      </c>
      <c r="U544" s="22">
        <f t="shared" si="52"/>
        <v>9.3149999999999977</v>
      </c>
      <c r="V544" s="22">
        <f t="shared" si="53"/>
        <v>9</v>
      </c>
    </row>
    <row r="545" spans="1:22" x14ac:dyDescent="0.3">
      <c r="A545" s="1" t="s">
        <v>1066</v>
      </c>
      <c r="B545" s="2">
        <v>44380</v>
      </c>
      <c r="C545" s="2" t="str">
        <f t="shared" si="49"/>
        <v>Saturday</v>
      </c>
      <c r="D545" s="2" t="str">
        <f t="shared" si="50"/>
        <v>July</v>
      </c>
      <c r="E545" s="2" t="str">
        <f t="shared" si="51"/>
        <v>2021</v>
      </c>
      <c r="F545" s="3" t="s">
        <v>1067</v>
      </c>
      <c r="G545" s="3" t="str">
        <f>VLOOKUP(F546,'Customers (2)'!A:I,2,0)</f>
        <v>Heda Fromant</v>
      </c>
      <c r="H545" s="3" t="str">
        <f>VLOOKUP(F545,'Customers (2)'!A:I,3,0)</f>
        <v>isprakesf3@spiegel.de</v>
      </c>
      <c r="I545" s="3" t="str">
        <f>VLOOKUP(F545,'Customers (2)'!A:I,4,0)</f>
        <v>+1 (408) 319-9787</v>
      </c>
      <c r="J545" s="3" t="str">
        <f>VLOOKUP(F545,'Customers (2)'!A:I,6,0)</f>
        <v>San Jose</v>
      </c>
      <c r="K545" s="3" t="str">
        <f>VLOOKUP(F545,'Customers (2)'!A:I,7,0)</f>
        <v>United States</v>
      </c>
      <c r="L545" s="3" t="str">
        <f>VLOOKUP(F545,'Customers (2)'!A:I,9,0)</f>
        <v>No</v>
      </c>
      <c r="M545" s="4" t="s">
        <v>10</v>
      </c>
      <c r="N545" s="4" t="str">
        <f>VLOOKUP(M545,'Products (2)'!A:G,2,0)</f>
        <v>Robusta</v>
      </c>
      <c r="O545" s="4" t="str">
        <f>VLOOKUP(M545,'Products (2)'!A:G,3,0)</f>
        <v>Light</v>
      </c>
      <c r="P545" s="4">
        <f>VLOOKUP(M545,'Products (2)'!A:G,7,0)</f>
        <v>1.6490999999999998</v>
      </c>
      <c r="Q545" s="3">
        <v>2</v>
      </c>
      <c r="R545" s="5">
        <f>INDEX([1]products!$A$1:$G$49,MATCH([1]orders!$D545,[1]products!$A$1:$A$49,0),MATCH([1]orders!K$1,[1]products!$A$1:$G$1,0))</f>
        <v>2.5</v>
      </c>
      <c r="S545" s="6">
        <f>INDEX([1]products!$A$1:$G$49,MATCH([1]orders!$D545,[1]products!$A$1:$A$49,0),MATCH([1]orders!L$1,[1]products!$A$1:$G$1,0))</f>
        <v>27.484999999999996</v>
      </c>
      <c r="T545" s="6">
        <f t="shared" si="48"/>
        <v>54.969999999999992</v>
      </c>
      <c r="U545" s="22">
        <f t="shared" si="52"/>
        <v>3.2981999999999996</v>
      </c>
      <c r="V545" s="22">
        <f t="shared" si="53"/>
        <v>6.0000000000000009</v>
      </c>
    </row>
    <row r="546" spans="1:22" x14ac:dyDescent="0.3">
      <c r="A546" s="1" t="s">
        <v>1068</v>
      </c>
      <c r="B546" s="2">
        <v>43869</v>
      </c>
      <c r="C546" s="2" t="str">
        <f t="shared" si="49"/>
        <v>Saturday</v>
      </c>
      <c r="D546" s="2" t="str">
        <f t="shared" si="50"/>
        <v>February</v>
      </c>
      <c r="E546" s="2" t="str">
        <f t="shared" si="51"/>
        <v>2020</v>
      </c>
      <c r="F546" s="3" t="s">
        <v>1069</v>
      </c>
      <c r="G546" s="3" t="str">
        <f>VLOOKUP(F547,'Customers (2)'!A:I,2,0)</f>
        <v>Rufus Flear</v>
      </c>
      <c r="H546" s="3" t="str">
        <f>VLOOKUP(F546,'Customers (2)'!A:I,3,0)</f>
        <v>hfromantf4@ucsd.edu</v>
      </c>
      <c r="I546" s="3" t="str">
        <f>VLOOKUP(F546,'Customers (2)'!A:I,4,0)</f>
        <v>+1 (610) 156-1700</v>
      </c>
      <c r="J546" s="3" t="str">
        <f>VLOOKUP(F546,'Customers (2)'!A:I,6,0)</f>
        <v>Philadelphia</v>
      </c>
      <c r="K546" s="3" t="str">
        <f>VLOOKUP(F546,'Customers (2)'!A:I,7,0)</f>
        <v>United States</v>
      </c>
      <c r="L546" s="3" t="str">
        <f>VLOOKUP(F546,'Customers (2)'!A:I,9,0)</f>
        <v>No</v>
      </c>
      <c r="M546" s="4" t="s">
        <v>192</v>
      </c>
      <c r="N546" s="4" t="str">
        <f>VLOOKUP(M546,'Products (2)'!A:G,2,0)</f>
        <v>Arabica</v>
      </c>
      <c r="O546" s="4" t="str">
        <f>VLOOKUP(M546,'Products (2)'!A:G,3,0)</f>
        <v>Light</v>
      </c>
      <c r="P546" s="4">
        <f>VLOOKUP(M546,'Products (2)'!A:G,7,0)</f>
        <v>0.69929999999999992</v>
      </c>
      <c r="Q546" s="3">
        <v>2</v>
      </c>
      <c r="R546" s="5">
        <f>INDEX([1]products!$A$1:$G$49,MATCH([1]orders!$D546,[1]products!$A$1:$A$49,0),MATCH([1]orders!K$1,[1]products!$A$1:$G$1,0))</f>
        <v>0.5</v>
      </c>
      <c r="S546" s="6">
        <f>INDEX([1]products!$A$1:$G$49,MATCH([1]orders!$D546,[1]products!$A$1:$A$49,0),MATCH([1]orders!L$1,[1]products!$A$1:$G$1,0))</f>
        <v>7.77</v>
      </c>
      <c r="T546" s="6">
        <f t="shared" si="48"/>
        <v>15.54</v>
      </c>
      <c r="U546" s="22">
        <f t="shared" si="52"/>
        <v>1.3985999999999998</v>
      </c>
      <c r="V546" s="22">
        <f t="shared" si="53"/>
        <v>9</v>
      </c>
    </row>
    <row r="547" spans="1:22" x14ac:dyDescent="0.3">
      <c r="A547" s="1" t="s">
        <v>1070</v>
      </c>
      <c r="B547" s="2">
        <v>44120</v>
      </c>
      <c r="C547" s="2" t="str">
        <f t="shared" si="49"/>
        <v>Friday</v>
      </c>
      <c r="D547" s="2" t="str">
        <f t="shared" si="50"/>
        <v>October</v>
      </c>
      <c r="E547" s="2" t="str">
        <f t="shared" si="51"/>
        <v>2020</v>
      </c>
      <c r="F547" s="3" t="s">
        <v>1071</v>
      </c>
      <c r="G547" s="3" t="str">
        <f>VLOOKUP(F548,'Customers (2)'!A:I,2,0)</f>
        <v>Dom Milella</v>
      </c>
      <c r="H547" s="3" t="str">
        <f>VLOOKUP(F547,'Customers (2)'!A:I,3,0)</f>
        <v>rflearf5@artisteer.com</v>
      </c>
      <c r="I547" s="3" t="str">
        <f>VLOOKUP(F547,'Customers (2)'!A:I,4,0)</f>
        <v>+44 (271) 881-4912</v>
      </c>
      <c r="J547" s="3" t="str">
        <f>VLOOKUP(F547,'Customers (2)'!A:I,6,0)</f>
        <v>Sheffield</v>
      </c>
      <c r="K547" s="3" t="str">
        <f>VLOOKUP(F547,'Customers (2)'!A:I,7,0)</f>
        <v>United Kingdom</v>
      </c>
      <c r="L547" s="3" t="str">
        <f>VLOOKUP(F547,'Customers (2)'!A:I,9,0)</f>
        <v>No</v>
      </c>
      <c r="M547" s="4" t="s">
        <v>38</v>
      </c>
      <c r="N547" s="4" t="str">
        <f>VLOOKUP(M547,'Products (2)'!A:G,2,0)</f>
        <v>Liberica</v>
      </c>
      <c r="O547" s="4" t="str">
        <f>VLOOKUP(M547,'Products (2)'!A:G,3,0)</f>
        <v>Dark</v>
      </c>
      <c r="P547" s="4">
        <f>VLOOKUP(M547,'Products (2)'!A:G,7,0)</f>
        <v>0.50505</v>
      </c>
      <c r="Q547" s="3">
        <v>4</v>
      </c>
      <c r="R547" s="5">
        <f>INDEX([1]products!$A$1:$G$49,MATCH([1]orders!$D547,[1]products!$A$1:$A$49,0),MATCH([1]orders!K$1,[1]products!$A$1:$G$1,0))</f>
        <v>0.2</v>
      </c>
      <c r="S547" s="6">
        <f>INDEX([1]products!$A$1:$G$49,MATCH([1]orders!$D547,[1]products!$A$1:$A$49,0),MATCH([1]orders!L$1,[1]products!$A$1:$G$1,0))</f>
        <v>3.8849999999999998</v>
      </c>
      <c r="T547" s="6">
        <f t="shared" si="48"/>
        <v>15.54</v>
      </c>
      <c r="U547" s="22">
        <f t="shared" si="52"/>
        <v>2.0202</v>
      </c>
      <c r="V547" s="22">
        <f t="shared" si="53"/>
        <v>13</v>
      </c>
    </row>
    <row r="548" spans="1:22" x14ac:dyDescent="0.3">
      <c r="A548" s="1" t="s">
        <v>1072</v>
      </c>
      <c r="B548" s="2">
        <v>44127</v>
      </c>
      <c r="C548" s="2" t="str">
        <f t="shared" si="49"/>
        <v>Friday</v>
      </c>
      <c r="D548" s="2" t="str">
        <f t="shared" si="50"/>
        <v>October</v>
      </c>
      <c r="E548" s="2" t="str">
        <f t="shared" si="51"/>
        <v>2020</v>
      </c>
      <c r="F548" s="3" t="s">
        <v>1073</v>
      </c>
      <c r="G548" s="3" t="str">
        <f>VLOOKUP(F549,'Customers (2)'!A:I,2,0)</f>
        <v>Wilek Lightollers</v>
      </c>
      <c r="H548" s="3">
        <f>VLOOKUP(F548,'Customers (2)'!A:I,3,0)</f>
        <v>0</v>
      </c>
      <c r="I548" s="3" t="str">
        <f>VLOOKUP(F548,'Customers (2)'!A:I,4,0)</f>
        <v>+353 (361) 732-3444</v>
      </c>
      <c r="J548" s="3" t="str">
        <f>VLOOKUP(F548,'Customers (2)'!A:I,6,0)</f>
        <v>Manorhamilton</v>
      </c>
      <c r="K548" s="3" t="str">
        <f>VLOOKUP(F548,'Customers (2)'!A:I,7,0)</f>
        <v>Ireland</v>
      </c>
      <c r="L548" s="3" t="str">
        <f>VLOOKUP(F548,'Customers (2)'!A:I,9,0)</f>
        <v>No</v>
      </c>
      <c r="M548" s="4" t="s">
        <v>530</v>
      </c>
      <c r="N548" s="4" t="str">
        <f>VLOOKUP(M548,'Products (2)'!A:G,2,0)</f>
        <v>Excelsa</v>
      </c>
      <c r="O548" s="4" t="str">
        <f>VLOOKUP(M548,'Products (2)'!A:G,3,0)</f>
        <v>Dark</v>
      </c>
      <c r="P548" s="4">
        <f>VLOOKUP(M548,'Products (2)'!A:G,7,0)</f>
        <v>3.07395</v>
      </c>
      <c r="Q548" s="3">
        <v>3</v>
      </c>
      <c r="R548" s="5">
        <f>INDEX([1]products!$A$1:$G$49,MATCH([1]orders!$D548,[1]products!$A$1:$A$49,0),MATCH([1]orders!K$1,[1]products!$A$1:$G$1,0))</f>
        <v>2.5</v>
      </c>
      <c r="S548" s="6">
        <f>INDEX([1]products!$A$1:$G$49,MATCH([1]orders!$D548,[1]products!$A$1:$A$49,0),MATCH([1]orders!L$1,[1]products!$A$1:$G$1,0))</f>
        <v>27.945</v>
      </c>
      <c r="T548" s="6">
        <f t="shared" si="48"/>
        <v>83.835000000000008</v>
      </c>
      <c r="U548" s="22">
        <f t="shared" si="52"/>
        <v>9.2218499999999999</v>
      </c>
      <c r="V548" s="22">
        <f t="shared" si="53"/>
        <v>10.999999999999998</v>
      </c>
    </row>
    <row r="549" spans="1:22" x14ac:dyDescent="0.3">
      <c r="A549" s="1" t="s">
        <v>1074</v>
      </c>
      <c r="B549" s="2">
        <v>44265</v>
      </c>
      <c r="C549" s="2" t="str">
        <f t="shared" si="49"/>
        <v>Wednesday</v>
      </c>
      <c r="D549" s="2" t="str">
        <f t="shared" si="50"/>
        <v>March</v>
      </c>
      <c r="E549" s="2" t="str">
        <f t="shared" si="51"/>
        <v>2021</v>
      </c>
      <c r="F549" s="3" t="s">
        <v>1075</v>
      </c>
      <c r="G549" s="3" t="str">
        <f>VLOOKUP(F550,'Customers (2)'!A:I,2,0)</f>
        <v>Bette-ann Munden</v>
      </c>
      <c r="H549" s="3" t="str">
        <f>VLOOKUP(F549,'Customers (2)'!A:I,3,0)</f>
        <v>wlightollersf9@baidu.com</v>
      </c>
      <c r="I549" s="3" t="str">
        <f>VLOOKUP(F549,'Customers (2)'!A:I,4,0)</f>
        <v>+1 (646) 793-8756</v>
      </c>
      <c r="J549" s="3" t="str">
        <f>VLOOKUP(F549,'Customers (2)'!A:I,6,0)</f>
        <v>New York City</v>
      </c>
      <c r="K549" s="3" t="str">
        <f>VLOOKUP(F549,'Customers (2)'!A:I,7,0)</f>
        <v>United States</v>
      </c>
      <c r="L549" s="3" t="str">
        <f>VLOOKUP(F549,'Customers (2)'!A:I,9,0)</f>
        <v>Yes</v>
      </c>
      <c r="M549" s="4" t="s">
        <v>182</v>
      </c>
      <c r="N549" s="4" t="str">
        <f>VLOOKUP(M549,'Products (2)'!A:G,2,0)</f>
        <v>Robusta</v>
      </c>
      <c r="O549" s="4" t="str">
        <f>VLOOKUP(M549,'Products (2)'!A:G,3,0)</f>
        <v>Light</v>
      </c>
      <c r="P549" s="4">
        <f>VLOOKUP(M549,'Products (2)'!A:G,7,0)</f>
        <v>0.21509999999999996</v>
      </c>
      <c r="Q549" s="3">
        <v>3</v>
      </c>
      <c r="R549" s="5">
        <f>INDEX([1]products!$A$1:$G$49,MATCH([1]orders!$D549,[1]products!$A$1:$A$49,0),MATCH([1]orders!K$1,[1]products!$A$1:$G$1,0))</f>
        <v>0.2</v>
      </c>
      <c r="S549" s="6">
        <f>INDEX([1]products!$A$1:$G$49,MATCH([1]orders!$D549,[1]products!$A$1:$A$49,0),MATCH([1]orders!L$1,[1]products!$A$1:$G$1,0))</f>
        <v>3.5849999999999995</v>
      </c>
      <c r="T549" s="6">
        <f t="shared" si="48"/>
        <v>10.754999999999999</v>
      </c>
      <c r="U549" s="22">
        <f t="shared" si="52"/>
        <v>0.64529999999999987</v>
      </c>
      <c r="V549" s="22">
        <f t="shared" si="53"/>
        <v>5.9999999999999991</v>
      </c>
    </row>
    <row r="550" spans="1:22" x14ac:dyDescent="0.3">
      <c r="A550" s="1" t="s">
        <v>1076</v>
      </c>
      <c r="B550" s="2">
        <v>44384</v>
      </c>
      <c r="C550" s="2" t="str">
        <f t="shared" si="49"/>
        <v>Wednesday</v>
      </c>
      <c r="D550" s="2" t="str">
        <f t="shared" si="50"/>
        <v>July</v>
      </c>
      <c r="E550" s="2" t="str">
        <f t="shared" si="51"/>
        <v>2021</v>
      </c>
      <c r="F550" s="3" t="s">
        <v>1077</v>
      </c>
      <c r="G550" s="3" t="str">
        <f>VLOOKUP(F551,'Customers (2)'!A:I,2,0)</f>
        <v>Wilek Lightollers</v>
      </c>
      <c r="H550" s="3" t="str">
        <f>VLOOKUP(F550,'Customers (2)'!A:I,3,0)</f>
        <v>bmundenf8@elpais.com</v>
      </c>
      <c r="I550" s="3" t="str">
        <f>VLOOKUP(F550,'Customers (2)'!A:I,4,0)</f>
        <v>+1 (405) 290-3207</v>
      </c>
      <c r="J550" s="3" t="str">
        <f>VLOOKUP(F550,'Customers (2)'!A:I,6,0)</f>
        <v>Oklahoma City</v>
      </c>
      <c r="K550" s="3" t="str">
        <f>VLOOKUP(F550,'Customers (2)'!A:I,7,0)</f>
        <v>United States</v>
      </c>
      <c r="L550" s="3" t="str">
        <f>VLOOKUP(F550,'Customers (2)'!A:I,9,0)</f>
        <v>Yes</v>
      </c>
      <c r="M550" s="4" t="s">
        <v>254</v>
      </c>
      <c r="N550" s="4" t="str">
        <f>VLOOKUP(M550,'Products (2)'!A:G,2,0)</f>
        <v>Excelsa</v>
      </c>
      <c r="O550" s="4" t="str">
        <f>VLOOKUP(M550,'Products (2)'!A:G,3,0)</f>
        <v>Light</v>
      </c>
      <c r="P550" s="4">
        <f>VLOOKUP(M550,'Products (2)'!A:G,7,0)</f>
        <v>0.49004999999999999</v>
      </c>
      <c r="Q550" s="3">
        <v>3</v>
      </c>
      <c r="R550" s="5">
        <f>INDEX([1]products!$A$1:$G$49,MATCH([1]orders!$D550,[1]products!$A$1:$A$49,0),MATCH([1]orders!K$1,[1]products!$A$1:$G$1,0))</f>
        <v>0.2</v>
      </c>
      <c r="S550" s="6">
        <f>INDEX([1]products!$A$1:$G$49,MATCH([1]orders!$D550,[1]products!$A$1:$A$49,0),MATCH([1]orders!L$1,[1]products!$A$1:$G$1,0))</f>
        <v>4.4550000000000001</v>
      </c>
      <c r="T550" s="6">
        <f t="shared" si="48"/>
        <v>13.365</v>
      </c>
      <c r="U550" s="22">
        <f t="shared" si="52"/>
        <v>1.4701499999999998</v>
      </c>
      <c r="V550" s="22">
        <f t="shared" si="53"/>
        <v>10.999999999999998</v>
      </c>
    </row>
    <row r="551" spans="1:22" x14ac:dyDescent="0.3">
      <c r="A551" s="1" t="s">
        <v>1078</v>
      </c>
      <c r="B551" s="2">
        <v>44232</v>
      </c>
      <c r="C551" s="2" t="str">
        <f t="shared" si="49"/>
        <v>Friday</v>
      </c>
      <c r="D551" s="2" t="str">
        <f t="shared" si="50"/>
        <v>February</v>
      </c>
      <c r="E551" s="2" t="str">
        <f t="shared" si="51"/>
        <v>2021</v>
      </c>
      <c r="F551" s="3" t="s">
        <v>1075</v>
      </c>
      <c r="G551" s="3" t="str">
        <f>VLOOKUP(F552,'Customers (2)'!A:I,2,0)</f>
        <v>Nick Brakespear</v>
      </c>
      <c r="H551" s="3" t="str">
        <f>VLOOKUP(F551,'Customers (2)'!A:I,3,0)</f>
        <v>wlightollersf9@baidu.com</v>
      </c>
      <c r="I551" s="3" t="str">
        <f>VLOOKUP(F551,'Customers (2)'!A:I,4,0)</f>
        <v>+1 (646) 793-8756</v>
      </c>
      <c r="J551" s="3" t="str">
        <f>VLOOKUP(F551,'Customers (2)'!A:I,6,0)</f>
        <v>New York City</v>
      </c>
      <c r="K551" s="3" t="str">
        <f>VLOOKUP(F551,'Customers (2)'!A:I,7,0)</f>
        <v>United States</v>
      </c>
      <c r="L551" s="3" t="str">
        <f>VLOOKUP(F551,'Customers (2)'!A:I,9,0)</f>
        <v>Yes</v>
      </c>
      <c r="M551" s="4" t="s">
        <v>254</v>
      </c>
      <c r="N551" s="4" t="str">
        <f>VLOOKUP(M551,'Products (2)'!A:G,2,0)</f>
        <v>Excelsa</v>
      </c>
      <c r="O551" s="4" t="str">
        <f>VLOOKUP(M551,'Products (2)'!A:G,3,0)</f>
        <v>Light</v>
      </c>
      <c r="P551" s="4">
        <f>VLOOKUP(M551,'Products (2)'!A:G,7,0)</f>
        <v>0.49004999999999999</v>
      </c>
      <c r="Q551" s="3">
        <v>4</v>
      </c>
      <c r="R551" s="5">
        <f>INDEX([1]products!$A$1:$G$49,MATCH([1]orders!$D551,[1]products!$A$1:$A$49,0),MATCH([1]orders!K$1,[1]products!$A$1:$G$1,0))</f>
        <v>0.2</v>
      </c>
      <c r="S551" s="6">
        <f>INDEX([1]products!$A$1:$G$49,MATCH([1]orders!$D551,[1]products!$A$1:$A$49,0),MATCH([1]orders!L$1,[1]products!$A$1:$G$1,0))</f>
        <v>4.4550000000000001</v>
      </c>
      <c r="T551" s="6">
        <f t="shared" si="48"/>
        <v>17.82</v>
      </c>
      <c r="U551" s="22">
        <f t="shared" si="52"/>
        <v>1.9601999999999999</v>
      </c>
      <c r="V551" s="22">
        <f t="shared" si="53"/>
        <v>11</v>
      </c>
    </row>
    <row r="552" spans="1:22" x14ac:dyDescent="0.3">
      <c r="A552" s="1" t="s">
        <v>1079</v>
      </c>
      <c r="B552" s="2">
        <v>44176</v>
      </c>
      <c r="C552" s="2" t="str">
        <f t="shared" si="49"/>
        <v>Friday</v>
      </c>
      <c r="D552" s="2" t="str">
        <f t="shared" si="50"/>
        <v>December</v>
      </c>
      <c r="E552" s="2" t="str">
        <f t="shared" si="51"/>
        <v>2020</v>
      </c>
      <c r="F552" s="3" t="s">
        <v>1080</v>
      </c>
      <c r="G552" s="3" t="str">
        <f>VLOOKUP(F553,'Customers (2)'!A:I,2,0)</f>
        <v>Malynda Glawsop</v>
      </c>
      <c r="H552" s="3" t="str">
        <f>VLOOKUP(F552,'Customers (2)'!A:I,3,0)</f>
        <v>nbrakespearfa@rediff.com</v>
      </c>
      <c r="I552" s="3" t="str">
        <f>VLOOKUP(F552,'Customers (2)'!A:I,4,0)</f>
        <v>+1 (973) 380-3976</v>
      </c>
      <c r="J552" s="3" t="str">
        <f>VLOOKUP(F552,'Customers (2)'!A:I,6,0)</f>
        <v>Newark</v>
      </c>
      <c r="K552" s="3" t="str">
        <f>VLOOKUP(F552,'Customers (2)'!A:I,7,0)</f>
        <v>United States</v>
      </c>
      <c r="L552" s="3" t="str">
        <f>VLOOKUP(F552,'Customers (2)'!A:I,9,0)</f>
        <v>Yes</v>
      </c>
      <c r="M552" s="4" t="s">
        <v>38</v>
      </c>
      <c r="N552" s="4" t="str">
        <f>VLOOKUP(M552,'Products (2)'!A:G,2,0)</f>
        <v>Liberica</v>
      </c>
      <c r="O552" s="4" t="str">
        <f>VLOOKUP(M552,'Products (2)'!A:G,3,0)</f>
        <v>Dark</v>
      </c>
      <c r="P552" s="4">
        <f>VLOOKUP(M552,'Products (2)'!A:G,7,0)</f>
        <v>0.50505</v>
      </c>
      <c r="Q552" s="3">
        <v>6</v>
      </c>
      <c r="R552" s="5">
        <f>INDEX([1]products!$A$1:$G$49,MATCH([1]orders!$D552,[1]products!$A$1:$A$49,0),MATCH([1]orders!K$1,[1]products!$A$1:$G$1,0))</f>
        <v>0.2</v>
      </c>
      <c r="S552" s="6">
        <f>INDEX([1]products!$A$1:$G$49,MATCH([1]orders!$D552,[1]products!$A$1:$A$49,0),MATCH([1]orders!L$1,[1]products!$A$1:$G$1,0))</f>
        <v>3.8849999999999998</v>
      </c>
      <c r="T552" s="6">
        <f t="shared" si="48"/>
        <v>23.31</v>
      </c>
      <c r="U552" s="22">
        <f t="shared" si="52"/>
        <v>3.0303</v>
      </c>
      <c r="V552" s="22">
        <f t="shared" si="53"/>
        <v>13</v>
      </c>
    </row>
    <row r="553" spans="1:22" x14ac:dyDescent="0.3">
      <c r="A553" s="1" t="s">
        <v>1081</v>
      </c>
      <c r="B553" s="2">
        <v>44694</v>
      </c>
      <c r="C553" s="2" t="str">
        <f t="shared" si="49"/>
        <v>Friday</v>
      </c>
      <c r="D553" s="2" t="str">
        <f t="shared" si="50"/>
        <v>May</v>
      </c>
      <c r="E553" s="2" t="str">
        <f t="shared" si="51"/>
        <v>2022</v>
      </c>
      <c r="F553" s="3" t="s">
        <v>1082</v>
      </c>
      <c r="G553" s="3" t="str">
        <f>VLOOKUP(F554,'Customers (2)'!A:I,2,0)</f>
        <v>Granville Alberts</v>
      </c>
      <c r="H553" s="3" t="str">
        <f>VLOOKUP(F553,'Customers (2)'!A:I,3,0)</f>
        <v>mglawsopfb@reverbnation.com</v>
      </c>
      <c r="I553" s="3" t="str">
        <f>VLOOKUP(F553,'Customers (2)'!A:I,4,0)</f>
        <v>+1 (203) 608-9937</v>
      </c>
      <c r="J553" s="3" t="str">
        <f>VLOOKUP(F553,'Customers (2)'!A:I,6,0)</f>
        <v>New Haven</v>
      </c>
      <c r="K553" s="3" t="str">
        <f>VLOOKUP(F553,'Customers (2)'!A:I,7,0)</f>
        <v>United States</v>
      </c>
      <c r="L553" s="3" t="str">
        <f>VLOOKUP(F553,'Customers (2)'!A:I,9,0)</f>
        <v>No</v>
      </c>
      <c r="M553" s="4" t="s">
        <v>51</v>
      </c>
      <c r="N553" s="4" t="str">
        <f>VLOOKUP(M553,'Products (2)'!A:G,2,0)</f>
        <v>Excelsa</v>
      </c>
      <c r="O553" s="4" t="str">
        <f>VLOOKUP(M553,'Products (2)'!A:G,3,0)</f>
        <v>Dark</v>
      </c>
      <c r="P553" s="4">
        <f>VLOOKUP(M553,'Products (2)'!A:G,7,0)</f>
        <v>0.40095000000000003</v>
      </c>
      <c r="Q553" s="3">
        <v>2</v>
      </c>
      <c r="R553" s="5">
        <f>INDEX([1]products!$A$1:$G$49,MATCH([1]orders!$D553,[1]products!$A$1:$A$49,0),MATCH([1]orders!K$1,[1]products!$A$1:$G$1,0))</f>
        <v>0.2</v>
      </c>
      <c r="S553" s="6">
        <f>INDEX([1]products!$A$1:$G$49,MATCH([1]orders!$D553,[1]products!$A$1:$A$49,0),MATCH([1]orders!L$1,[1]products!$A$1:$G$1,0))</f>
        <v>3.645</v>
      </c>
      <c r="T553" s="6">
        <f t="shared" si="48"/>
        <v>7.29</v>
      </c>
      <c r="U553" s="22">
        <f t="shared" si="52"/>
        <v>0.80190000000000006</v>
      </c>
      <c r="V553" s="22">
        <f t="shared" si="53"/>
        <v>11</v>
      </c>
    </row>
    <row r="554" spans="1:22" x14ac:dyDescent="0.3">
      <c r="A554" s="1" t="s">
        <v>1083</v>
      </c>
      <c r="B554" s="2">
        <v>43761</v>
      </c>
      <c r="C554" s="2" t="str">
        <f t="shared" si="49"/>
        <v>Wednesday</v>
      </c>
      <c r="D554" s="2" t="str">
        <f t="shared" si="50"/>
        <v>October</v>
      </c>
      <c r="E554" s="2" t="str">
        <f t="shared" si="51"/>
        <v>2019</v>
      </c>
      <c r="F554" s="3" t="s">
        <v>1084</v>
      </c>
      <c r="G554" s="3" t="str">
        <f>VLOOKUP(F555,'Customers (2)'!A:I,2,0)</f>
        <v>Vasily Polglase</v>
      </c>
      <c r="H554" s="3" t="str">
        <f>VLOOKUP(F554,'Customers (2)'!A:I,3,0)</f>
        <v>galbertsfc@etsy.com</v>
      </c>
      <c r="I554" s="3" t="str">
        <f>VLOOKUP(F554,'Customers (2)'!A:I,4,0)</f>
        <v>+44 (788) 686-0408</v>
      </c>
      <c r="J554" s="3" t="str">
        <f>VLOOKUP(F554,'Customers (2)'!A:I,6,0)</f>
        <v>Belfast</v>
      </c>
      <c r="K554" s="3" t="str">
        <f>VLOOKUP(F554,'Customers (2)'!A:I,7,0)</f>
        <v>United Kingdom</v>
      </c>
      <c r="L554" s="3" t="str">
        <f>VLOOKUP(F554,'Customers (2)'!A:I,9,0)</f>
        <v>Yes</v>
      </c>
      <c r="M554" s="4" t="s">
        <v>254</v>
      </c>
      <c r="N554" s="4" t="str">
        <f>VLOOKUP(M554,'Products (2)'!A:G,2,0)</f>
        <v>Excelsa</v>
      </c>
      <c r="O554" s="4" t="str">
        <f>VLOOKUP(M554,'Products (2)'!A:G,3,0)</f>
        <v>Light</v>
      </c>
      <c r="P554" s="4">
        <f>VLOOKUP(M554,'Products (2)'!A:G,7,0)</f>
        <v>0.49004999999999999</v>
      </c>
      <c r="Q554" s="3">
        <v>4</v>
      </c>
      <c r="R554" s="5">
        <f>INDEX([1]products!$A$1:$G$49,MATCH([1]orders!$D554,[1]products!$A$1:$A$49,0),MATCH([1]orders!K$1,[1]products!$A$1:$G$1,0))</f>
        <v>0.2</v>
      </c>
      <c r="S554" s="6">
        <f>INDEX([1]products!$A$1:$G$49,MATCH([1]orders!$D554,[1]products!$A$1:$A$49,0),MATCH([1]orders!L$1,[1]products!$A$1:$G$1,0))</f>
        <v>4.4550000000000001</v>
      </c>
      <c r="T554" s="6">
        <f t="shared" si="48"/>
        <v>17.82</v>
      </c>
      <c r="U554" s="22">
        <f t="shared" si="52"/>
        <v>1.9601999999999999</v>
      </c>
      <c r="V554" s="22">
        <f t="shared" si="53"/>
        <v>11</v>
      </c>
    </row>
    <row r="555" spans="1:22" x14ac:dyDescent="0.3">
      <c r="A555" s="1" t="s">
        <v>1085</v>
      </c>
      <c r="B555" s="2">
        <v>44085</v>
      </c>
      <c r="C555" s="2" t="str">
        <f t="shared" si="49"/>
        <v>Friday</v>
      </c>
      <c r="D555" s="2" t="str">
        <f t="shared" si="50"/>
        <v>September</v>
      </c>
      <c r="E555" s="2" t="str">
        <f t="shared" si="51"/>
        <v>2020</v>
      </c>
      <c r="F555" s="3" t="s">
        <v>1086</v>
      </c>
      <c r="G555" s="3" t="str">
        <f>VLOOKUP(F556,'Customers (2)'!A:I,2,0)</f>
        <v>Madelaine Sharples</v>
      </c>
      <c r="H555" s="3" t="str">
        <f>VLOOKUP(F555,'Customers (2)'!A:I,3,0)</f>
        <v>vpolglasefd@about.me</v>
      </c>
      <c r="I555" s="3">
        <f>VLOOKUP(F555,'Customers (2)'!A:I,4,0)</f>
        <v>0</v>
      </c>
      <c r="J555" s="3" t="str">
        <f>VLOOKUP(F555,'Customers (2)'!A:I,6,0)</f>
        <v>Toledo</v>
      </c>
      <c r="K555" s="3" t="str">
        <f>VLOOKUP(F555,'Customers (2)'!A:I,7,0)</f>
        <v>United States</v>
      </c>
      <c r="L555" s="3" t="str">
        <f>VLOOKUP(F555,'Customers (2)'!A:I,9,0)</f>
        <v>No</v>
      </c>
      <c r="M555" s="4" t="s">
        <v>9</v>
      </c>
      <c r="N555" s="4" t="str">
        <f>VLOOKUP(M555,'Products (2)'!A:G,2,0)</f>
        <v>Excelsa</v>
      </c>
      <c r="O555" s="4" t="str">
        <f>VLOOKUP(M555,'Products (2)'!A:G,3,0)</f>
        <v>Medium</v>
      </c>
      <c r="P555" s="4">
        <f>VLOOKUP(M555,'Products (2)'!A:G,7,0)</f>
        <v>1.5125</v>
      </c>
      <c r="Q555" s="3">
        <v>5</v>
      </c>
      <c r="R555" s="5">
        <f>INDEX([1]products!$A$1:$G$49,MATCH([1]orders!$D555,[1]products!$A$1:$A$49,0),MATCH([1]orders!K$1,[1]products!$A$1:$G$1,0))</f>
        <v>1</v>
      </c>
      <c r="S555" s="6">
        <f>INDEX([1]products!$A$1:$G$49,MATCH([1]orders!$D555,[1]products!$A$1:$A$49,0),MATCH([1]orders!L$1,[1]products!$A$1:$G$1,0))</f>
        <v>13.75</v>
      </c>
      <c r="T555" s="6">
        <f t="shared" si="48"/>
        <v>68.75</v>
      </c>
      <c r="U555" s="22">
        <f t="shared" si="52"/>
        <v>7.5625</v>
      </c>
      <c r="V555" s="22">
        <f t="shared" si="53"/>
        <v>11</v>
      </c>
    </row>
    <row r="556" spans="1:22" x14ac:dyDescent="0.3">
      <c r="A556" s="1" t="s">
        <v>1087</v>
      </c>
      <c r="B556" s="2">
        <v>43737</v>
      </c>
      <c r="C556" s="2" t="str">
        <f t="shared" si="49"/>
        <v>Sunday</v>
      </c>
      <c r="D556" s="2" t="str">
        <f t="shared" si="50"/>
        <v>September</v>
      </c>
      <c r="E556" s="2" t="str">
        <f t="shared" si="51"/>
        <v>2019</v>
      </c>
      <c r="F556" s="3" t="s">
        <v>1088</v>
      </c>
      <c r="G556" s="3" t="str">
        <f>VLOOKUP(F557,'Customers (2)'!A:I,2,0)</f>
        <v>Sigfrid Busch</v>
      </c>
      <c r="H556" s="3">
        <f>VLOOKUP(F556,'Customers (2)'!A:I,3,0)</f>
        <v>0</v>
      </c>
      <c r="I556" s="3" t="str">
        <f>VLOOKUP(F556,'Customers (2)'!A:I,4,0)</f>
        <v>+44 (572) 727-1868</v>
      </c>
      <c r="J556" s="3" t="str">
        <f>VLOOKUP(F556,'Customers (2)'!A:I,6,0)</f>
        <v>Newton</v>
      </c>
      <c r="K556" s="3" t="str">
        <f>VLOOKUP(F556,'Customers (2)'!A:I,7,0)</f>
        <v>United Kingdom</v>
      </c>
      <c r="L556" s="3" t="str">
        <f>VLOOKUP(F556,'Customers (2)'!A:I,9,0)</f>
        <v>Yes</v>
      </c>
      <c r="M556" s="4" t="s">
        <v>10</v>
      </c>
      <c r="N556" s="4" t="str">
        <f>VLOOKUP(M556,'Products (2)'!A:G,2,0)</f>
        <v>Robusta</v>
      </c>
      <c r="O556" s="4" t="str">
        <f>VLOOKUP(M556,'Products (2)'!A:G,3,0)</f>
        <v>Light</v>
      </c>
      <c r="P556" s="4">
        <f>VLOOKUP(M556,'Products (2)'!A:G,7,0)</f>
        <v>1.6490999999999998</v>
      </c>
      <c r="Q556" s="3">
        <v>2</v>
      </c>
      <c r="R556" s="5">
        <f>INDEX([1]products!$A$1:$G$49,MATCH([1]orders!$D556,[1]products!$A$1:$A$49,0),MATCH([1]orders!K$1,[1]products!$A$1:$G$1,0))</f>
        <v>2.5</v>
      </c>
      <c r="S556" s="6">
        <f>INDEX([1]products!$A$1:$G$49,MATCH([1]orders!$D556,[1]products!$A$1:$A$49,0),MATCH([1]orders!L$1,[1]products!$A$1:$G$1,0))</f>
        <v>27.484999999999996</v>
      </c>
      <c r="T556" s="6">
        <f t="shared" si="48"/>
        <v>54.969999999999992</v>
      </c>
      <c r="U556" s="22">
        <f t="shared" si="52"/>
        <v>3.2981999999999996</v>
      </c>
      <c r="V556" s="22">
        <f t="shared" si="53"/>
        <v>6.0000000000000009</v>
      </c>
    </row>
    <row r="557" spans="1:22" x14ac:dyDescent="0.3">
      <c r="A557" s="1" t="s">
        <v>1089</v>
      </c>
      <c r="B557" s="2">
        <v>44258</v>
      </c>
      <c r="C557" s="2" t="str">
        <f t="shared" si="49"/>
        <v>Wednesday</v>
      </c>
      <c r="D557" s="2" t="str">
        <f t="shared" si="50"/>
        <v>March</v>
      </c>
      <c r="E557" s="2" t="str">
        <f t="shared" si="51"/>
        <v>2021</v>
      </c>
      <c r="F557" s="3" t="s">
        <v>1090</v>
      </c>
      <c r="G557" s="3" t="str">
        <f>VLOOKUP(F558,'Customers (2)'!A:I,2,0)</f>
        <v>Cissiee Raisbeck</v>
      </c>
      <c r="H557" s="3" t="str">
        <f>VLOOKUP(F557,'Customers (2)'!A:I,3,0)</f>
        <v>sbuschff@so-net.ne.jp</v>
      </c>
      <c r="I557" s="3" t="str">
        <f>VLOOKUP(F557,'Customers (2)'!A:I,4,0)</f>
        <v>+353 (953) 333-8754</v>
      </c>
      <c r="J557" s="3" t="str">
        <f>VLOOKUP(F557,'Customers (2)'!A:I,6,0)</f>
        <v>Bantry</v>
      </c>
      <c r="K557" s="3" t="str">
        <f>VLOOKUP(F557,'Customers (2)'!A:I,7,0)</f>
        <v>Ireland</v>
      </c>
      <c r="L557" s="3" t="str">
        <f>VLOOKUP(F557,'Customers (2)'!A:I,9,0)</f>
        <v>No</v>
      </c>
      <c r="M557" s="4" t="s">
        <v>9</v>
      </c>
      <c r="N557" s="4" t="str">
        <f>VLOOKUP(M557,'Products (2)'!A:G,2,0)</f>
        <v>Excelsa</v>
      </c>
      <c r="O557" s="4" t="str">
        <f>VLOOKUP(M557,'Products (2)'!A:G,3,0)</f>
        <v>Medium</v>
      </c>
      <c r="P557" s="4">
        <f>VLOOKUP(M557,'Products (2)'!A:G,7,0)</f>
        <v>1.5125</v>
      </c>
      <c r="Q557" s="3">
        <v>6</v>
      </c>
      <c r="R557" s="5">
        <f>INDEX([1]products!$A$1:$G$49,MATCH([1]orders!$D557,[1]products!$A$1:$A$49,0),MATCH([1]orders!K$1,[1]products!$A$1:$G$1,0))</f>
        <v>1</v>
      </c>
      <c r="S557" s="6">
        <f>INDEX([1]products!$A$1:$G$49,MATCH([1]orders!$D557,[1]products!$A$1:$A$49,0),MATCH([1]orders!L$1,[1]products!$A$1:$G$1,0))</f>
        <v>13.75</v>
      </c>
      <c r="T557" s="6">
        <f t="shared" si="48"/>
        <v>82.5</v>
      </c>
      <c r="U557" s="22">
        <f t="shared" si="52"/>
        <v>9.0749999999999993</v>
      </c>
      <c r="V557" s="22">
        <f t="shared" si="53"/>
        <v>10.999999999999998</v>
      </c>
    </row>
    <row r="558" spans="1:22" x14ac:dyDescent="0.3">
      <c r="A558" s="1" t="s">
        <v>1091</v>
      </c>
      <c r="B558" s="2">
        <v>44523</v>
      </c>
      <c r="C558" s="2" t="str">
        <f t="shared" si="49"/>
        <v>Tuesday</v>
      </c>
      <c r="D558" s="2" t="str">
        <f t="shared" si="50"/>
        <v>November</v>
      </c>
      <c r="E558" s="2" t="str">
        <f t="shared" si="51"/>
        <v>2021</v>
      </c>
      <c r="F558" s="3" t="s">
        <v>1092</v>
      </c>
      <c r="G558" s="3" t="str">
        <f>VLOOKUP(F559,'Customers (2)'!A:I,2,0)</f>
        <v>Marja Urion</v>
      </c>
      <c r="H558" s="3" t="str">
        <f>VLOOKUP(F558,'Customers (2)'!A:I,3,0)</f>
        <v>craisbeckfg@webnode.com</v>
      </c>
      <c r="I558" s="3">
        <f>VLOOKUP(F558,'Customers (2)'!A:I,4,0)</f>
        <v>0</v>
      </c>
      <c r="J558" s="3" t="str">
        <f>VLOOKUP(F558,'Customers (2)'!A:I,6,0)</f>
        <v>Shreveport</v>
      </c>
      <c r="K558" s="3" t="str">
        <f>VLOOKUP(F558,'Customers (2)'!A:I,7,0)</f>
        <v>United States</v>
      </c>
      <c r="L558" s="3" t="str">
        <f>VLOOKUP(F558,'Customers (2)'!A:I,9,0)</f>
        <v>Yes</v>
      </c>
      <c r="M558" s="4" t="s">
        <v>77</v>
      </c>
      <c r="N558" s="4" t="str">
        <f>VLOOKUP(M558,'Products (2)'!A:G,2,0)</f>
        <v>Liberica</v>
      </c>
      <c r="O558" s="4" t="str">
        <f>VLOOKUP(M558,'Products (2)'!A:G,3,0)</f>
        <v>Medium</v>
      </c>
      <c r="P558" s="4">
        <f>VLOOKUP(M558,'Products (2)'!A:G,7,0)</f>
        <v>0.56745000000000001</v>
      </c>
      <c r="Q558" s="3">
        <v>2</v>
      </c>
      <c r="R558" s="5">
        <f>INDEX([1]products!$A$1:$G$49,MATCH([1]orders!$D558,[1]products!$A$1:$A$49,0),MATCH([1]orders!K$1,[1]products!$A$1:$G$1,0))</f>
        <v>0.2</v>
      </c>
      <c r="S558" s="6">
        <f>INDEX([1]products!$A$1:$G$49,MATCH([1]orders!$D558,[1]products!$A$1:$A$49,0),MATCH([1]orders!L$1,[1]products!$A$1:$G$1,0))</f>
        <v>4.3650000000000002</v>
      </c>
      <c r="T558" s="6">
        <f t="shared" si="48"/>
        <v>8.73</v>
      </c>
      <c r="U558" s="22">
        <f t="shared" si="52"/>
        <v>1.1349</v>
      </c>
      <c r="V558" s="22">
        <f t="shared" si="53"/>
        <v>13</v>
      </c>
    </row>
    <row r="559" spans="1:22" x14ac:dyDescent="0.3">
      <c r="A559" s="1" t="s">
        <v>1093</v>
      </c>
      <c r="B559" s="2">
        <v>44506</v>
      </c>
      <c r="C559" s="2" t="str">
        <f t="shared" si="49"/>
        <v>Saturday</v>
      </c>
      <c r="D559" s="2" t="str">
        <f t="shared" si="50"/>
        <v>November</v>
      </c>
      <c r="E559" s="2" t="str">
        <f t="shared" si="51"/>
        <v>2021</v>
      </c>
      <c r="F559" s="3" t="s">
        <v>988</v>
      </c>
      <c r="G559" s="3" t="str">
        <f>VLOOKUP(F560,'Customers (2)'!A:I,2,0)</f>
        <v>Kenton Wetherick</v>
      </c>
      <c r="H559" s="3" t="str">
        <f>VLOOKUP(F559,'Customers (2)'!A:I,3,0)</f>
        <v>murione5@alexa.com</v>
      </c>
      <c r="I559" s="3" t="str">
        <f>VLOOKUP(F559,'Customers (2)'!A:I,4,0)</f>
        <v>+353 (715) 989-0283</v>
      </c>
      <c r="J559" s="3" t="str">
        <f>VLOOKUP(F559,'Customers (2)'!A:I,6,0)</f>
        <v>Virginia</v>
      </c>
      <c r="K559" s="3" t="str">
        <f>VLOOKUP(F559,'Customers (2)'!A:I,7,0)</f>
        <v>Ireland</v>
      </c>
      <c r="L559" s="3" t="str">
        <f>VLOOKUP(F559,'Customers (2)'!A:I,9,0)</f>
        <v>Yes</v>
      </c>
      <c r="M559" s="4" t="s">
        <v>137</v>
      </c>
      <c r="N559" s="4" t="str">
        <f>VLOOKUP(M559,'Products (2)'!A:G,2,0)</f>
        <v>Excelsa</v>
      </c>
      <c r="O559" s="4" t="str">
        <f>VLOOKUP(M559,'Products (2)'!A:G,3,0)</f>
        <v>Light</v>
      </c>
      <c r="P559" s="4">
        <f>VLOOKUP(M559,'Products (2)'!A:G,7,0)</f>
        <v>1.6335</v>
      </c>
      <c r="Q559" s="3">
        <v>4</v>
      </c>
      <c r="R559" s="5">
        <f>INDEX([1]products!$A$1:$G$49,MATCH([1]orders!$D559,[1]products!$A$1:$A$49,0),MATCH([1]orders!K$1,[1]products!$A$1:$G$1,0))</f>
        <v>1</v>
      </c>
      <c r="S559" s="6">
        <f>INDEX([1]products!$A$1:$G$49,MATCH([1]orders!$D559,[1]products!$A$1:$A$49,0),MATCH([1]orders!L$1,[1]products!$A$1:$G$1,0))</f>
        <v>14.85</v>
      </c>
      <c r="T559" s="6">
        <f t="shared" si="48"/>
        <v>59.4</v>
      </c>
      <c r="U559" s="22">
        <f t="shared" si="52"/>
        <v>6.5339999999999998</v>
      </c>
      <c r="V559" s="22">
        <f t="shared" si="53"/>
        <v>11</v>
      </c>
    </row>
    <row r="560" spans="1:22" x14ac:dyDescent="0.3">
      <c r="A560" s="1" t="s">
        <v>1094</v>
      </c>
      <c r="B560" s="2">
        <v>44225</v>
      </c>
      <c r="C560" s="2" t="str">
        <f t="shared" si="49"/>
        <v>Friday</v>
      </c>
      <c r="D560" s="2" t="str">
        <f t="shared" si="50"/>
        <v>January</v>
      </c>
      <c r="E560" s="2" t="str">
        <f t="shared" si="51"/>
        <v>2021</v>
      </c>
      <c r="F560" s="3" t="s">
        <v>1095</v>
      </c>
      <c r="G560" s="3" t="str">
        <f>VLOOKUP(F561,'Customers (2)'!A:I,2,0)</f>
        <v>Reamonn Aynold</v>
      </c>
      <c r="H560" s="3">
        <f>VLOOKUP(F560,'Customers (2)'!A:I,3,0)</f>
        <v>0</v>
      </c>
      <c r="I560" s="3" t="str">
        <f>VLOOKUP(F560,'Customers (2)'!A:I,4,0)</f>
        <v>+1 (859) 628-7241</v>
      </c>
      <c r="J560" s="3" t="str">
        <f>VLOOKUP(F560,'Customers (2)'!A:I,6,0)</f>
        <v>Lexington</v>
      </c>
      <c r="K560" s="3" t="str">
        <f>VLOOKUP(F560,'Customers (2)'!A:I,7,0)</f>
        <v>United States</v>
      </c>
      <c r="L560" s="3" t="str">
        <f>VLOOKUP(F560,'Customers (2)'!A:I,9,0)</f>
        <v>Yes</v>
      </c>
      <c r="M560" s="4" t="s">
        <v>38</v>
      </c>
      <c r="N560" s="4" t="str">
        <f>VLOOKUP(M560,'Products (2)'!A:G,2,0)</f>
        <v>Liberica</v>
      </c>
      <c r="O560" s="4" t="str">
        <f>VLOOKUP(M560,'Products (2)'!A:G,3,0)</f>
        <v>Dark</v>
      </c>
      <c r="P560" s="4">
        <f>VLOOKUP(M560,'Products (2)'!A:G,7,0)</f>
        <v>0.50505</v>
      </c>
      <c r="Q560" s="3">
        <v>4</v>
      </c>
      <c r="R560" s="5">
        <f>INDEX([1]products!$A$1:$G$49,MATCH([1]orders!$D560,[1]products!$A$1:$A$49,0),MATCH([1]orders!K$1,[1]products!$A$1:$G$1,0))</f>
        <v>0.2</v>
      </c>
      <c r="S560" s="6">
        <f>INDEX([1]products!$A$1:$G$49,MATCH([1]orders!$D560,[1]products!$A$1:$A$49,0),MATCH([1]orders!L$1,[1]products!$A$1:$G$1,0))</f>
        <v>3.8849999999999998</v>
      </c>
      <c r="T560" s="6">
        <f t="shared" si="48"/>
        <v>15.54</v>
      </c>
      <c r="U560" s="22">
        <f t="shared" si="52"/>
        <v>2.0202</v>
      </c>
      <c r="V560" s="22">
        <f t="shared" si="53"/>
        <v>13</v>
      </c>
    </row>
    <row r="561" spans="1:22" x14ac:dyDescent="0.3">
      <c r="A561" s="1" t="s">
        <v>1096</v>
      </c>
      <c r="B561" s="2">
        <v>44667</v>
      </c>
      <c r="C561" s="2" t="str">
        <f t="shared" si="49"/>
        <v>Saturday</v>
      </c>
      <c r="D561" s="2" t="str">
        <f t="shared" si="50"/>
        <v>April</v>
      </c>
      <c r="E561" s="2" t="str">
        <f t="shared" si="51"/>
        <v>2022</v>
      </c>
      <c r="F561" s="3" t="s">
        <v>1097</v>
      </c>
      <c r="G561" s="3" t="str">
        <f>VLOOKUP(F562,'Customers (2)'!A:I,2,0)</f>
        <v>Hatty Dovydenas</v>
      </c>
      <c r="H561" s="3" t="str">
        <f>VLOOKUP(F561,'Customers (2)'!A:I,3,0)</f>
        <v>raynoldfj@ustream.tv</v>
      </c>
      <c r="I561" s="3" t="str">
        <f>VLOOKUP(F561,'Customers (2)'!A:I,4,0)</f>
        <v>+1 (414) 429-0919</v>
      </c>
      <c r="J561" s="3" t="str">
        <f>VLOOKUP(F561,'Customers (2)'!A:I,6,0)</f>
        <v>Milwaukee</v>
      </c>
      <c r="K561" s="3" t="str">
        <f>VLOOKUP(F561,'Customers (2)'!A:I,7,0)</f>
        <v>United States</v>
      </c>
      <c r="L561" s="3" t="str">
        <f>VLOOKUP(F561,'Customers (2)'!A:I,9,0)</f>
        <v>Yes</v>
      </c>
      <c r="M561" s="4" t="s">
        <v>6</v>
      </c>
      <c r="N561" s="4" t="str">
        <f>VLOOKUP(M561,'Products (2)'!A:G,2,0)</f>
        <v>Arabica</v>
      </c>
      <c r="O561" s="4" t="str">
        <f>VLOOKUP(M561,'Products (2)'!A:G,3,0)</f>
        <v>Light</v>
      </c>
      <c r="P561" s="4">
        <f>VLOOKUP(M561,'Products (2)'!A:G,7,0)</f>
        <v>1.1655</v>
      </c>
      <c r="Q561" s="3">
        <v>3</v>
      </c>
      <c r="R561" s="5">
        <f>INDEX([1]products!$A$1:$G$49,MATCH([1]orders!$D561,[1]products!$A$1:$A$49,0),MATCH([1]orders!K$1,[1]products!$A$1:$G$1,0))</f>
        <v>1</v>
      </c>
      <c r="S561" s="6">
        <f>INDEX([1]products!$A$1:$G$49,MATCH([1]orders!$D561,[1]products!$A$1:$A$49,0),MATCH([1]orders!L$1,[1]products!$A$1:$G$1,0))</f>
        <v>12.95</v>
      </c>
      <c r="T561" s="6">
        <f t="shared" si="48"/>
        <v>38.849999999999994</v>
      </c>
      <c r="U561" s="22">
        <f t="shared" si="52"/>
        <v>3.4965000000000002</v>
      </c>
      <c r="V561" s="22">
        <f t="shared" si="53"/>
        <v>9.0000000000000018</v>
      </c>
    </row>
    <row r="562" spans="1:22" x14ac:dyDescent="0.3">
      <c r="A562" s="1" t="s">
        <v>1098</v>
      </c>
      <c r="B562" s="2">
        <v>44401</v>
      </c>
      <c r="C562" s="2" t="str">
        <f t="shared" si="49"/>
        <v>Saturday</v>
      </c>
      <c r="D562" s="2" t="str">
        <f t="shared" si="50"/>
        <v>July</v>
      </c>
      <c r="E562" s="2" t="str">
        <f t="shared" si="51"/>
        <v>2021</v>
      </c>
      <c r="F562" s="3" t="s">
        <v>1099</v>
      </c>
      <c r="G562" s="3" t="str">
        <f>VLOOKUP(F563,'Customers (2)'!A:I,2,0)</f>
        <v>Nathaniel Bloxland</v>
      </c>
      <c r="H562" s="3">
        <f>VLOOKUP(F562,'Customers (2)'!A:I,3,0)</f>
        <v>0</v>
      </c>
      <c r="I562" s="3" t="str">
        <f>VLOOKUP(F562,'Customers (2)'!A:I,4,0)</f>
        <v>+1 (281) 416-9557</v>
      </c>
      <c r="J562" s="3" t="str">
        <f>VLOOKUP(F562,'Customers (2)'!A:I,6,0)</f>
        <v>Amarillo</v>
      </c>
      <c r="K562" s="3" t="str">
        <f>VLOOKUP(F562,'Customers (2)'!A:I,7,0)</f>
        <v>United States</v>
      </c>
      <c r="L562" s="3" t="str">
        <f>VLOOKUP(F562,'Customers (2)'!A:I,9,0)</f>
        <v>Yes</v>
      </c>
      <c r="M562" s="4" t="s">
        <v>112</v>
      </c>
      <c r="N562" s="4" t="str">
        <f>VLOOKUP(M562,'Products (2)'!A:G,2,0)</f>
        <v>Excelsa</v>
      </c>
      <c r="O562" s="4" t="str">
        <f>VLOOKUP(M562,'Products (2)'!A:G,3,0)</f>
        <v>Medium</v>
      </c>
      <c r="P562" s="4">
        <f>VLOOKUP(M562,'Products (2)'!A:G,7,0)</f>
        <v>3.4787499999999998</v>
      </c>
      <c r="Q562" s="3">
        <v>6</v>
      </c>
      <c r="R562" s="5">
        <f>INDEX([1]products!$A$1:$G$49,MATCH([1]orders!$D562,[1]products!$A$1:$A$49,0),MATCH([1]orders!K$1,[1]products!$A$1:$G$1,0))</f>
        <v>2.5</v>
      </c>
      <c r="S562" s="6">
        <f>INDEX([1]products!$A$1:$G$49,MATCH([1]orders!$D562,[1]products!$A$1:$A$49,0),MATCH([1]orders!L$1,[1]products!$A$1:$G$1,0))</f>
        <v>31.624999999999996</v>
      </c>
      <c r="T562" s="6">
        <f t="shared" si="48"/>
        <v>189.74999999999997</v>
      </c>
      <c r="U562" s="22">
        <f t="shared" si="52"/>
        <v>20.872499999999999</v>
      </c>
      <c r="V562" s="22">
        <f t="shared" si="53"/>
        <v>11.000000000000002</v>
      </c>
    </row>
    <row r="563" spans="1:22" x14ac:dyDescent="0.3">
      <c r="A563" s="1" t="s">
        <v>1100</v>
      </c>
      <c r="B563" s="2">
        <v>43688</v>
      </c>
      <c r="C563" s="2" t="str">
        <f t="shared" si="49"/>
        <v>Sunday</v>
      </c>
      <c r="D563" s="2" t="str">
        <f t="shared" si="50"/>
        <v>August</v>
      </c>
      <c r="E563" s="2" t="str">
        <f t="shared" si="51"/>
        <v>2019</v>
      </c>
      <c r="F563" s="3" t="s">
        <v>1101</v>
      </c>
      <c r="G563" s="3" t="str">
        <f>VLOOKUP(F564,'Customers (2)'!A:I,2,0)</f>
        <v>Brendan Grece</v>
      </c>
      <c r="H563" s="3">
        <f>VLOOKUP(F563,'Customers (2)'!A:I,3,0)</f>
        <v>0</v>
      </c>
      <c r="I563" s="3" t="str">
        <f>VLOOKUP(F563,'Customers (2)'!A:I,4,0)</f>
        <v>+353 (652) 208-7526</v>
      </c>
      <c r="J563" s="3" t="str">
        <f>VLOOKUP(F563,'Customers (2)'!A:I,6,0)</f>
        <v>Daingean</v>
      </c>
      <c r="K563" s="3" t="str">
        <f>VLOOKUP(F563,'Customers (2)'!A:I,7,0)</f>
        <v>Ireland</v>
      </c>
      <c r="L563" s="3" t="str">
        <f>VLOOKUP(F563,'Customers (2)'!A:I,9,0)</f>
        <v>Yes</v>
      </c>
      <c r="M563" s="4" t="s">
        <v>54</v>
      </c>
      <c r="N563" s="4" t="str">
        <f>VLOOKUP(M563,'Products (2)'!A:G,2,0)</f>
        <v>Arabica</v>
      </c>
      <c r="O563" s="4" t="str">
        <f>VLOOKUP(M563,'Products (2)'!A:G,3,0)</f>
        <v>Dark</v>
      </c>
      <c r="P563" s="4">
        <f>VLOOKUP(M563,'Products (2)'!A:G,7,0)</f>
        <v>0.26865</v>
      </c>
      <c r="Q563" s="3">
        <v>6</v>
      </c>
      <c r="R563" s="5">
        <f>INDEX([1]products!$A$1:$G$49,MATCH([1]orders!$D563,[1]products!$A$1:$A$49,0),MATCH([1]orders!K$1,[1]products!$A$1:$G$1,0))</f>
        <v>0.2</v>
      </c>
      <c r="S563" s="6">
        <f>INDEX([1]products!$A$1:$G$49,MATCH([1]orders!$D563,[1]products!$A$1:$A$49,0),MATCH([1]orders!L$1,[1]products!$A$1:$G$1,0))</f>
        <v>2.9849999999999999</v>
      </c>
      <c r="T563" s="6">
        <f t="shared" si="48"/>
        <v>17.91</v>
      </c>
      <c r="U563" s="22">
        <f t="shared" si="52"/>
        <v>1.6118999999999999</v>
      </c>
      <c r="V563" s="22">
        <f t="shared" si="53"/>
        <v>9</v>
      </c>
    </row>
    <row r="564" spans="1:22" x14ac:dyDescent="0.3">
      <c r="A564" s="1" t="s">
        <v>1102</v>
      </c>
      <c r="B564" s="2">
        <v>43669</v>
      </c>
      <c r="C564" s="2" t="str">
        <f t="shared" si="49"/>
        <v>Tuesday</v>
      </c>
      <c r="D564" s="2" t="str">
        <f t="shared" si="50"/>
        <v>July</v>
      </c>
      <c r="E564" s="2" t="str">
        <f t="shared" si="51"/>
        <v>2019</v>
      </c>
      <c r="F564" s="3" t="s">
        <v>1103</v>
      </c>
      <c r="G564" s="3" t="str">
        <f>VLOOKUP(F565,'Customers (2)'!A:I,2,0)</f>
        <v>Don Flintiff</v>
      </c>
      <c r="H564" s="3" t="str">
        <f>VLOOKUP(F564,'Customers (2)'!A:I,3,0)</f>
        <v>bgrecefm@naver.com</v>
      </c>
      <c r="I564" s="3" t="str">
        <f>VLOOKUP(F564,'Customers (2)'!A:I,4,0)</f>
        <v>+44 (933) 508-3795</v>
      </c>
      <c r="J564" s="3" t="str">
        <f>VLOOKUP(F564,'Customers (2)'!A:I,6,0)</f>
        <v>Halton</v>
      </c>
      <c r="K564" s="3" t="str">
        <f>VLOOKUP(F564,'Customers (2)'!A:I,7,0)</f>
        <v>United Kingdom</v>
      </c>
      <c r="L564" s="3" t="str">
        <f>VLOOKUP(F564,'Customers (2)'!A:I,9,0)</f>
        <v>No</v>
      </c>
      <c r="M564" s="4" t="s">
        <v>19</v>
      </c>
      <c r="N564" s="4" t="str">
        <f>VLOOKUP(M564,'Products (2)'!A:G,2,0)</f>
        <v>Liberica</v>
      </c>
      <c r="O564" s="4" t="str">
        <f>VLOOKUP(M564,'Products (2)'!A:G,3,0)</f>
        <v>Light</v>
      </c>
      <c r="P564" s="4">
        <f>VLOOKUP(M564,'Products (2)'!A:G,7,0)</f>
        <v>0.61814999999999998</v>
      </c>
      <c r="Q564" s="3">
        <v>6</v>
      </c>
      <c r="R564" s="5">
        <f>INDEX([1]products!$A$1:$G$49,MATCH([1]orders!$D564,[1]products!$A$1:$A$49,0),MATCH([1]orders!K$1,[1]products!$A$1:$G$1,0))</f>
        <v>0.2</v>
      </c>
      <c r="S564" s="6">
        <f>INDEX([1]products!$A$1:$G$49,MATCH([1]orders!$D564,[1]products!$A$1:$A$49,0),MATCH([1]orders!L$1,[1]products!$A$1:$G$1,0))</f>
        <v>4.7549999999999999</v>
      </c>
      <c r="T564" s="6">
        <f t="shared" si="48"/>
        <v>28.53</v>
      </c>
      <c r="U564" s="22">
        <f t="shared" si="52"/>
        <v>3.7088999999999999</v>
      </c>
      <c r="V564" s="22">
        <f t="shared" si="53"/>
        <v>12.999999999999998</v>
      </c>
    </row>
    <row r="565" spans="1:22" x14ac:dyDescent="0.3">
      <c r="A565" s="1" t="s">
        <v>1104</v>
      </c>
      <c r="B565" s="2">
        <v>43991</v>
      </c>
      <c r="C565" s="2" t="str">
        <f t="shared" si="49"/>
        <v>Tuesday</v>
      </c>
      <c r="D565" s="2" t="str">
        <f t="shared" si="50"/>
        <v>June</v>
      </c>
      <c r="E565" s="2" t="str">
        <f t="shared" si="51"/>
        <v>2020</v>
      </c>
      <c r="F565" s="3" t="s">
        <v>1105</v>
      </c>
      <c r="G565" s="3" t="str">
        <f>VLOOKUP(F566,'Customers (2)'!A:I,2,0)</f>
        <v>Abbe Thys</v>
      </c>
      <c r="H565" s="3" t="str">
        <f>VLOOKUP(F565,'Customers (2)'!A:I,3,0)</f>
        <v>dflintiffg1@e-recht24.de</v>
      </c>
      <c r="I565" s="3">
        <f>VLOOKUP(F565,'Customers (2)'!A:I,4,0)</f>
        <v>0</v>
      </c>
      <c r="J565" s="3" t="str">
        <f>VLOOKUP(F565,'Customers (2)'!A:I,6,0)</f>
        <v>London</v>
      </c>
      <c r="K565" s="3" t="str">
        <f>VLOOKUP(F565,'Customers (2)'!A:I,7,0)</f>
        <v>United Kingdom</v>
      </c>
      <c r="L565" s="3" t="str">
        <f>VLOOKUP(F565,'Customers (2)'!A:I,9,0)</f>
        <v>No</v>
      </c>
      <c r="M565" s="4" t="s">
        <v>9</v>
      </c>
      <c r="N565" s="4" t="str">
        <f>VLOOKUP(M565,'Products (2)'!A:G,2,0)</f>
        <v>Excelsa</v>
      </c>
      <c r="O565" s="4" t="str">
        <f>VLOOKUP(M565,'Products (2)'!A:G,3,0)</f>
        <v>Medium</v>
      </c>
      <c r="P565" s="4">
        <f>VLOOKUP(M565,'Products (2)'!A:G,7,0)</f>
        <v>1.5125</v>
      </c>
      <c r="Q565" s="3">
        <v>6</v>
      </c>
      <c r="R565" s="5">
        <f>INDEX([1]products!$A$1:$G$49,MATCH([1]orders!$D565,[1]products!$A$1:$A$49,0),MATCH([1]orders!K$1,[1]products!$A$1:$G$1,0))</f>
        <v>1</v>
      </c>
      <c r="S565" s="6">
        <f>INDEX([1]products!$A$1:$G$49,MATCH([1]orders!$D565,[1]products!$A$1:$A$49,0),MATCH([1]orders!L$1,[1]products!$A$1:$G$1,0))</f>
        <v>13.75</v>
      </c>
      <c r="T565" s="6">
        <f t="shared" si="48"/>
        <v>82.5</v>
      </c>
      <c r="U565" s="22">
        <f t="shared" si="52"/>
        <v>9.0749999999999993</v>
      </c>
      <c r="V565" s="22">
        <f t="shared" si="53"/>
        <v>10.999999999999998</v>
      </c>
    </row>
    <row r="566" spans="1:22" x14ac:dyDescent="0.3">
      <c r="A566" s="1" t="s">
        <v>1106</v>
      </c>
      <c r="B566" s="2">
        <v>43883</v>
      </c>
      <c r="C566" s="2" t="str">
        <f t="shared" si="49"/>
        <v>Saturday</v>
      </c>
      <c r="D566" s="2" t="str">
        <f t="shared" si="50"/>
        <v>February</v>
      </c>
      <c r="E566" s="2" t="str">
        <f t="shared" si="51"/>
        <v>2020</v>
      </c>
      <c r="F566" s="3" t="s">
        <v>1107</v>
      </c>
      <c r="G566" s="3" t="str">
        <f>VLOOKUP(F567,'Customers (2)'!A:I,2,0)</f>
        <v>Jackquelin Chugg</v>
      </c>
      <c r="H566" s="3" t="str">
        <f>VLOOKUP(F566,'Customers (2)'!A:I,3,0)</f>
        <v>athysfo@cdc.gov</v>
      </c>
      <c r="I566" s="3" t="str">
        <f>VLOOKUP(F566,'Customers (2)'!A:I,4,0)</f>
        <v>+1 (865) 217-6208</v>
      </c>
      <c r="J566" s="3" t="str">
        <f>VLOOKUP(F566,'Customers (2)'!A:I,6,0)</f>
        <v>Knoxville</v>
      </c>
      <c r="K566" s="3" t="str">
        <f>VLOOKUP(F566,'Customers (2)'!A:I,7,0)</f>
        <v>United States</v>
      </c>
      <c r="L566" s="3" t="str">
        <f>VLOOKUP(F566,'Customers (2)'!A:I,9,0)</f>
        <v>No</v>
      </c>
      <c r="M566" s="4" t="s">
        <v>157</v>
      </c>
      <c r="N566" s="4" t="str">
        <f>VLOOKUP(M566,'Products (2)'!A:G,2,0)</f>
        <v>Robusta</v>
      </c>
      <c r="O566" s="4" t="str">
        <f>VLOOKUP(M566,'Products (2)'!A:G,3,0)</f>
        <v>Light</v>
      </c>
      <c r="P566" s="4">
        <f>VLOOKUP(M566,'Products (2)'!A:G,7,0)</f>
        <v>0.43019999999999992</v>
      </c>
      <c r="Q566" s="3">
        <v>2</v>
      </c>
      <c r="R566" s="5">
        <f>INDEX([1]products!$A$1:$G$49,MATCH([1]orders!$D566,[1]products!$A$1:$A$49,0),MATCH([1]orders!K$1,[1]products!$A$1:$G$1,0))</f>
        <v>0.5</v>
      </c>
      <c r="S566" s="6">
        <f>INDEX([1]products!$A$1:$G$49,MATCH([1]orders!$D566,[1]products!$A$1:$A$49,0),MATCH([1]orders!L$1,[1]products!$A$1:$G$1,0))</f>
        <v>7.169999999999999</v>
      </c>
      <c r="T566" s="6">
        <f t="shared" si="48"/>
        <v>14.339999999999998</v>
      </c>
      <c r="U566" s="22">
        <f t="shared" si="52"/>
        <v>0.86039999999999983</v>
      </c>
      <c r="V566" s="22">
        <f t="shared" si="53"/>
        <v>6</v>
      </c>
    </row>
    <row r="567" spans="1:22" x14ac:dyDescent="0.3">
      <c r="A567" s="1" t="s">
        <v>1108</v>
      </c>
      <c r="B567" s="2">
        <v>44031</v>
      </c>
      <c r="C567" s="2" t="str">
        <f t="shared" si="49"/>
        <v>Sunday</v>
      </c>
      <c r="D567" s="2" t="str">
        <f t="shared" si="50"/>
        <v>July</v>
      </c>
      <c r="E567" s="2" t="str">
        <f t="shared" si="51"/>
        <v>2020</v>
      </c>
      <c r="F567" s="3" t="s">
        <v>1109</v>
      </c>
      <c r="G567" s="3" t="str">
        <f>VLOOKUP(F568,'Customers (2)'!A:I,2,0)</f>
        <v>Audra Kelston</v>
      </c>
      <c r="H567" s="3" t="str">
        <f>VLOOKUP(F567,'Customers (2)'!A:I,3,0)</f>
        <v>jchuggfp@about.me</v>
      </c>
      <c r="I567" s="3" t="str">
        <f>VLOOKUP(F567,'Customers (2)'!A:I,4,0)</f>
        <v>+1 (913) 466-8319</v>
      </c>
      <c r="J567" s="3" t="str">
        <f>VLOOKUP(F567,'Customers (2)'!A:I,6,0)</f>
        <v>Shawnee Mission</v>
      </c>
      <c r="K567" s="3" t="str">
        <f>VLOOKUP(F567,'Customers (2)'!A:I,7,0)</f>
        <v>United States</v>
      </c>
      <c r="L567" s="3" t="str">
        <f>VLOOKUP(F567,'Customers (2)'!A:I,9,0)</f>
        <v>No</v>
      </c>
      <c r="M567" s="4" t="s">
        <v>35</v>
      </c>
      <c r="N567" s="4" t="str">
        <f>VLOOKUP(M567,'Products (2)'!A:G,2,0)</f>
        <v>Robusta</v>
      </c>
      <c r="O567" s="4" t="str">
        <f>VLOOKUP(M567,'Products (2)'!A:G,3,0)</f>
        <v>Dark</v>
      </c>
      <c r="P567" s="4">
        <f>VLOOKUP(M567,'Products (2)'!A:G,7,0)</f>
        <v>1.2350999999999999</v>
      </c>
      <c r="Q567" s="3">
        <v>4</v>
      </c>
      <c r="R567" s="5">
        <f>INDEX([1]products!$A$1:$G$49,MATCH([1]orders!$D567,[1]products!$A$1:$A$49,0),MATCH([1]orders!K$1,[1]products!$A$1:$G$1,0))</f>
        <v>2.5</v>
      </c>
      <c r="S567" s="6">
        <f>INDEX([1]products!$A$1:$G$49,MATCH([1]orders!$D567,[1]products!$A$1:$A$49,0),MATCH([1]orders!L$1,[1]products!$A$1:$G$1,0))</f>
        <v>20.584999999999997</v>
      </c>
      <c r="T567" s="6">
        <f t="shared" si="48"/>
        <v>82.339999999999989</v>
      </c>
      <c r="U567" s="22">
        <f t="shared" si="52"/>
        <v>4.9403999999999995</v>
      </c>
      <c r="V567" s="22">
        <f t="shared" si="53"/>
        <v>6.0000000000000009</v>
      </c>
    </row>
    <row r="568" spans="1:22" x14ac:dyDescent="0.3">
      <c r="A568" s="1" t="s">
        <v>1110</v>
      </c>
      <c r="B568" s="2">
        <v>44459</v>
      </c>
      <c r="C568" s="2" t="str">
        <f t="shared" si="49"/>
        <v>Monday</v>
      </c>
      <c r="D568" s="2" t="str">
        <f t="shared" si="50"/>
        <v>September</v>
      </c>
      <c r="E568" s="2" t="str">
        <f t="shared" si="51"/>
        <v>2021</v>
      </c>
      <c r="F568" s="3" t="s">
        <v>1111</v>
      </c>
      <c r="G568" s="3" t="str">
        <f>VLOOKUP(F569,'Customers (2)'!A:I,2,0)</f>
        <v>Elvina Angel</v>
      </c>
      <c r="H568" s="3" t="str">
        <f>VLOOKUP(F568,'Customers (2)'!A:I,3,0)</f>
        <v>akelstonfq@sakura.ne.jp</v>
      </c>
      <c r="I568" s="3" t="str">
        <f>VLOOKUP(F568,'Customers (2)'!A:I,4,0)</f>
        <v>+1 (954) 981-8804</v>
      </c>
      <c r="J568" s="3" t="str">
        <f>VLOOKUP(F568,'Customers (2)'!A:I,6,0)</f>
        <v>Fort Lauderdale</v>
      </c>
      <c r="K568" s="3" t="str">
        <f>VLOOKUP(F568,'Customers (2)'!A:I,7,0)</f>
        <v>United States</v>
      </c>
      <c r="L568" s="3" t="str">
        <f>VLOOKUP(F568,'Customers (2)'!A:I,9,0)</f>
        <v>Yes</v>
      </c>
      <c r="M568" s="4" t="s">
        <v>44</v>
      </c>
      <c r="N568" s="4" t="str">
        <f>VLOOKUP(M568,'Products (2)'!A:G,2,0)</f>
        <v>Arabica</v>
      </c>
      <c r="O568" s="4" t="str">
        <f>VLOOKUP(M568,'Products (2)'!A:G,3,0)</f>
        <v>Medium</v>
      </c>
      <c r="P568" s="4">
        <f>VLOOKUP(M568,'Products (2)'!A:G,7,0)</f>
        <v>0.30374999999999996</v>
      </c>
      <c r="Q568" s="3">
        <v>6</v>
      </c>
      <c r="R568" s="5">
        <f>INDEX([1]products!$A$1:$G$49,MATCH([1]orders!$D568,[1]products!$A$1:$A$49,0),MATCH([1]orders!K$1,[1]products!$A$1:$G$1,0))</f>
        <v>0.2</v>
      </c>
      <c r="S568" s="6">
        <f>INDEX([1]products!$A$1:$G$49,MATCH([1]orders!$D568,[1]products!$A$1:$A$49,0),MATCH([1]orders!L$1,[1]products!$A$1:$G$1,0))</f>
        <v>3.375</v>
      </c>
      <c r="T568" s="6">
        <f t="shared" si="48"/>
        <v>20.25</v>
      </c>
      <c r="U568" s="22">
        <f t="shared" si="52"/>
        <v>1.8224999999999998</v>
      </c>
      <c r="V568" s="22">
        <f t="shared" si="53"/>
        <v>8.9999999999999982</v>
      </c>
    </row>
    <row r="569" spans="1:22" x14ac:dyDescent="0.3">
      <c r="A569" s="1" t="s">
        <v>1112</v>
      </c>
      <c r="B569" s="2">
        <v>44318</v>
      </c>
      <c r="C569" s="2" t="str">
        <f t="shared" si="49"/>
        <v>Sunday</v>
      </c>
      <c r="D569" s="2" t="str">
        <f t="shared" si="50"/>
        <v>May</v>
      </c>
      <c r="E569" s="2" t="str">
        <f t="shared" si="51"/>
        <v>2021</v>
      </c>
      <c r="F569" s="3" t="s">
        <v>1113</v>
      </c>
      <c r="G569" s="3" t="str">
        <f>VLOOKUP(F570,'Customers (2)'!A:I,2,0)</f>
        <v>Claiborne Mottram</v>
      </c>
      <c r="H569" s="3">
        <f>VLOOKUP(F569,'Customers (2)'!A:I,3,0)</f>
        <v>0</v>
      </c>
      <c r="I569" s="3" t="str">
        <f>VLOOKUP(F569,'Customers (2)'!A:I,4,0)</f>
        <v>+353 (921) 742-1111</v>
      </c>
      <c r="J569" s="3" t="str">
        <f>VLOOKUP(F569,'Customers (2)'!A:I,6,0)</f>
        <v>Tralee</v>
      </c>
      <c r="K569" s="3" t="str">
        <f>VLOOKUP(F569,'Customers (2)'!A:I,7,0)</f>
        <v>Ireland</v>
      </c>
      <c r="L569" s="3" t="str">
        <f>VLOOKUP(F569,'Customers (2)'!A:I,9,0)</f>
        <v>No</v>
      </c>
      <c r="M569" s="4" t="s">
        <v>10</v>
      </c>
      <c r="N569" s="4" t="str">
        <f>VLOOKUP(M569,'Products (2)'!A:G,2,0)</f>
        <v>Robusta</v>
      </c>
      <c r="O569" s="4" t="str">
        <f>VLOOKUP(M569,'Products (2)'!A:G,3,0)</f>
        <v>Light</v>
      </c>
      <c r="P569" s="4">
        <f>VLOOKUP(M569,'Products (2)'!A:G,7,0)</f>
        <v>1.6490999999999998</v>
      </c>
      <c r="Q569" s="3">
        <v>6</v>
      </c>
      <c r="R569" s="5">
        <f>INDEX([1]products!$A$1:$G$49,MATCH([1]orders!$D569,[1]products!$A$1:$A$49,0),MATCH([1]orders!K$1,[1]products!$A$1:$G$1,0))</f>
        <v>2.5</v>
      </c>
      <c r="S569" s="6">
        <f>INDEX([1]products!$A$1:$G$49,MATCH([1]orders!$D569,[1]products!$A$1:$A$49,0),MATCH([1]orders!L$1,[1]products!$A$1:$G$1,0))</f>
        <v>27.484999999999996</v>
      </c>
      <c r="T569" s="6">
        <f t="shared" si="48"/>
        <v>164.90999999999997</v>
      </c>
      <c r="U569" s="22">
        <f t="shared" si="52"/>
        <v>9.8945999999999987</v>
      </c>
      <c r="V569" s="22">
        <f t="shared" si="53"/>
        <v>6.0000000000000009</v>
      </c>
    </row>
    <row r="570" spans="1:22" x14ac:dyDescent="0.3">
      <c r="A570" s="1" t="s">
        <v>1114</v>
      </c>
      <c r="B570" s="2">
        <v>44526</v>
      </c>
      <c r="C570" s="2" t="str">
        <f t="shared" si="49"/>
        <v>Friday</v>
      </c>
      <c r="D570" s="2" t="str">
        <f t="shared" si="50"/>
        <v>November</v>
      </c>
      <c r="E570" s="2" t="str">
        <f t="shared" si="51"/>
        <v>2021</v>
      </c>
      <c r="F570" s="3" t="s">
        <v>1115</v>
      </c>
      <c r="G570" s="3" t="str">
        <f>VLOOKUP(F571,'Customers (2)'!A:I,2,0)</f>
        <v>Don Flintiff</v>
      </c>
      <c r="H570" s="3" t="str">
        <f>VLOOKUP(F570,'Customers (2)'!A:I,3,0)</f>
        <v>cmottramfs@harvard.edu</v>
      </c>
      <c r="I570" s="3" t="str">
        <f>VLOOKUP(F570,'Customers (2)'!A:I,4,0)</f>
        <v>+1 (512) 333-9861</v>
      </c>
      <c r="J570" s="3" t="str">
        <f>VLOOKUP(F570,'Customers (2)'!A:I,6,0)</f>
        <v>Austin</v>
      </c>
      <c r="K570" s="3" t="str">
        <f>VLOOKUP(F570,'Customers (2)'!A:I,7,0)</f>
        <v>United States</v>
      </c>
      <c r="L570" s="3" t="str">
        <f>VLOOKUP(F570,'Customers (2)'!A:I,9,0)</f>
        <v>Yes</v>
      </c>
      <c r="M570" s="4" t="s">
        <v>19</v>
      </c>
      <c r="N570" s="4" t="str">
        <f>VLOOKUP(M570,'Products (2)'!A:G,2,0)</f>
        <v>Liberica</v>
      </c>
      <c r="O570" s="4" t="str">
        <f>VLOOKUP(M570,'Products (2)'!A:G,3,0)</f>
        <v>Light</v>
      </c>
      <c r="P570" s="4">
        <f>VLOOKUP(M570,'Products (2)'!A:G,7,0)</f>
        <v>0.61814999999999998</v>
      </c>
      <c r="Q570" s="3">
        <v>4</v>
      </c>
      <c r="R570" s="5">
        <f>INDEX([1]products!$A$1:$G$49,MATCH([1]orders!$D570,[1]products!$A$1:$A$49,0),MATCH([1]orders!K$1,[1]products!$A$1:$G$1,0))</f>
        <v>0.2</v>
      </c>
      <c r="S570" s="6">
        <f>INDEX([1]products!$A$1:$G$49,MATCH([1]orders!$D570,[1]products!$A$1:$A$49,0),MATCH([1]orders!L$1,[1]products!$A$1:$G$1,0))</f>
        <v>4.7549999999999999</v>
      </c>
      <c r="T570" s="6">
        <f t="shared" si="48"/>
        <v>19.02</v>
      </c>
      <c r="U570" s="22">
        <f t="shared" si="52"/>
        <v>2.4725999999999999</v>
      </c>
      <c r="V570" s="22">
        <f t="shared" si="53"/>
        <v>13</v>
      </c>
    </row>
    <row r="571" spans="1:22" x14ac:dyDescent="0.3">
      <c r="A571" s="1" t="s">
        <v>1116</v>
      </c>
      <c r="B571" s="2">
        <v>43879</v>
      </c>
      <c r="C571" s="2" t="str">
        <f t="shared" si="49"/>
        <v>Tuesday</v>
      </c>
      <c r="D571" s="2" t="str">
        <f t="shared" si="50"/>
        <v>February</v>
      </c>
      <c r="E571" s="2" t="str">
        <f t="shared" si="51"/>
        <v>2020</v>
      </c>
      <c r="F571" s="3" t="s">
        <v>1105</v>
      </c>
      <c r="G571" s="3" t="str">
        <f>VLOOKUP(F572,'Customers (2)'!A:I,2,0)</f>
        <v>Donalt Sangwin</v>
      </c>
      <c r="H571" s="3" t="str">
        <f>VLOOKUP(F571,'Customers (2)'!A:I,3,0)</f>
        <v>dflintiffg1@e-recht24.de</v>
      </c>
      <c r="I571" s="3">
        <f>VLOOKUP(F571,'Customers (2)'!A:I,4,0)</f>
        <v>0</v>
      </c>
      <c r="J571" s="3" t="str">
        <f>VLOOKUP(F571,'Customers (2)'!A:I,6,0)</f>
        <v>London</v>
      </c>
      <c r="K571" s="3" t="str">
        <f>VLOOKUP(F571,'Customers (2)'!A:I,7,0)</f>
        <v>United Kingdom</v>
      </c>
      <c r="L571" s="3" t="str">
        <f>VLOOKUP(F571,'Customers (2)'!A:I,9,0)</f>
        <v>No</v>
      </c>
      <c r="M571" s="4" t="s">
        <v>118</v>
      </c>
      <c r="N571" s="4" t="str">
        <f>VLOOKUP(M571,'Products (2)'!A:G,2,0)</f>
        <v>Arabica</v>
      </c>
      <c r="O571" s="4" t="str">
        <f>VLOOKUP(M571,'Products (2)'!A:G,3,0)</f>
        <v>Dark</v>
      </c>
      <c r="P571" s="4">
        <f>VLOOKUP(M571,'Products (2)'!A:G,7,0)</f>
        <v>2.0596499999999995</v>
      </c>
      <c r="Q571" s="3">
        <v>6</v>
      </c>
      <c r="R571" s="5">
        <f>INDEX([1]products!$A$1:$G$49,MATCH([1]orders!$D571,[1]products!$A$1:$A$49,0),MATCH([1]orders!K$1,[1]products!$A$1:$G$1,0))</f>
        <v>2.5</v>
      </c>
      <c r="S571" s="6">
        <f>INDEX([1]products!$A$1:$G$49,MATCH([1]orders!$D571,[1]products!$A$1:$A$49,0),MATCH([1]orders!L$1,[1]products!$A$1:$G$1,0))</f>
        <v>22.884999999999998</v>
      </c>
      <c r="T571" s="6">
        <f t="shared" si="48"/>
        <v>137.31</v>
      </c>
      <c r="U571" s="22">
        <f t="shared" si="52"/>
        <v>12.357899999999997</v>
      </c>
      <c r="V571" s="22">
        <f t="shared" si="53"/>
        <v>8.9999999999999982</v>
      </c>
    </row>
    <row r="572" spans="1:22" x14ac:dyDescent="0.3">
      <c r="A572" s="1" t="s">
        <v>1117</v>
      </c>
      <c r="B572" s="2">
        <v>43928</v>
      </c>
      <c r="C572" s="2" t="str">
        <f t="shared" si="49"/>
        <v>Tuesday</v>
      </c>
      <c r="D572" s="2" t="str">
        <f t="shared" si="50"/>
        <v>April</v>
      </c>
      <c r="E572" s="2" t="str">
        <f t="shared" si="51"/>
        <v>2020</v>
      </c>
      <c r="F572" s="3" t="s">
        <v>1118</v>
      </c>
      <c r="G572" s="3" t="str">
        <f>VLOOKUP(F573,'Customers (2)'!A:I,2,0)</f>
        <v>Elizabet Aizikowitz</v>
      </c>
      <c r="H572" s="3" t="str">
        <f>VLOOKUP(F572,'Customers (2)'!A:I,3,0)</f>
        <v>dsangwinfu@weebly.com</v>
      </c>
      <c r="I572" s="3" t="str">
        <f>VLOOKUP(F572,'Customers (2)'!A:I,4,0)</f>
        <v>+1 (301) 879-4079</v>
      </c>
      <c r="J572" s="3" t="str">
        <f>VLOOKUP(F572,'Customers (2)'!A:I,6,0)</f>
        <v>Hyattsville</v>
      </c>
      <c r="K572" s="3" t="str">
        <f>VLOOKUP(F572,'Customers (2)'!A:I,7,0)</f>
        <v>United States</v>
      </c>
      <c r="L572" s="3" t="str">
        <f>VLOOKUP(F572,'Customers (2)'!A:I,9,0)</f>
        <v>No</v>
      </c>
      <c r="M572" s="4" t="s">
        <v>67</v>
      </c>
      <c r="N572" s="4" t="str">
        <f>VLOOKUP(M572,'Products (2)'!A:G,2,0)</f>
        <v>Arabica</v>
      </c>
      <c r="O572" s="4" t="str">
        <f>VLOOKUP(M572,'Products (2)'!A:G,3,0)</f>
        <v>Medium</v>
      </c>
      <c r="P572" s="4">
        <f>VLOOKUP(M572,'Products (2)'!A:G,7,0)</f>
        <v>0.60749999999999993</v>
      </c>
      <c r="Q572" s="3">
        <v>4</v>
      </c>
      <c r="R572" s="5">
        <f>INDEX([1]products!$A$1:$G$49,MATCH([1]orders!$D572,[1]products!$A$1:$A$49,0),MATCH([1]orders!K$1,[1]products!$A$1:$G$1,0))</f>
        <v>0.5</v>
      </c>
      <c r="S572" s="6">
        <f>INDEX([1]products!$A$1:$G$49,MATCH([1]orders!$D572,[1]products!$A$1:$A$49,0),MATCH([1]orders!L$1,[1]products!$A$1:$G$1,0))</f>
        <v>6.75</v>
      </c>
      <c r="T572" s="6">
        <f t="shared" si="48"/>
        <v>27</v>
      </c>
      <c r="U572" s="22">
        <f t="shared" si="52"/>
        <v>2.4299999999999997</v>
      </c>
      <c r="V572" s="22">
        <f t="shared" si="53"/>
        <v>8.9999999999999982</v>
      </c>
    </row>
    <row r="573" spans="1:22" x14ac:dyDescent="0.3">
      <c r="A573" s="1" t="s">
        <v>1119</v>
      </c>
      <c r="B573" s="2">
        <v>44592</v>
      </c>
      <c r="C573" s="2" t="str">
        <f t="shared" si="49"/>
        <v>Monday</v>
      </c>
      <c r="D573" s="2" t="str">
        <f t="shared" si="50"/>
        <v>January</v>
      </c>
      <c r="E573" s="2" t="str">
        <f t="shared" si="51"/>
        <v>2022</v>
      </c>
      <c r="F573" s="3" t="s">
        <v>1120</v>
      </c>
      <c r="G573" s="3" t="str">
        <f>VLOOKUP(F574,'Customers (2)'!A:I,2,0)</f>
        <v>Herbie Peppard</v>
      </c>
      <c r="H573" s="3" t="str">
        <f>VLOOKUP(F573,'Customers (2)'!A:I,3,0)</f>
        <v>eaizikowitzfv@virginia.edu</v>
      </c>
      <c r="I573" s="3" t="str">
        <f>VLOOKUP(F573,'Customers (2)'!A:I,4,0)</f>
        <v>+44 (148) 635-3706</v>
      </c>
      <c r="J573" s="3" t="str">
        <f>VLOOKUP(F573,'Customers (2)'!A:I,6,0)</f>
        <v>Ashley</v>
      </c>
      <c r="K573" s="3" t="str">
        <f>VLOOKUP(F573,'Customers (2)'!A:I,7,0)</f>
        <v>United Kingdom</v>
      </c>
      <c r="L573" s="3" t="str">
        <f>VLOOKUP(F573,'Customers (2)'!A:I,9,0)</f>
        <v>No</v>
      </c>
      <c r="M573" s="4" t="s">
        <v>176</v>
      </c>
      <c r="N573" s="4" t="str">
        <f>VLOOKUP(M573,'Products (2)'!A:G,2,0)</f>
        <v>Excelsa</v>
      </c>
      <c r="O573" s="4" t="str">
        <f>VLOOKUP(M573,'Products (2)'!A:G,3,0)</f>
        <v>Light</v>
      </c>
      <c r="P573" s="4">
        <f>VLOOKUP(M573,'Products (2)'!A:G,7,0)</f>
        <v>0.98009999999999997</v>
      </c>
      <c r="Q573" s="3">
        <v>4</v>
      </c>
      <c r="R573" s="5">
        <f>INDEX([1]products!$A$1:$G$49,MATCH([1]orders!$D573,[1]products!$A$1:$A$49,0),MATCH([1]orders!K$1,[1]products!$A$1:$G$1,0))</f>
        <v>0.5</v>
      </c>
      <c r="S573" s="6">
        <f>INDEX([1]products!$A$1:$G$49,MATCH([1]orders!$D573,[1]products!$A$1:$A$49,0),MATCH([1]orders!L$1,[1]products!$A$1:$G$1,0))</f>
        <v>8.91</v>
      </c>
      <c r="T573" s="6">
        <f t="shared" si="48"/>
        <v>35.64</v>
      </c>
      <c r="U573" s="22">
        <f t="shared" si="52"/>
        <v>3.9203999999999999</v>
      </c>
      <c r="V573" s="22">
        <f t="shared" si="53"/>
        <v>11</v>
      </c>
    </row>
    <row r="574" spans="1:22" x14ac:dyDescent="0.3">
      <c r="A574" s="1" t="s">
        <v>1121</v>
      </c>
      <c r="B574" s="2">
        <v>43515</v>
      </c>
      <c r="C574" s="2" t="str">
        <f t="shared" si="49"/>
        <v>Tuesday</v>
      </c>
      <c r="D574" s="2" t="str">
        <f t="shared" si="50"/>
        <v>February</v>
      </c>
      <c r="E574" s="2" t="str">
        <f t="shared" si="51"/>
        <v>2019</v>
      </c>
      <c r="F574" s="3" t="s">
        <v>1122</v>
      </c>
      <c r="G574" s="3" t="str">
        <f>VLOOKUP(F575,'Customers (2)'!A:I,2,0)</f>
        <v>Cornie Venour</v>
      </c>
      <c r="H574" s="3">
        <f>VLOOKUP(F574,'Customers (2)'!A:I,3,0)</f>
        <v>0</v>
      </c>
      <c r="I574" s="3">
        <f>VLOOKUP(F574,'Customers (2)'!A:I,4,0)</f>
        <v>0</v>
      </c>
      <c r="J574" s="3" t="str">
        <f>VLOOKUP(F574,'Customers (2)'!A:I,6,0)</f>
        <v>Pasadena</v>
      </c>
      <c r="K574" s="3" t="str">
        <f>VLOOKUP(F574,'Customers (2)'!A:I,7,0)</f>
        <v>United States</v>
      </c>
      <c r="L574" s="3" t="str">
        <f>VLOOKUP(F574,'Customers (2)'!A:I,9,0)</f>
        <v>Yes</v>
      </c>
      <c r="M574" s="4" t="s">
        <v>54</v>
      </c>
      <c r="N574" s="4" t="str">
        <f>VLOOKUP(M574,'Products (2)'!A:G,2,0)</f>
        <v>Arabica</v>
      </c>
      <c r="O574" s="4" t="str">
        <f>VLOOKUP(M574,'Products (2)'!A:G,3,0)</f>
        <v>Dark</v>
      </c>
      <c r="P574" s="4">
        <f>VLOOKUP(M574,'Products (2)'!A:G,7,0)</f>
        <v>0.26865</v>
      </c>
      <c r="Q574" s="3">
        <v>2</v>
      </c>
      <c r="R574" s="5">
        <f>INDEX([1]products!$A$1:$G$49,MATCH([1]orders!$D574,[1]products!$A$1:$A$49,0),MATCH([1]orders!K$1,[1]products!$A$1:$G$1,0))</f>
        <v>0.2</v>
      </c>
      <c r="S574" s="6">
        <f>INDEX([1]products!$A$1:$G$49,MATCH([1]orders!$D574,[1]products!$A$1:$A$49,0),MATCH([1]orders!L$1,[1]products!$A$1:$G$1,0))</f>
        <v>2.9849999999999999</v>
      </c>
      <c r="T574" s="6">
        <f t="shared" si="48"/>
        <v>5.97</v>
      </c>
      <c r="U574" s="22">
        <f t="shared" si="52"/>
        <v>0.5373</v>
      </c>
      <c r="V574" s="22">
        <f t="shared" si="53"/>
        <v>9.0000000000000018</v>
      </c>
    </row>
    <row r="575" spans="1:22" x14ac:dyDescent="0.3">
      <c r="A575" s="1" t="s">
        <v>1123</v>
      </c>
      <c r="B575" s="2">
        <v>43781</v>
      </c>
      <c r="C575" s="2" t="str">
        <f t="shared" si="49"/>
        <v>Tuesday</v>
      </c>
      <c r="D575" s="2" t="str">
        <f t="shared" si="50"/>
        <v>November</v>
      </c>
      <c r="E575" s="2" t="str">
        <f t="shared" si="51"/>
        <v>2019</v>
      </c>
      <c r="F575" s="3" t="s">
        <v>1124</v>
      </c>
      <c r="G575" s="3" t="str">
        <f>VLOOKUP(F576,'Customers (2)'!A:I,2,0)</f>
        <v>Maggy Harby</v>
      </c>
      <c r="H575" s="3" t="str">
        <f>VLOOKUP(F575,'Customers (2)'!A:I,3,0)</f>
        <v>cvenourfx@ask.com</v>
      </c>
      <c r="I575" s="3" t="str">
        <f>VLOOKUP(F575,'Customers (2)'!A:I,4,0)</f>
        <v>+1 (318) 578-8039</v>
      </c>
      <c r="J575" s="3" t="str">
        <f>VLOOKUP(F575,'Customers (2)'!A:I,6,0)</f>
        <v>Shreveport</v>
      </c>
      <c r="K575" s="3" t="str">
        <f>VLOOKUP(F575,'Customers (2)'!A:I,7,0)</f>
        <v>United States</v>
      </c>
      <c r="L575" s="3" t="str">
        <f>VLOOKUP(F575,'Customers (2)'!A:I,9,0)</f>
        <v>No</v>
      </c>
      <c r="M575" s="4" t="s">
        <v>61</v>
      </c>
      <c r="N575" s="4" t="str">
        <f>VLOOKUP(M575,'Products (2)'!A:G,2,0)</f>
        <v>Arabica</v>
      </c>
      <c r="O575" s="4" t="str">
        <f>VLOOKUP(M575,'Products (2)'!A:G,3,0)</f>
        <v>Medium</v>
      </c>
      <c r="P575" s="4">
        <f>VLOOKUP(M575,'Products (2)'!A:G,7,0)</f>
        <v>1.0125</v>
      </c>
      <c r="Q575" s="3">
        <v>6</v>
      </c>
      <c r="R575" s="5">
        <f>INDEX([1]products!$A$1:$G$49,MATCH([1]orders!$D575,[1]products!$A$1:$A$49,0),MATCH([1]orders!K$1,[1]products!$A$1:$G$1,0))</f>
        <v>1</v>
      </c>
      <c r="S575" s="6">
        <f>INDEX([1]products!$A$1:$G$49,MATCH([1]orders!$D575,[1]products!$A$1:$A$49,0),MATCH([1]orders!L$1,[1]products!$A$1:$G$1,0))</f>
        <v>11.25</v>
      </c>
      <c r="T575" s="6">
        <f t="shared" si="48"/>
        <v>67.5</v>
      </c>
      <c r="U575" s="22">
        <f t="shared" si="52"/>
        <v>6.0749999999999993</v>
      </c>
      <c r="V575" s="22">
        <f t="shared" si="53"/>
        <v>8.9999999999999982</v>
      </c>
    </row>
    <row r="576" spans="1:22" x14ac:dyDescent="0.3">
      <c r="A576" s="1" t="s">
        <v>1125</v>
      </c>
      <c r="B576" s="2">
        <v>44697</v>
      </c>
      <c r="C576" s="2" t="str">
        <f t="shared" si="49"/>
        <v>Monday</v>
      </c>
      <c r="D576" s="2" t="str">
        <f t="shared" si="50"/>
        <v>May</v>
      </c>
      <c r="E576" s="2" t="str">
        <f t="shared" si="51"/>
        <v>2022</v>
      </c>
      <c r="F576" s="3" t="s">
        <v>1126</v>
      </c>
      <c r="G576" s="3" t="str">
        <f>VLOOKUP(F577,'Customers (2)'!A:I,2,0)</f>
        <v>Reggie Thickpenny</v>
      </c>
      <c r="H576" s="3" t="str">
        <f>VLOOKUP(F576,'Customers (2)'!A:I,3,0)</f>
        <v>mharbyfy@163.com</v>
      </c>
      <c r="I576" s="3">
        <f>VLOOKUP(F576,'Customers (2)'!A:I,4,0)</f>
        <v>0</v>
      </c>
      <c r="J576" s="3" t="str">
        <f>VLOOKUP(F576,'Customers (2)'!A:I,6,0)</f>
        <v>Pensacola</v>
      </c>
      <c r="K576" s="3" t="str">
        <f>VLOOKUP(F576,'Customers (2)'!A:I,7,0)</f>
        <v>United States</v>
      </c>
      <c r="L576" s="3" t="str">
        <f>VLOOKUP(F576,'Customers (2)'!A:I,9,0)</f>
        <v>Yes</v>
      </c>
      <c r="M576" s="4" t="s">
        <v>182</v>
      </c>
      <c r="N576" s="4" t="str">
        <f>VLOOKUP(M576,'Products (2)'!A:G,2,0)</f>
        <v>Robusta</v>
      </c>
      <c r="O576" s="4" t="str">
        <f>VLOOKUP(M576,'Products (2)'!A:G,3,0)</f>
        <v>Light</v>
      </c>
      <c r="P576" s="4">
        <f>VLOOKUP(M576,'Products (2)'!A:G,7,0)</f>
        <v>0.21509999999999996</v>
      </c>
      <c r="Q576" s="3">
        <v>6</v>
      </c>
      <c r="R576" s="5">
        <f>INDEX([1]products!$A$1:$G$49,MATCH([1]orders!$D576,[1]products!$A$1:$A$49,0),MATCH([1]orders!K$1,[1]products!$A$1:$G$1,0))</f>
        <v>0.2</v>
      </c>
      <c r="S576" s="6">
        <f>INDEX([1]products!$A$1:$G$49,MATCH([1]orders!$D576,[1]products!$A$1:$A$49,0),MATCH([1]orders!L$1,[1]products!$A$1:$G$1,0))</f>
        <v>3.5849999999999995</v>
      </c>
      <c r="T576" s="6">
        <f t="shared" si="48"/>
        <v>21.509999999999998</v>
      </c>
      <c r="U576" s="22">
        <f t="shared" si="52"/>
        <v>1.2905999999999997</v>
      </c>
      <c r="V576" s="22">
        <f t="shared" si="53"/>
        <v>5.9999999999999991</v>
      </c>
    </row>
    <row r="577" spans="1:22" x14ac:dyDescent="0.3">
      <c r="A577" s="1" t="s">
        <v>1127</v>
      </c>
      <c r="B577" s="2">
        <v>44239</v>
      </c>
      <c r="C577" s="2" t="str">
        <f t="shared" si="49"/>
        <v>Friday</v>
      </c>
      <c r="D577" s="2" t="str">
        <f t="shared" si="50"/>
        <v>February</v>
      </c>
      <c r="E577" s="2" t="str">
        <f t="shared" si="51"/>
        <v>2021</v>
      </c>
      <c r="F577" s="3" t="s">
        <v>1128</v>
      </c>
      <c r="G577" s="3" t="str">
        <f>VLOOKUP(F578,'Customers (2)'!A:I,2,0)</f>
        <v>Phyllys Ormerod</v>
      </c>
      <c r="H577" s="3" t="str">
        <f>VLOOKUP(F577,'Customers (2)'!A:I,3,0)</f>
        <v>rthickpennyfz@cafepress.com</v>
      </c>
      <c r="I577" s="3" t="str">
        <f>VLOOKUP(F577,'Customers (2)'!A:I,4,0)</f>
        <v>+1 (213) 234-9242</v>
      </c>
      <c r="J577" s="3" t="str">
        <f>VLOOKUP(F577,'Customers (2)'!A:I,6,0)</f>
        <v>Los Angeles</v>
      </c>
      <c r="K577" s="3" t="str">
        <f>VLOOKUP(F577,'Customers (2)'!A:I,7,0)</f>
        <v>United States</v>
      </c>
      <c r="L577" s="3" t="str">
        <f>VLOOKUP(F577,'Customers (2)'!A:I,9,0)</f>
        <v>No</v>
      </c>
      <c r="M577" s="4" t="s">
        <v>197</v>
      </c>
      <c r="N577" s="4" t="str">
        <f>VLOOKUP(M577,'Products (2)'!A:G,2,0)</f>
        <v>Liberica</v>
      </c>
      <c r="O577" s="4" t="str">
        <f>VLOOKUP(M577,'Products (2)'!A:G,3,0)</f>
        <v>Medium</v>
      </c>
      <c r="P577" s="4">
        <f>VLOOKUP(M577,'Products (2)'!A:G,7,0)</f>
        <v>4.3504499999999995</v>
      </c>
      <c r="Q577" s="3">
        <v>2</v>
      </c>
      <c r="R577" s="5">
        <f>INDEX([1]products!$A$1:$G$49,MATCH([1]orders!$D577,[1]products!$A$1:$A$49,0),MATCH([1]orders!K$1,[1]products!$A$1:$G$1,0))</f>
        <v>2.5</v>
      </c>
      <c r="S577" s="6">
        <f>INDEX([1]products!$A$1:$G$49,MATCH([1]orders!$D577,[1]products!$A$1:$A$49,0),MATCH([1]orders!L$1,[1]products!$A$1:$G$1,0))</f>
        <v>33.464999999999996</v>
      </c>
      <c r="T577" s="6">
        <f t="shared" si="48"/>
        <v>66.929999999999993</v>
      </c>
      <c r="U577" s="22">
        <f t="shared" si="52"/>
        <v>8.700899999999999</v>
      </c>
      <c r="V577" s="22">
        <f t="shared" si="53"/>
        <v>13</v>
      </c>
    </row>
    <row r="578" spans="1:22" x14ac:dyDescent="0.3">
      <c r="A578" s="1" t="s">
        <v>1129</v>
      </c>
      <c r="B578" s="2">
        <v>44290</v>
      </c>
      <c r="C578" s="2" t="str">
        <f t="shared" si="49"/>
        <v>Sunday</v>
      </c>
      <c r="D578" s="2" t="str">
        <f t="shared" si="50"/>
        <v>April</v>
      </c>
      <c r="E578" s="2" t="str">
        <f t="shared" si="51"/>
        <v>2021</v>
      </c>
      <c r="F578" s="3" t="s">
        <v>1130</v>
      </c>
      <c r="G578" s="3" t="str">
        <f>VLOOKUP(F579,'Customers (2)'!A:I,2,0)</f>
        <v>Don Flintiff</v>
      </c>
      <c r="H578" s="3" t="str">
        <f>VLOOKUP(F578,'Customers (2)'!A:I,3,0)</f>
        <v>pormerodg0@redcross.org</v>
      </c>
      <c r="I578" s="3" t="str">
        <f>VLOOKUP(F578,'Customers (2)'!A:I,4,0)</f>
        <v>+1 (919) 491-2772</v>
      </c>
      <c r="J578" s="3" t="str">
        <f>VLOOKUP(F578,'Customers (2)'!A:I,6,0)</f>
        <v>Durham</v>
      </c>
      <c r="K578" s="3" t="str">
        <f>VLOOKUP(F578,'Customers (2)'!A:I,7,0)</f>
        <v>United States</v>
      </c>
      <c r="L578" s="3" t="str">
        <f>VLOOKUP(F578,'Customers (2)'!A:I,9,0)</f>
        <v>No</v>
      </c>
      <c r="M578" s="4" t="s">
        <v>54</v>
      </c>
      <c r="N578" s="4" t="str">
        <f>VLOOKUP(M578,'Products (2)'!A:G,2,0)</f>
        <v>Arabica</v>
      </c>
      <c r="O578" s="4" t="str">
        <f>VLOOKUP(M578,'Products (2)'!A:G,3,0)</f>
        <v>Dark</v>
      </c>
      <c r="P578" s="4">
        <f>VLOOKUP(M578,'Products (2)'!A:G,7,0)</f>
        <v>0.26865</v>
      </c>
      <c r="Q578" s="3">
        <v>6</v>
      </c>
      <c r="R578" s="5">
        <f>INDEX([1]products!$A$1:$G$49,MATCH([1]orders!$D578,[1]products!$A$1:$A$49,0),MATCH([1]orders!K$1,[1]products!$A$1:$G$1,0))</f>
        <v>0.2</v>
      </c>
      <c r="S578" s="6">
        <f>INDEX([1]products!$A$1:$G$49,MATCH([1]orders!$D578,[1]products!$A$1:$A$49,0),MATCH([1]orders!L$1,[1]products!$A$1:$G$1,0))</f>
        <v>2.9849999999999999</v>
      </c>
      <c r="T578" s="6">
        <f t="shared" ref="T578:T641" si="54">Q578*S578</f>
        <v>17.91</v>
      </c>
      <c r="U578" s="22">
        <f t="shared" si="52"/>
        <v>1.6118999999999999</v>
      </c>
      <c r="V578" s="22">
        <f t="shared" si="53"/>
        <v>9</v>
      </c>
    </row>
    <row r="579" spans="1:22" x14ac:dyDescent="0.3">
      <c r="A579" s="1" t="s">
        <v>1131</v>
      </c>
      <c r="B579" s="2">
        <v>44410</v>
      </c>
      <c r="C579" s="2" t="str">
        <f t="shared" ref="C579:C642" si="55">TEXT(B579,"dddd")</f>
        <v>Monday</v>
      </c>
      <c r="D579" s="2" t="str">
        <f t="shared" ref="D579:D642" si="56">TEXT(B579,"MMMM")</f>
        <v>August</v>
      </c>
      <c r="E579" s="2" t="str">
        <f t="shared" ref="E579:E642" si="57">TEXT(B579,"YYYY")</f>
        <v>2021</v>
      </c>
      <c r="F579" s="3" t="s">
        <v>1105</v>
      </c>
      <c r="G579" s="3" t="str">
        <f>VLOOKUP(F580,'Customers (2)'!A:I,2,0)</f>
        <v>Tymon Zanetti</v>
      </c>
      <c r="H579" s="3" t="str">
        <f>VLOOKUP(F579,'Customers (2)'!A:I,3,0)</f>
        <v>dflintiffg1@e-recht24.de</v>
      </c>
      <c r="I579" s="3">
        <f>VLOOKUP(F579,'Customers (2)'!A:I,4,0)</f>
        <v>0</v>
      </c>
      <c r="J579" s="3" t="str">
        <f>VLOOKUP(F579,'Customers (2)'!A:I,6,0)</f>
        <v>London</v>
      </c>
      <c r="K579" s="3" t="str">
        <f>VLOOKUP(F579,'Customers (2)'!A:I,7,0)</f>
        <v>United Kingdom</v>
      </c>
      <c r="L579" s="3" t="str">
        <f>VLOOKUP(F579,'Customers (2)'!A:I,9,0)</f>
        <v>No</v>
      </c>
      <c r="M579" s="4" t="s">
        <v>96</v>
      </c>
      <c r="N579" s="4" t="str">
        <f>VLOOKUP(M579,'Products (2)'!A:G,2,0)</f>
        <v>Liberica</v>
      </c>
      <c r="O579" s="4" t="str">
        <f>VLOOKUP(M579,'Products (2)'!A:G,3,0)</f>
        <v>Medium</v>
      </c>
      <c r="P579" s="4">
        <f>VLOOKUP(M579,'Products (2)'!A:G,7,0)</f>
        <v>1.8915000000000002</v>
      </c>
      <c r="Q579" s="3">
        <v>4</v>
      </c>
      <c r="R579" s="5">
        <f>INDEX([1]products!$A$1:$G$49,MATCH([1]orders!$D579,[1]products!$A$1:$A$49,0),MATCH([1]orders!K$1,[1]products!$A$1:$G$1,0))</f>
        <v>1</v>
      </c>
      <c r="S579" s="6">
        <f>INDEX([1]products!$A$1:$G$49,MATCH([1]orders!$D579,[1]products!$A$1:$A$49,0),MATCH([1]orders!L$1,[1]products!$A$1:$G$1,0))</f>
        <v>14.55</v>
      </c>
      <c r="T579" s="6">
        <f t="shared" si="54"/>
        <v>58.2</v>
      </c>
      <c r="U579" s="22">
        <f t="shared" ref="U579:U642" si="58">Q579*P579</f>
        <v>7.5660000000000007</v>
      </c>
      <c r="V579" s="22">
        <f t="shared" ref="V579:V642" si="59">U579/T579*100</f>
        <v>13</v>
      </c>
    </row>
    <row r="580" spans="1:22" x14ac:dyDescent="0.3">
      <c r="A580" s="1" t="s">
        <v>1132</v>
      </c>
      <c r="B580" s="2">
        <v>44720</v>
      </c>
      <c r="C580" s="2" t="str">
        <f t="shared" si="55"/>
        <v>Wednesday</v>
      </c>
      <c r="D580" s="2" t="str">
        <f t="shared" si="56"/>
        <v>June</v>
      </c>
      <c r="E580" s="2" t="str">
        <f t="shared" si="57"/>
        <v>2022</v>
      </c>
      <c r="F580" s="3" t="s">
        <v>1133</v>
      </c>
      <c r="G580" s="3" t="str">
        <f>VLOOKUP(F581,'Customers (2)'!A:I,2,0)</f>
        <v>Tymon Zanetti</v>
      </c>
      <c r="H580" s="3" t="str">
        <f>VLOOKUP(F580,'Customers (2)'!A:I,3,0)</f>
        <v>tzanettig2@gravatar.com</v>
      </c>
      <c r="I580" s="3" t="str">
        <f>VLOOKUP(F580,'Customers (2)'!A:I,4,0)</f>
        <v>+353 (351) 897-2630</v>
      </c>
      <c r="J580" s="3" t="str">
        <f>VLOOKUP(F580,'Customers (2)'!A:I,6,0)</f>
        <v>Loughrea</v>
      </c>
      <c r="K580" s="3" t="str">
        <f>VLOOKUP(F580,'Customers (2)'!A:I,7,0)</f>
        <v>Ireland</v>
      </c>
      <c r="L580" s="3" t="str">
        <f>VLOOKUP(F580,'Customers (2)'!A:I,9,0)</f>
        <v>No</v>
      </c>
      <c r="M580" s="4" t="s">
        <v>254</v>
      </c>
      <c r="N580" s="4" t="str">
        <f>VLOOKUP(M580,'Products (2)'!A:G,2,0)</f>
        <v>Excelsa</v>
      </c>
      <c r="O580" s="4" t="str">
        <f>VLOOKUP(M580,'Products (2)'!A:G,3,0)</f>
        <v>Light</v>
      </c>
      <c r="P580" s="4">
        <f>VLOOKUP(M580,'Products (2)'!A:G,7,0)</f>
        <v>0.49004999999999999</v>
      </c>
      <c r="Q580" s="3">
        <v>3</v>
      </c>
      <c r="R580" s="5">
        <f>INDEX([1]products!$A$1:$G$49,MATCH([1]orders!$D580,[1]products!$A$1:$A$49,0),MATCH([1]orders!K$1,[1]products!$A$1:$G$1,0))</f>
        <v>0.2</v>
      </c>
      <c r="S580" s="6">
        <f>INDEX([1]products!$A$1:$G$49,MATCH([1]orders!$D580,[1]products!$A$1:$A$49,0),MATCH([1]orders!L$1,[1]products!$A$1:$G$1,0))</f>
        <v>4.4550000000000001</v>
      </c>
      <c r="T580" s="6">
        <f t="shared" si="54"/>
        <v>13.365</v>
      </c>
      <c r="U580" s="22">
        <f t="shared" si="58"/>
        <v>1.4701499999999998</v>
      </c>
      <c r="V580" s="22">
        <f t="shared" si="59"/>
        <v>10.999999999999998</v>
      </c>
    </row>
    <row r="581" spans="1:22" x14ac:dyDescent="0.3">
      <c r="A581" s="1" t="s">
        <v>1132</v>
      </c>
      <c r="B581" s="2">
        <v>44720</v>
      </c>
      <c r="C581" s="2" t="str">
        <f t="shared" si="55"/>
        <v>Wednesday</v>
      </c>
      <c r="D581" s="2" t="str">
        <f t="shared" si="56"/>
        <v>June</v>
      </c>
      <c r="E581" s="2" t="str">
        <f t="shared" si="57"/>
        <v>2022</v>
      </c>
      <c r="F581" s="3" t="s">
        <v>1133</v>
      </c>
      <c r="G581" s="3" t="str">
        <f>VLOOKUP(F582,'Customers (2)'!A:I,2,0)</f>
        <v>Reinaldos Kirtley</v>
      </c>
      <c r="H581" s="3" t="str">
        <f>VLOOKUP(F581,'Customers (2)'!A:I,3,0)</f>
        <v>tzanettig2@gravatar.com</v>
      </c>
      <c r="I581" s="3" t="str">
        <f>VLOOKUP(F581,'Customers (2)'!A:I,4,0)</f>
        <v>+353 (351) 897-2630</v>
      </c>
      <c r="J581" s="3" t="str">
        <f>VLOOKUP(F581,'Customers (2)'!A:I,6,0)</f>
        <v>Loughrea</v>
      </c>
      <c r="K581" s="3" t="str">
        <f>VLOOKUP(F581,'Customers (2)'!A:I,7,0)</f>
        <v>Ireland</v>
      </c>
      <c r="L581" s="3" t="str">
        <f>VLOOKUP(F581,'Customers (2)'!A:I,9,0)</f>
        <v>No</v>
      </c>
      <c r="M581" s="4" t="s">
        <v>67</v>
      </c>
      <c r="N581" s="4" t="str">
        <f>VLOOKUP(M581,'Products (2)'!A:G,2,0)</f>
        <v>Arabica</v>
      </c>
      <c r="O581" s="4" t="str">
        <f>VLOOKUP(M581,'Products (2)'!A:G,3,0)</f>
        <v>Medium</v>
      </c>
      <c r="P581" s="4">
        <f>VLOOKUP(M581,'Products (2)'!A:G,7,0)</f>
        <v>0.60749999999999993</v>
      </c>
      <c r="Q581" s="3">
        <v>5</v>
      </c>
      <c r="R581" s="5">
        <f>INDEX([1]products!$A$1:$G$49,MATCH([1]orders!$D581,[1]products!$A$1:$A$49,0),MATCH([1]orders!K$1,[1]products!$A$1:$G$1,0))</f>
        <v>0.5</v>
      </c>
      <c r="S581" s="6">
        <f>INDEX([1]products!$A$1:$G$49,MATCH([1]orders!$D581,[1]products!$A$1:$A$49,0),MATCH([1]orders!L$1,[1]products!$A$1:$G$1,0))</f>
        <v>6.75</v>
      </c>
      <c r="T581" s="6">
        <f t="shared" si="54"/>
        <v>33.75</v>
      </c>
      <c r="U581" s="22">
        <f t="shared" si="58"/>
        <v>3.0374999999999996</v>
      </c>
      <c r="V581" s="22">
        <f t="shared" si="59"/>
        <v>8.9999999999999982</v>
      </c>
    </row>
    <row r="582" spans="1:22" x14ac:dyDescent="0.3">
      <c r="A582" s="1" t="s">
        <v>1134</v>
      </c>
      <c r="B582" s="2">
        <v>43965</v>
      </c>
      <c r="C582" s="2" t="str">
        <f t="shared" si="55"/>
        <v>Thursday</v>
      </c>
      <c r="D582" s="2" t="str">
        <f t="shared" si="56"/>
        <v>May</v>
      </c>
      <c r="E582" s="2" t="str">
        <f t="shared" si="57"/>
        <v>2020</v>
      </c>
      <c r="F582" s="3" t="s">
        <v>1135</v>
      </c>
      <c r="G582" s="3" t="str">
        <f>VLOOKUP(F583,'Customers (2)'!A:I,2,0)</f>
        <v>Carney Clemencet</v>
      </c>
      <c r="H582" s="3" t="str">
        <f>VLOOKUP(F582,'Customers (2)'!A:I,3,0)</f>
        <v>rkirtleyg4@hatena.ne.jp</v>
      </c>
      <c r="I582" s="3" t="str">
        <f>VLOOKUP(F582,'Customers (2)'!A:I,4,0)</f>
        <v>+1 (626) 635-6367</v>
      </c>
      <c r="J582" s="3" t="str">
        <f>VLOOKUP(F582,'Customers (2)'!A:I,6,0)</f>
        <v>Whittier</v>
      </c>
      <c r="K582" s="3" t="str">
        <f>VLOOKUP(F582,'Customers (2)'!A:I,7,0)</f>
        <v>United States</v>
      </c>
      <c r="L582" s="3" t="str">
        <f>VLOOKUP(F582,'Customers (2)'!A:I,9,0)</f>
        <v>Yes</v>
      </c>
      <c r="M582" s="4" t="s">
        <v>137</v>
      </c>
      <c r="N582" s="4" t="str">
        <f>VLOOKUP(M582,'Products (2)'!A:G,2,0)</f>
        <v>Excelsa</v>
      </c>
      <c r="O582" s="4" t="str">
        <f>VLOOKUP(M582,'Products (2)'!A:G,3,0)</f>
        <v>Light</v>
      </c>
      <c r="P582" s="4">
        <f>VLOOKUP(M582,'Products (2)'!A:G,7,0)</f>
        <v>1.6335</v>
      </c>
      <c r="Q582" s="3">
        <v>3</v>
      </c>
      <c r="R582" s="5">
        <f>INDEX([1]products!$A$1:$G$49,MATCH([1]orders!$D582,[1]products!$A$1:$A$49,0),MATCH([1]orders!K$1,[1]products!$A$1:$G$1,0))</f>
        <v>1</v>
      </c>
      <c r="S582" s="6">
        <f>INDEX([1]products!$A$1:$G$49,MATCH([1]orders!$D582,[1]products!$A$1:$A$49,0),MATCH([1]orders!L$1,[1]products!$A$1:$G$1,0))</f>
        <v>14.85</v>
      </c>
      <c r="T582" s="6">
        <f t="shared" si="54"/>
        <v>44.55</v>
      </c>
      <c r="U582" s="22">
        <f t="shared" si="58"/>
        <v>4.9005000000000001</v>
      </c>
      <c r="V582" s="22">
        <f t="shared" si="59"/>
        <v>11.000000000000002</v>
      </c>
    </row>
    <row r="583" spans="1:22" x14ac:dyDescent="0.3">
      <c r="A583" s="1" t="s">
        <v>1136</v>
      </c>
      <c r="B583" s="2">
        <v>44190</v>
      </c>
      <c r="C583" s="2" t="str">
        <f t="shared" si="55"/>
        <v>Friday</v>
      </c>
      <c r="D583" s="2" t="str">
        <f t="shared" si="56"/>
        <v>December</v>
      </c>
      <c r="E583" s="2" t="str">
        <f t="shared" si="57"/>
        <v>2020</v>
      </c>
      <c r="F583" s="3" t="s">
        <v>1137</v>
      </c>
      <c r="G583" s="3" t="str">
        <f>VLOOKUP(F584,'Customers (2)'!A:I,2,0)</f>
        <v>Russell Donet</v>
      </c>
      <c r="H583" s="3" t="str">
        <f>VLOOKUP(F583,'Customers (2)'!A:I,3,0)</f>
        <v>cclemencetg5@weather.com</v>
      </c>
      <c r="I583" s="3">
        <f>VLOOKUP(F583,'Customers (2)'!A:I,4,0)</f>
        <v>0</v>
      </c>
      <c r="J583" s="3" t="str">
        <f>VLOOKUP(F583,'Customers (2)'!A:I,6,0)</f>
        <v>Birmingham</v>
      </c>
      <c r="K583" s="3" t="str">
        <f>VLOOKUP(F583,'Customers (2)'!A:I,7,0)</f>
        <v>United Kingdom</v>
      </c>
      <c r="L583" s="3" t="str">
        <f>VLOOKUP(F583,'Customers (2)'!A:I,9,0)</f>
        <v>Yes</v>
      </c>
      <c r="M583" s="4" t="s">
        <v>176</v>
      </c>
      <c r="N583" s="4" t="str">
        <f>VLOOKUP(M583,'Products (2)'!A:G,2,0)</f>
        <v>Excelsa</v>
      </c>
      <c r="O583" s="4" t="str">
        <f>VLOOKUP(M583,'Products (2)'!A:G,3,0)</f>
        <v>Light</v>
      </c>
      <c r="P583" s="4">
        <f>VLOOKUP(M583,'Products (2)'!A:G,7,0)</f>
        <v>0.98009999999999997</v>
      </c>
      <c r="Q583" s="3">
        <v>5</v>
      </c>
      <c r="R583" s="5">
        <f>INDEX([1]products!$A$1:$G$49,MATCH([1]orders!$D583,[1]products!$A$1:$A$49,0),MATCH([1]orders!K$1,[1]products!$A$1:$G$1,0))</f>
        <v>0.5</v>
      </c>
      <c r="S583" s="6">
        <f>INDEX([1]products!$A$1:$G$49,MATCH([1]orders!$D583,[1]products!$A$1:$A$49,0),MATCH([1]orders!L$1,[1]products!$A$1:$G$1,0))</f>
        <v>8.91</v>
      </c>
      <c r="T583" s="6">
        <f t="shared" si="54"/>
        <v>44.55</v>
      </c>
      <c r="U583" s="22">
        <f t="shared" si="58"/>
        <v>4.9005000000000001</v>
      </c>
      <c r="V583" s="22">
        <f t="shared" si="59"/>
        <v>11.000000000000002</v>
      </c>
    </row>
    <row r="584" spans="1:22" x14ac:dyDescent="0.3">
      <c r="A584" s="1" t="s">
        <v>1138</v>
      </c>
      <c r="B584" s="2">
        <v>44382</v>
      </c>
      <c r="C584" s="2" t="str">
        <f t="shared" si="55"/>
        <v>Monday</v>
      </c>
      <c r="D584" s="2" t="str">
        <f t="shared" si="56"/>
        <v>July</v>
      </c>
      <c r="E584" s="2" t="str">
        <f t="shared" si="57"/>
        <v>2021</v>
      </c>
      <c r="F584" s="3" t="s">
        <v>1139</v>
      </c>
      <c r="G584" s="3" t="str">
        <f>VLOOKUP(F585,'Customers (2)'!A:I,2,0)</f>
        <v>Sidney Gawen</v>
      </c>
      <c r="H584" s="3" t="str">
        <f>VLOOKUP(F584,'Customers (2)'!A:I,3,0)</f>
        <v>rdonetg6@oakley.com</v>
      </c>
      <c r="I584" s="3" t="str">
        <f>VLOOKUP(F584,'Customers (2)'!A:I,4,0)</f>
        <v>+1 (804) 583-2067</v>
      </c>
      <c r="J584" s="3" t="str">
        <f>VLOOKUP(F584,'Customers (2)'!A:I,6,0)</f>
        <v>Richmond</v>
      </c>
      <c r="K584" s="3" t="str">
        <f>VLOOKUP(F584,'Customers (2)'!A:I,7,0)</f>
        <v>United States</v>
      </c>
      <c r="L584" s="3" t="str">
        <f>VLOOKUP(F584,'Customers (2)'!A:I,9,0)</f>
        <v>No</v>
      </c>
      <c r="M584" s="4" t="s">
        <v>245</v>
      </c>
      <c r="N584" s="4" t="str">
        <f>VLOOKUP(M584,'Products (2)'!A:G,2,0)</f>
        <v>Excelsa</v>
      </c>
      <c r="O584" s="4" t="str">
        <f>VLOOKUP(M584,'Products (2)'!A:G,3,0)</f>
        <v>Dark</v>
      </c>
      <c r="P584" s="4">
        <f>VLOOKUP(M584,'Products (2)'!A:G,7,0)</f>
        <v>1.3365</v>
      </c>
      <c r="Q584" s="3">
        <v>5</v>
      </c>
      <c r="R584" s="5">
        <f>INDEX([1]products!$A$1:$G$49,MATCH([1]orders!$D584,[1]products!$A$1:$A$49,0),MATCH([1]orders!K$1,[1]products!$A$1:$G$1,0))</f>
        <v>1</v>
      </c>
      <c r="S584" s="6">
        <f>INDEX([1]products!$A$1:$G$49,MATCH([1]orders!$D584,[1]products!$A$1:$A$49,0),MATCH([1]orders!L$1,[1]products!$A$1:$G$1,0))</f>
        <v>12.15</v>
      </c>
      <c r="T584" s="6">
        <f t="shared" si="54"/>
        <v>60.75</v>
      </c>
      <c r="U584" s="22">
        <f t="shared" si="58"/>
        <v>6.6825000000000001</v>
      </c>
      <c r="V584" s="22">
        <f t="shared" si="59"/>
        <v>11</v>
      </c>
    </row>
    <row r="585" spans="1:22" x14ac:dyDescent="0.3">
      <c r="A585" s="1" t="s">
        <v>1140</v>
      </c>
      <c r="B585" s="2">
        <v>43538</v>
      </c>
      <c r="C585" s="2" t="str">
        <f t="shared" si="55"/>
        <v>Thursday</v>
      </c>
      <c r="D585" s="2" t="str">
        <f t="shared" si="56"/>
        <v>March</v>
      </c>
      <c r="E585" s="2" t="str">
        <f t="shared" si="57"/>
        <v>2019</v>
      </c>
      <c r="F585" s="3" t="s">
        <v>1141</v>
      </c>
      <c r="G585" s="3" t="str">
        <f>VLOOKUP(F586,'Customers (2)'!A:I,2,0)</f>
        <v>Rickey Readie</v>
      </c>
      <c r="H585" s="3" t="str">
        <f>VLOOKUP(F585,'Customers (2)'!A:I,3,0)</f>
        <v>sgaweng7@creativecommons.org</v>
      </c>
      <c r="I585" s="3" t="str">
        <f>VLOOKUP(F585,'Customers (2)'!A:I,4,0)</f>
        <v>+1 (571) 317-3089</v>
      </c>
      <c r="J585" s="3" t="str">
        <f>VLOOKUP(F585,'Customers (2)'!A:I,6,0)</f>
        <v>Sterling</v>
      </c>
      <c r="K585" s="3" t="str">
        <f>VLOOKUP(F585,'Customers (2)'!A:I,7,0)</f>
        <v>United States</v>
      </c>
      <c r="L585" s="3" t="str">
        <f>VLOOKUP(F585,'Customers (2)'!A:I,9,0)</f>
        <v>Yes</v>
      </c>
      <c r="M585" s="4" t="s">
        <v>182</v>
      </c>
      <c r="N585" s="4" t="str">
        <f>VLOOKUP(M585,'Products (2)'!A:G,2,0)</f>
        <v>Robusta</v>
      </c>
      <c r="O585" s="4" t="str">
        <f>VLOOKUP(M585,'Products (2)'!A:G,3,0)</f>
        <v>Light</v>
      </c>
      <c r="P585" s="4">
        <f>VLOOKUP(M585,'Products (2)'!A:G,7,0)</f>
        <v>0.21509999999999996</v>
      </c>
      <c r="Q585" s="3">
        <v>1</v>
      </c>
      <c r="R585" s="5">
        <f>INDEX([1]products!$A$1:$G$49,MATCH([1]orders!$D585,[1]products!$A$1:$A$49,0),MATCH([1]orders!K$1,[1]products!$A$1:$G$1,0))</f>
        <v>0.2</v>
      </c>
      <c r="S585" s="6">
        <f>INDEX([1]products!$A$1:$G$49,MATCH([1]orders!$D585,[1]products!$A$1:$A$49,0),MATCH([1]orders!L$1,[1]products!$A$1:$G$1,0))</f>
        <v>3.5849999999999995</v>
      </c>
      <c r="T585" s="6">
        <f t="shared" si="54"/>
        <v>3.5849999999999995</v>
      </c>
      <c r="U585" s="22">
        <f t="shared" si="58"/>
        <v>0.21509999999999996</v>
      </c>
      <c r="V585" s="22">
        <f t="shared" si="59"/>
        <v>6</v>
      </c>
    </row>
    <row r="586" spans="1:22" x14ac:dyDescent="0.3">
      <c r="A586" s="1" t="s">
        <v>1142</v>
      </c>
      <c r="B586" s="2">
        <v>44262</v>
      </c>
      <c r="C586" s="2" t="str">
        <f t="shared" si="55"/>
        <v>Sunday</v>
      </c>
      <c r="D586" s="2" t="str">
        <f t="shared" si="56"/>
        <v>March</v>
      </c>
      <c r="E586" s="2" t="str">
        <f t="shared" si="57"/>
        <v>2021</v>
      </c>
      <c r="F586" s="3" t="s">
        <v>1143</v>
      </c>
      <c r="G586" s="3" t="str">
        <f>VLOOKUP(F587,'Customers (2)'!A:I,2,0)</f>
        <v>Cody Verissimo</v>
      </c>
      <c r="H586" s="3" t="str">
        <f>VLOOKUP(F586,'Customers (2)'!A:I,3,0)</f>
        <v>rreadieg8@guardian.co.uk</v>
      </c>
      <c r="I586" s="3" t="str">
        <f>VLOOKUP(F586,'Customers (2)'!A:I,4,0)</f>
        <v>+1 (775) 993-8273</v>
      </c>
      <c r="J586" s="3" t="str">
        <f>VLOOKUP(F586,'Customers (2)'!A:I,6,0)</f>
        <v>Carson City</v>
      </c>
      <c r="K586" s="3" t="str">
        <f>VLOOKUP(F586,'Customers (2)'!A:I,7,0)</f>
        <v>United States</v>
      </c>
      <c r="L586" s="3" t="str">
        <f>VLOOKUP(F586,'Customers (2)'!A:I,9,0)</f>
        <v>No</v>
      </c>
      <c r="M586" s="4" t="s">
        <v>182</v>
      </c>
      <c r="N586" s="4" t="str">
        <f>VLOOKUP(M586,'Products (2)'!A:G,2,0)</f>
        <v>Robusta</v>
      </c>
      <c r="O586" s="4" t="str">
        <f>VLOOKUP(M586,'Products (2)'!A:G,3,0)</f>
        <v>Light</v>
      </c>
      <c r="P586" s="4">
        <f>VLOOKUP(M586,'Products (2)'!A:G,7,0)</f>
        <v>0.21509999999999996</v>
      </c>
      <c r="Q586" s="3">
        <v>6</v>
      </c>
      <c r="R586" s="5">
        <f>INDEX([1]products!$A$1:$G$49,MATCH([1]orders!$D586,[1]products!$A$1:$A$49,0),MATCH([1]orders!K$1,[1]products!$A$1:$G$1,0))</f>
        <v>0.2</v>
      </c>
      <c r="S586" s="6">
        <f>INDEX([1]products!$A$1:$G$49,MATCH([1]orders!$D586,[1]products!$A$1:$A$49,0),MATCH([1]orders!L$1,[1]products!$A$1:$G$1,0))</f>
        <v>3.5849999999999995</v>
      </c>
      <c r="T586" s="6">
        <f t="shared" si="54"/>
        <v>21.509999999999998</v>
      </c>
      <c r="U586" s="22">
        <f t="shared" si="58"/>
        <v>1.2905999999999997</v>
      </c>
      <c r="V586" s="22">
        <f t="shared" si="59"/>
        <v>5.9999999999999991</v>
      </c>
    </row>
    <row r="587" spans="1:22" x14ac:dyDescent="0.3">
      <c r="A587" s="1" t="s">
        <v>1144</v>
      </c>
      <c r="B587" s="2">
        <v>44505</v>
      </c>
      <c r="C587" s="2" t="str">
        <f t="shared" si="55"/>
        <v>Friday</v>
      </c>
      <c r="D587" s="2" t="str">
        <f t="shared" si="56"/>
        <v>November</v>
      </c>
      <c r="E587" s="2" t="str">
        <f t="shared" si="57"/>
        <v>2021</v>
      </c>
      <c r="F587" s="3" t="s">
        <v>1145</v>
      </c>
      <c r="G587" s="3" t="str">
        <f>VLOOKUP(F588,'Customers (2)'!A:I,2,0)</f>
        <v>Zilvia Claisse</v>
      </c>
      <c r="H587" s="3" t="str">
        <f>VLOOKUP(F587,'Customers (2)'!A:I,3,0)</f>
        <v>cverissimogh@theglobeandmail.com</v>
      </c>
      <c r="I587" s="3">
        <f>VLOOKUP(F587,'Customers (2)'!A:I,4,0)</f>
        <v>0</v>
      </c>
      <c r="J587" s="3" t="str">
        <f>VLOOKUP(F587,'Customers (2)'!A:I,6,0)</f>
        <v>Upton</v>
      </c>
      <c r="K587" s="3" t="str">
        <f>VLOOKUP(F587,'Customers (2)'!A:I,7,0)</f>
        <v>United Kingdom</v>
      </c>
      <c r="L587" s="3" t="str">
        <f>VLOOKUP(F587,'Customers (2)'!A:I,9,0)</f>
        <v>Yes</v>
      </c>
      <c r="M587" s="4" t="s">
        <v>3</v>
      </c>
      <c r="N587" s="4" t="str">
        <f>VLOOKUP(M587,'Products (2)'!A:G,2,0)</f>
        <v>Excelsa</v>
      </c>
      <c r="O587" s="4" t="str">
        <f>VLOOKUP(M587,'Products (2)'!A:G,3,0)</f>
        <v>Medium</v>
      </c>
      <c r="P587" s="4">
        <f>VLOOKUP(M587,'Products (2)'!A:G,7,0)</f>
        <v>0.90749999999999997</v>
      </c>
      <c r="Q587" s="3">
        <v>2</v>
      </c>
      <c r="R587" s="5">
        <f>INDEX([1]products!$A$1:$G$49,MATCH([1]orders!$D587,[1]products!$A$1:$A$49,0),MATCH([1]orders!K$1,[1]products!$A$1:$G$1,0))</f>
        <v>0.5</v>
      </c>
      <c r="S587" s="6">
        <f>INDEX([1]products!$A$1:$G$49,MATCH([1]orders!$D587,[1]products!$A$1:$A$49,0),MATCH([1]orders!L$1,[1]products!$A$1:$G$1,0))</f>
        <v>8.25</v>
      </c>
      <c r="T587" s="6">
        <f t="shared" si="54"/>
        <v>16.5</v>
      </c>
      <c r="U587" s="22">
        <f t="shared" si="58"/>
        <v>1.8149999999999999</v>
      </c>
      <c r="V587" s="22">
        <f t="shared" si="59"/>
        <v>11</v>
      </c>
    </row>
    <row r="588" spans="1:22" x14ac:dyDescent="0.3">
      <c r="A588" s="1" t="s">
        <v>1146</v>
      </c>
      <c r="B588" s="2">
        <v>43867</v>
      </c>
      <c r="C588" s="2" t="str">
        <f t="shared" si="55"/>
        <v>Thursday</v>
      </c>
      <c r="D588" s="2" t="str">
        <f t="shared" si="56"/>
        <v>February</v>
      </c>
      <c r="E588" s="2" t="str">
        <f t="shared" si="57"/>
        <v>2020</v>
      </c>
      <c r="F588" s="3" t="s">
        <v>1147</v>
      </c>
      <c r="G588" s="3" t="str">
        <f>VLOOKUP(F589,'Customers (2)'!A:I,2,0)</f>
        <v>Bar O' Mahony</v>
      </c>
      <c r="H588" s="3">
        <f>VLOOKUP(F588,'Customers (2)'!A:I,3,0)</f>
        <v>0</v>
      </c>
      <c r="I588" s="3" t="str">
        <f>VLOOKUP(F588,'Customers (2)'!A:I,4,0)</f>
        <v>+1 (612) 477-9298</v>
      </c>
      <c r="J588" s="3" t="str">
        <f>VLOOKUP(F588,'Customers (2)'!A:I,6,0)</f>
        <v>Saint Paul</v>
      </c>
      <c r="K588" s="3" t="str">
        <f>VLOOKUP(F588,'Customers (2)'!A:I,7,0)</f>
        <v>United States</v>
      </c>
      <c r="L588" s="3" t="str">
        <f>VLOOKUP(F588,'Customers (2)'!A:I,9,0)</f>
        <v>No</v>
      </c>
      <c r="M588" s="4" t="s">
        <v>10</v>
      </c>
      <c r="N588" s="4" t="str">
        <f>VLOOKUP(M588,'Products (2)'!A:G,2,0)</f>
        <v>Robusta</v>
      </c>
      <c r="O588" s="4" t="str">
        <f>VLOOKUP(M588,'Products (2)'!A:G,3,0)</f>
        <v>Light</v>
      </c>
      <c r="P588" s="4">
        <f>VLOOKUP(M588,'Products (2)'!A:G,7,0)</f>
        <v>1.6490999999999998</v>
      </c>
      <c r="Q588" s="3">
        <v>3</v>
      </c>
      <c r="R588" s="5">
        <f>INDEX([1]products!$A$1:$G$49,MATCH([1]orders!$D588,[1]products!$A$1:$A$49,0),MATCH([1]orders!K$1,[1]products!$A$1:$G$1,0))</f>
        <v>2.5</v>
      </c>
      <c r="S588" s="6">
        <f>INDEX([1]products!$A$1:$G$49,MATCH([1]orders!$D588,[1]products!$A$1:$A$49,0),MATCH([1]orders!L$1,[1]products!$A$1:$G$1,0))</f>
        <v>27.484999999999996</v>
      </c>
      <c r="T588" s="6">
        <f t="shared" si="54"/>
        <v>82.454999999999984</v>
      </c>
      <c r="U588" s="22">
        <f t="shared" si="58"/>
        <v>4.9472999999999994</v>
      </c>
      <c r="V588" s="22">
        <f t="shared" si="59"/>
        <v>6.0000000000000009</v>
      </c>
    </row>
    <row r="589" spans="1:22" x14ac:dyDescent="0.3">
      <c r="A589" s="1" t="s">
        <v>1148</v>
      </c>
      <c r="B589" s="2">
        <v>44267</v>
      </c>
      <c r="C589" s="2" t="str">
        <f t="shared" si="55"/>
        <v>Friday</v>
      </c>
      <c r="D589" s="2" t="str">
        <f t="shared" si="56"/>
        <v>March</v>
      </c>
      <c r="E589" s="2" t="str">
        <f t="shared" si="57"/>
        <v>2021</v>
      </c>
      <c r="F589" s="3" t="s">
        <v>1149</v>
      </c>
      <c r="G589" s="3" t="str">
        <f>VLOOKUP(F590,'Customers (2)'!A:I,2,0)</f>
        <v>Valenka Stansbury</v>
      </c>
      <c r="H589" s="3" t="str">
        <f>VLOOKUP(F589,'Customers (2)'!A:I,3,0)</f>
        <v>bogb@elpais.com</v>
      </c>
      <c r="I589" s="3">
        <f>VLOOKUP(F589,'Customers (2)'!A:I,4,0)</f>
        <v>0</v>
      </c>
      <c r="J589" s="3" t="str">
        <f>VLOOKUP(F589,'Customers (2)'!A:I,6,0)</f>
        <v>Huntsville</v>
      </c>
      <c r="K589" s="3" t="str">
        <f>VLOOKUP(F589,'Customers (2)'!A:I,7,0)</f>
        <v>United States</v>
      </c>
      <c r="L589" s="3" t="str">
        <f>VLOOKUP(F589,'Customers (2)'!A:I,9,0)</f>
        <v>Yes</v>
      </c>
      <c r="M589" s="4" t="s">
        <v>123</v>
      </c>
      <c r="N589" s="4" t="str">
        <f>VLOOKUP(M589,'Products (2)'!A:G,2,0)</f>
        <v>Liberica</v>
      </c>
      <c r="O589" s="4" t="str">
        <f>VLOOKUP(M589,'Products (2)'!A:G,3,0)</f>
        <v>Dark</v>
      </c>
      <c r="P589" s="4">
        <f>VLOOKUP(M589,'Products (2)'!A:G,7,0)</f>
        <v>1.0101</v>
      </c>
      <c r="Q589" s="3">
        <v>1</v>
      </c>
      <c r="R589" s="5">
        <f>INDEX([1]products!$A$1:$G$49,MATCH([1]orders!$D589,[1]products!$A$1:$A$49,0),MATCH([1]orders!K$1,[1]products!$A$1:$G$1,0))</f>
        <v>0.5</v>
      </c>
      <c r="S589" s="6">
        <f>INDEX([1]products!$A$1:$G$49,MATCH([1]orders!$D589,[1]products!$A$1:$A$49,0),MATCH([1]orders!L$1,[1]products!$A$1:$G$1,0))</f>
        <v>7.77</v>
      </c>
      <c r="T589" s="6">
        <f t="shared" si="54"/>
        <v>7.77</v>
      </c>
      <c r="U589" s="22">
        <f t="shared" si="58"/>
        <v>1.0101</v>
      </c>
      <c r="V589" s="22">
        <f t="shared" si="59"/>
        <v>13</v>
      </c>
    </row>
    <row r="590" spans="1:22" x14ac:dyDescent="0.3">
      <c r="A590" s="1" t="s">
        <v>1150</v>
      </c>
      <c r="B590" s="2">
        <v>44046</v>
      </c>
      <c r="C590" s="2" t="str">
        <f t="shared" si="55"/>
        <v>Monday</v>
      </c>
      <c r="D590" s="2" t="str">
        <f t="shared" si="56"/>
        <v>August</v>
      </c>
      <c r="E590" s="2" t="str">
        <f t="shared" si="57"/>
        <v>2020</v>
      </c>
      <c r="F590" s="3" t="s">
        <v>1151</v>
      </c>
      <c r="G590" s="3" t="str">
        <f>VLOOKUP(F591,'Customers (2)'!A:I,2,0)</f>
        <v>Daniel Heinonen</v>
      </c>
      <c r="H590" s="3" t="str">
        <f>VLOOKUP(F590,'Customers (2)'!A:I,3,0)</f>
        <v>vstansburygc@unblog.fr</v>
      </c>
      <c r="I590" s="3" t="str">
        <f>VLOOKUP(F590,'Customers (2)'!A:I,4,0)</f>
        <v>+1 (915) 530-3435</v>
      </c>
      <c r="J590" s="3" t="str">
        <f>VLOOKUP(F590,'Customers (2)'!A:I,6,0)</f>
        <v>El Paso</v>
      </c>
      <c r="K590" s="3" t="str">
        <f>VLOOKUP(F590,'Customers (2)'!A:I,7,0)</f>
        <v>United States</v>
      </c>
      <c r="L590" s="3" t="str">
        <f>VLOOKUP(F590,'Customers (2)'!A:I,9,0)</f>
        <v>Yes</v>
      </c>
      <c r="M590" s="4" t="s">
        <v>22</v>
      </c>
      <c r="N590" s="4" t="str">
        <f>VLOOKUP(M590,'Products (2)'!A:G,2,0)</f>
        <v>Robusta</v>
      </c>
      <c r="O590" s="4" t="str">
        <f>VLOOKUP(M590,'Products (2)'!A:G,3,0)</f>
        <v>Medium</v>
      </c>
      <c r="P590" s="4">
        <f>VLOOKUP(M590,'Products (2)'!A:G,7,0)</f>
        <v>0.35819999999999996</v>
      </c>
      <c r="Q590" s="3">
        <v>2</v>
      </c>
      <c r="R590" s="5">
        <f>INDEX([1]products!$A$1:$G$49,MATCH([1]orders!$D590,[1]products!$A$1:$A$49,0),MATCH([1]orders!K$1,[1]products!$A$1:$G$1,0))</f>
        <v>0.5</v>
      </c>
      <c r="S590" s="6">
        <f>INDEX([1]products!$A$1:$G$49,MATCH([1]orders!$D590,[1]products!$A$1:$A$49,0),MATCH([1]orders!L$1,[1]products!$A$1:$G$1,0))</f>
        <v>5.97</v>
      </c>
      <c r="T590" s="6">
        <f t="shared" si="54"/>
        <v>11.94</v>
      </c>
      <c r="U590" s="22">
        <f t="shared" si="58"/>
        <v>0.71639999999999993</v>
      </c>
      <c r="V590" s="22">
        <f t="shared" si="59"/>
        <v>6</v>
      </c>
    </row>
    <row r="591" spans="1:22" x14ac:dyDescent="0.3">
      <c r="A591" s="1" t="s">
        <v>1152</v>
      </c>
      <c r="B591" s="2">
        <v>43671</v>
      </c>
      <c r="C591" s="2" t="str">
        <f t="shared" si="55"/>
        <v>Thursday</v>
      </c>
      <c r="D591" s="2" t="str">
        <f t="shared" si="56"/>
        <v>July</v>
      </c>
      <c r="E591" s="2" t="str">
        <f t="shared" si="57"/>
        <v>2019</v>
      </c>
      <c r="F591" s="3" t="s">
        <v>1153</v>
      </c>
      <c r="G591" s="3" t="str">
        <f>VLOOKUP(F592,'Customers (2)'!A:I,2,0)</f>
        <v>Jewelle Shenton</v>
      </c>
      <c r="H591" s="3" t="str">
        <f>VLOOKUP(F591,'Customers (2)'!A:I,3,0)</f>
        <v>dheinonengd@printfriendly.com</v>
      </c>
      <c r="I591" s="3">
        <f>VLOOKUP(F591,'Customers (2)'!A:I,4,0)</f>
        <v>0</v>
      </c>
      <c r="J591" s="3" t="str">
        <f>VLOOKUP(F591,'Customers (2)'!A:I,6,0)</f>
        <v>Decatur</v>
      </c>
      <c r="K591" s="3" t="str">
        <f>VLOOKUP(F591,'Customers (2)'!A:I,7,0)</f>
        <v>United States</v>
      </c>
      <c r="L591" s="3" t="str">
        <f>VLOOKUP(F591,'Customers (2)'!A:I,9,0)</f>
        <v>No</v>
      </c>
      <c r="M591" s="4" t="s">
        <v>30</v>
      </c>
      <c r="N591" s="4" t="str">
        <f>VLOOKUP(M591,'Products (2)'!A:G,2,0)</f>
        <v>Excelsa</v>
      </c>
      <c r="O591" s="4" t="str">
        <f>VLOOKUP(M591,'Products (2)'!A:G,3,0)</f>
        <v>Light</v>
      </c>
      <c r="P591" s="4">
        <f>VLOOKUP(M591,'Products (2)'!A:G,7,0)</f>
        <v>3.7570499999999996</v>
      </c>
      <c r="Q591" s="3">
        <v>6</v>
      </c>
      <c r="R591" s="5">
        <f>INDEX([1]products!$A$1:$G$49,MATCH([1]orders!$D591,[1]products!$A$1:$A$49,0),MATCH([1]orders!K$1,[1]products!$A$1:$G$1,0))</f>
        <v>2.5</v>
      </c>
      <c r="S591" s="6">
        <f>INDEX([1]products!$A$1:$G$49,MATCH([1]orders!$D591,[1]products!$A$1:$A$49,0),MATCH([1]orders!L$1,[1]products!$A$1:$G$1,0))</f>
        <v>34.154999999999994</v>
      </c>
      <c r="T591" s="6">
        <f t="shared" si="54"/>
        <v>204.92999999999995</v>
      </c>
      <c r="U591" s="22">
        <f t="shared" si="58"/>
        <v>22.542299999999997</v>
      </c>
      <c r="V591" s="22">
        <f t="shared" si="59"/>
        <v>11.000000000000002</v>
      </c>
    </row>
    <row r="592" spans="1:22" x14ac:dyDescent="0.3">
      <c r="A592" s="1" t="s">
        <v>1154</v>
      </c>
      <c r="B592" s="2">
        <v>43950</v>
      </c>
      <c r="C592" s="2" t="str">
        <f t="shared" si="55"/>
        <v>Wednesday</v>
      </c>
      <c r="D592" s="2" t="str">
        <f t="shared" si="56"/>
        <v>April</v>
      </c>
      <c r="E592" s="2" t="str">
        <f t="shared" si="57"/>
        <v>2020</v>
      </c>
      <c r="F592" s="3" t="s">
        <v>1155</v>
      </c>
      <c r="G592" s="3" t="str">
        <f>VLOOKUP(F593,'Customers (2)'!A:I,2,0)</f>
        <v>Jennifer Wilkisson</v>
      </c>
      <c r="H592" s="3" t="str">
        <f>VLOOKUP(F592,'Customers (2)'!A:I,3,0)</f>
        <v>jshentonge@google.com.hk</v>
      </c>
      <c r="I592" s="3" t="str">
        <f>VLOOKUP(F592,'Customers (2)'!A:I,4,0)</f>
        <v>+1 (650) 712-0135</v>
      </c>
      <c r="J592" s="3" t="str">
        <f>VLOOKUP(F592,'Customers (2)'!A:I,6,0)</f>
        <v>Orange</v>
      </c>
      <c r="K592" s="3" t="str">
        <f>VLOOKUP(F592,'Customers (2)'!A:I,7,0)</f>
        <v>United States</v>
      </c>
      <c r="L592" s="3" t="str">
        <f>VLOOKUP(F592,'Customers (2)'!A:I,9,0)</f>
        <v>Yes</v>
      </c>
      <c r="M592" s="4" t="s">
        <v>112</v>
      </c>
      <c r="N592" s="4" t="str">
        <f>VLOOKUP(M592,'Products (2)'!A:G,2,0)</f>
        <v>Excelsa</v>
      </c>
      <c r="O592" s="4" t="str">
        <f>VLOOKUP(M592,'Products (2)'!A:G,3,0)</f>
        <v>Medium</v>
      </c>
      <c r="P592" s="4">
        <f>VLOOKUP(M592,'Products (2)'!A:G,7,0)</f>
        <v>3.4787499999999998</v>
      </c>
      <c r="Q592" s="3">
        <v>2</v>
      </c>
      <c r="R592" s="5">
        <f>INDEX([1]products!$A$1:$G$49,MATCH([1]orders!$D592,[1]products!$A$1:$A$49,0),MATCH([1]orders!K$1,[1]products!$A$1:$G$1,0))</f>
        <v>2.5</v>
      </c>
      <c r="S592" s="6">
        <f>INDEX([1]products!$A$1:$G$49,MATCH([1]orders!$D592,[1]products!$A$1:$A$49,0),MATCH([1]orders!L$1,[1]products!$A$1:$G$1,0))</f>
        <v>31.624999999999996</v>
      </c>
      <c r="T592" s="6">
        <f t="shared" si="54"/>
        <v>63.249999999999993</v>
      </c>
      <c r="U592" s="22">
        <f t="shared" si="58"/>
        <v>6.9574999999999996</v>
      </c>
      <c r="V592" s="22">
        <f t="shared" si="59"/>
        <v>11</v>
      </c>
    </row>
    <row r="593" spans="1:22" x14ac:dyDescent="0.3">
      <c r="A593" s="1" t="s">
        <v>1156</v>
      </c>
      <c r="B593" s="2">
        <v>43587</v>
      </c>
      <c r="C593" s="2" t="str">
        <f t="shared" si="55"/>
        <v>Thursday</v>
      </c>
      <c r="D593" s="2" t="str">
        <f t="shared" si="56"/>
        <v>May</v>
      </c>
      <c r="E593" s="2" t="str">
        <f t="shared" si="57"/>
        <v>2019</v>
      </c>
      <c r="F593" s="3" t="s">
        <v>1157</v>
      </c>
      <c r="G593" s="3" t="str">
        <f>VLOOKUP(F594,'Customers (2)'!A:I,2,0)</f>
        <v>Kylie Mowat</v>
      </c>
      <c r="H593" s="3" t="str">
        <f>VLOOKUP(F593,'Customers (2)'!A:I,3,0)</f>
        <v>jwilkissongf@nba.com</v>
      </c>
      <c r="I593" s="3">
        <f>VLOOKUP(F593,'Customers (2)'!A:I,4,0)</f>
        <v>0</v>
      </c>
      <c r="J593" s="3" t="str">
        <f>VLOOKUP(F593,'Customers (2)'!A:I,6,0)</f>
        <v>Huntington Beach</v>
      </c>
      <c r="K593" s="3" t="str">
        <f>VLOOKUP(F593,'Customers (2)'!A:I,7,0)</f>
        <v>United States</v>
      </c>
      <c r="L593" s="3" t="str">
        <f>VLOOKUP(F593,'Customers (2)'!A:I,9,0)</f>
        <v>Yes</v>
      </c>
      <c r="M593" s="4" t="s">
        <v>101</v>
      </c>
      <c r="N593" s="4" t="str">
        <f>VLOOKUP(M593,'Products (2)'!A:G,2,0)</f>
        <v>Robusta</v>
      </c>
      <c r="O593" s="4" t="str">
        <f>VLOOKUP(M593,'Products (2)'!A:G,3,0)</f>
        <v>Dark</v>
      </c>
      <c r="P593" s="4">
        <f>VLOOKUP(M593,'Products (2)'!A:G,7,0)</f>
        <v>0.16109999999999997</v>
      </c>
      <c r="Q593" s="3">
        <v>3</v>
      </c>
      <c r="R593" s="5">
        <f>INDEX([1]products!$A$1:$G$49,MATCH([1]orders!$D593,[1]products!$A$1:$A$49,0),MATCH([1]orders!K$1,[1]products!$A$1:$G$1,0))</f>
        <v>0.2</v>
      </c>
      <c r="S593" s="6">
        <f>INDEX([1]products!$A$1:$G$49,MATCH([1]orders!$D593,[1]products!$A$1:$A$49,0),MATCH([1]orders!L$1,[1]products!$A$1:$G$1,0))</f>
        <v>2.6849999999999996</v>
      </c>
      <c r="T593" s="6">
        <f t="shared" si="54"/>
        <v>8.0549999999999997</v>
      </c>
      <c r="U593" s="22">
        <f t="shared" si="58"/>
        <v>0.4832999999999999</v>
      </c>
      <c r="V593" s="22">
        <f t="shared" si="59"/>
        <v>5.9999999999999991</v>
      </c>
    </row>
    <row r="594" spans="1:22" x14ac:dyDescent="0.3">
      <c r="A594" s="1" t="s">
        <v>1158</v>
      </c>
      <c r="B594" s="2">
        <v>44437</v>
      </c>
      <c r="C594" s="2" t="str">
        <f t="shared" si="55"/>
        <v>Sunday</v>
      </c>
      <c r="D594" s="2" t="str">
        <f t="shared" si="56"/>
        <v>August</v>
      </c>
      <c r="E594" s="2" t="str">
        <f t="shared" si="57"/>
        <v>2021</v>
      </c>
      <c r="F594" s="3" t="s">
        <v>1159</v>
      </c>
      <c r="G594" s="3" t="str">
        <f>VLOOKUP(F595,'Customers (2)'!A:I,2,0)</f>
        <v>Cody Verissimo</v>
      </c>
      <c r="H594" s="3">
        <f>VLOOKUP(F594,'Customers (2)'!A:I,3,0)</f>
        <v>0</v>
      </c>
      <c r="I594" s="3" t="str">
        <f>VLOOKUP(F594,'Customers (2)'!A:I,4,0)</f>
        <v>+1 (206) 275-3973</v>
      </c>
      <c r="J594" s="3" t="str">
        <f>VLOOKUP(F594,'Customers (2)'!A:I,6,0)</f>
        <v>Milwaukee</v>
      </c>
      <c r="K594" s="3" t="str">
        <f>VLOOKUP(F594,'Customers (2)'!A:I,7,0)</f>
        <v>United States</v>
      </c>
      <c r="L594" s="3" t="str">
        <f>VLOOKUP(F594,'Customers (2)'!A:I,9,0)</f>
        <v>No</v>
      </c>
      <c r="M594" s="4" t="s">
        <v>171</v>
      </c>
      <c r="N594" s="4" t="str">
        <f>VLOOKUP(M594,'Products (2)'!A:G,2,0)</f>
        <v>Arabica</v>
      </c>
      <c r="O594" s="4" t="str">
        <f>VLOOKUP(M594,'Products (2)'!A:G,3,0)</f>
        <v>Medium</v>
      </c>
      <c r="P594" s="4">
        <f>VLOOKUP(M594,'Products (2)'!A:G,7,0)</f>
        <v>2.3287499999999994</v>
      </c>
      <c r="Q594" s="3">
        <v>2</v>
      </c>
      <c r="R594" s="5">
        <f>INDEX([1]products!$A$1:$G$49,MATCH([1]orders!$D594,[1]products!$A$1:$A$49,0),MATCH([1]orders!K$1,[1]products!$A$1:$G$1,0))</f>
        <v>2.5</v>
      </c>
      <c r="S594" s="6">
        <f>INDEX([1]products!$A$1:$G$49,MATCH([1]orders!$D594,[1]products!$A$1:$A$49,0),MATCH([1]orders!L$1,[1]products!$A$1:$G$1,0))</f>
        <v>25.874999999999996</v>
      </c>
      <c r="T594" s="6">
        <f t="shared" si="54"/>
        <v>51.749999999999993</v>
      </c>
      <c r="U594" s="22">
        <f t="shared" si="58"/>
        <v>4.6574999999999989</v>
      </c>
      <c r="V594" s="22">
        <f t="shared" si="59"/>
        <v>9</v>
      </c>
    </row>
    <row r="595" spans="1:22" x14ac:dyDescent="0.3">
      <c r="A595" s="1" t="s">
        <v>1160</v>
      </c>
      <c r="B595" s="2">
        <v>43903</v>
      </c>
      <c r="C595" s="2" t="str">
        <f t="shared" si="55"/>
        <v>Friday</v>
      </c>
      <c r="D595" s="2" t="str">
        <f t="shared" si="56"/>
        <v>March</v>
      </c>
      <c r="E595" s="2" t="str">
        <f t="shared" si="57"/>
        <v>2020</v>
      </c>
      <c r="F595" s="3" t="s">
        <v>1145</v>
      </c>
      <c r="G595" s="3" t="str">
        <f>VLOOKUP(F596,'Customers (2)'!A:I,2,0)</f>
        <v>Gabriel Starcks</v>
      </c>
      <c r="H595" s="3" t="str">
        <f>VLOOKUP(F595,'Customers (2)'!A:I,3,0)</f>
        <v>cverissimogh@theglobeandmail.com</v>
      </c>
      <c r="I595" s="3">
        <f>VLOOKUP(F595,'Customers (2)'!A:I,4,0)</f>
        <v>0</v>
      </c>
      <c r="J595" s="3" t="str">
        <f>VLOOKUP(F595,'Customers (2)'!A:I,6,0)</f>
        <v>Upton</v>
      </c>
      <c r="K595" s="3" t="str">
        <f>VLOOKUP(F595,'Customers (2)'!A:I,7,0)</f>
        <v>United Kingdom</v>
      </c>
      <c r="L595" s="3" t="str">
        <f>VLOOKUP(F595,'Customers (2)'!A:I,9,0)</f>
        <v>Yes</v>
      </c>
      <c r="M595" s="4" t="s">
        <v>530</v>
      </c>
      <c r="N595" s="4" t="str">
        <f>VLOOKUP(M595,'Products (2)'!A:G,2,0)</f>
        <v>Excelsa</v>
      </c>
      <c r="O595" s="4" t="str">
        <f>VLOOKUP(M595,'Products (2)'!A:G,3,0)</f>
        <v>Dark</v>
      </c>
      <c r="P595" s="4">
        <f>VLOOKUP(M595,'Products (2)'!A:G,7,0)</f>
        <v>3.07395</v>
      </c>
      <c r="Q595" s="3">
        <v>1</v>
      </c>
      <c r="R595" s="5">
        <f>INDEX([1]products!$A$1:$G$49,MATCH([1]orders!$D595,[1]products!$A$1:$A$49,0),MATCH([1]orders!K$1,[1]products!$A$1:$G$1,0))</f>
        <v>2.5</v>
      </c>
      <c r="S595" s="6">
        <f>INDEX([1]products!$A$1:$G$49,MATCH([1]orders!$D595,[1]products!$A$1:$A$49,0),MATCH([1]orders!L$1,[1]products!$A$1:$G$1,0))</f>
        <v>27.945</v>
      </c>
      <c r="T595" s="6">
        <f t="shared" si="54"/>
        <v>27.945</v>
      </c>
      <c r="U595" s="22">
        <f t="shared" si="58"/>
        <v>3.07395</v>
      </c>
      <c r="V595" s="22">
        <f t="shared" si="59"/>
        <v>11</v>
      </c>
    </row>
    <row r="596" spans="1:22" x14ac:dyDescent="0.3">
      <c r="A596" s="1" t="s">
        <v>1161</v>
      </c>
      <c r="B596" s="2">
        <v>43512</v>
      </c>
      <c r="C596" s="2" t="str">
        <f t="shared" si="55"/>
        <v>Saturday</v>
      </c>
      <c r="D596" s="2" t="str">
        <f t="shared" si="56"/>
        <v>February</v>
      </c>
      <c r="E596" s="2" t="str">
        <f t="shared" si="57"/>
        <v>2019</v>
      </c>
      <c r="F596" s="3" t="s">
        <v>1162</v>
      </c>
      <c r="G596" s="3" t="str">
        <f>VLOOKUP(F597,'Customers (2)'!A:I,2,0)</f>
        <v>Darby Dummer</v>
      </c>
      <c r="H596" s="3" t="str">
        <f>VLOOKUP(F596,'Customers (2)'!A:I,3,0)</f>
        <v>gstarcksgi@abc.net.au</v>
      </c>
      <c r="I596" s="3" t="str">
        <f>VLOOKUP(F596,'Customers (2)'!A:I,4,0)</f>
        <v>+1 (423) 903-3146</v>
      </c>
      <c r="J596" s="3" t="str">
        <f>VLOOKUP(F596,'Customers (2)'!A:I,6,0)</f>
        <v>Chattanooga</v>
      </c>
      <c r="K596" s="3" t="str">
        <f>VLOOKUP(F596,'Customers (2)'!A:I,7,0)</f>
        <v>United States</v>
      </c>
      <c r="L596" s="3" t="str">
        <f>VLOOKUP(F596,'Customers (2)'!A:I,9,0)</f>
        <v>No</v>
      </c>
      <c r="M596" s="4" t="s">
        <v>204</v>
      </c>
      <c r="N596" s="4" t="str">
        <f>VLOOKUP(M596,'Products (2)'!A:G,2,0)</f>
        <v>Arabica</v>
      </c>
      <c r="O596" s="4" t="str">
        <f>VLOOKUP(M596,'Products (2)'!A:G,3,0)</f>
        <v>Light</v>
      </c>
      <c r="P596" s="4">
        <f>VLOOKUP(M596,'Products (2)'!A:G,7,0)</f>
        <v>2.6806499999999995</v>
      </c>
      <c r="Q596" s="3">
        <v>2</v>
      </c>
      <c r="R596" s="5">
        <f>INDEX([1]products!$A$1:$G$49,MATCH([1]orders!$D596,[1]products!$A$1:$A$49,0),MATCH([1]orders!K$1,[1]products!$A$1:$G$1,0))</f>
        <v>2.5</v>
      </c>
      <c r="S596" s="6">
        <f>INDEX([1]products!$A$1:$G$49,MATCH([1]orders!$D596,[1]products!$A$1:$A$49,0),MATCH([1]orders!L$1,[1]products!$A$1:$G$1,0))</f>
        <v>29.784999999999997</v>
      </c>
      <c r="T596" s="6">
        <f t="shared" si="54"/>
        <v>59.569999999999993</v>
      </c>
      <c r="U596" s="22">
        <f t="shared" si="58"/>
        <v>5.3612999999999991</v>
      </c>
      <c r="V596" s="22">
        <f t="shared" si="59"/>
        <v>9</v>
      </c>
    </row>
    <row r="597" spans="1:22" x14ac:dyDescent="0.3">
      <c r="A597" s="1" t="s">
        <v>1163</v>
      </c>
      <c r="B597" s="2">
        <v>44527</v>
      </c>
      <c r="C597" s="2" t="str">
        <f t="shared" si="55"/>
        <v>Saturday</v>
      </c>
      <c r="D597" s="2" t="str">
        <f t="shared" si="56"/>
        <v>November</v>
      </c>
      <c r="E597" s="2" t="str">
        <f t="shared" si="57"/>
        <v>2021</v>
      </c>
      <c r="F597" s="3" t="s">
        <v>1164</v>
      </c>
      <c r="G597" s="3" t="str">
        <f>VLOOKUP(F598,'Customers (2)'!A:I,2,0)</f>
        <v>Kienan Scholard</v>
      </c>
      <c r="H597" s="3">
        <f>VLOOKUP(F597,'Customers (2)'!A:I,3,0)</f>
        <v>0</v>
      </c>
      <c r="I597" s="3">
        <f>VLOOKUP(F597,'Customers (2)'!A:I,4,0)</f>
        <v>0</v>
      </c>
      <c r="J597" s="3" t="str">
        <f>VLOOKUP(F597,'Customers (2)'!A:I,6,0)</f>
        <v>Manchester</v>
      </c>
      <c r="K597" s="3" t="str">
        <f>VLOOKUP(F597,'Customers (2)'!A:I,7,0)</f>
        <v>United Kingdom</v>
      </c>
      <c r="L597" s="3" t="str">
        <f>VLOOKUP(F597,'Customers (2)'!A:I,9,0)</f>
        <v>No</v>
      </c>
      <c r="M597" s="4" t="s">
        <v>137</v>
      </c>
      <c r="N597" s="4" t="str">
        <f>VLOOKUP(M597,'Products (2)'!A:G,2,0)</f>
        <v>Excelsa</v>
      </c>
      <c r="O597" s="4" t="str">
        <f>VLOOKUP(M597,'Products (2)'!A:G,3,0)</f>
        <v>Light</v>
      </c>
      <c r="P597" s="4">
        <f>VLOOKUP(M597,'Products (2)'!A:G,7,0)</f>
        <v>1.6335</v>
      </c>
      <c r="Q597" s="3">
        <v>1</v>
      </c>
      <c r="R597" s="5">
        <f>INDEX([1]products!$A$1:$G$49,MATCH([1]orders!$D597,[1]products!$A$1:$A$49,0),MATCH([1]orders!K$1,[1]products!$A$1:$G$1,0))</f>
        <v>1</v>
      </c>
      <c r="S597" s="6">
        <f>INDEX([1]products!$A$1:$G$49,MATCH([1]orders!$D597,[1]products!$A$1:$A$49,0),MATCH([1]orders!L$1,[1]products!$A$1:$G$1,0))</f>
        <v>14.85</v>
      </c>
      <c r="T597" s="6">
        <f t="shared" si="54"/>
        <v>14.85</v>
      </c>
      <c r="U597" s="22">
        <f t="shared" si="58"/>
        <v>1.6335</v>
      </c>
      <c r="V597" s="22">
        <f t="shared" si="59"/>
        <v>11</v>
      </c>
    </row>
    <row r="598" spans="1:22" x14ac:dyDescent="0.3">
      <c r="A598" s="1" t="s">
        <v>1165</v>
      </c>
      <c r="B598" s="2">
        <v>44523</v>
      </c>
      <c r="C598" s="2" t="str">
        <f t="shared" si="55"/>
        <v>Tuesday</v>
      </c>
      <c r="D598" s="2" t="str">
        <f t="shared" si="56"/>
        <v>November</v>
      </c>
      <c r="E598" s="2" t="str">
        <f t="shared" si="57"/>
        <v>2021</v>
      </c>
      <c r="F598" s="3" t="s">
        <v>1166</v>
      </c>
      <c r="G598" s="3" t="str">
        <f>VLOOKUP(F599,'Customers (2)'!A:I,2,0)</f>
        <v>Bo Kindley</v>
      </c>
      <c r="H598" s="3" t="str">
        <f>VLOOKUP(F598,'Customers (2)'!A:I,3,0)</f>
        <v>kscholardgk@sbwire.com</v>
      </c>
      <c r="I598" s="3" t="str">
        <f>VLOOKUP(F598,'Customers (2)'!A:I,4,0)</f>
        <v>+1 (614) 199-9032</v>
      </c>
      <c r="J598" s="3" t="str">
        <f>VLOOKUP(F598,'Customers (2)'!A:I,6,0)</f>
        <v>Columbus</v>
      </c>
      <c r="K598" s="3" t="str">
        <f>VLOOKUP(F598,'Customers (2)'!A:I,7,0)</f>
        <v>United States</v>
      </c>
      <c r="L598" s="3" t="str">
        <f>VLOOKUP(F598,'Customers (2)'!A:I,9,0)</f>
        <v>No</v>
      </c>
      <c r="M598" s="4" t="s">
        <v>67</v>
      </c>
      <c r="N598" s="4" t="str">
        <f>VLOOKUP(M598,'Products (2)'!A:G,2,0)</f>
        <v>Arabica</v>
      </c>
      <c r="O598" s="4" t="str">
        <f>VLOOKUP(M598,'Products (2)'!A:G,3,0)</f>
        <v>Medium</v>
      </c>
      <c r="P598" s="4">
        <f>VLOOKUP(M598,'Products (2)'!A:G,7,0)</f>
        <v>0.60749999999999993</v>
      </c>
      <c r="Q598" s="3">
        <v>5</v>
      </c>
      <c r="R598" s="5">
        <f>INDEX([1]products!$A$1:$G$49,MATCH([1]orders!$D598,[1]products!$A$1:$A$49,0),MATCH([1]orders!K$1,[1]products!$A$1:$G$1,0))</f>
        <v>0.5</v>
      </c>
      <c r="S598" s="6">
        <f>INDEX([1]products!$A$1:$G$49,MATCH([1]orders!$D598,[1]products!$A$1:$A$49,0),MATCH([1]orders!L$1,[1]products!$A$1:$G$1,0))</f>
        <v>6.75</v>
      </c>
      <c r="T598" s="6">
        <f t="shared" si="54"/>
        <v>33.75</v>
      </c>
      <c r="U598" s="22">
        <f t="shared" si="58"/>
        <v>3.0374999999999996</v>
      </c>
      <c r="V598" s="22">
        <f t="shared" si="59"/>
        <v>8.9999999999999982</v>
      </c>
    </row>
    <row r="599" spans="1:22" x14ac:dyDescent="0.3">
      <c r="A599" s="1" t="s">
        <v>1167</v>
      </c>
      <c r="B599" s="2">
        <v>44532</v>
      </c>
      <c r="C599" s="2" t="str">
        <f t="shared" si="55"/>
        <v>Thursday</v>
      </c>
      <c r="D599" s="2" t="str">
        <f t="shared" si="56"/>
        <v>December</v>
      </c>
      <c r="E599" s="2" t="str">
        <f t="shared" si="57"/>
        <v>2021</v>
      </c>
      <c r="F599" s="3" t="s">
        <v>1168</v>
      </c>
      <c r="G599" s="3" t="str">
        <f>VLOOKUP(F600,'Customers (2)'!A:I,2,0)</f>
        <v>Krissie Hammett</v>
      </c>
      <c r="H599" s="3" t="str">
        <f>VLOOKUP(F599,'Customers (2)'!A:I,3,0)</f>
        <v>bkindleygl@wikimedia.org</v>
      </c>
      <c r="I599" s="3" t="str">
        <f>VLOOKUP(F599,'Customers (2)'!A:I,4,0)</f>
        <v>+1 (650) 799-2315</v>
      </c>
      <c r="J599" s="3" t="str">
        <f>VLOOKUP(F599,'Customers (2)'!A:I,6,0)</f>
        <v>Pasadena</v>
      </c>
      <c r="K599" s="3" t="str">
        <f>VLOOKUP(F599,'Customers (2)'!A:I,7,0)</f>
        <v>United States</v>
      </c>
      <c r="L599" s="3" t="str">
        <f>VLOOKUP(F599,'Customers (2)'!A:I,9,0)</f>
        <v>Yes</v>
      </c>
      <c r="M599" s="4" t="s">
        <v>104</v>
      </c>
      <c r="N599" s="4" t="str">
        <f>VLOOKUP(M599,'Products (2)'!A:G,2,0)</f>
        <v>Liberica</v>
      </c>
      <c r="O599" s="4" t="str">
        <f>VLOOKUP(M599,'Products (2)'!A:G,3,0)</f>
        <v>Light</v>
      </c>
      <c r="P599" s="4">
        <f>VLOOKUP(M599,'Products (2)'!A:G,7,0)</f>
        <v>4.7391499999999995</v>
      </c>
      <c r="Q599" s="3">
        <v>4</v>
      </c>
      <c r="R599" s="5">
        <f>INDEX([1]products!$A$1:$G$49,MATCH([1]orders!$D599,[1]products!$A$1:$A$49,0),MATCH([1]orders!K$1,[1]products!$A$1:$G$1,0))</f>
        <v>2.5</v>
      </c>
      <c r="S599" s="6">
        <f>INDEX([1]products!$A$1:$G$49,MATCH([1]orders!$D599,[1]products!$A$1:$A$49,0),MATCH([1]orders!L$1,[1]products!$A$1:$G$1,0))</f>
        <v>36.454999999999998</v>
      </c>
      <c r="T599" s="6">
        <f t="shared" si="54"/>
        <v>145.82</v>
      </c>
      <c r="U599" s="22">
        <f t="shared" si="58"/>
        <v>18.956599999999998</v>
      </c>
      <c r="V599" s="22">
        <f t="shared" si="59"/>
        <v>13</v>
      </c>
    </row>
    <row r="600" spans="1:22" x14ac:dyDescent="0.3">
      <c r="A600" s="1" t="s">
        <v>1169</v>
      </c>
      <c r="B600" s="2">
        <v>43471</v>
      </c>
      <c r="C600" s="2" t="str">
        <f t="shared" si="55"/>
        <v>Sunday</v>
      </c>
      <c r="D600" s="2" t="str">
        <f t="shared" si="56"/>
        <v>January</v>
      </c>
      <c r="E600" s="2" t="str">
        <f t="shared" si="57"/>
        <v>2019</v>
      </c>
      <c r="F600" s="3" t="s">
        <v>1170</v>
      </c>
      <c r="G600" s="3" t="str">
        <f>VLOOKUP(F601,'Customers (2)'!A:I,2,0)</f>
        <v>Alisha Hulburt</v>
      </c>
      <c r="H600" s="3" t="str">
        <f>VLOOKUP(F600,'Customers (2)'!A:I,3,0)</f>
        <v>khammettgm@dmoz.org</v>
      </c>
      <c r="I600" s="3" t="str">
        <f>VLOOKUP(F600,'Customers (2)'!A:I,4,0)</f>
        <v>+1 (415) 825-4799</v>
      </c>
      <c r="J600" s="3" t="str">
        <f>VLOOKUP(F600,'Customers (2)'!A:I,6,0)</f>
        <v>San Francisco</v>
      </c>
      <c r="K600" s="3" t="str">
        <f>VLOOKUP(F600,'Customers (2)'!A:I,7,0)</f>
        <v>United States</v>
      </c>
      <c r="L600" s="3" t="str">
        <f>VLOOKUP(F600,'Customers (2)'!A:I,9,0)</f>
        <v>Yes</v>
      </c>
      <c r="M600" s="4" t="s">
        <v>162</v>
      </c>
      <c r="N600" s="4" t="str">
        <f>VLOOKUP(M600,'Products (2)'!A:G,2,0)</f>
        <v>Robusta</v>
      </c>
      <c r="O600" s="4" t="str">
        <f>VLOOKUP(M600,'Products (2)'!A:G,3,0)</f>
        <v>Medium</v>
      </c>
      <c r="P600" s="4">
        <f>VLOOKUP(M600,'Products (2)'!A:G,7,0)</f>
        <v>0.17909999999999998</v>
      </c>
      <c r="Q600" s="3">
        <v>4</v>
      </c>
      <c r="R600" s="5">
        <f>INDEX([1]products!$A$1:$G$49,MATCH([1]orders!$D600,[1]products!$A$1:$A$49,0),MATCH([1]orders!K$1,[1]products!$A$1:$G$1,0))</f>
        <v>0.2</v>
      </c>
      <c r="S600" s="6">
        <f>INDEX([1]products!$A$1:$G$49,MATCH([1]orders!$D600,[1]products!$A$1:$A$49,0),MATCH([1]orders!L$1,[1]products!$A$1:$G$1,0))</f>
        <v>2.9849999999999999</v>
      </c>
      <c r="T600" s="6">
        <f t="shared" si="54"/>
        <v>11.94</v>
      </c>
      <c r="U600" s="22">
        <f t="shared" si="58"/>
        <v>0.71639999999999993</v>
      </c>
      <c r="V600" s="22">
        <f t="shared" si="59"/>
        <v>6</v>
      </c>
    </row>
    <row r="601" spans="1:22" x14ac:dyDescent="0.3">
      <c r="A601" s="1" t="s">
        <v>1171</v>
      </c>
      <c r="B601" s="2">
        <v>44321</v>
      </c>
      <c r="C601" s="2" t="str">
        <f t="shared" si="55"/>
        <v>Wednesday</v>
      </c>
      <c r="D601" s="2" t="str">
        <f t="shared" si="56"/>
        <v>May</v>
      </c>
      <c r="E601" s="2" t="str">
        <f t="shared" si="57"/>
        <v>2021</v>
      </c>
      <c r="F601" s="3" t="s">
        <v>1172</v>
      </c>
      <c r="G601" s="3" t="str">
        <f>VLOOKUP(F602,'Customers (2)'!A:I,2,0)</f>
        <v>Peyter Lauritzen</v>
      </c>
      <c r="H601" s="3" t="str">
        <f>VLOOKUP(F601,'Customers (2)'!A:I,3,0)</f>
        <v>ahulburtgn@fda.gov</v>
      </c>
      <c r="I601" s="3">
        <f>VLOOKUP(F601,'Customers (2)'!A:I,4,0)</f>
        <v>0</v>
      </c>
      <c r="J601" s="3" t="str">
        <f>VLOOKUP(F601,'Customers (2)'!A:I,6,0)</f>
        <v>Shreveport</v>
      </c>
      <c r="K601" s="3" t="str">
        <f>VLOOKUP(F601,'Customers (2)'!A:I,7,0)</f>
        <v>United States</v>
      </c>
      <c r="L601" s="3" t="str">
        <f>VLOOKUP(F601,'Customers (2)'!A:I,9,0)</f>
        <v>Yes</v>
      </c>
      <c r="M601" s="4" t="s">
        <v>54</v>
      </c>
      <c r="N601" s="4" t="str">
        <f>VLOOKUP(M601,'Products (2)'!A:G,2,0)</f>
        <v>Arabica</v>
      </c>
      <c r="O601" s="4" t="str">
        <f>VLOOKUP(M601,'Products (2)'!A:G,3,0)</f>
        <v>Dark</v>
      </c>
      <c r="P601" s="4">
        <f>VLOOKUP(M601,'Products (2)'!A:G,7,0)</f>
        <v>0.26865</v>
      </c>
      <c r="Q601" s="3">
        <v>4</v>
      </c>
      <c r="R601" s="5">
        <f>INDEX([1]products!$A$1:$G$49,MATCH([1]orders!$D601,[1]products!$A$1:$A$49,0),MATCH([1]orders!K$1,[1]products!$A$1:$G$1,0))</f>
        <v>0.2</v>
      </c>
      <c r="S601" s="6">
        <f>INDEX([1]products!$A$1:$G$49,MATCH([1]orders!$D601,[1]products!$A$1:$A$49,0),MATCH([1]orders!L$1,[1]products!$A$1:$G$1,0))</f>
        <v>2.9849999999999999</v>
      </c>
      <c r="T601" s="6">
        <f t="shared" si="54"/>
        <v>11.94</v>
      </c>
      <c r="U601" s="22">
        <f t="shared" si="58"/>
        <v>1.0746</v>
      </c>
      <c r="V601" s="22">
        <f t="shared" si="59"/>
        <v>9.0000000000000018</v>
      </c>
    </row>
    <row r="602" spans="1:22" x14ac:dyDescent="0.3">
      <c r="A602" s="1" t="s">
        <v>1173</v>
      </c>
      <c r="B602" s="2">
        <v>44492</v>
      </c>
      <c r="C602" s="2" t="str">
        <f t="shared" si="55"/>
        <v>Saturday</v>
      </c>
      <c r="D602" s="2" t="str">
        <f t="shared" si="56"/>
        <v>October</v>
      </c>
      <c r="E602" s="2" t="str">
        <f t="shared" si="57"/>
        <v>2021</v>
      </c>
      <c r="F602" s="3" t="s">
        <v>1174</v>
      </c>
      <c r="G602" s="3" t="str">
        <f>VLOOKUP(F603,'Customers (2)'!A:I,2,0)</f>
        <v>Aurelia Burgwin</v>
      </c>
      <c r="H602" s="3" t="str">
        <f>VLOOKUP(F602,'Customers (2)'!A:I,3,0)</f>
        <v>plauritzengo@photobucket.com</v>
      </c>
      <c r="I602" s="3" t="str">
        <f>VLOOKUP(F602,'Customers (2)'!A:I,4,0)</f>
        <v>+1 (215) 308-0788</v>
      </c>
      <c r="J602" s="3" t="str">
        <f>VLOOKUP(F602,'Customers (2)'!A:I,6,0)</f>
        <v>Philadelphia</v>
      </c>
      <c r="K602" s="3" t="str">
        <f>VLOOKUP(F602,'Customers (2)'!A:I,7,0)</f>
        <v>United States</v>
      </c>
      <c r="L602" s="3" t="str">
        <f>VLOOKUP(F602,'Customers (2)'!A:I,9,0)</f>
        <v>No</v>
      </c>
      <c r="M602" s="4" t="s">
        <v>123</v>
      </c>
      <c r="N602" s="4" t="str">
        <f>VLOOKUP(M602,'Products (2)'!A:G,2,0)</f>
        <v>Liberica</v>
      </c>
      <c r="O602" s="4" t="str">
        <f>VLOOKUP(M602,'Products (2)'!A:G,3,0)</f>
        <v>Dark</v>
      </c>
      <c r="P602" s="4">
        <f>VLOOKUP(M602,'Products (2)'!A:G,7,0)</f>
        <v>1.0101</v>
      </c>
      <c r="Q602" s="3">
        <v>1</v>
      </c>
      <c r="R602" s="5">
        <f>INDEX([1]products!$A$1:$G$49,MATCH([1]orders!$D602,[1]products!$A$1:$A$49,0),MATCH([1]orders!K$1,[1]products!$A$1:$G$1,0))</f>
        <v>0.5</v>
      </c>
      <c r="S602" s="6">
        <f>INDEX([1]products!$A$1:$G$49,MATCH([1]orders!$D602,[1]products!$A$1:$A$49,0),MATCH([1]orders!L$1,[1]products!$A$1:$G$1,0))</f>
        <v>7.77</v>
      </c>
      <c r="T602" s="6">
        <f t="shared" si="54"/>
        <v>7.77</v>
      </c>
      <c r="U602" s="22">
        <f t="shared" si="58"/>
        <v>1.0101</v>
      </c>
      <c r="V602" s="22">
        <f t="shared" si="59"/>
        <v>13</v>
      </c>
    </row>
    <row r="603" spans="1:22" x14ac:dyDescent="0.3">
      <c r="A603" s="1" t="s">
        <v>1175</v>
      </c>
      <c r="B603" s="2">
        <v>43815</v>
      </c>
      <c r="C603" s="2" t="str">
        <f t="shared" si="55"/>
        <v>Monday</v>
      </c>
      <c r="D603" s="2" t="str">
        <f t="shared" si="56"/>
        <v>December</v>
      </c>
      <c r="E603" s="2" t="str">
        <f t="shared" si="57"/>
        <v>2019</v>
      </c>
      <c r="F603" s="3" t="s">
        <v>1176</v>
      </c>
      <c r="G603" s="3" t="str">
        <f>VLOOKUP(F604,'Customers (2)'!A:I,2,0)</f>
        <v>Emalee Rolin</v>
      </c>
      <c r="H603" s="3" t="str">
        <f>VLOOKUP(F603,'Customers (2)'!A:I,3,0)</f>
        <v>aburgwingp@redcross.org</v>
      </c>
      <c r="I603" s="3" t="str">
        <f>VLOOKUP(F603,'Customers (2)'!A:I,4,0)</f>
        <v>+1 (314) 407-3962</v>
      </c>
      <c r="J603" s="3" t="str">
        <f>VLOOKUP(F603,'Customers (2)'!A:I,6,0)</f>
        <v>Migrate</v>
      </c>
      <c r="K603" s="3" t="str">
        <f>VLOOKUP(F603,'Customers (2)'!A:I,7,0)</f>
        <v>United States</v>
      </c>
      <c r="L603" s="3" t="str">
        <f>VLOOKUP(F603,'Customers (2)'!A:I,9,0)</f>
        <v>Yes</v>
      </c>
      <c r="M603" s="4" t="s">
        <v>10</v>
      </c>
      <c r="N603" s="4" t="str">
        <f>VLOOKUP(M603,'Products (2)'!A:G,2,0)</f>
        <v>Robusta</v>
      </c>
      <c r="O603" s="4" t="str">
        <f>VLOOKUP(M603,'Products (2)'!A:G,3,0)</f>
        <v>Light</v>
      </c>
      <c r="P603" s="4">
        <f>VLOOKUP(M603,'Products (2)'!A:G,7,0)</f>
        <v>1.6490999999999998</v>
      </c>
      <c r="Q603" s="3">
        <v>4</v>
      </c>
      <c r="R603" s="5">
        <f>INDEX([1]products!$A$1:$G$49,MATCH([1]orders!$D603,[1]products!$A$1:$A$49,0),MATCH([1]orders!K$1,[1]products!$A$1:$G$1,0))</f>
        <v>2.5</v>
      </c>
      <c r="S603" s="6">
        <f>INDEX([1]products!$A$1:$G$49,MATCH([1]orders!$D603,[1]products!$A$1:$A$49,0),MATCH([1]orders!L$1,[1]products!$A$1:$G$1,0))</f>
        <v>27.484999999999996</v>
      </c>
      <c r="T603" s="6">
        <f t="shared" si="54"/>
        <v>109.93999999999998</v>
      </c>
      <c r="U603" s="22">
        <f t="shared" si="58"/>
        <v>6.5963999999999992</v>
      </c>
      <c r="V603" s="22">
        <f t="shared" si="59"/>
        <v>6.0000000000000009</v>
      </c>
    </row>
    <row r="604" spans="1:22" x14ac:dyDescent="0.3">
      <c r="A604" s="1" t="s">
        <v>1177</v>
      </c>
      <c r="B604" s="2">
        <v>43603</v>
      </c>
      <c r="C604" s="2" t="str">
        <f t="shared" si="55"/>
        <v>Saturday</v>
      </c>
      <c r="D604" s="2" t="str">
        <f t="shared" si="56"/>
        <v>May</v>
      </c>
      <c r="E604" s="2" t="str">
        <f t="shared" si="57"/>
        <v>2019</v>
      </c>
      <c r="F604" s="3" t="s">
        <v>1178</v>
      </c>
      <c r="G604" s="3" t="str">
        <f>VLOOKUP(F605,'Customers (2)'!A:I,2,0)</f>
        <v>Donavon Fowle</v>
      </c>
      <c r="H604" s="3" t="str">
        <f>VLOOKUP(F604,'Customers (2)'!A:I,3,0)</f>
        <v>erolingq@google.fr</v>
      </c>
      <c r="I604" s="3" t="str">
        <f>VLOOKUP(F604,'Customers (2)'!A:I,4,0)</f>
        <v>+1 (419) 597-8743</v>
      </c>
      <c r="J604" s="3" t="str">
        <f>VLOOKUP(F604,'Customers (2)'!A:I,6,0)</f>
        <v>Toledo</v>
      </c>
      <c r="K604" s="3" t="str">
        <f>VLOOKUP(F604,'Customers (2)'!A:I,7,0)</f>
        <v>United States</v>
      </c>
      <c r="L604" s="3" t="str">
        <f>VLOOKUP(F604,'Customers (2)'!A:I,9,0)</f>
        <v>Yes</v>
      </c>
      <c r="M604" s="4" t="s">
        <v>254</v>
      </c>
      <c r="N604" s="4" t="str">
        <f>VLOOKUP(M604,'Products (2)'!A:G,2,0)</f>
        <v>Excelsa</v>
      </c>
      <c r="O604" s="4" t="str">
        <f>VLOOKUP(M604,'Products (2)'!A:G,3,0)</f>
        <v>Light</v>
      </c>
      <c r="P604" s="4">
        <f>VLOOKUP(M604,'Products (2)'!A:G,7,0)</f>
        <v>0.49004999999999999</v>
      </c>
      <c r="Q604" s="3">
        <v>5</v>
      </c>
      <c r="R604" s="5">
        <f>INDEX([1]products!$A$1:$G$49,MATCH([1]orders!$D604,[1]products!$A$1:$A$49,0),MATCH([1]orders!K$1,[1]products!$A$1:$G$1,0))</f>
        <v>0.2</v>
      </c>
      <c r="S604" s="6">
        <f>INDEX([1]products!$A$1:$G$49,MATCH([1]orders!$D604,[1]products!$A$1:$A$49,0),MATCH([1]orders!L$1,[1]products!$A$1:$G$1,0))</f>
        <v>4.4550000000000001</v>
      </c>
      <c r="T604" s="6">
        <f t="shared" si="54"/>
        <v>22.274999999999999</v>
      </c>
      <c r="U604" s="22">
        <f t="shared" si="58"/>
        <v>2.45025</v>
      </c>
      <c r="V604" s="22">
        <f t="shared" si="59"/>
        <v>11.000000000000002</v>
      </c>
    </row>
    <row r="605" spans="1:22" x14ac:dyDescent="0.3">
      <c r="A605" s="1" t="s">
        <v>1179</v>
      </c>
      <c r="B605" s="2">
        <v>43660</v>
      </c>
      <c r="C605" s="2" t="str">
        <f t="shared" si="55"/>
        <v>Sunday</v>
      </c>
      <c r="D605" s="2" t="str">
        <f t="shared" si="56"/>
        <v>July</v>
      </c>
      <c r="E605" s="2" t="str">
        <f t="shared" si="57"/>
        <v>2019</v>
      </c>
      <c r="F605" s="3" t="s">
        <v>1180</v>
      </c>
      <c r="G605" s="3" t="str">
        <f>VLOOKUP(F606,'Customers (2)'!A:I,2,0)</f>
        <v>Jorge Bettison</v>
      </c>
      <c r="H605" s="3" t="str">
        <f>VLOOKUP(F605,'Customers (2)'!A:I,3,0)</f>
        <v>dfowlegr@epa.gov</v>
      </c>
      <c r="I605" s="3">
        <f>VLOOKUP(F605,'Customers (2)'!A:I,4,0)</f>
        <v>0</v>
      </c>
      <c r="J605" s="3" t="str">
        <f>VLOOKUP(F605,'Customers (2)'!A:I,6,0)</f>
        <v>Colorado Springs</v>
      </c>
      <c r="K605" s="3" t="str">
        <f>VLOOKUP(F605,'Customers (2)'!A:I,7,0)</f>
        <v>United States</v>
      </c>
      <c r="L605" s="3" t="str">
        <f>VLOOKUP(F605,'Customers (2)'!A:I,9,0)</f>
        <v>No</v>
      </c>
      <c r="M605" s="4" t="s">
        <v>162</v>
      </c>
      <c r="N605" s="4" t="str">
        <f>VLOOKUP(M605,'Products (2)'!A:G,2,0)</f>
        <v>Robusta</v>
      </c>
      <c r="O605" s="4" t="str">
        <f>VLOOKUP(M605,'Products (2)'!A:G,3,0)</f>
        <v>Medium</v>
      </c>
      <c r="P605" s="4">
        <f>VLOOKUP(M605,'Products (2)'!A:G,7,0)</f>
        <v>0.17909999999999998</v>
      </c>
      <c r="Q605" s="3">
        <v>3</v>
      </c>
      <c r="R605" s="5">
        <f>INDEX([1]products!$A$1:$G$49,MATCH([1]orders!$D605,[1]products!$A$1:$A$49,0),MATCH([1]orders!K$1,[1]products!$A$1:$G$1,0))</f>
        <v>0.2</v>
      </c>
      <c r="S605" s="6">
        <f>INDEX([1]products!$A$1:$G$49,MATCH([1]orders!$D605,[1]products!$A$1:$A$49,0),MATCH([1]orders!L$1,[1]products!$A$1:$G$1,0))</f>
        <v>2.9849999999999999</v>
      </c>
      <c r="T605" s="6">
        <f t="shared" si="54"/>
        <v>8.9550000000000001</v>
      </c>
      <c r="U605" s="22">
        <f t="shared" si="58"/>
        <v>0.53729999999999989</v>
      </c>
      <c r="V605" s="22">
        <f t="shared" si="59"/>
        <v>5.9999999999999982</v>
      </c>
    </row>
    <row r="606" spans="1:22" x14ac:dyDescent="0.3">
      <c r="A606" s="1" t="s">
        <v>1181</v>
      </c>
      <c r="B606" s="2">
        <v>44148</v>
      </c>
      <c r="C606" s="2" t="str">
        <f t="shared" si="55"/>
        <v>Friday</v>
      </c>
      <c r="D606" s="2" t="str">
        <f t="shared" si="56"/>
        <v>November</v>
      </c>
      <c r="E606" s="2" t="str">
        <f t="shared" si="57"/>
        <v>2020</v>
      </c>
      <c r="F606" s="3" t="s">
        <v>1182</v>
      </c>
      <c r="G606" s="3" t="str">
        <f>VLOOKUP(F607,'Customers (2)'!A:I,2,0)</f>
        <v>Wang Powlesland</v>
      </c>
      <c r="H606" s="3">
        <f>VLOOKUP(F606,'Customers (2)'!A:I,3,0)</f>
        <v>0</v>
      </c>
      <c r="I606" s="3" t="str">
        <f>VLOOKUP(F606,'Customers (2)'!A:I,4,0)</f>
        <v>+353 (782) 457-9198</v>
      </c>
      <c r="J606" s="3" t="str">
        <f>VLOOKUP(F606,'Customers (2)'!A:I,6,0)</f>
        <v>Longwood</v>
      </c>
      <c r="K606" s="3" t="str">
        <f>VLOOKUP(F606,'Customers (2)'!A:I,7,0)</f>
        <v>Ireland</v>
      </c>
      <c r="L606" s="3" t="str">
        <f>VLOOKUP(F606,'Customers (2)'!A:I,9,0)</f>
        <v>No</v>
      </c>
      <c r="M606" s="4" t="s">
        <v>109</v>
      </c>
      <c r="N606" s="4" t="str">
        <f>VLOOKUP(M606,'Products (2)'!A:G,2,0)</f>
        <v>Liberica</v>
      </c>
      <c r="O606" s="4" t="str">
        <f>VLOOKUP(M606,'Products (2)'!A:G,3,0)</f>
        <v>Dark</v>
      </c>
      <c r="P606" s="4">
        <f>VLOOKUP(M606,'Products (2)'!A:G,7,0)</f>
        <v>3.8720499999999998</v>
      </c>
      <c r="Q606" s="3">
        <v>4</v>
      </c>
      <c r="R606" s="5">
        <f>INDEX([1]products!$A$1:$G$49,MATCH([1]orders!$D606,[1]products!$A$1:$A$49,0),MATCH([1]orders!K$1,[1]products!$A$1:$G$1,0))</f>
        <v>2.5</v>
      </c>
      <c r="S606" s="6">
        <f>INDEX([1]products!$A$1:$G$49,MATCH([1]orders!$D606,[1]products!$A$1:$A$49,0),MATCH([1]orders!L$1,[1]products!$A$1:$G$1,0))</f>
        <v>29.784999999999997</v>
      </c>
      <c r="T606" s="6">
        <f t="shared" si="54"/>
        <v>119.13999999999999</v>
      </c>
      <c r="U606" s="22">
        <f t="shared" si="58"/>
        <v>15.488199999999999</v>
      </c>
      <c r="V606" s="22">
        <f t="shared" si="59"/>
        <v>13</v>
      </c>
    </row>
    <row r="607" spans="1:22" x14ac:dyDescent="0.3">
      <c r="A607" s="1" t="s">
        <v>1183</v>
      </c>
      <c r="B607" s="2">
        <v>44028</v>
      </c>
      <c r="C607" s="2" t="str">
        <f t="shared" si="55"/>
        <v>Thursday</v>
      </c>
      <c r="D607" s="2" t="str">
        <f t="shared" si="56"/>
        <v>July</v>
      </c>
      <c r="E607" s="2" t="str">
        <f t="shared" si="57"/>
        <v>2020</v>
      </c>
      <c r="F607" s="3" t="s">
        <v>1184</v>
      </c>
      <c r="G607" s="3" t="str">
        <f>VLOOKUP(F608,'Customers (2)'!A:I,2,0)</f>
        <v>Cody Verissimo</v>
      </c>
      <c r="H607" s="3" t="str">
        <f>VLOOKUP(F607,'Customers (2)'!A:I,3,0)</f>
        <v>wpowleslandgt@soundcloud.com</v>
      </c>
      <c r="I607" s="3" t="str">
        <f>VLOOKUP(F607,'Customers (2)'!A:I,4,0)</f>
        <v>+1 (412) 453-4798</v>
      </c>
      <c r="J607" s="3" t="str">
        <f>VLOOKUP(F607,'Customers (2)'!A:I,6,0)</f>
        <v>Pittsburgh</v>
      </c>
      <c r="K607" s="3" t="str">
        <f>VLOOKUP(F607,'Customers (2)'!A:I,7,0)</f>
        <v>United States</v>
      </c>
      <c r="L607" s="3" t="str">
        <f>VLOOKUP(F607,'Customers (2)'!A:I,9,0)</f>
        <v>Yes</v>
      </c>
      <c r="M607" s="4" t="s">
        <v>204</v>
      </c>
      <c r="N607" s="4" t="str">
        <f>VLOOKUP(M607,'Products (2)'!A:G,2,0)</f>
        <v>Arabica</v>
      </c>
      <c r="O607" s="4" t="str">
        <f>VLOOKUP(M607,'Products (2)'!A:G,3,0)</f>
        <v>Light</v>
      </c>
      <c r="P607" s="4">
        <f>VLOOKUP(M607,'Products (2)'!A:G,7,0)</f>
        <v>2.6806499999999995</v>
      </c>
      <c r="Q607" s="3">
        <v>5</v>
      </c>
      <c r="R607" s="5">
        <f>INDEX([1]products!$A$1:$G$49,MATCH([1]orders!$D607,[1]products!$A$1:$A$49,0),MATCH([1]orders!K$1,[1]products!$A$1:$G$1,0))</f>
        <v>2.5</v>
      </c>
      <c r="S607" s="6">
        <f>INDEX([1]products!$A$1:$G$49,MATCH([1]orders!$D607,[1]products!$A$1:$A$49,0),MATCH([1]orders!L$1,[1]products!$A$1:$G$1,0))</f>
        <v>29.784999999999997</v>
      </c>
      <c r="T607" s="6">
        <f t="shared" si="54"/>
        <v>148.92499999999998</v>
      </c>
      <c r="U607" s="22">
        <f t="shared" si="58"/>
        <v>13.403249999999998</v>
      </c>
      <c r="V607" s="22">
        <f t="shared" si="59"/>
        <v>9</v>
      </c>
    </row>
    <row r="608" spans="1:22" x14ac:dyDescent="0.3">
      <c r="A608" s="1" t="s">
        <v>1185</v>
      </c>
      <c r="B608" s="2">
        <v>44138</v>
      </c>
      <c r="C608" s="2" t="str">
        <f t="shared" si="55"/>
        <v>Tuesday</v>
      </c>
      <c r="D608" s="2" t="str">
        <f t="shared" si="56"/>
        <v>November</v>
      </c>
      <c r="E608" s="2" t="str">
        <f t="shared" si="57"/>
        <v>2020</v>
      </c>
      <c r="F608" s="3" t="s">
        <v>1145</v>
      </c>
      <c r="G608" s="3" t="str">
        <f>VLOOKUP(F609,'Customers (2)'!A:I,2,0)</f>
        <v>Laurence Ellingham</v>
      </c>
      <c r="H608" s="3" t="str">
        <f>VLOOKUP(F608,'Customers (2)'!A:I,3,0)</f>
        <v>cverissimogh@theglobeandmail.com</v>
      </c>
      <c r="I608" s="3">
        <f>VLOOKUP(F608,'Customers (2)'!A:I,4,0)</f>
        <v>0</v>
      </c>
      <c r="J608" s="3" t="str">
        <f>VLOOKUP(F608,'Customers (2)'!A:I,6,0)</f>
        <v>Upton</v>
      </c>
      <c r="K608" s="3" t="str">
        <f>VLOOKUP(F608,'Customers (2)'!A:I,7,0)</f>
        <v>United Kingdom</v>
      </c>
      <c r="L608" s="3" t="str">
        <f>VLOOKUP(F608,'Customers (2)'!A:I,9,0)</f>
        <v>Yes</v>
      </c>
      <c r="M608" s="4" t="s">
        <v>104</v>
      </c>
      <c r="N608" s="4" t="str">
        <f>VLOOKUP(M608,'Products (2)'!A:G,2,0)</f>
        <v>Liberica</v>
      </c>
      <c r="O608" s="4" t="str">
        <f>VLOOKUP(M608,'Products (2)'!A:G,3,0)</f>
        <v>Light</v>
      </c>
      <c r="P608" s="4">
        <f>VLOOKUP(M608,'Products (2)'!A:G,7,0)</f>
        <v>4.7391499999999995</v>
      </c>
      <c r="Q608" s="3">
        <v>3</v>
      </c>
      <c r="R608" s="5">
        <f>INDEX([1]products!$A$1:$G$49,MATCH([1]orders!$D608,[1]products!$A$1:$A$49,0),MATCH([1]orders!K$1,[1]products!$A$1:$G$1,0))</f>
        <v>2.5</v>
      </c>
      <c r="S608" s="6">
        <f>INDEX([1]products!$A$1:$G$49,MATCH([1]orders!$D608,[1]products!$A$1:$A$49,0),MATCH([1]orders!L$1,[1]products!$A$1:$G$1,0))</f>
        <v>36.454999999999998</v>
      </c>
      <c r="T608" s="6">
        <f t="shared" si="54"/>
        <v>109.36499999999999</v>
      </c>
      <c r="U608" s="22">
        <f t="shared" si="58"/>
        <v>14.217449999999999</v>
      </c>
      <c r="V608" s="22">
        <f t="shared" si="59"/>
        <v>13</v>
      </c>
    </row>
    <row r="609" spans="1:22" x14ac:dyDescent="0.3">
      <c r="A609" s="1" t="s">
        <v>1186</v>
      </c>
      <c r="B609" s="2">
        <v>44640</v>
      </c>
      <c r="C609" s="2" t="str">
        <f t="shared" si="55"/>
        <v>Sunday</v>
      </c>
      <c r="D609" s="2" t="str">
        <f t="shared" si="56"/>
        <v>March</v>
      </c>
      <c r="E609" s="2" t="str">
        <f t="shared" si="57"/>
        <v>2022</v>
      </c>
      <c r="F609" s="3" t="s">
        <v>1187</v>
      </c>
      <c r="G609" s="3" t="str">
        <f>VLOOKUP(F610,'Customers (2)'!A:I,2,0)</f>
        <v>Billy Neiland</v>
      </c>
      <c r="H609" s="3" t="str">
        <f>VLOOKUP(F609,'Customers (2)'!A:I,3,0)</f>
        <v>lellinghamgv@sciencedaily.com</v>
      </c>
      <c r="I609" s="3" t="str">
        <f>VLOOKUP(F609,'Customers (2)'!A:I,4,0)</f>
        <v>+1 (318) 670-8027</v>
      </c>
      <c r="J609" s="3" t="str">
        <f>VLOOKUP(F609,'Customers (2)'!A:I,6,0)</f>
        <v>Shreveport</v>
      </c>
      <c r="K609" s="3" t="str">
        <f>VLOOKUP(F609,'Customers (2)'!A:I,7,0)</f>
        <v>United States</v>
      </c>
      <c r="L609" s="3" t="str">
        <f>VLOOKUP(F609,'Customers (2)'!A:I,9,0)</f>
        <v>Yes</v>
      </c>
      <c r="M609" s="4" t="s">
        <v>51</v>
      </c>
      <c r="N609" s="4" t="str">
        <f>VLOOKUP(M609,'Products (2)'!A:G,2,0)</f>
        <v>Excelsa</v>
      </c>
      <c r="O609" s="4" t="str">
        <f>VLOOKUP(M609,'Products (2)'!A:G,3,0)</f>
        <v>Dark</v>
      </c>
      <c r="P609" s="4">
        <f>VLOOKUP(M609,'Products (2)'!A:G,7,0)</f>
        <v>0.40095000000000003</v>
      </c>
      <c r="Q609" s="3">
        <v>1</v>
      </c>
      <c r="R609" s="5">
        <f>INDEX([1]products!$A$1:$G$49,MATCH([1]orders!$D609,[1]products!$A$1:$A$49,0),MATCH([1]orders!K$1,[1]products!$A$1:$G$1,0))</f>
        <v>0.2</v>
      </c>
      <c r="S609" s="6">
        <f>INDEX([1]products!$A$1:$G$49,MATCH([1]orders!$D609,[1]products!$A$1:$A$49,0),MATCH([1]orders!L$1,[1]products!$A$1:$G$1,0))</f>
        <v>3.645</v>
      </c>
      <c r="T609" s="6">
        <f t="shared" si="54"/>
        <v>3.645</v>
      </c>
      <c r="U609" s="22">
        <f t="shared" si="58"/>
        <v>0.40095000000000003</v>
      </c>
      <c r="V609" s="22">
        <f t="shared" si="59"/>
        <v>11</v>
      </c>
    </row>
    <row r="610" spans="1:22" x14ac:dyDescent="0.3">
      <c r="A610" s="1" t="s">
        <v>1188</v>
      </c>
      <c r="B610" s="2">
        <v>44608</v>
      </c>
      <c r="C610" s="2" t="str">
        <f t="shared" si="55"/>
        <v>Wednesday</v>
      </c>
      <c r="D610" s="2" t="str">
        <f t="shared" si="56"/>
        <v>February</v>
      </c>
      <c r="E610" s="2" t="str">
        <f t="shared" si="57"/>
        <v>2022</v>
      </c>
      <c r="F610" s="3" t="s">
        <v>1189</v>
      </c>
      <c r="G610" s="3" t="str">
        <f>VLOOKUP(F611,'Customers (2)'!A:I,2,0)</f>
        <v>Ancell Fendt</v>
      </c>
      <c r="H610" s="3">
        <f>VLOOKUP(F610,'Customers (2)'!A:I,3,0)</f>
        <v>0</v>
      </c>
      <c r="I610" s="3">
        <f>VLOOKUP(F610,'Customers (2)'!A:I,4,0)</f>
        <v>0</v>
      </c>
      <c r="J610" s="3" t="str">
        <f>VLOOKUP(F610,'Customers (2)'!A:I,6,0)</f>
        <v>Cleveland</v>
      </c>
      <c r="K610" s="3" t="str">
        <f>VLOOKUP(F610,'Customers (2)'!A:I,7,0)</f>
        <v>United States</v>
      </c>
      <c r="L610" s="3" t="str">
        <f>VLOOKUP(F610,'Customers (2)'!A:I,9,0)</f>
        <v>No</v>
      </c>
      <c r="M610" s="4" t="s">
        <v>530</v>
      </c>
      <c r="N610" s="4" t="str">
        <f>VLOOKUP(M610,'Products (2)'!A:G,2,0)</f>
        <v>Excelsa</v>
      </c>
      <c r="O610" s="4" t="str">
        <f>VLOOKUP(M610,'Products (2)'!A:G,3,0)</f>
        <v>Dark</v>
      </c>
      <c r="P610" s="4">
        <f>VLOOKUP(M610,'Products (2)'!A:G,7,0)</f>
        <v>3.07395</v>
      </c>
      <c r="Q610" s="3">
        <v>2</v>
      </c>
      <c r="R610" s="5">
        <f>INDEX([1]products!$A$1:$G$49,MATCH([1]orders!$D610,[1]products!$A$1:$A$49,0),MATCH([1]orders!K$1,[1]products!$A$1:$G$1,0))</f>
        <v>2.5</v>
      </c>
      <c r="S610" s="6">
        <f>INDEX([1]products!$A$1:$G$49,MATCH([1]orders!$D610,[1]products!$A$1:$A$49,0),MATCH([1]orders!L$1,[1]products!$A$1:$G$1,0))</f>
        <v>27.945</v>
      </c>
      <c r="T610" s="6">
        <f t="shared" si="54"/>
        <v>55.89</v>
      </c>
      <c r="U610" s="22">
        <f t="shared" si="58"/>
        <v>6.1478999999999999</v>
      </c>
      <c r="V610" s="22">
        <f t="shared" si="59"/>
        <v>11</v>
      </c>
    </row>
    <row r="611" spans="1:22" x14ac:dyDescent="0.3">
      <c r="A611" s="1" t="s">
        <v>1190</v>
      </c>
      <c r="B611" s="2">
        <v>44147</v>
      </c>
      <c r="C611" s="2" t="str">
        <f t="shared" si="55"/>
        <v>Thursday</v>
      </c>
      <c r="D611" s="2" t="str">
        <f t="shared" si="56"/>
        <v>November</v>
      </c>
      <c r="E611" s="2" t="str">
        <f t="shared" si="57"/>
        <v>2020</v>
      </c>
      <c r="F611" s="3" t="s">
        <v>1191</v>
      </c>
      <c r="G611" s="3" t="str">
        <f>VLOOKUP(F612,'Customers (2)'!A:I,2,0)</f>
        <v>Angelia Cleyburn</v>
      </c>
      <c r="H611" s="3" t="str">
        <f>VLOOKUP(F611,'Customers (2)'!A:I,3,0)</f>
        <v>afendtgx@forbes.com</v>
      </c>
      <c r="I611" s="3" t="str">
        <f>VLOOKUP(F611,'Customers (2)'!A:I,4,0)</f>
        <v>+1 (414) 811-7606</v>
      </c>
      <c r="J611" s="3" t="str">
        <f>VLOOKUP(F611,'Customers (2)'!A:I,6,0)</f>
        <v>Milwaukee</v>
      </c>
      <c r="K611" s="3" t="str">
        <f>VLOOKUP(F611,'Customers (2)'!A:I,7,0)</f>
        <v>United States</v>
      </c>
      <c r="L611" s="3" t="str">
        <f>VLOOKUP(F611,'Customers (2)'!A:I,9,0)</f>
        <v>Yes</v>
      </c>
      <c r="M611" s="4" t="s">
        <v>77</v>
      </c>
      <c r="N611" s="4" t="str">
        <f>VLOOKUP(M611,'Products (2)'!A:G,2,0)</f>
        <v>Liberica</v>
      </c>
      <c r="O611" s="4" t="str">
        <f>VLOOKUP(M611,'Products (2)'!A:G,3,0)</f>
        <v>Medium</v>
      </c>
      <c r="P611" s="4">
        <f>VLOOKUP(M611,'Products (2)'!A:G,7,0)</f>
        <v>0.56745000000000001</v>
      </c>
      <c r="Q611" s="3">
        <v>6</v>
      </c>
      <c r="R611" s="5">
        <f>INDEX([1]products!$A$1:$G$49,MATCH([1]orders!$D611,[1]products!$A$1:$A$49,0),MATCH([1]orders!K$1,[1]products!$A$1:$G$1,0))</f>
        <v>0.2</v>
      </c>
      <c r="S611" s="6">
        <f>INDEX([1]products!$A$1:$G$49,MATCH([1]orders!$D611,[1]products!$A$1:$A$49,0),MATCH([1]orders!L$1,[1]products!$A$1:$G$1,0))</f>
        <v>4.3650000000000002</v>
      </c>
      <c r="T611" s="6">
        <f t="shared" si="54"/>
        <v>26.19</v>
      </c>
      <c r="U611" s="22">
        <f t="shared" si="58"/>
        <v>3.4047000000000001</v>
      </c>
      <c r="V611" s="22">
        <f t="shared" si="59"/>
        <v>13</v>
      </c>
    </row>
    <row r="612" spans="1:22" x14ac:dyDescent="0.3">
      <c r="A612" s="1" t="s">
        <v>1192</v>
      </c>
      <c r="B612" s="2">
        <v>43743</v>
      </c>
      <c r="C612" s="2" t="str">
        <f t="shared" si="55"/>
        <v>Saturday</v>
      </c>
      <c r="D612" s="2" t="str">
        <f t="shared" si="56"/>
        <v>October</v>
      </c>
      <c r="E612" s="2" t="str">
        <f t="shared" si="57"/>
        <v>2019</v>
      </c>
      <c r="F612" s="3" t="s">
        <v>1193</v>
      </c>
      <c r="G612" s="3" t="str">
        <f>VLOOKUP(F613,'Customers (2)'!A:I,2,0)</f>
        <v>Temple Castiglione</v>
      </c>
      <c r="H612" s="3" t="str">
        <f>VLOOKUP(F612,'Customers (2)'!A:I,3,0)</f>
        <v>acleyburngy@lycos.com</v>
      </c>
      <c r="I612" s="3" t="str">
        <f>VLOOKUP(F612,'Customers (2)'!A:I,4,0)</f>
        <v>+1 (754) 355-3802</v>
      </c>
      <c r="J612" s="3" t="str">
        <f>VLOOKUP(F612,'Customers (2)'!A:I,6,0)</f>
        <v>Fort Lauderdale</v>
      </c>
      <c r="K612" s="3" t="str">
        <f>VLOOKUP(F612,'Customers (2)'!A:I,7,0)</f>
        <v>United States</v>
      </c>
      <c r="L612" s="3" t="str">
        <f>VLOOKUP(F612,'Customers (2)'!A:I,9,0)</f>
        <v>No</v>
      </c>
      <c r="M612" s="4" t="s">
        <v>2</v>
      </c>
      <c r="N612" s="4" t="str">
        <f>VLOOKUP(M612,'Products (2)'!A:G,2,0)</f>
        <v>Robusta</v>
      </c>
      <c r="O612" s="4" t="str">
        <f>VLOOKUP(M612,'Products (2)'!A:G,3,0)</f>
        <v>Medium</v>
      </c>
      <c r="P612" s="4">
        <f>VLOOKUP(M612,'Products (2)'!A:G,7,0)</f>
        <v>0.59699999999999998</v>
      </c>
      <c r="Q612" s="3">
        <v>4</v>
      </c>
      <c r="R612" s="5">
        <f>INDEX([1]products!$A$1:$G$49,MATCH([1]orders!$D612,[1]products!$A$1:$A$49,0),MATCH([1]orders!K$1,[1]products!$A$1:$G$1,0))</f>
        <v>1</v>
      </c>
      <c r="S612" s="6">
        <f>INDEX([1]products!$A$1:$G$49,MATCH([1]orders!$D612,[1]products!$A$1:$A$49,0),MATCH([1]orders!L$1,[1]products!$A$1:$G$1,0))</f>
        <v>9.9499999999999993</v>
      </c>
      <c r="T612" s="6">
        <f t="shared" si="54"/>
        <v>39.799999999999997</v>
      </c>
      <c r="U612" s="22">
        <f t="shared" si="58"/>
        <v>2.3879999999999999</v>
      </c>
      <c r="V612" s="22">
        <f t="shared" si="59"/>
        <v>6.0000000000000009</v>
      </c>
    </row>
    <row r="613" spans="1:22" x14ac:dyDescent="0.3">
      <c r="A613" s="1" t="s">
        <v>1194</v>
      </c>
      <c r="B613" s="2">
        <v>43739</v>
      </c>
      <c r="C613" s="2" t="str">
        <f t="shared" si="55"/>
        <v>Tuesday</v>
      </c>
      <c r="D613" s="2" t="str">
        <f t="shared" si="56"/>
        <v>October</v>
      </c>
      <c r="E613" s="2" t="str">
        <f t="shared" si="57"/>
        <v>2019</v>
      </c>
      <c r="F613" s="3" t="s">
        <v>1195</v>
      </c>
      <c r="G613" s="3" t="str">
        <f>VLOOKUP(F614,'Customers (2)'!A:I,2,0)</f>
        <v>Betti Lacasa</v>
      </c>
      <c r="H613" s="3" t="str">
        <f>VLOOKUP(F613,'Customers (2)'!A:I,3,0)</f>
        <v>tcastiglionegz@xing.com</v>
      </c>
      <c r="I613" s="3" t="str">
        <f>VLOOKUP(F613,'Customers (2)'!A:I,4,0)</f>
        <v>+1 (318) 820-6128</v>
      </c>
      <c r="J613" s="3" t="str">
        <f>VLOOKUP(F613,'Customers (2)'!A:I,6,0)</f>
        <v>Shreveport</v>
      </c>
      <c r="K613" s="3" t="str">
        <f>VLOOKUP(F613,'Customers (2)'!A:I,7,0)</f>
        <v>United States</v>
      </c>
      <c r="L613" s="3" t="str">
        <f>VLOOKUP(F613,'Customers (2)'!A:I,9,0)</f>
        <v>No</v>
      </c>
      <c r="M613" s="4" t="s">
        <v>30</v>
      </c>
      <c r="N613" s="4" t="str">
        <f>VLOOKUP(M613,'Products (2)'!A:G,2,0)</f>
        <v>Excelsa</v>
      </c>
      <c r="O613" s="4" t="str">
        <f>VLOOKUP(M613,'Products (2)'!A:G,3,0)</f>
        <v>Light</v>
      </c>
      <c r="P613" s="4">
        <f>VLOOKUP(M613,'Products (2)'!A:G,7,0)</f>
        <v>3.7570499999999996</v>
      </c>
      <c r="Q613" s="3">
        <v>2</v>
      </c>
      <c r="R613" s="5">
        <f>INDEX([1]products!$A$1:$G$49,MATCH([1]orders!$D613,[1]products!$A$1:$A$49,0),MATCH([1]orders!K$1,[1]products!$A$1:$G$1,0))</f>
        <v>2.5</v>
      </c>
      <c r="S613" s="6">
        <f>INDEX([1]products!$A$1:$G$49,MATCH([1]orders!$D613,[1]products!$A$1:$A$49,0),MATCH([1]orders!L$1,[1]products!$A$1:$G$1,0))</f>
        <v>34.154999999999994</v>
      </c>
      <c r="T613" s="6">
        <f t="shared" si="54"/>
        <v>68.309999999999988</v>
      </c>
      <c r="U613" s="22">
        <f t="shared" si="58"/>
        <v>7.5140999999999991</v>
      </c>
      <c r="V613" s="22">
        <f t="shared" si="59"/>
        <v>11</v>
      </c>
    </row>
    <row r="614" spans="1:22" x14ac:dyDescent="0.3">
      <c r="A614" s="1" t="s">
        <v>1196</v>
      </c>
      <c r="B614" s="2">
        <v>43896</v>
      </c>
      <c r="C614" s="2" t="str">
        <f t="shared" si="55"/>
        <v>Friday</v>
      </c>
      <c r="D614" s="2" t="str">
        <f t="shared" si="56"/>
        <v>March</v>
      </c>
      <c r="E614" s="2" t="str">
        <f t="shared" si="57"/>
        <v>2020</v>
      </c>
      <c r="F614" s="3" t="s">
        <v>1197</v>
      </c>
      <c r="G614" s="3" t="str">
        <f>VLOOKUP(F615,'Customers (2)'!A:I,2,0)</f>
        <v>Gunilla Lynch</v>
      </c>
      <c r="H614" s="3">
        <f>VLOOKUP(F614,'Customers (2)'!A:I,3,0)</f>
        <v>0</v>
      </c>
      <c r="I614" s="3" t="str">
        <f>VLOOKUP(F614,'Customers (2)'!A:I,4,0)</f>
        <v>+353 (930) 704-1778</v>
      </c>
      <c r="J614" s="3" t="str">
        <f>VLOOKUP(F614,'Customers (2)'!A:I,6,0)</f>
        <v>Beaumont</v>
      </c>
      <c r="K614" s="3" t="str">
        <f>VLOOKUP(F614,'Customers (2)'!A:I,7,0)</f>
        <v>Ireland</v>
      </c>
      <c r="L614" s="3" t="str">
        <f>VLOOKUP(F614,'Customers (2)'!A:I,9,0)</f>
        <v>No</v>
      </c>
      <c r="M614" s="4" t="s">
        <v>44</v>
      </c>
      <c r="N614" s="4" t="str">
        <f>VLOOKUP(M614,'Products (2)'!A:G,2,0)</f>
        <v>Arabica</v>
      </c>
      <c r="O614" s="4" t="str">
        <f>VLOOKUP(M614,'Products (2)'!A:G,3,0)</f>
        <v>Medium</v>
      </c>
      <c r="P614" s="4">
        <f>VLOOKUP(M614,'Products (2)'!A:G,7,0)</f>
        <v>0.30374999999999996</v>
      </c>
      <c r="Q614" s="3">
        <v>4</v>
      </c>
      <c r="R614" s="5">
        <f>INDEX([1]products!$A$1:$G$49,MATCH([1]orders!$D614,[1]products!$A$1:$A$49,0),MATCH([1]orders!K$1,[1]products!$A$1:$G$1,0))</f>
        <v>0.2</v>
      </c>
      <c r="S614" s="6">
        <f>INDEX([1]products!$A$1:$G$49,MATCH([1]orders!$D614,[1]products!$A$1:$A$49,0),MATCH([1]orders!L$1,[1]products!$A$1:$G$1,0))</f>
        <v>3.375</v>
      </c>
      <c r="T614" s="6">
        <f t="shared" si="54"/>
        <v>13.5</v>
      </c>
      <c r="U614" s="22">
        <f t="shared" si="58"/>
        <v>1.2149999999999999</v>
      </c>
      <c r="V614" s="22">
        <f t="shared" si="59"/>
        <v>8.9999999999999982</v>
      </c>
    </row>
    <row r="615" spans="1:22" x14ac:dyDescent="0.3">
      <c r="A615" s="1" t="s">
        <v>1198</v>
      </c>
      <c r="B615" s="2">
        <v>43761</v>
      </c>
      <c r="C615" s="2" t="str">
        <f t="shared" si="55"/>
        <v>Wednesday</v>
      </c>
      <c r="D615" s="2" t="str">
        <f t="shared" si="56"/>
        <v>October</v>
      </c>
      <c r="E615" s="2" t="str">
        <f t="shared" si="57"/>
        <v>2019</v>
      </c>
      <c r="F615" s="3" t="s">
        <v>1199</v>
      </c>
      <c r="G615" s="3" t="str">
        <f>VLOOKUP(F616,'Customers (2)'!A:I,2,0)</f>
        <v>Cody Verissimo</v>
      </c>
      <c r="H615" s="3">
        <f>VLOOKUP(F615,'Customers (2)'!A:I,3,0)</f>
        <v>0</v>
      </c>
      <c r="I615" s="3" t="str">
        <f>VLOOKUP(F615,'Customers (2)'!A:I,4,0)</f>
        <v>+1 (916) 626-5223</v>
      </c>
      <c r="J615" s="3" t="str">
        <f>VLOOKUP(F615,'Customers (2)'!A:I,6,0)</f>
        <v>Sacramento</v>
      </c>
      <c r="K615" s="3" t="str">
        <f>VLOOKUP(F615,'Customers (2)'!A:I,7,0)</f>
        <v>United States</v>
      </c>
      <c r="L615" s="3" t="str">
        <f>VLOOKUP(F615,'Customers (2)'!A:I,9,0)</f>
        <v>No</v>
      </c>
      <c r="M615" s="4" t="s">
        <v>22</v>
      </c>
      <c r="N615" s="4" t="str">
        <f>VLOOKUP(M615,'Products (2)'!A:G,2,0)</f>
        <v>Robusta</v>
      </c>
      <c r="O615" s="4" t="str">
        <f>VLOOKUP(M615,'Products (2)'!A:G,3,0)</f>
        <v>Medium</v>
      </c>
      <c r="P615" s="4">
        <f>VLOOKUP(M615,'Products (2)'!A:G,7,0)</f>
        <v>0.35819999999999996</v>
      </c>
      <c r="Q615" s="3">
        <v>1</v>
      </c>
      <c r="R615" s="5">
        <f>INDEX([1]products!$A$1:$G$49,MATCH([1]orders!$D615,[1]products!$A$1:$A$49,0),MATCH([1]orders!K$1,[1]products!$A$1:$G$1,0))</f>
        <v>0.5</v>
      </c>
      <c r="S615" s="6">
        <f>INDEX([1]products!$A$1:$G$49,MATCH([1]orders!$D615,[1]products!$A$1:$A$49,0),MATCH([1]orders!L$1,[1]products!$A$1:$G$1,0))</f>
        <v>5.97</v>
      </c>
      <c r="T615" s="6">
        <f t="shared" si="54"/>
        <v>5.97</v>
      </c>
      <c r="U615" s="22">
        <f t="shared" si="58"/>
        <v>0.35819999999999996</v>
      </c>
      <c r="V615" s="22">
        <f t="shared" si="59"/>
        <v>6</v>
      </c>
    </row>
    <row r="616" spans="1:22" x14ac:dyDescent="0.3">
      <c r="A616" s="1" t="s">
        <v>1200</v>
      </c>
      <c r="B616" s="2">
        <v>43944</v>
      </c>
      <c r="C616" s="2" t="str">
        <f t="shared" si="55"/>
        <v>Thursday</v>
      </c>
      <c r="D616" s="2" t="str">
        <f t="shared" si="56"/>
        <v>April</v>
      </c>
      <c r="E616" s="2" t="str">
        <f t="shared" si="57"/>
        <v>2020</v>
      </c>
      <c r="F616" s="3" t="s">
        <v>1145</v>
      </c>
      <c r="G616" s="3" t="str">
        <f>VLOOKUP(F617,'Customers (2)'!A:I,2,0)</f>
        <v>Shay Couronne</v>
      </c>
      <c r="H616" s="3" t="str">
        <f>VLOOKUP(F616,'Customers (2)'!A:I,3,0)</f>
        <v>cverissimogh@theglobeandmail.com</v>
      </c>
      <c r="I616" s="3">
        <f>VLOOKUP(F616,'Customers (2)'!A:I,4,0)</f>
        <v>0</v>
      </c>
      <c r="J616" s="3" t="str">
        <f>VLOOKUP(F616,'Customers (2)'!A:I,6,0)</f>
        <v>Upton</v>
      </c>
      <c r="K616" s="3" t="str">
        <f>VLOOKUP(F616,'Customers (2)'!A:I,7,0)</f>
        <v>United Kingdom</v>
      </c>
      <c r="L616" s="3" t="str">
        <f>VLOOKUP(F616,'Customers (2)'!A:I,9,0)</f>
        <v>Yes</v>
      </c>
      <c r="M616" s="4" t="s">
        <v>22</v>
      </c>
      <c r="N616" s="4" t="str">
        <f>VLOOKUP(M616,'Products (2)'!A:G,2,0)</f>
        <v>Robusta</v>
      </c>
      <c r="O616" s="4" t="str">
        <f>VLOOKUP(M616,'Products (2)'!A:G,3,0)</f>
        <v>Medium</v>
      </c>
      <c r="P616" s="4">
        <f>VLOOKUP(M616,'Products (2)'!A:G,7,0)</f>
        <v>0.35819999999999996</v>
      </c>
      <c r="Q616" s="3">
        <v>5</v>
      </c>
      <c r="R616" s="5">
        <f>INDEX([1]products!$A$1:$G$49,MATCH([1]orders!$D616,[1]products!$A$1:$A$49,0),MATCH([1]orders!K$1,[1]products!$A$1:$G$1,0))</f>
        <v>0.5</v>
      </c>
      <c r="S616" s="6">
        <f>INDEX([1]products!$A$1:$G$49,MATCH([1]orders!$D616,[1]products!$A$1:$A$49,0),MATCH([1]orders!L$1,[1]products!$A$1:$G$1,0))</f>
        <v>5.97</v>
      </c>
      <c r="T616" s="6">
        <f t="shared" si="54"/>
        <v>29.849999999999998</v>
      </c>
      <c r="U616" s="22">
        <f t="shared" si="58"/>
        <v>1.7909999999999999</v>
      </c>
      <c r="V616" s="22">
        <f t="shared" si="59"/>
        <v>6.0000000000000009</v>
      </c>
    </row>
    <row r="617" spans="1:22" x14ac:dyDescent="0.3">
      <c r="A617" s="1" t="s">
        <v>1201</v>
      </c>
      <c r="B617" s="2">
        <v>44006</v>
      </c>
      <c r="C617" s="2" t="str">
        <f t="shared" si="55"/>
        <v>Wednesday</v>
      </c>
      <c r="D617" s="2" t="str">
        <f t="shared" si="56"/>
        <v>June</v>
      </c>
      <c r="E617" s="2" t="str">
        <f t="shared" si="57"/>
        <v>2020</v>
      </c>
      <c r="F617" s="3" t="s">
        <v>1202</v>
      </c>
      <c r="G617" s="3" t="str">
        <f>VLOOKUP(F618,'Customers (2)'!A:I,2,0)</f>
        <v>Linus Flippelli</v>
      </c>
      <c r="H617" s="3" t="str">
        <f>VLOOKUP(F617,'Customers (2)'!A:I,3,0)</f>
        <v>scouronneh3@mozilla.org</v>
      </c>
      <c r="I617" s="3" t="str">
        <f>VLOOKUP(F617,'Customers (2)'!A:I,4,0)</f>
        <v>+1 (701) 894-8081</v>
      </c>
      <c r="J617" s="3" t="str">
        <f>VLOOKUP(F617,'Customers (2)'!A:I,6,0)</f>
        <v>Fargo</v>
      </c>
      <c r="K617" s="3" t="str">
        <f>VLOOKUP(F617,'Customers (2)'!A:I,7,0)</f>
        <v>United States</v>
      </c>
      <c r="L617" s="3" t="str">
        <f>VLOOKUP(F617,'Customers (2)'!A:I,9,0)</f>
        <v>Yes</v>
      </c>
      <c r="M617" s="4" t="s">
        <v>104</v>
      </c>
      <c r="N617" s="4" t="str">
        <f>VLOOKUP(M617,'Products (2)'!A:G,2,0)</f>
        <v>Liberica</v>
      </c>
      <c r="O617" s="4" t="str">
        <f>VLOOKUP(M617,'Products (2)'!A:G,3,0)</f>
        <v>Light</v>
      </c>
      <c r="P617" s="4">
        <f>VLOOKUP(M617,'Products (2)'!A:G,7,0)</f>
        <v>4.7391499999999995</v>
      </c>
      <c r="Q617" s="3">
        <v>2</v>
      </c>
      <c r="R617" s="5">
        <f>INDEX([1]products!$A$1:$G$49,MATCH([1]orders!$D617,[1]products!$A$1:$A$49,0),MATCH([1]orders!K$1,[1]products!$A$1:$G$1,0))</f>
        <v>2.5</v>
      </c>
      <c r="S617" s="6">
        <f>INDEX([1]products!$A$1:$G$49,MATCH([1]orders!$D617,[1]products!$A$1:$A$49,0),MATCH([1]orders!L$1,[1]products!$A$1:$G$1,0))</f>
        <v>36.454999999999998</v>
      </c>
      <c r="T617" s="6">
        <f t="shared" si="54"/>
        <v>72.91</v>
      </c>
      <c r="U617" s="22">
        <f t="shared" si="58"/>
        <v>9.4782999999999991</v>
      </c>
      <c r="V617" s="22">
        <f t="shared" si="59"/>
        <v>13</v>
      </c>
    </row>
    <row r="618" spans="1:22" x14ac:dyDescent="0.3">
      <c r="A618" s="1" t="s">
        <v>1203</v>
      </c>
      <c r="B618" s="2">
        <v>44271</v>
      </c>
      <c r="C618" s="2" t="str">
        <f t="shared" si="55"/>
        <v>Tuesday</v>
      </c>
      <c r="D618" s="2" t="str">
        <f t="shared" si="56"/>
        <v>March</v>
      </c>
      <c r="E618" s="2" t="str">
        <f t="shared" si="57"/>
        <v>2021</v>
      </c>
      <c r="F618" s="3" t="s">
        <v>1204</v>
      </c>
      <c r="G618" s="3" t="str">
        <f>VLOOKUP(F619,'Customers (2)'!A:I,2,0)</f>
        <v>Rachelle Elizabeth</v>
      </c>
      <c r="H618" s="3" t="str">
        <f>VLOOKUP(F618,'Customers (2)'!A:I,3,0)</f>
        <v>lflippellih4@github.io</v>
      </c>
      <c r="I618" s="3" t="str">
        <f>VLOOKUP(F618,'Customers (2)'!A:I,4,0)</f>
        <v>+44 (200) 860-6521</v>
      </c>
      <c r="J618" s="3" t="str">
        <f>VLOOKUP(F618,'Customers (2)'!A:I,6,0)</f>
        <v>Middleton</v>
      </c>
      <c r="K618" s="3" t="str">
        <f>VLOOKUP(F618,'Customers (2)'!A:I,7,0)</f>
        <v>United Kingdom</v>
      </c>
      <c r="L618" s="3" t="str">
        <f>VLOOKUP(F618,'Customers (2)'!A:I,9,0)</f>
        <v>No</v>
      </c>
      <c r="M618" s="4" t="s">
        <v>112</v>
      </c>
      <c r="N618" s="4" t="str">
        <f>VLOOKUP(M618,'Products (2)'!A:G,2,0)</f>
        <v>Excelsa</v>
      </c>
      <c r="O618" s="4" t="str">
        <f>VLOOKUP(M618,'Products (2)'!A:G,3,0)</f>
        <v>Medium</v>
      </c>
      <c r="P618" s="4">
        <f>VLOOKUP(M618,'Products (2)'!A:G,7,0)</f>
        <v>3.4787499999999998</v>
      </c>
      <c r="Q618" s="3">
        <v>4</v>
      </c>
      <c r="R618" s="5">
        <f>INDEX([1]products!$A$1:$G$49,MATCH([1]orders!$D618,[1]products!$A$1:$A$49,0),MATCH([1]orders!K$1,[1]products!$A$1:$G$1,0))</f>
        <v>2.5</v>
      </c>
      <c r="S618" s="6">
        <f>INDEX([1]products!$A$1:$G$49,MATCH([1]orders!$D618,[1]products!$A$1:$A$49,0),MATCH([1]orders!L$1,[1]products!$A$1:$G$1,0))</f>
        <v>31.624999999999996</v>
      </c>
      <c r="T618" s="6">
        <f t="shared" si="54"/>
        <v>126.49999999999999</v>
      </c>
      <c r="U618" s="22">
        <f t="shared" si="58"/>
        <v>13.914999999999999</v>
      </c>
      <c r="V618" s="22">
        <f t="shared" si="59"/>
        <v>11</v>
      </c>
    </row>
    <row r="619" spans="1:22" x14ac:dyDescent="0.3">
      <c r="A619" s="1" t="s">
        <v>1205</v>
      </c>
      <c r="B619" s="2">
        <v>43928</v>
      </c>
      <c r="C619" s="2" t="str">
        <f t="shared" si="55"/>
        <v>Tuesday</v>
      </c>
      <c r="D619" s="2" t="str">
        <f t="shared" si="56"/>
        <v>April</v>
      </c>
      <c r="E619" s="2" t="str">
        <f t="shared" si="57"/>
        <v>2020</v>
      </c>
      <c r="F619" s="3" t="s">
        <v>1206</v>
      </c>
      <c r="G619" s="3" t="str">
        <f>VLOOKUP(F620,'Customers (2)'!A:I,2,0)</f>
        <v>Innis Renhard</v>
      </c>
      <c r="H619" s="3" t="str">
        <f>VLOOKUP(F619,'Customers (2)'!A:I,3,0)</f>
        <v>relizabethh5@live.com</v>
      </c>
      <c r="I619" s="3" t="str">
        <f>VLOOKUP(F619,'Customers (2)'!A:I,4,0)</f>
        <v>+1 (918) 203-3263</v>
      </c>
      <c r="J619" s="3" t="str">
        <f>VLOOKUP(F619,'Customers (2)'!A:I,6,0)</f>
        <v>Tulsa</v>
      </c>
      <c r="K619" s="3" t="str">
        <f>VLOOKUP(F619,'Customers (2)'!A:I,7,0)</f>
        <v>United States</v>
      </c>
      <c r="L619" s="3" t="str">
        <f>VLOOKUP(F619,'Customers (2)'!A:I,9,0)</f>
        <v>No</v>
      </c>
      <c r="M619" s="4" t="s">
        <v>197</v>
      </c>
      <c r="N619" s="4" t="str">
        <f>VLOOKUP(M619,'Products (2)'!A:G,2,0)</f>
        <v>Liberica</v>
      </c>
      <c r="O619" s="4" t="str">
        <f>VLOOKUP(M619,'Products (2)'!A:G,3,0)</f>
        <v>Medium</v>
      </c>
      <c r="P619" s="4">
        <f>VLOOKUP(M619,'Products (2)'!A:G,7,0)</f>
        <v>4.3504499999999995</v>
      </c>
      <c r="Q619" s="3">
        <v>1</v>
      </c>
      <c r="R619" s="5">
        <f>INDEX([1]products!$A$1:$G$49,MATCH([1]orders!$D619,[1]products!$A$1:$A$49,0),MATCH([1]orders!K$1,[1]products!$A$1:$G$1,0))</f>
        <v>2.5</v>
      </c>
      <c r="S619" s="6">
        <f>INDEX([1]products!$A$1:$G$49,MATCH([1]orders!$D619,[1]products!$A$1:$A$49,0),MATCH([1]orders!L$1,[1]products!$A$1:$G$1,0))</f>
        <v>33.464999999999996</v>
      </c>
      <c r="T619" s="6">
        <f t="shared" si="54"/>
        <v>33.464999999999996</v>
      </c>
      <c r="U619" s="22">
        <f t="shared" si="58"/>
        <v>4.3504499999999995</v>
      </c>
      <c r="V619" s="22">
        <f t="shared" si="59"/>
        <v>13</v>
      </c>
    </row>
    <row r="620" spans="1:22" x14ac:dyDescent="0.3">
      <c r="A620" s="1" t="s">
        <v>1207</v>
      </c>
      <c r="B620" s="2">
        <v>44469</v>
      </c>
      <c r="C620" s="2" t="str">
        <f t="shared" si="55"/>
        <v>Thursday</v>
      </c>
      <c r="D620" s="2" t="str">
        <f t="shared" si="56"/>
        <v>September</v>
      </c>
      <c r="E620" s="2" t="str">
        <f t="shared" si="57"/>
        <v>2021</v>
      </c>
      <c r="F620" s="3" t="s">
        <v>1208</v>
      </c>
      <c r="G620" s="3" t="str">
        <f>VLOOKUP(F621,'Customers (2)'!A:I,2,0)</f>
        <v>Winne Roche</v>
      </c>
      <c r="H620" s="3" t="str">
        <f>VLOOKUP(F620,'Customers (2)'!A:I,3,0)</f>
        <v>irenhardh6@i2i.jp</v>
      </c>
      <c r="I620" s="3" t="str">
        <f>VLOOKUP(F620,'Customers (2)'!A:I,4,0)</f>
        <v>+1 (646) 225-6560</v>
      </c>
      <c r="J620" s="3" t="str">
        <f>VLOOKUP(F620,'Customers (2)'!A:I,6,0)</f>
        <v>New York City</v>
      </c>
      <c r="K620" s="3" t="str">
        <f>VLOOKUP(F620,'Customers (2)'!A:I,7,0)</f>
        <v>United States</v>
      </c>
      <c r="L620" s="3" t="str">
        <f>VLOOKUP(F620,'Customers (2)'!A:I,9,0)</f>
        <v>Yes</v>
      </c>
      <c r="M620" s="4" t="s">
        <v>245</v>
      </c>
      <c r="N620" s="4" t="str">
        <f>VLOOKUP(M620,'Products (2)'!A:G,2,0)</f>
        <v>Excelsa</v>
      </c>
      <c r="O620" s="4" t="str">
        <f>VLOOKUP(M620,'Products (2)'!A:G,3,0)</f>
        <v>Dark</v>
      </c>
      <c r="P620" s="4">
        <f>VLOOKUP(M620,'Products (2)'!A:G,7,0)</f>
        <v>1.3365</v>
      </c>
      <c r="Q620" s="3">
        <v>6</v>
      </c>
      <c r="R620" s="5">
        <f>INDEX([1]products!$A$1:$G$49,MATCH([1]orders!$D620,[1]products!$A$1:$A$49,0),MATCH([1]orders!K$1,[1]products!$A$1:$G$1,0))</f>
        <v>1</v>
      </c>
      <c r="S620" s="6">
        <f>INDEX([1]products!$A$1:$G$49,MATCH([1]orders!$D620,[1]products!$A$1:$A$49,0),MATCH([1]orders!L$1,[1]products!$A$1:$G$1,0))</f>
        <v>12.15</v>
      </c>
      <c r="T620" s="6">
        <f t="shared" si="54"/>
        <v>72.900000000000006</v>
      </c>
      <c r="U620" s="22">
        <f t="shared" si="58"/>
        <v>8.0190000000000001</v>
      </c>
      <c r="V620" s="22">
        <f t="shared" si="59"/>
        <v>10.999999999999998</v>
      </c>
    </row>
    <row r="621" spans="1:22" x14ac:dyDescent="0.3">
      <c r="A621" s="1" t="s">
        <v>1209</v>
      </c>
      <c r="B621" s="2">
        <v>44682</v>
      </c>
      <c r="C621" s="2" t="str">
        <f t="shared" si="55"/>
        <v>Sunday</v>
      </c>
      <c r="D621" s="2" t="str">
        <f t="shared" si="56"/>
        <v>May</v>
      </c>
      <c r="E621" s="2" t="str">
        <f t="shared" si="57"/>
        <v>2022</v>
      </c>
      <c r="F621" s="3" t="s">
        <v>1210</v>
      </c>
      <c r="G621" s="3" t="str">
        <f>VLOOKUP(F622,'Customers (2)'!A:I,2,0)</f>
        <v>Linn Alaway</v>
      </c>
      <c r="H621" s="3" t="str">
        <f>VLOOKUP(F621,'Customers (2)'!A:I,3,0)</f>
        <v>wrocheh7@xinhuanet.com</v>
      </c>
      <c r="I621" s="3" t="str">
        <f>VLOOKUP(F621,'Customers (2)'!A:I,4,0)</f>
        <v>+1 (317) 439-5584</v>
      </c>
      <c r="J621" s="3" t="str">
        <f>VLOOKUP(F621,'Customers (2)'!A:I,6,0)</f>
        <v>Seminole</v>
      </c>
      <c r="K621" s="3" t="str">
        <f>VLOOKUP(F621,'Customers (2)'!A:I,7,0)</f>
        <v>United States</v>
      </c>
      <c r="L621" s="3" t="str">
        <f>VLOOKUP(F621,'Customers (2)'!A:I,9,0)</f>
        <v>Yes</v>
      </c>
      <c r="M621" s="4" t="s">
        <v>123</v>
      </c>
      <c r="N621" s="4" t="str">
        <f>VLOOKUP(M621,'Products (2)'!A:G,2,0)</f>
        <v>Liberica</v>
      </c>
      <c r="O621" s="4" t="str">
        <f>VLOOKUP(M621,'Products (2)'!A:G,3,0)</f>
        <v>Dark</v>
      </c>
      <c r="P621" s="4">
        <f>VLOOKUP(M621,'Products (2)'!A:G,7,0)</f>
        <v>1.0101</v>
      </c>
      <c r="Q621" s="3">
        <v>2</v>
      </c>
      <c r="R621" s="5">
        <f>INDEX([1]products!$A$1:$G$49,MATCH([1]orders!$D621,[1]products!$A$1:$A$49,0),MATCH([1]orders!K$1,[1]products!$A$1:$G$1,0))</f>
        <v>0.5</v>
      </c>
      <c r="S621" s="6">
        <f>INDEX([1]products!$A$1:$G$49,MATCH([1]orders!$D621,[1]products!$A$1:$A$49,0),MATCH([1]orders!L$1,[1]products!$A$1:$G$1,0))</f>
        <v>7.77</v>
      </c>
      <c r="T621" s="6">
        <f t="shared" si="54"/>
        <v>15.54</v>
      </c>
      <c r="U621" s="22">
        <f t="shared" si="58"/>
        <v>2.0202</v>
      </c>
      <c r="V621" s="22">
        <f t="shared" si="59"/>
        <v>13</v>
      </c>
    </row>
    <row r="622" spans="1:22" x14ac:dyDescent="0.3">
      <c r="A622" s="1" t="s">
        <v>1211</v>
      </c>
      <c r="B622" s="2">
        <v>44217</v>
      </c>
      <c r="C622" s="2" t="str">
        <f t="shared" si="55"/>
        <v>Thursday</v>
      </c>
      <c r="D622" s="2" t="str">
        <f t="shared" si="56"/>
        <v>January</v>
      </c>
      <c r="E622" s="2" t="str">
        <f t="shared" si="57"/>
        <v>2021</v>
      </c>
      <c r="F622" s="3" t="s">
        <v>1212</v>
      </c>
      <c r="G622" s="3" t="str">
        <f>VLOOKUP(F623,'Customers (2)'!A:I,2,0)</f>
        <v>Cordy Odgaard</v>
      </c>
      <c r="H622" s="3" t="str">
        <f>VLOOKUP(F622,'Customers (2)'!A:I,3,0)</f>
        <v>lalawayhh@weather.com</v>
      </c>
      <c r="I622" s="3">
        <f>VLOOKUP(F622,'Customers (2)'!A:I,4,0)</f>
        <v>0</v>
      </c>
      <c r="J622" s="3" t="str">
        <f>VLOOKUP(F622,'Customers (2)'!A:I,6,0)</f>
        <v>Fort Lauderdale</v>
      </c>
      <c r="K622" s="3" t="str">
        <f>VLOOKUP(F622,'Customers (2)'!A:I,7,0)</f>
        <v>United States</v>
      </c>
      <c r="L622" s="3" t="str">
        <f>VLOOKUP(F622,'Customers (2)'!A:I,9,0)</f>
        <v>No</v>
      </c>
      <c r="M622" s="4" t="s">
        <v>44</v>
      </c>
      <c r="N622" s="4" t="str">
        <f>VLOOKUP(M622,'Products (2)'!A:G,2,0)</f>
        <v>Arabica</v>
      </c>
      <c r="O622" s="4" t="str">
        <f>VLOOKUP(M622,'Products (2)'!A:G,3,0)</f>
        <v>Medium</v>
      </c>
      <c r="P622" s="4">
        <f>VLOOKUP(M622,'Products (2)'!A:G,7,0)</f>
        <v>0.30374999999999996</v>
      </c>
      <c r="Q622" s="3">
        <v>6</v>
      </c>
      <c r="R622" s="5">
        <f>INDEX([1]products!$A$1:$G$49,MATCH([1]orders!$D622,[1]products!$A$1:$A$49,0),MATCH([1]orders!K$1,[1]products!$A$1:$G$1,0))</f>
        <v>0.2</v>
      </c>
      <c r="S622" s="6">
        <f>INDEX([1]products!$A$1:$G$49,MATCH([1]orders!$D622,[1]products!$A$1:$A$49,0),MATCH([1]orders!L$1,[1]products!$A$1:$G$1,0))</f>
        <v>3.375</v>
      </c>
      <c r="T622" s="6">
        <f t="shared" si="54"/>
        <v>20.25</v>
      </c>
      <c r="U622" s="22">
        <f t="shared" si="58"/>
        <v>1.8224999999999998</v>
      </c>
      <c r="V622" s="22">
        <f t="shared" si="59"/>
        <v>8.9999999999999982</v>
      </c>
    </row>
    <row r="623" spans="1:22" x14ac:dyDescent="0.3">
      <c r="A623" s="1" t="s">
        <v>1213</v>
      </c>
      <c r="B623" s="2">
        <v>44006</v>
      </c>
      <c r="C623" s="2" t="str">
        <f t="shared" si="55"/>
        <v>Wednesday</v>
      </c>
      <c r="D623" s="2" t="str">
        <f t="shared" si="56"/>
        <v>June</v>
      </c>
      <c r="E623" s="2" t="str">
        <f t="shared" si="57"/>
        <v>2020</v>
      </c>
      <c r="F623" s="3" t="s">
        <v>1214</v>
      </c>
      <c r="G623" s="3" t="str">
        <f>VLOOKUP(F624,'Customers (2)'!A:I,2,0)</f>
        <v>Bertine Byrd</v>
      </c>
      <c r="H623" s="3" t="str">
        <f>VLOOKUP(F623,'Customers (2)'!A:I,3,0)</f>
        <v>codgaardh9@nsw.gov.au</v>
      </c>
      <c r="I623" s="3" t="str">
        <f>VLOOKUP(F623,'Customers (2)'!A:I,4,0)</f>
        <v>+1 (503) 203-1484</v>
      </c>
      <c r="J623" s="3" t="str">
        <f>VLOOKUP(F623,'Customers (2)'!A:I,6,0)</f>
        <v>Portland</v>
      </c>
      <c r="K623" s="3" t="str">
        <f>VLOOKUP(F623,'Customers (2)'!A:I,7,0)</f>
        <v>United States</v>
      </c>
      <c r="L623" s="3" t="str">
        <f>VLOOKUP(F623,'Customers (2)'!A:I,9,0)</f>
        <v>No</v>
      </c>
      <c r="M623" s="4" t="s">
        <v>6</v>
      </c>
      <c r="N623" s="4" t="str">
        <f>VLOOKUP(M623,'Products (2)'!A:G,2,0)</f>
        <v>Arabica</v>
      </c>
      <c r="O623" s="4" t="str">
        <f>VLOOKUP(M623,'Products (2)'!A:G,3,0)</f>
        <v>Light</v>
      </c>
      <c r="P623" s="4">
        <f>VLOOKUP(M623,'Products (2)'!A:G,7,0)</f>
        <v>1.1655</v>
      </c>
      <c r="Q623" s="3">
        <v>6</v>
      </c>
      <c r="R623" s="5">
        <f>INDEX([1]products!$A$1:$G$49,MATCH([1]orders!$D623,[1]products!$A$1:$A$49,0),MATCH([1]orders!K$1,[1]products!$A$1:$G$1,0))</f>
        <v>1</v>
      </c>
      <c r="S623" s="6">
        <f>INDEX([1]products!$A$1:$G$49,MATCH([1]orders!$D623,[1]products!$A$1:$A$49,0),MATCH([1]orders!L$1,[1]products!$A$1:$G$1,0))</f>
        <v>12.95</v>
      </c>
      <c r="T623" s="6">
        <f t="shared" si="54"/>
        <v>77.699999999999989</v>
      </c>
      <c r="U623" s="22">
        <f t="shared" si="58"/>
        <v>6.9930000000000003</v>
      </c>
      <c r="V623" s="22">
        <f t="shared" si="59"/>
        <v>9.0000000000000018</v>
      </c>
    </row>
    <row r="624" spans="1:22" x14ac:dyDescent="0.3">
      <c r="A624" s="1" t="s">
        <v>1215</v>
      </c>
      <c r="B624" s="2">
        <v>43527</v>
      </c>
      <c r="C624" s="2" t="str">
        <f t="shared" si="55"/>
        <v>Sunday</v>
      </c>
      <c r="D624" s="2" t="str">
        <f t="shared" si="56"/>
        <v>March</v>
      </c>
      <c r="E624" s="2" t="str">
        <f t="shared" si="57"/>
        <v>2019</v>
      </c>
      <c r="F624" s="3" t="s">
        <v>1216</v>
      </c>
      <c r="G624" s="3" t="str">
        <f>VLOOKUP(F625,'Customers (2)'!A:I,2,0)</f>
        <v>Nelie Garnson</v>
      </c>
      <c r="H624" s="3" t="str">
        <f>VLOOKUP(F624,'Customers (2)'!A:I,3,0)</f>
        <v>bbyrdha@4shared.com</v>
      </c>
      <c r="I624" s="3">
        <f>VLOOKUP(F624,'Customers (2)'!A:I,4,0)</f>
        <v>0</v>
      </c>
      <c r="J624" s="3" t="str">
        <f>VLOOKUP(F624,'Customers (2)'!A:I,6,0)</f>
        <v>Las Vegas</v>
      </c>
      <c r="K624" s="3" t="str">
        <f>VLOOKUP(F624,'Customers (2)'!A:I,7,0)</f>
        <v>United States</v>
      </c>
      <c r="L624" s="3" t="str">
        <f>VLOOKUP(F624,'Customers (2)'!A:I,9,0)</f>
        <v>No</v>
      </c>
      <c r="M624" s="4" t="s">
        <v>197</v>
      </c>
      <c r="N624" s="4" t="str">
        <f>VLOOKUP(M624,'Products (2)'!A:G,2,0)</f>
        <v>Liberica</v>
      </c>
      <c r="O624" s="4" t="str">
        <f>VLOOKUP(M624,'Products (2)'!A:G,3,0)</f>
        <v>Medium</v>
      </c>
      <c r="P624" s="4">
        <f>VLOOKUP(M624,'Products (2)'!A:G,7,0)</f>
        <v>4.3504499999999995</v>
      </c>
      <c r="Q624" s="3">
        <v>4</v>
      </c>
      <c r="R624" s="5">
        <f>INDEX([1]products!$A$1:$G$49,MATCH([1]orders!$D624,[1]products!$A$1:$A$49,0),MATCH([1]orders!K$1,[1]products!$A$1:$G$1,0))</f>
        <v>2.5</v>
      </c>
      <c r="S624" s="6">
        <f>INDEX([1]products!$A$1:$G$49,MATCH([1]orders!$D624,[1]products!$A$1:$A$49,0),MATCH([1]orders!L$1,[1]products!$A$1:$G$1,0))</f>
        <v>33.464999999999996</v>
      </c>
      <c r="T624" s="6">
        <f t="shared" si="54"/>
        <v>133.85999999999999</v>
      </c>
      <c r="U624" s="22">
        <f t="shared" si="58"/>
        <v>17.401799999999998</v>
      </c>
      <c r="V624" s="22">
        <f t="shared" si="59"/>
        <v>13</v>
      </c>
    </row>
    <row r="625" spans="1:22" x14ac:dyDescent="0.3">
      <c r="A625" s="1" t="s">
        <v>1217</v>
      </c>
      <c r="B625" s="2">
        <v>44224</v>
      </c>
      <c r="C625" s="2" t="str">
        <f t="shared" si="55"/>
        <v>Thursday</v>
      </c>
      <c r="D625" s="2" t="str">
        <f t="shared" si="56"/>
        <v>January</v>
      </c>
      <c r="E625" s="2" t="str">
        <f t="shared" si="57"/>
        <v>2021</v>
      </c>
      <c r="F625" s="3" t="s">
        <v>1218</v>
      </c>
      <c r="G625" s="3" t="str">
        <f>VLOOKUP(F626,'Customers (2)'!A:I,2,0)</f>
        <v>Dianne Chardin</v>
      </c>
      <c r="H625" s="3">
        <f>VLOOKUP(F625,'Customers (2)'!A:I,3,0)</f>
        <v>0</v>
      </c>
      <c r="I625" s="3" t="str">
        <f>VLOOKUP(F625,'Customers (2)'!A:I,4,0)</f>
        <v>+44 (141) 640-7113</v>
      </c>
      <c r="J625" s="3" t="str">
        <f>VLOOKUP(F625,'Customers (2)'!A:I,6,0)</f>
        <v>Merton</v>
      </c>
      <c r="K625" s="3" t="str">
        <f>VLOOKUP(F625,'Customers (2)'!A:I,7,0)</f>
        <v>United Kingdom</v>
      </c>
      <c r="L625" s="3" t="str">
        <f>VLOOKUP(F625,'Customers (2)'!A:I,9,0)</f>
        <v>No</v>
      </c>
      <c r="M625" s="4" t="s">
        <v>245</v>
      </c>
      <c r="N625" s="4" t="str">
        <f>VLOOKUP(M625,'Products (2)'!A:G,2,0)</f>
        <v>Excelsa</v>
      </c>
      <c r="O625" s="4" t="str">
        <f>VLOOKUP(M625,'Products (2)'!A:G,3,0)</f>
        <v>Dark</v>
      </c>
      <c r="P625" s="4">
        <f>VLOOKUP(M625,'Products (2)'!A:G,7,0)</f>
        <v>1.3365</v>
      </c>
      <c r="Q625" s="3">
        <v>1</v>
      </c>
      <c r="R625" s="5">
        <f>INDEX([1]products!$A$1:$G$49,MATCH([1]orders!$D625,[1]products!$A$1:$A$49,0),MATCH([1]orders!K$1,[1]products!$A$1:$G$1,0))</f>
        <v>1</v>
      </c>
      <c r="S625" s="6">
        <f>INDEX([1]products!$A$1:$G$49,MATCH([1]orders!$D625,[1]products!$A$1:$A$49,0),MATCH([1]orders!L$1,[1]products!$A$1:$G$1,0))</f>
        <v>12.15</v>
      </c>
      <c r="T625" s="6">
        <f t="shared" si="54"/>
        <v>12.15</v>
      </c>
      <c r="U625" s="22">
        <f t="shared" si="58"/>
        <v>1.3365</v>
      </c>
      <c r="V625" s="22">
        <f t="shared" si="59"/>
        <v>11</v>
      </c>
    </row>
    <row r="626" spans="1:22" x14ac:dyDescent="0.3">
      <c r="A626" s="1" t="s">
        <v>1219</v>
      </c>
      <c r="B626" s="2">
        <v>44010</v>
      </c>
      <c r="C626" s="2" t="str">
        <f t="shared" si="55"/>
        <v>Sunday</v>
      </c>
      <c r="D626" s="2" t="str">
        <f t="shared" si="56"/>
        <v>June</v>
      </c>
      <c r="E626" s="2" t="str">
        <f t="shared" si="57"/>
        <v>2020</v>
      </c>
      <c r="F626" s="3" t="s">
        <v>1220</v>
      </c>
      <c r="G626" s="3" t="str">
        <f>VLOOKUP(F627,'Customers (2)'!A:I,2,0)</f>
        <v>Hailee Radbone</v>
      </c>
      <c r="H626" s="3" t="str">
        <f>VLOOKUP(F626,'Customers (2)'!A:I,3,0)</f>
        <v>dchardinhc@nhs.uk</v>
      </c>
      <c r="I626" s="3">
        <f>VLOOKUP(F626,'Customers (2)'!A:I,4,0)</f>
        <v>0</v>
      </c>
      <c r="J626" s="3" t="str">
        <f>VLOOKUP(F626,'Customers (2)'!A:I,6,0)</f>
        <v>Ballybofey</v>
      </c>
      <c r="K626" s="3" t="str">
        <f>VLOOKUP(F626,'Customers (2)'!A:I,7,0)</f>
        <v>Ireland</v>
      </c>
      <c r="L626" s="3" t="str">
        <f>VLOOKUP(F626,'Customers (2)'!A:I,9,0)</f>
        <v>Yes</v>
      </c>
      <c r="M626" s="4" t="s">
        <v>112</v>
      </c>
      <c r="N626" s="4" t="str">
        <f>VLOOKUP(M626,'Products (2)'!A:G,2,0)</f>
        <v>Excelsa</v>
      </c>
      <c r="O626" s="4" t="str">
        <f>VLOOKUP(M626,'Products (2)'!A:G,3,0)</f>
        <v>Medium</v>
      </c>
      <c r="P626" s="4">
        <f>VLOOKUP(M626,'Products (2)'!A:G,7,0)</f>
        <v>3.4787499999999998</v>
      </c>
      <c r="Q626" s="3">
        <v>2</v>
      </c>
      <c r="R626" s="5">
        <f>INDEX([1]products!$A$1:$G$49,MATCH([1]orders!$D626,[1]products!$A$1:$A$49,0),MATCH([1]orders!K$1,[1]products!$A$1:$G$1,0))</f>
        <v>2.5</v>
      </c>
      <c r="S626" s="6">
        <f>INDEX([1]products!$A$1:$G$49,MATCH([1]orders!$D626,[1]products!$A$1:$A$49,0),MATCH([1]orders!L$1,[1]products!$A$1:$G$1,0))</f>
        <v>31.624999999999996</v>
      </c>
      <c r="T626" s="6">
        <f t="shared" si="54"/>
        <v>63.249999999999993</v>
      </c>
      <c r="U626" s="22">
        <f t="shared" si="58"/>
        <v>6.9574999999999996</v>
      </c>
      <c r="V626" s="22">
        <f t="shared" si="59"/>
        <v>11</v>
      </c>
    </row>
    <row r="627" spans="1:22" x14ac:dyDescent="0.3">
      <c r="A627" s="1" t="s">
        <v>1221</v>
      </c>
      <c r="B627" s="2">
        <v>44017</v>
      </c>
      <c r="C627" s="2" t="str">
        <f t="shared" si="55"/>
        <v>Sunday</v>
      </c>
      <c r="D627" s="2" t="str">
        <f t="shared" si="56"/>
        <v>July</v>
      </c>
      <c r="E627" s="2" t="str">
        <f t="shared" si="57"/>
        <v>2020</v>
      </c>
      <c r="F627" s="3" t="s">
        <v>1222</v>
      </c>
      <c r="G627" s="3" t="str">
        <f>VLOOKUP(F628,'Customers (2)'!A:I,2,0)</f>
        <v>Wallis Bernth</v>
      </c>
      <c r="H627" s="3" t="str">
        <f>VLOOKUP(F627,'Customers (2)'!A:I,3,0)</f>
        <v>hradbonehd@newsvine.com</v>
      </c>
      <c r="I627" s="3" t="str">
        <f>VLOOKUP(F627,'Customers (2)'!A:I,4,0)</f>
        <v>+1 (415) 968-9559</v>
      </c>
      <c r="J627" s="3" t="str">
        <f>VLOOKUP(F627,'Customers (2)'!A:I,6,0)</f>
        <v>San Francisco</v>
      </c>
      <c r="K627" s="3" t="str">
        <f>VLOOKUP(F627,'Customers (2)'!A:I,7,0)</f>
        <v>United States</v>
      </c>
      <c r="L627" s="3" t="str">
        <f>VLOOKUP(F627,'Customers (2)'!A:I,9,0)</f>
        <v>No</v>
      </c>
      <c r="M627" s="4" t="s">
        <v>157</v>
      </c>
      <c r="N627" s="4" t="str">
        <f>VLOOKUP(M627,'Products (2)'!A:G,2,0)</f>
        <v>Robusta</v>
      </c>
      <c r="O627" s="4" t="str">
        <f>VLOOKUP(M627,'Products (2)'!A:G,3,0)</f>
        <v>Light</v>
      </c>
      <c r="P627" s="4">
        <f>VLOOKUP(M627,'Products (2)'!A:G,7,0)</f>
        <v>0.43019999999999992</v>
      </c>
      <c r="Q627" s="3">
        <v>5</v>
      </c>
      <c r="R627" s="5">
        <f>INDEX([1]products!$A$1:$G$49,MATCH([1]orders!$D627,[1]products!$A$1:$A$49,0),MATCH([1]orders!K$1,[1]products!$A$1:$G$1,0))</f>
        <v>0.5</v>
      </c>
      <c r="S627" s="6">
        <f>INDEX([1]products!$A$1:$G$49,MATCH([1]orders!$D627,[1]products!$A$1:$A$49,0),MATCH([1]orders!L$1,[1]products!$A$1:$G$1,0))</f>
        <v>7.169999999999999</v>
      </c>
      <c r="T627" s="6">
        <f t="shared" si="54"/>
        <v>35.849999999999994</v>
      </c>
      <c r="U627" s="22">
        <f t="shared" si="58"/>
        <v>2.1509999999999998</v>
      </c>
      <c r="V627" s="22">
        <f t="shared" si="59"/>
        <v>6.0000000000000009</v>
      </c>
    </row>
    <row r="628" spans="1:22" x14ac:dyDescent="0.3">
      <c r="A628" s="1" t="s">
        <v>1223</v>
      </c>
      <c r="B628" s="2">
        <v>43526</v>
      </c>
      <c r="C628" s="2" t="str">
        <f t="shared" si="55"/>
        <v>Saturday</v>
      </c>
      <c r="D628" s="2" t="str">
        <f t="shared" si="56"/>
        <v>March</v>
      </c>
      <c r="E628" s="2" t="str">
        <f t="shared" si="57"/>
        <v>2019</v>
      </c>
      <c r="F628" s="3" t="s">
        <v>1224</v>
      </c>
      <c r="G628" s="3" t="str">
        <f>VLOOKUP(F629,'Customers (2)'!A:I,2,0)</f>
        <v>Byron Acarson</v>
      </c>
      <c r="H628" s="3" t="str">
        <f>VLOOKUP(F628,'Customers (2)'!A:I,3,0)</f>
        <v>wbernthhe@miitbeian.gov.cn</v>
      </c>
      <c r="I628" s="3" t="str">
        <f>VLOOKUP(F628,'Customers (2)'!A:I,4,0)</f>
        <v>+1 (412) 597-3861</v>
      </c>
      <c r="J628" s="3" t="str">
        <f>VLOOKUP(F628,'Customers (2)'!A:I,6,0)</f>
        <v>Pittsburgh</v>
      </c>
      <c r="K628" s="3" t="str">
        <f>VLOOKUP(F628,'Customers (2)'!A:I,7,0)</f>
        <v>United States</v>
      </c>
      <c r="L628" s="3" t="str">
        <f>VLOOKUP(F628,'Customers (2)'!A:I,9,0)</f>
        <v>No</v>
      </c>
      <c r="M628" s="4" t="s">
        <v>171</v>
      </c>
      <c r="N628" s="4" t="str">
        <f>VLOOKUP(M628,'Products (2)'!A:G,2,0)</f>
        <v>Arabica</v>
      </c>
      <c r="O628" s="4" t="str">
        <f>VLOOKUP(M628,'Products (2)'!A:G,3,0)</f>
        <v>Medium</v>
      </c>
      <c r="P628" s="4">
        <f>VLOOKUP(M628,'Products (2)'!A:G,7,0)</f>
        <v>2.3287499999999994</v>
      </c>
      <c r="Q628" s="3">
        <v>3</v>
      </c>
      <c r="R628" s="5">
        <f>INDEX([1]products!$A$1:$G$49,MATCH([1]orders!$D628,[1]products!$A$1:$A$49,0),MATCH([1]orders!K$1,[1]products!$A$1:$G$1,0))</f>
        <v>2.5</v>
      </c>
      <c r="S628" s="6">
        <f>INDEX([1]products!$A$1:$G$49,MATCH([1]orders!$D628,[1]products!$A$1:$A$49,0),MATCH([1]orders!L$1,[1]products!$A$1:$G$1,0))</f>
        <v>25.874999999999996</v>
      </c>
      <c r="T628" s="6">
        <f t="shared" si="54"/>
        <v>77.624999999999986</v>
      </c>
      <c r="U628" s="22">
        <f t="shared" si="58"/>
        <v>6.9862499999999983</v>
      </c>
      <c r="V628" s="22">
        <f t="shared" si="59"/>
        <v>9</v>
      </c>
    </row>
    <row r="629" spans="1:22" x14ac:dyDescent="0.3">
      <c r="A629" s="1" t="s">
        <v>1225</v>
      </c>
      <c r="B629" s="2">
        <v>44682</v>
      </c>
      <c r="C629" s="2" t="str">
        <f t="shared" si="55"/>
        <v>Sunday</v>
      </c>
      <c r="D629" s="2" t="str">
        <f t="shared" si="56"/>
        <v>May</v>
      </c>
      <c r="E629" s="2" t="str">
        <f t="shared" si="57"/>
        <v>2022</v>
      </c>
      <c r="F629" s="3" t="s">
        <v>1226</v>
      </c>
      <c r="G629" s="3" t="str">
        <f>VLOOKUP(F630,'Customers (2)'!A:I,2,0)</f>
        <v>Faunie Brigham</v>
      </c>
      <c r="H629" s="3" t="str">
        <f>VLOOKUP(F629,'Customers (2)'!A:I,3,0)</f>
        <v>bacarsonhf@cnn.com</v>
      </c>
      <c r="I629" s="3" t="str">
        <f>VLOOKUP(F629,'Customers (2)'!A:I,4,0)</f>
        <v>+1 (713) 418-6385</v>
      </c>
      <c r="J629" s="3" t="str">
        <f>VLOOKUP(F629,'Customers (2)'!A:I,6,0)</f>
        <v>Houston</v>
      </c>
      <c r="K629" s="3" t="str">
        <f>VLOOKUP(F629,'Customers (2)'!A:I,7,0)</f>
        <v>United States</v>
      </c>
      <c r="L629" s="3" t="str">
        <f>VLOOKUP(F629,'Customers (2)'!A:I,9,0)</f>
        <v>Yes</v>
      </c>
      <c r="M629" s="4" t="s">
        <v>112</v>
      </c>
      <c r="N629" s="4" t="str">
        <f>VLOOKUP(M629,'Products (2)'!A:G,2,0)</f>
        <v>Excelsa</v>
      </c>
      <c r="O629" s="4" t="str">
        <f>VLOOKUP(M629,'Products (2)'!A:G,3,0)</f>
        <v>Medium</v>
      </c>
      <c r="P629" s="4">
        <f>VLOOKUP(M629,'Products (2)'!A:G,7,0)</f>
        <v>3.4787499999999998</v>
      </c>
      <c r="Q629" s="3">
        <v>2</v>
      </c>
      <c r="R629" s="5">
        <f>INDEX([1]products!$A$1:$G$49,MATCH([1]orders!$D629,[1]products!$A$1:$A$49,0),MATCH([1]orders!K$1,[1]products!$A$1:$G$1,0))</f>
        <v>2.5</v>
      </c>
      <c r="S629" s="6">
        <f>INDEX([1]products!$A$1:$G$49,MATCH([1]orders!$D629,[1]products!$A$1:$A$49,0),MATCH([1]orders!L$1,[1]products!$A$1:$G$1,0))</f>
        <v>31.624999999999996</v>
      </c>
      <c r="T629" s="6">
        <f t="shared" si="54"/>
        <v>63.249999999999993</v>
      </c>
      <c r="U629" s="22">
        <f t="shared" si="58"/>
        <v>6.9574999999999996</v>
      </c>
      <c r="V629" s="22">
        <f t="shared" si="59"/>
        <v>11</v>
      </c>
    </row>
    <row r="630" spans="1:22" x14ac:dyDescent="0.3">
      <c r="A630" s="1" t="s">
        <v>1227</v>
      </c>
      <c r="B630" s="2">
        <v>44680</v>
      </c>
      <c r="C630" s="2" t="str">
        <f t="shared" si="55"/>
        <v>Friday</v>
      </c>
      <c r="D630" s="2" t="str">
        <f t="shared" si="56"/>
        <v>April</v>
      </c>
      <c r="E630" s="2" t="str">
        <f t="shared" si="57"/>
        <v>2022</v>
      </c>
      <c r="F630" s="3" t="s">
        <v>1228</v>
      </c>
      <c r="G630" s="3" t="str">
        <f>VLOOKUP(F631,'Customers (2)'!A:I,2,0)</f>
        <v>Faunie Brigham</v>
      </c>
      <c r="H630" s="3" t="str">
        <f>VLOOKUP(F630,'Customers (2)'!A:I,3,0)</f>
        <v>fbrighamhg@blog.com</v>
      </c>
      <c r="I630" s="3" t="str">
        <f>VLOOKUP(F630,'Customers (2)'!A:I,4,0)</f>
        <v>+353 (620) 657-2946</v>
      </c>
      <c r="J630" s="3" t="str">
        <f>VLOOKUP(F630,'Customers (2)'!A:I,6,0)</f>
        <v>Castlerea</v>
      </c>
      <c r="K630" s="3" t="str">
        <f>VLOOKUP(F630,'Customers (2)'!A:I,7,0)</f>
        <v>Ireland</v>
      </c>
      <c r="L630" s="3" t="str">
        <f>VLOOKUP(F630,'Customers (2)'!A:I,9,0)</f>
        <v>Yes</v>
      </c>
      <c r="M630" s="4" t="s">
        <v>254</v>
      </c>
      <c r="N630" s="4" t="str">
        <f>VLOOKUP(M630,'Products (2)'!A:G,2,0)</f>
        <v>Excelsa</v>
      </c>
      <c r="O630" s="4" t="str">
        <f>VLOOKUP(M630,'Products (2)'!A:G,3,0)</f>
        <v>Light</v>
      </c>
      <c r="P630" s="4">
        <f>VLOOKUP(M630,'Products (2)'!A:G,7,0)</f>
        <v>0.49004999999999999</v>
      </c>
      <c r="Q630" s="3">
        <v>6</v>
      </c>
      <c r="R630" s="5">
        <f>INDEX([1]products!$A$1:$G$49,MATCH([1]orders!$D630,[1]products!$A$1:$A$49,0),MATCH([1]orders!K$1,[1]products!$A$1:$G$1,0))</f>
        <v>0.2</v>
      </c>
      <c r="S630" s="6">
        <f>INDEX([1]products!$A$1:$G$49,MATCH([1]orders!$D630,[1]products!$A$1:$A$49,0),MATCH([1]orders!L$1,[1]products!$A$1:$G$1,0))</f>
        <v>4.4550000000000001</v>
      </c>
      <c r="T630" s="6">
        <f t="shared" si="54"/>
        <v>26.73</v>
      </c>
      <c r="U630" s="22">
        <f t="shared" si="58"/>
        <v>2.9402999999999997</v>
      </c>
      <c r="V630" s="22">
        <f t="shared" si="59"/>
        <v>10.999999999999998</v>
      </c>
    </row>
    <row r="631" spans="1:22" x14ac:dyDescent="0.3">
      <c r="A631" s="1" t="s">
        <v>1227</v>
      </c>
      <c r="B631" s="2">
        <v>44680</v>
      </c>
      <c r="C631" s="2" t="str">
        <f t="shared" si="55"/>
        <v>Friday</v>
      </c>
      <c r="D631" s="2" t="str">
        <f t="shared" si="56"/>
        <v>April</v>
      </c>
      <c r="E631" s="2" t="str">
        <f t="shared" si="57"/>
        <v>2022</v>
      </c>
      <c r="F631" s="3" t="s">
        <v>1228</v>
      </c>
      <c r="G631" s="3" t="str">
        <f>VLOOKUP(F632,'Customers (2)'!A:I,2,0)</f>
        <v>Faunie Brigham</v>
      </c>
      <c r="H631" s="3" t="str">
        <f>VLOOKUP(F631,'Customers (2)'!A:I,3,0)</f>
        <v>fbrighamhg@blog.com</v>
      </c>
      <c r="I631" s="3" t="str">
        <f>VLOOKUP(F631,'Customers (2)'!A:I,4,0)</f>
        <v>+353 (620) 657-2946</v>
      </c>
      <c r="J631" s="3" t="str">
        <f>VLOOKUP(F631,'Customers (2)'!A:I,6,0)</f>
        <v>Castlerea</v>
      </c>
      <c r="K631" s="3" t="str">
        <f>VLOOKUP(F631,'Customers (2)'!A:I,7,0)</f>
        <v>Ireland</v>
      </c>
      <c r="L631" s="3" t="str">
        <f>VLOOKUP(F631,'Customers (2)'!A:I,9,0)</f>
        <v>Yes</v>
      </c>
      <c r="M631" s="4" t="s">
        <v>123</v>
      </c>
      <c r="N631" s="4" t="str">
        <f>VLOOKUP(M631,'Products (2)'!A:G,2,0)</f>
        <v>Liberica</v>
      </c>
      <c r="O631" s="4" t="str">
        <f>VLOOKUP(M631,'Products (2)'!A:G,3,0)</f>
        <v>Dark</v>
      </c>
      <c r="P631" s="4">
        <f>VLOOKUP(M631,'Products (2)'!A:G,7,0)</f>
        <v>1.0101</v>
      </c>
      <c r="Q631" s="3">
        <v>4</v>
      </c>
      <c r="R631" s="5">
        <f>INDEX([1]products!$A$1:$G$49,MATCH([1]orders!$D631,[1]products!$A$1:$A$49,0),MATCH([1]orders!K$1,[1]products!$A$1:$G$1,0))</f>
        <v>0.5</v>
      </c>
      <c r="S631" s="6">
        <f>INDEX([1]products!$A$1:$G$49,MATCH([1]orders!$D631,[1]products!$A$1:$A$49,0),MATCH([1]orders!L$1,[1]products!$A$1:$G$1,0))</f>
        <v>7.77</v>
      </c>
      <c r="T631" s="6">
        <f t="shared" si="54"/>
        <v>31.08</v>
      </c>
      <c r="U631" s="22">
        <f t="shared" si="58"/>
        <v>4.0404</v>
      </c>
      <c r="V631" s="22">
        <f t="shared" si="59"/>
        <v>13</v>
      </c>
    </row>
    <row r="632" spans="1:22" x14ac:dyDescent="0.3">
      <c r="A632" s="1" t="s">
        <v>1227</v>
      </c>
      <c r="B632" s="2">
        <v>44680</v>
      </c>
      <c r="C632" s="2" t="str">
        <f t="shared" si="55"/>
        <v>Friday</v>
      </c>
      <c r="D632" s="2" t="str">
        <f t="shared" si="56"/>
        <v>April</v>
      </c>
      <c r="E632" s="2" t="str">
        <f t="shared" si="57"/>
        <v>2022</v>
      </c>
      <c r="F632" s="3" t="s">
        <v>1228</v>
      </c>
      <c r="G632" s="3" t="str">
        <f>VLOOKUP(F633,'Customers (2)'!A:I,2,0)</f>
        <v>Faunie Brigham</v>
      </c>
      <c r="H632" s="3" t="str">
        <f>VLOOKUP(F632,'Customers (2)'!A:I,3,0)</f>
        <v>fbrighamhg@blog.com</v>
      </c>
      <c r="I632" s="3" t="str">
        <f>VLOOKUP(F632,'Customers (2)'!A:I,4,0)</f>
        <v>+353 (620) 657-2946</v>
      </c>
      <c r="J632" s="3" t="str">
        <f>VLOOKUP(F632,'Customers (2)'!A:I,6,0)</f>
        <v>Castlerea</v>
      </c>
      <c r="K632" s="3" t="str">
        <f>VLOOKUP(F632,'Customers (2)'!A:I,7,0)</f>
        <v>Ireland</v>
      </c>
      <c r="L632" s="3" t="str">
        <f>VLOOKUP(F632,'Customers (2)'!A:I,9,0)</f>
        <v>Yes</v>
      </c>
      <c r="M632" s="4" t="s">
        <v>54</v>
      </c>
      <c r="N632" s="4" t="str">
        <f>VLOOKUP(M632,'Products (2)'!A:G,2,0)</f>
        <v>Arabica</v>
      </c>
      <c r="O632" s="4" t="str">
        <f>VLOOKUP(M632,'Products (2)'!A:G,3,0)</f>
        <v>Dark</v>
      </c>
      <c r="P632" s="4">
        <f>VLOOKUP(M632,'Products (2)'!A:G,7,0)</f>
        <v>0.26865</v>
      </c>
      <c r="Q632" s="3">
        <v>1</v>
      </c>
      <c r="R632" s="5">
        <f>INDEX([1]products!$A$1:$G$49,MATCH([1]orders!$D632,[1]products!$A$1:$A$49,0),MATCH([1]orders!K$1,[1]products!$A$1:$G$1,0))</f>
        <v>0.2</v>
      </c>
      <c r="S632" s="6">
        <f>INDEX([1]products!$A$1:$G$49,MATCH([1]orders!$D632,[1]products!$A$1:$A$49,0),MATCH([1]orders!L$1,[1]products!$A$1:$G$1,0))</f>
        <v>2.9849999999999999</v>
      </c>
      <c r="T632" s="6">
        <f t="shared" si="54"/>
        <v>2.9849999999999999</v>
      </c>
      <c r="U632" s="22">
        <f t="shared" si="58"/>
        <v>0.26865</v>
      </c>
      <c r="V632" s="22">
        <f t="shared" si="59"/>
        <v>9.0000000000000018</v>
      </c>
    </row>
    <row r="633" spans="1:22" x14ac:dyDescent="0.3">
      <c r="A633" s="1" t="s">
        <v>1227</v>
      </c>
      <c r="B633" s="2">
        <v>44680</v>
      </c>
      <c r="C633" s="2" t="str">
        <f t="shared" si="55"/>
        <v>Friday</v>
      </c>
      <c r="D633" s="2" t="str">
        <f t="shared" si="56"/>
        <v>April</v>
      </c>
      <c r="E633" s="2" t="str">
        <f t="shared" si="57"/>
        <v>2022</v>
      </c>
      <c r="F633" s="3" t="s">
        <v>1228</v>
      </c>
      <c r="G633" s="3" t="str">
        <f>VLOOKUP(F634,'Customers (2)'!A:I,2,0)</f>
        <v>Marjorie Yoxen</v>
      </c>
      <c r="H633" s="3" t="str">
        <f>VLOOKUP(F633,'Customers (2)'!A:I,3,0)</f>
        <v>fbrighamhg@blog.com</v>
      </c>
      <c r="I633" s="3" t="str">
        <f>VLOOKUP(F633,'Customers (2)'!A:I,4,0)</f>
        <v>+353 (620) 657-2946</v>
      </c>
      <c r="J633" s="3" t="str">
        <f>VLOOKUP(F633,'Customers (2)'!A:I,6,0)</f>
        <v>Castlerea</v>
      </c>
      <c r="K633" s="3" t="str">
        <f>VLOOKUP(F633,'Customers (2)'!A:I,7,0)</f>
        <v>Ireland</v>
      </c>
      <c r="L633" s="3" t="str">
        <f>VLOOKUP(F633,'Customers (2)'!A:I,9,0)</f>
        <v>Yes</v>
      </c>
      <c r="M633" s="4" t="s">
        <v>35</v>
      </c>
      <c r="N633" s="4" t="str">
        <f>VLOOKUP(M633,'Products (2)'!A:G,2,0)</f>
        <v>Robusta</v>
      </c>
      <c r="O633" s="4" t="str">
        <f>VLOOKUP(M633,'Products (2)'!A:G,3,0)</f>
        <v>Dark</v>
      </c>
      <c r="P633" s="4">
        <f>VLOOKUP(M633,'Products (2)'!A:G,7,0)</f>
        <v>1.2350999999999999</v>
      </c>
      <c r="Q633" s="3">
        <v>5</v>
      </c>
      <c r="R633" s="5">
        <f>INDEX([1]products!$A$1:$G$49,MATCH([1]orders!$D633,[1]products!$A$1:$A$49,0),MATCH([1]orders!K$1,[1]products!$A$1:$G$1,0))</f>
        <v>2.5</v>
      </c>
      <c r="S633" s="6">
        <f>INDEX([1]products!$A$1:$G$49,MATCH([1]orders!$D633,[1]products!$A$1:$A$49,0),MATCH([1]orders!L$1,[1]products!$A$1:$G$1,0))</f>
        <v>20.584999999999997</v>
      </c>
      <c r="T633" s="6">
        <f t="shared" si="54"/>
        <v>102.92499999999998</v>
      </c>
      <c r="U633" s="22">
        <f t="shared" si="58"/>
        <v>6.1754999999999995</v>
      </c>
      <c r="V633" s="22">
        <f t="shared" si="59"/>
        <v>6.0000000000000009</v>
      </c>
    </row>
    <row r="634" spans="1:22" x14ac:dyDescent="0.3">
      <c r="A634" s="1" t="s">
        <v>1229</v>
      </c>
      <c r="B634" s="2">
        <v>44049</v>
      </c>
      <c r="C634" s="2" t="str">
        <f t="shared" si="55"/>
        <v>Thursday</v>
      </c>
      <c r="D634" s="2" t="str">
        <f t="shared" si="56"/>
        <v>August</v>
      </c>
      <c r="E634" s="2" t="str">
        <f t="shared" si="57"/>
        <v>2020</v>
      </c>
      <c r="F634" s="3" t="s">
        <v>1230</v>
      </c>
      <c r="G634" s="3" t="str">
        <f>VLOOKUP(F635,'Customers (2)'!A:I,2,0)</f>
        <v>Gaspar McGavin</v>
      </c>
      <c r="H634" s="3" t="str">
        <f>VLOOKUP(F634,'Customers (2)'!A:I,3,0)</f>
        <v>myoxenhk@google.com</v>
      </c>
      <c r="I634" s="3" t="str">
        <f>VLOOKUP(F634,'Customers (2)'!A:I,4,0)</f>
        <v>+1 (213) 241-8051</v>
      </c>
      <c r="J634" s="3" t="str">
        <f>VLOOKUP(F634,'Customers (2)'!A:I,6,0)</f>
        <v>Los Angeles</v>
      </c>
      <c r="K634" s="3" t="str">
        <f>VLOOKUP(F634,'Customers (2)'!A:I,7,0)</f>
        <v>United States</v>
      </c>
      <c r="L634" s="3" t="str">
        <f>VLOOKUP(F634,'Customers (2)'!A:I,9,0)</f>
        <v>No</v>
      </c>
      <c r="M634" s="4" t="s">
        <v>176</v>
      </c>
      <c r="N634" s="4" t="str">
        <f>VLOOKUP(M634,'Products (2)'!A:G,2,0)</f>
        <v>Excelsa</v>
      </c>
      <c r="O634" s="4" t="str">
        <f>VLOOKUP(M634,'Products (2)'!A:G,3,0)</f>
        <v>Light</v>
      </c>
      <c r="P634" s="4">
        <f>VLOOKUP(M634,'Products (2)'!A:G,7,0)</f>
        <v>0.98009999999999997</v>
      </c>
      <c r="Q634" s="3">
        <v>4</v>
      </c>
      <c r="R634" s="5">
        <f>INDEX([1]products!$A$1:$G$49,MATCH([1]orders!$D634,[1]products!$A$1:$A$49,0),MATCH([1]orders!K$1,[1]products!$A$1:$G$1,0))</f>
        <v>0.5</v>
      </c>
      <c r="S634" s="6">
        <f>INDEX([1]products!$A$1:$G$49,MATCH([1]orders!$D634,[1]products!$A$1:$A$49,0),MATCH([1]orders!L$1,[1]products!$A$1:$G$1,0))</f>
        <v>8.91</v>
      </c>
      <c r="T634" s="6">
        <f t="shared" si="54"/>
        <v>35.64</v>
      </c>
      <c r="U634" s="22">
        <f t="shared" si="58"/>
        <v>3.9203999999999999</v>
      </c>
      <c r="V634" s="22">
        <f t="shared" si="59"/>
        <v>11</v>
      </c>
    </row>
    <row r="635" spans="1:22" x14ac:dyDescent="0.3">
      <c r="A635" s="1" t="s">
        <v>1231</v>
      </c>
      <c r="B635" s="2">
        <v>43820</v>
      </c>
      <c r="C635" s="2" t="str">
        <f t="shared" si="55"/>
        <v>Saturday</v>
      </c>
      <c r="D635" s="2" t="str">
        <f t="shared" si="56"/>
        <v>December</v>
      </c>
      <c r="E635" s="2" t="str">
        <f t="shared" si="57"/>
        <v>2019</v>
      </c>
      <c r="F635" s="3" t="s">
        <v>1232</v>
      </c>
      <c r="G635" s="3" t="str">
        <f>VLOOKUP(F636,'Customers (2)'!A:I,2,0)</f>
        <v>Lindy Uttermare</v>
      </c>
      <c r="H635" s="3" t="str">
        <f>VLOOKUP(F635,'Customers (2)'!A:I,3,0)</f>
        <v>gmcgavinhl@histats.com</v>
      </c>
      <c r="I635" s="3" t="str">
        <f>VLOOKUP(F635,'Customers (2)'!A:I,4,0)</f>
        <v>+1 (570) 745-7589</v>
      </c>
      <c r="J635" s="3" t="str">
        <f>VLOOKUP(F635,'Customers (2)'!A:I,6,0)</f>
        <v>Wilkes Barre</v>
      </c>
      <c r="K635" s="3" t="str">
        <f>VLOOKUP(F635,'Customers (2)'!A:I,7,0)</f>
        <v>United States</v>
      </c>
      <c r="L635" s="3" t="str">
        <f>VLOOKUP(F635,'Customers (2)'!A:I,9,0)</f>
        <v>No</v>
      </c>
      <c r="M635" s="4" t="s">
        <v>189</v>
      </c>
      <c r="N635" s="4" t="str">
        <f>VLOOKUP(M635,'Products (2)'!A:G,2,0)</f>
        <v>Robusta</v>
      </c>
      <c r="O635" s="4" t="str">
        <f>VLOOKUP(M635,'Products (2)'!A:G,3,0)</f>
        <v>Light</v>
      </c>
      <c r="P635" s="4">
        <f>VLOOKUP(M635,'Products (2)'!A:G,7,0)</f>
        <v>0.71699999999999997</v>
      </c>
      <c r="Q635" s="3">
        <v>4</v>
      </c>
      <c r="R635" s="5">
        <f>INDEX([1]products!$A$1:$G$49,MATCH([1]orders!$D635,[1]products!$A$1:$A$49,0),MATCH([1]orders!K$1,[1]products!$A$1:$G$1,0))</f>
        <v>1</v>
      </c>
      <c r="S635" s="6">
        <f>INDEX([1]products!$A$1:$G$49,MATCH([1]orders!$D635,[1]products!$A$1:$A$49,0),MATCH([1]orders!L$1,[1]products!$A$1:$G$1,0))</f>
        <v>11.95</v>
      </c>
      <c r="T635" s="6">
        <f t="shared" si="54"/>
        <v>47.8</v>
      </c>
      <c r="U635" s="22">
        <f t="shared" si="58"/>
        <v>2.8679999999999999</v>
      </c>
      <c r="V635" s="22">
        <f t="shared" si="59"/>
        <v>6</v>
      </c>
    </row>
    <row r="636" spans="1:22" x14ac:dyDescent="0.3">
      <c r="A636" s="1" t="s">
        <v>1233</v>
      </c>
      <c r="B636" s="2">
        <v>43940</v>
      </c>
      <c r="C636" s="2" t="str">
        <f t="shared" si="55"/>
        <v>Sunday</v>
      </c>
      <c r="D636" s="2" t="str">
        <f t="shared" si="56"/>
        <v>April</v>
      </c>
      <c r="E636" s="2" t="str">
        <f t="shared" si="57"/>
        <v>2020</v>
      </c>
      <c r="F636" s="3" t="s">
        <v>1234</v>
      </c>
      <c r="G636" s="3" t="str">
        <f>VLOOKUP(F637,'Customers (2)'!A:I,2,0)</f>
        <v>Eal D'Ambrogio</v>
      </c>
      <c r="H636" s="3" t="str">
        <f>VLOOKUP(F636,'Customers (2)'!A:I,3,0)</f>
        <v>luttermarehm@engadget.com</v>
      </c>
      <c r="I636" s="3" t="str">
        <f>VLOOKUP(F636,'Customers (2)'!A:I,4,0)</f>
        <v>+1 (817) 793-6871</v>
      </c>
      <c r="J636" s="3" t="str">
        <f>VLOOKUP(F636,'Customers (2)'!A:I,6,0)</f>
        <v>Denton</v>
      </c>
      <c r="K636" s="3" t="str">
        <f>VLOOKUP(F636,'Customers (2)'!A:I,7,0)</f>
        <v>United States</v>
      </c>
      <c r="L636" s="3" t="str">
        <f>VLOOKUP(F636,'Customers (2)'!A:I,9,0)</f>
        <v>No</v>
      </c>
      <c r="M636" s="4" t="s">
        <v>96</v>
      </c>
      <c r="N636" s="4" t="str">
        <f>VLOOKUP(M636,'Products (2)'!A:G,2,0)</f>
        <v>Liberica</v>
      </c>
      <c r="O636" s="4" t="str">
        <f>VLOOKUP(M636,'Products (2)'!A:G,3,0)</f>
        <v>Medium</v>
      </c>
      <c r="P636" s="4">
        <f>VLOOKUP(M636,'Products (2)'!A:G,7,0)</f>
        <v>1.8915000000000002</v>
      </c>
      <c r="Q636" s="3">
        <v>3</v>
      </c>
      <c r="R636" s="5">
        <f>INDEX([1]products!$A$1:$G$49,MATCH([1]orders!$D636,[1]products!$A$1:$A$49,0),MATCH([1]orders!K$1,[1]products!$A$1:$G$1,0))</f>
        <v>1</v>
      </c>
      <c r="S636" s="6">
        <f>INDEX([1]products!$A$1:$G$49,MATCH([1]orders!$D636,[1]products!$A$1:$A$49,0),MATCH([1]orders!L$1,[1]products!$A$1:$G$1,0))</f>
        <v>14.55</v>
      </c>
      <c r="T636" s="6">
        <f t="shared" si="54"/>
        <v>43.650000000000006</v>
      </c>
      <c r="U636" s="22">
        <f t="shared" si="58"/>
        <v>5.6745000000000001</v>
      </c>
      <c r="V636" s="22">
        <f t="shared" si="59"/>
        <v>12.999999999999998</v>
      </c>
    </row>
    <row r="637" spans="1:22" x14ac:dyDescent="0.3">
      <c r="A637" s="1" t="s">
        <v>1235</v>
      </c>
      <c r="B637" s="2">
        <v>44578</v>
      </c>
      <c r="C637" s="2" t="str">
        <f t="shared" si="55"/>
        <v>Monday</v>
      </c>
      <c r="D637" s="2" t="str">
        <f t="shared" si="56"/>
        <v>January</v>
      </c>
      <c r="E637" s="2" t="str">
        <f t="shared" si="57"/>
        <v>2022</v>
      </c>
      <c r="F637" s="3" t="s">
        <v>1236</v>
      </c>
      <c r="G637" s="3" t="str">
        <f>VLOOKUP(F638,'Customers (2)'!A:I,2,0)</f>
        <v>Carolee Winchcombe</v>
      </c>
      <c r="H637" s="3" t="str">
        <f>VLOOKUP(F637,'Customers (2)'!A:I,3,0)</f>
        <v>edambrogiohn@techcrunch.com</v>
      </c>
      <c r="I637" s="3" t="str">
        <f>VLOOKUP(F637,'Customers (2)'!A:I,4,0)</f>
        <v>+1 (816) 196-1729</v>
      </c>
      <c r="J637" s="3" t="str">
        <f>VLOOKUP(F637,'Customers (2)'!A:I,6,0)</f>
        <v>Lees Summit</v>
      </c>
      <c r="K637" s="3" t="str">
        <f>VLOOKUP(F637,'Customers (2)'!A:I,7,0)</f>
        <v>United States</v>
      </c>
      <c r="L637" s="3" t="str">
        <f>VLOOKUP(F637,'Customers (2)'!A:I,9,0)</f>
        <v>Yes</v>
      </c>
      <c r="M637" s="4" t="s">
        <v>176</v>
      </c>
      <c r="N637" s="4" t="str">
        <f>VLOOKUP(M637,'Products (2)'!A:G,2,0)</f>
        <v>Excelsa</v>
      </c>
      <c r="O637" s="4" t="str">
        <f>VLOOKUP(M637,'Products (2)'!A:G,3,0)</f>
        <v>Light</v>
      </c>
      <c r="P637" s="4">
        <f>VLOOKUP(M637,'Products (2)'!A:G,7,0)</f>
        <v>0.98009999999999997</v>
      </c>
      <c r="Q637" s="3">
        <v>4</v>
      </c>
      <c r="R637" s="5">
        <f>INDEX([1]products!$A$1:$G$49,MATCH([1]orders!$D637,[1]products!$A$1:$A$49,0),MATCH([1]orders!K$1,[1]products!$A$1:$G$1,0))</f>
        <v>0.5</v>
      </c>
      <c r="S637" s="6">
        <f>INDEX([1]products!$A$1:$G$49,MATCH([1]orders!$D637,[1]products!$A$1:$A$49,0),MATCH([1]orders!L$1,[1]products!$A$1:$G$1,0))</f>
        <v>8.91</v>
      </c>
      <c r="T637" s="6">
        <f t="shared" si="54"/>
        <v>35.64</v>
      </c>
      <c r="U637" s="22">
        <f t="shared" si="58"/>
        <v>3.9203999999999999</v>
      </c>
      <c r="V637" s="22">
        <f t="shared" si="59"/>
        <v>11</v>
      </c>
    </row>
    <row r="638" spans="1:22" x14ac:dyDescent="0.3">
      <c r="A638" s="1" t="s">
        <v>1237</v>
      </c>
      <c r="B638" s="2">
        <v>43487</v>
      </c>
      <c r="C638" s="2" t="str">
        <f t="shared" si="55"/>
        <v>Tuesday</v>
      </c>
      <c r="D638" s="2" t="str">
        <f t="shared" si="56"/>
        <v>January</v>
      </c>
      <c r="E638" s="2" t="str">
        <f t="shared" si="57"/>
        <v>2019</v>
      </c>
      <c r="F638" s="3" t="s">
        <v>1238</v>
      </c>
      <c r="G638" s="3" t="str">
        <f>VLOOKUP(F639,'Customers (2)'!A:I,2,0)</f>
        <v>Benedikta Paumier</v>
      </c>
      <c r="H638" s="3" t="str">
        <f>VLOOKUP(F638,'Customers (2)'!A:I,3,0)</f>
        <v>cwinchcombeho@jiathis.com</v>
      </c>
      <c r="I638" s="3" t="str">
        <f>VLOOKUP(F638,'Customers (2)'!A:I,4,0)</f>
        <v>+1 (501) 772-4397</v>
      </c>
      <c r="J638" s="3" t="str">
        <f>VLOOKUP(F638,'Customers (2)'!A:I,6,0)</f>
        <v>Little Rock</v>
      </c>
      <c r="K638" s="3" t="str">
        <f>VLOOKUP(F638,'Customers (2)'!A:I,7,0)</f>
        <v>United States</v>
      </c>
      <c r="L638" s="3" t="str">
        <f>VLOOKUP(F638,'Customers (2)'!A:I,9,0)</f>
        <v>Yes</v>
      </c>
      <c r="M638" s="4" t="s">
        <v>132</v>
      </c>
      <c r="N638" s="4" t="str">
        <f>VLOOKUP(M638,'Products (2)'!A:G,2,0)</f>
        <v>Liberica</v>
      </c>
      <c r="O638" s="4" t="str">
        <f>VLOOKUP(M638,'Products (2)'!A:G,3,0)</f>
        <v>Light</v>
      </c>
      <c r="P638" s="4">
        <f>VLOOKUP(M638,'Products (2)'!A:G,7,0)</f>
        <v>2.0605000000000002</v>
      </c>
      <c r="Q638" s="3">
        <v>6</v>
      </c>
      <c r="R638" s="5">
        <f>INDEX([1]products!$A$1:$G$49,MATCH([1]orders!$D638,[1]products!$A$1:$A$49,0),MATCH([1]orders!K$1,[1]products!$A$1:$G$1,0))</f>
        <v>1</v>
      </c>
      <c r="S638" s="6">
        <f>INDEX([1]products!$A$1:$G$49,MATCH([1]orders!$D638,[1]products!$A$1:$A$49,0),MATCH([1]orders!L$1,[1]products!$A$1:$G$1,0))</f>
        <v>15.85</v>
      </c>
      <c r="T638" s="6">
        <f t="shared" si="54"/>
        <v>95.1</v>
      </c>
      <c r="U638" s="22">
        <f t="shared" si="58"/>
        <v>12.363000000000001</v>
      </c>
      <c r="V638" s="22">
        <f t="shared" si="59"/>
        <v>13.000000000000004</v>
      </c>
    </row>
    <row r="639" spans="1:22" x14ac:dyDescent="0.3">
      <c r="A639" s="1" t="s">
        <v>1239</v>
      </c>
      <c r="B639" s="2">
        <v>43889</v>
      </c>
      <c r="C639" s="2" t="str">
        <f t="shared" si="55"/>
        <v>Friday</v>
      </c>
      <c r="D639" s="2" t="str">
        <f t="shared" si="56"/>
        <v>February</v>
      </c>
      <c r="E639" s="2" t="str">
        <f t="shared" si="57"/>
        <v>2020</v>
      </c>
      <c r="F639" s="3" t="s">
        <v>1240</v>
      </c>
      <c r="G639" s="3" t="str">
        <f>VLOOKUP(F640,'Customers (2)'!A:I,2,0)</f>
        <v>Neville Piatto</v>
      </c>
      <c r="H639" s="3" t="str">
        <f>VLOOKUP(F639,'Customers (2)'!A:I,3,0)</f>
        <v>bpaumierhp@umn.edu</v>
      </c>
      <c r="I639" s="3" t="str">
        <f>VLOOKUP(F639,'Customers (2)'!A:I,4,0)</f>
        <v>+353 (777) 856-8236</v>
      </c>
      <c r="J639" s="3" t="str">
        <f>VLOOKUP(F639,'Customers (2)'!A:I,6,0)</f>
        <v>Ballisodare</v>
      </c>
      <c r="K639" s="3" t="str">
        <f>VLOOKUP(F639,'Customers (2)'!A:I,7,0)</f>
        <v>Ireland</v>
      </c>
      <c r="L639" s="3" t="str">
        <f>VLOOKUP(F639,'Customers (2)'!A:I,9,0)</f>
        <v>Yes</v>
      </c>
      <c r="M639" s="4" t="s">
        <v>112</v>
      </c>
      <c r="N639" s="4" t="str">
        <f>VLOOKUP(M639,'Products (2)'!A:G,2,0)</f>
        <v>Excelsa</v>
      </c>
      <c r="O639" s="4" t="str">
        <f>VLOOKUP(M639,'Products (2)'!A:G,3,0)</f>
        <v>Medium</v>
      </c>
      <c r="P639" s="4">
        <f>VLOOKUP(M639,'Products (2)'!A:G,7,0)</f>
        <v>3.4787499999999998</v>
      </c>
      <c r="Q639" s="3">
        <v>1</v>
      </c>
      <c r="R639" s="5">
        <f>INDEX([1]products!$A$1:$G$49,MATCH([1]orders!$D639,[1]products!$A$1:$A$49,0),MATCH([1]orders!K$1,[1]products!$A$1:$G$1,0))</f>
        <v>2.5</v>
      </c>
      <c r="S639" s="6">
        <f>INDEX([1]products!$A$1:$G$49,MATCH([1]orders!$D639,[1]products!$A$1:$A$49,0),MATCH([1]orders!L$1,[1]products!$A$1:$G$1,0))</f>
        <v>31.624999999999996</v>
      </c>
      <c r="T639" s="6">
        <f t="shared" si="54"/>
        <v>31.624999999999996</v>
      </c>
      <c r="U639" s="22">
        <f t="shared" si="58"/>
        <v>3.4787499999999998</v>
      </c>
      <c r="V639" s="22">
        <f t="shared" si="59"/>
        <v>11</v>
      </c>
    </row>
    <row r="640" spans="1:22" x14ac:dyDescent="0.3">
      <c r="A640" s="1" t="s">
        <v>1241</v>
      </c>
      <c r="B640" s="2">
        <v>43684</v>
      </c>
      <c r="C640" s="2" t="str">
        <f t="shared" si="55"/>
        <v>Wednesday</v>
      </c>
      <c r="D640" s="2" t="str">
        <f t="shared" si="56"/>
        <v>August</v>
      </c>
      <c r="E640" s="2" t="str">
        <f t="shared" si="57"/>
        <v>2019</v>
      </c>
      <c r="F640" s="3" t="s">
        <v>1242</v>
      </c>
      <c r="G640" s="3" t="str">
        <f>VLOOKUP(F641,'Customers (2)'!A:I,2,0)</f>
        <v>Jeno Capey</v>
      </c>
      <c r="H640" s="3">
        <f>VLOOKUP(F640,'Customers (2)'!A:I,3,0)</f>
        <v>0</v>
      </c>
      <c r="I640" s="3" t="str">
        <f>VLOOKUP(F640,'Customers (2)'!A:I,4,0)</f>
        <v>+353 (573) 561-9754</v>
      </c>
      <c r="J640" s="3" t="str">
        <f>VLOOKUP(F640,'Customers (2)'!A:I,6,0)</f>
        <v>Daingean</v>
      </c>
      <c r="K640" s="3" t="str">
        <f>VLOOKUP(F640,'Customers (2)'!A:I,7,0)</f>
        <v>Ireland</v>
      </c>
      <c r="L640" s="3" t="str">
        <f>VLOOKUP(F640,'Customers (2)'!A:I,9,0)</f>
        <v>Yes</v>
      </c>
      <c r="M640" s="4" t="s">
        <v>171</v>
      </c>
      <c r="N640" s="4" t="str">
        <f>VLOOKUP(M640,'Products (2)'!A:G,2,0)</f>
        <v>Arabica</v>
      </c>
      <c r="O640" s="4" t="str">
        <f>VLOOKUP(M640,'Products (2)'!A:G,3,0)</f>
        <v>Medium</v>
      </c>
      <c r="P640" s="4">
        <f>VLOOKUP(M640,'Products (2)'!A:G,7,0)</f>
        <v>2.3287499999999994</v>
      </c>
      <c r="Q640" s="3">
        <v>3</v>
      </c>
      <c r="R640" s="5">
        <f>INDEX([1]products!$A$1:$G$49,MATCH([1]orders!$D640,[1]products!$A$1:$A$49,0),MATCH([1]orders!K$1,[1]products!$A$1:$G$1,0))</f>
        <v>2.5</v>
      </c>
      <c r="S640" s="6">
        <f>INDEX([1]products!$A$1:$G$49,MATCH([1]orders!$D640,[1]products!$A$1:$A$49,0),MATCH([1]orders!L$1,[1]products!$A$1:$G$1,0))</f>
        <v>25.874999999999996</v>
      </c>
      <c r="T640" s="6">
        <f t="shared" si="54"/>
        <v>77.624999999999986</v>
      </c>
      <c r="U640" s="22">
        <f t="shared" si="58"/>
        <v>6.9862499999999983</v>
      </c>
      <c r="V640" s="22">
        <f t="shared" si="59"/>
        <v>9</v>
      </c>
    </row>
    <row r="641" spans="1:22" x14ac:dyDescent="0.3">
      <c r="A641" s="1" t="s">
        <v>1243</v>
      </c>
      <c r="B641" s="2">
        <v>44331</v>
      </c>
      <c r="C641" s="2" t="str">
        <f t="shared" si="55"/>
        <v>Saturday</v>
      </c>
      <c r="D641" s="2" t="str">
        <f t="shared" si="56"/>
        <v>May</v>
      </c>
      <c r="E641" s="2" t="str">
        <f t="shared" si="57"/>
        <v>2021</v>
      </c>
      <c r="F641" s="3" t="s">
        <v>1244</v>
      </c>
      <c r="G641" s="3" t="str">
        <f>VLOOKUP(F642,'Customers (2)'!A:I,2,0)</f>
        <v>Tuckie Mathonnet</v>
      </c>
      <c r="H641" s="3" t="str">
        <f>VLOOKUP(F641,'Customers (2)'!A:I,3,0)</f>
        <v>jcapeyhr@bravesites.com</v>
      </c>
      <c r="I641" s="3" t="str">
        <f>VLOOKUP(F641,'Customers (2)'!A:I,4,0)</f>
        <v>+1 (814) 974-7878</v>
      </c>
      <c r="J641" s="3" t="str">
        <f>VLOOKUP(F641,'Customers (2)'!A:I,6,0)</f>
        <v>Erie</v>
      </c>
      <c r="K641" s="3" t="str">
        <f>VLOOKUP(F641,'Customers (2)'!A:I,7,0)</f>
        <v>United States</v>
      </c>
      <c r="L641" s="3" t="str">
        <f>VLOOKUP(F641,'Customers (2)'!A:I,9,0)</f>
        <v>Yes</v>
      </c>
      <c r="M641" s="4" t="s">
        <v>38</v>
      </c>
      <c r="N641" s="4" t="str">
        <f>VLOOKUP(M641,'Products (2)'!A:G,2,0)</f>
        <v>Liberica</v>
      </c>
      <c r="O641" s="4" t="str">
        <f>VLOOKUP(M641,'Products (2)'!A:G,3,0)</f>
        <v>Dark</v>
      </c>
      <c r="P641" s="4">
        <f>VLOOKUP(M641,'Products (2)'!A:G,7,0)</f>
        <v>0.50505</v>
      </c>
      <c r="Q641" s="3">
        <v>1</v>
      </c>
      <c r="R641" s="5">
        <f>INDEX([1]products!$A$1:$G$49,MATCH([1]orders!$D641,[1]products!$A$1:$A$49,0),MATCH([1]orders!K$1,[1]products!$A$1:$G$1,0))</f>
        <v>0.2</v>
      </c>
      <c r="S641" s="6">
        <f>INDEX([1]products!$A$1:$G$49,MATCH([1]orders!$D641,[1]products!$A$1:$A$49,0),MATCH([1]orders!L$1,[1]products!$A$1:$G$1,0))</f>
        <v>3.8849999999999998</v>
      </c>
      <c r="T641" s="6">
        <f t="shared" si="54"/>
        <v>3.8849999999999998</v>
      </c>
      <c r="U641" s="22">
        <f t="shared" si="58"/>
        <v>0.50505</v>
      </c>
      <c r="V641" s="22">
        <f t="shared" si="59"/>
        <v>13</v>
      </c>
    </row>
    <row r="642" spans="1:22" x14ac:dyDescent="0.3">
      <c r="A642" s="1" t="s">
        <v>1245</v>
      </c>
      <c r="B642" s="2">
        <v>44547</v>
      </c>
      <c r="C642" s="2" t="str">
        <f t="shared" si="55"/>
        <v>Friday</v>
      </c>
      <c r="D642" s="2" t="str">
        <f t="shared" si="56"/>
        <v>December</v>
      </c>
      <c r="E642" s="2" t="str">
        <f t="shared" si="57"/>
        <v>2021</v>
      </c>
      <c r="F642" s="3" t="s">
        <v>1246</v>
      </c>
      <c r="G642" s="3" t="str">
        <f>VLOOKUP(F643,'Customers (2)'!A:I,2,0)</f>
        <v>Yardley Basill</v>
      </c>
      <c r="H642" s="3" t="str">
        <f>VLOOKUP(F642,'Customers (2)'!A:I,3,0)</f>
        <v>tmathonneti0@google.co.jp</v>
      </c>
      <c r="I642" s="3" t="str">
        <f>VLOOKUP(F642,'Customers (2)'!A:I,4,0)</f>
        <v>+1 (614) 781-0396</v>
      </c>
      <c r="J642" s="3" t="str">
        <f>VLOOKUP(F642,'Customers (2)'!A:I,6,0)</f>
        <v>Columbus</v>
      </c>
      <c r="K642" s="3" t="str">
        <f>VLOOKUP(F642,'Customers (2)'!A:I,7,0)</f>
        <v>United States</v>
      </c>
      <c r="L642" s="3" t="str">
        <f>VLOOKUP(F642,'Customers (2)'!A:I,9,0)</f>
        <v>No</v>
      </c>
      <c r="M642" s="4" t="s">
        <v>10</v>
      </c>
      <c r="N642" s="4" t="str">
        <f>VLOOKUP(M642,'Products (2)'!A:G,2,0)</f>
        <v>Robusta</v>
      </c>
      <c r="O642" s="4" t="str">
        <f>VLOOKUP(M642,'Products (2)'!A:G,3,0)</f>
        <v>Light</v>
      </c>
      <c r="P642" s="4">
        <f>VLOOKUP(M642,'Products (2)'!A:G,7,0)</f>
        <v>1.6490999999999998</v>
      </c>
      <c r="Q642" s="3">
        <v>5</v>
      </c>
      <c r="R642" s="5">
        <f>INDEX([1]products!$A$1:$G$49,MATCH([1]orders!$D642,[1]products!$A$1:$A$49,0),MATCH([1]orders!K$1,[1]products!$A$1:$G$1,0))</f>
        <v>2.5</v>
      </c>
      <c r="S642" s="6">
        <f>INDEX([1]products!$A$1:$G$49,MATCH([1]orders!$D642,[1]products!$A$1:$A$49,0),MATCH([1]orders!L$1,[1]products!$A$1:$G$1,0))</f>
        <v>27.484999999999996</v>
      </c>
      <c r="T642" s="6">
        <f t="shared" ref="T642:T705" si="60">Q642*S642</f>
        <v>137.42499999999998</v>
      </c>
      <c r="U642" s="22">
        <f t="shared" si="58"/>
        <v>8.2454999999999998</v>
      </c>
      <c r="V642" s="22">
        <f t="shared" si="59"/>
        <v>6.0000000000000009</v>
      </c>
    </row>
    <row r="643" spans="1:22" x14ac:dyDescent="0.3">
      <c r="A643" s="1" t="s">
        <v>1247</v>
      </c>
      <c r="B643" s="2">
        <v>44448</v>
      </c>
      <c r="C643" s="2" t="str">
        <f t="shared" ref="C643:C706" si="61">TEXT(B643,"dddd")</f>
        <v>Thursday</v>
      </c>
      <c r="D643" s="2" t="str">
        <f t="shared" ref="D643:D706" si="62">TEXT(B643,"MMMM")</f>
        <v>September</v>
      </c>
      <c r="E643" s="2" t="str">
        <f t="shared" ref="E643:E706" si="63">TEXT(B643,"YYYY")</f>
        <v>2021</v>
      </c>
      <c r="F643" s="3" t="s">
        <v>1248</v>
      </c>
      <c r="G643" s="3" t="str">
        <f>VLOOKUP(F644,'Customers (2)'!A:I,2,0)</f>
        <v>Maggy Baistow</v>
      </c>
      <c r="H643" s="3" t="str">
        <f>VLOOKUP(F643,'Customers (2)'!A:I,3,0)</f>
        <v>ybasillht@theguardian.com</v>
      </c>
      <c r="I643" s="3" t="str">
        <f>VLOOKUP(F643,'Customers (2)'!A:I,4,0)</f>
        <v>+1 (412) 297-2806</v>
      </c>
      <c r="J643" s="3" t="str">
        <f>VLOOKUP(F643,'Customers (2)'!A:I,6,0)</f>
        <v>Pittsburgh</v>
      </c>
      <c r="K643" s="3" t="str">
        <f>VLOOKUP(F643,'Customers (2)'!A:I,7,0)</f>
        <v>United States</v>
      </c>
      <c r="L643" s="3" t="str">
        <f>VLOOKUP(F643,'Customers (2)'!A:I,9,0)</f>
        <v>Yes</v>
      </c>
      <c r="M643" s="4" t="s">
        <v>189</v>
      </c>
      <c r="N643" s="4" t="str">
        <f>VLOOKUP(M643,'Products (2)'!A:G,2,0)</f>
        <v>Robusta</v>
      </c>
      <c r="O643" s="4" t="str">
        <f>VLOOKUP(M643,'Products (2)'!A:G,3,0)</f>
        <v>Light</v>
      </c>
      <c r="P643" s="4">
        <f>VLOOKUP(M643,'Products (2)'!A:G,7,0)</f>
        <v>0.71699999999999997</v>
      </c>
      <c r="Q643" s="3">
        <v>3</v>
      </c>
      <c r="R643" s="5">
        <f>INDEX([1]products!$A$1:$G$49,MATCH([1]orders!$D643,[1]products!$A$1:$A$49,0),MATCH([1]orders!K$1,[1]products!$A$1:$G$1,0))</f>
        <v>1</v>
      </c>
      <c r="S643" s="6">
        <f>INDEX([1]products!$A$1:$G$49,MATCH([1]orders!$D643,[1]products!$A$1:$A$49,0),MATCH([1]orders!L$1,[1]products!$A$1:$G$1,0))</f>
        <v>11.95</v>
      </c>
      <c r="T643" s="6">
        <f t="shared" si="60"/>
        <v>35.849999999999994</v>
      </c>
      <c r="U643" s="22">
        <f t="shared" ref="U643:U706" si="64">Q643*P643</f>
        <v>2.1509999999999998</v>
      </c>
      <c r="V643" s="22">
        <f t="shared" ref="V643:V706" si="65">U643/T643*100</f>
        <v>6.0000000000000009</v>
      </c>
    </row>
    <row r="644" spans="1:22" x14ac:dyDescent="0.3">
      <c r="A644" s="1" t="s">
        <v>1249</v>
      </c>
      <c r="B644" s="2">
        <v>43880</v>
      </c>
      <c r="C644" s="2" t="str">
        <f t="shared" si="61"/>
        <v>Wednesday</v>
      </c>
      <c r="D644" s="2" t="str">
        <f t="shared" si="62"/>
        <v>February</v>
      </c>
      <c r="E644" s="2" t="str">
        <f t="shared" si="63"/>
        <v>2020</v>
      </c>
      <c r="F644" s="3" t="s">
        <v>1250</v>
      </c>
      <c r="G644" s="3" t="str">
        <f>VLOOKUP(F645,'Customers (2)'!A:I,2,0)</f>
        <v>Courtney Pallant</v>
      </c>
      <c r="H644" s="3" t="str">
        <f>VLOOKUP(F644,'Customers (2)'!A:I,3,0)</f>
        <v>mbaistowhu@i2i.jp</v>
      </c>
      <c r="I644" s="3" t="str">
        <f>VLOOKUP(F644,'Customers (2)'!A:I,4,0)</f>
        <v>+44 (876) 508-3376</v>
      </c>
      <c r="J644" s="3" t="str">
        <f>VLOOKUP(F644,'Customers (2)'!A:I,6,0)</f>
        <v>Ford</v>
      </c>
      <c r="K644" s="3" t="str">
        <f>VLOOKUP(F644,'Customers (2)'!A:I,7,0)</f>
        <v>United Kingdom</v>
      </c>
      <c r="L644" s="3" t="str">
        <f>VLOOKUP(F644,'Customers (2)'!A:I,9,0)</f>
        <v>Yes</v>
      </c>
      <c r="M644" s="4" t="s">
        <v>64</v>
      </c>
      <c r="N644" s="4" t="str">
        <f>VLOOKUP(M644,'Products (2)'!A:G,2,0)</f>
        <v>Excelsa</v>
      </c>
      <c r="O644" s="4" t="str">
        <f>VLOOKUP(M644,'Products (2)'!A:G,3,0)</f>
        <v>Medium</v>
      </c>
      <c r="P644" s="4">
        <f>VLOOKUP(M644,'Products (2)'!A:G,7,0)</f>
        <v>0.45374999999999999</v>
      </c>
      <c r="Q644" s="3">
        <v>2</v>
      </c>
      <c r="R644" s="5">
        <f>INDEX([1]products!$A$1:$G$49,MATCH([1]orders!$D644,[1]products!$A$1:$A$49,0),MATCH([1]orders!K$1,[1]products!$A$1:$G$1,0))</f>
        <v>0.2</v>
      </c>
      <c r="S644" s="6">
        <f>INDEX([1]products!$A$1:$G$49,MATCH([1]orders!$D644,[1]products!$A$1:$A$49,0),MATCH([1]orders!L$1,[1]products!$A$1:$G$1,0))</f>
        <v>4.125</v>
      </c>
      <c r="T644" s="6">
        <f t="shared" si="60"/>
        <v>8.25</v>
      </c>
      <c r="U644" s="22">
        <f t="shared" si="64"/>
        <v>0.90749999999999997</v>
      </c>
      <c r="V644" s="22">
        <f t="shared" si="65"/>
        <v>11</v>
      </c>
    </row>
    <row r="645" spans="1:22" x14ac:dyDescent="0.3">
      <c r="A645" s="1" t="s">
        <v>1251</v>
      </c>
      <c r="B645" s="2">
        <v>44011</v>
      </c>
      <c r="C645" s="2" t="str">
        <f t="shared" si="61"/>
        <v>Monday</v>
      </c>
      <c r="D645" s="2" t="str">
        <f t="shared" si="62"/>
        <v>June</v>
      </c>
      <c r="E645" s="2" t="str">
        <f t="shared" si="63"/>
        <v>2020</v>
      </c>
      <c r="F645" s="3" t="s">
        <v>1252</v>
      </c>
      <c r="G645" s="3" t="str">
        <f>VLOOKUP(F646,'Customers (2)'!A:I,2,0)</f>
        <v>Marne Mingey</v>
      </c>
      <c r="H645" s="3" t="str">
        <f>VLOOKUP(F645,'Customers (2)'!A:I,3,0)</f>
        <v>cpallanthv@typepad.com</v>
      </c>
      <c r="I645" s="3">
        <f>VLOOKUP(F645,'Customers (2)'!A:I,4,0)</f>
        <v>0</v>
      </c>
      <c r="J645" s="3" t="str">
        <f>VLOOKUP(F645,'Customers (2)'!A:I,6,0)</f>
        <v>Dallas</v>
      </c>
      <c r="K645" s="3" t="str">
        <f>VLOOKUP(F645,'Customers (2)'!A:I,7,0)</f>
        <v>United States</v>
      </c>
      <c r="L645" s="3" t="str">
        <f>VLOOKUP(F645,'Customers (2)'!A:I,9,0)</f>
        <v>Yes</v>
      </c>
      <c r="M645" s="4" t="s">
        <v>30</v>
      </c>
      <c r="N645" s="4" t="str">
        <f>VLOOKUP(M645,'Products (2)'!A:G,2,0)</f>
        <v>Excelsa</v>
      </c>
      <c r="O645" s="4" t="str">
        <f>VLOOKUP(M645,'Products (2)'!A:G,3,0)</f>
        <v>Light</v>
      </c>
      <c r="P645" s="4">
        <f>VLOOKUP(M645,'Products (2)'!A:G,7,0)</f>
        <v>3.7570499999999996</v>
      </c>
      <c r="Q645" s="3">
        <v>3</v>
      </c>
      <c r="R645" s="5">
        <f>INDEX([1]products!$A$1:$G$49,MATCH([1]orders!$D645,[1]products!$A$1:$A$49,0),MATCH([1]orders!K$1,[1]products!$A$1:$G$1,0))</f>
        <v>2.5</v>
      </c>
      <c r="S645" s="6">
        <f>INDEX([1]products!$A$1:$G$49,MATCH([1]orders!$D645,[1]products!$A$1:$A$49,0),MATCH([1]orders!L$1,[1]products!$A$1:$G$1,0))</f>
        <v>34.154999999999994</v>
      </c>
      <c r="T645" s="6">
        <f t="shared" si="60"/>
        <v>102.46499999999997</v>
      </c>
      <c r="U645" s="22">
        <f t="shared" si="64"/>
        <v>11.271149999999999</v>
      </c>
      <c r="V645" s="22">
        <f t="shared" si="65"/>
        <v>11.000000000000002</v>
      </c>
    </row>
    <row r="646" spans="1:22" x14ac:dyDescent="0.3">
      <c r="A646" s="1" t="s">
        <v>1253</v>
      </c>
      <c r="B646" s="2">
        <v>44694</v>
      </c>
      <c r="C646" s="2" t="str">
        <f t="shared" si="61"/>
        <v>Friday</v>
      </c>
      <c r="D646" s="2" t="str">
        <f t="shared" si="62"/>
        <v>May</v>
      </c>
      <c r="E646" s="2" t="str">
        <f t="shared" si="63"/>
        <v>2022</v>
      </c>
      <c r="F646" s="3" t="s">
        <v>1254</v>
      </c>
      <c r="G646" s="3" t="str">
        <f>VLOOKUP(F647,'Customers (2)'!A:I,2,0)</f>
        <v>Denny O' Ronan</v>
      </c>
      <c r="H646" s="3">
        <f>VLOOKUP(F646,'Customers (2)'!A:I,3,0)</f>
        <v>0</v>
      </c>
      <c r="I646" s="3" t="str">
        <f>VLOOKUP(F646,'Customers (2)'!A:I,4,0)</f>
        <v>+1 (786) 445-8879</v>
      </c>
      <c r="J646" s="3" t="str">
        <f>VLOOKUP(F646,'Customers (2)'!A:I,6,0)</f>
        <v>Miami</v>
      </c>
      <c r="K646" s="3" t="str">
        <f>VLOOKUP(F646,'Customers (2)'!A:I,7,0)</f>
        <v>United States</v>
      </c>
      <c r="L646" s="3" t="str">
        <f>VLOOKUP(F646,'Customers (2)'!A:I,9,0)</f>
        <v>No</v>
      </c>
      <c r="M646" s="4" t="s">
        <v>35</v>
      </c>
      <c r="N646" s="4" t="str">
        <f>VLOOKUP(M646,'Products (2)'!A:G,2,0)</f>
        <v>Robusta</v>
      </c>
      <c r="O646" s="4" t="str">
        <f>VLOOKUP(M646,'Products (2)'!A:G,3,0)</f>
        <v>Dark</v>
      </c>
      <c r="P646" s="4">
        <f>VLOOKUP(M646,'Products (2)'!A:G,7,0)</f>
        <v>1.2350999999999999</v>
      </c>
      <c r="Q646" s="3">
        <v>2</v>
      </c>
      <c r="R646" s="5">
        <f>INDEX([1]products!$A$1:$G$49,MATCH([1]orders!$D646,[1]products!$A$1:$A$49,0),MATCH([1]orders!K$1,[1]products!$A$1:$G$1,0))</f>
        <v>2.5</v>
      </c>
      <c r="S646" s="6">
        <f>INDEX([1]products!$A$1:$G$49,MATCH([1]orders!$D646,[1]products!$A$1:$A$49,0),MATCH([1]orders!L$1,[1]products!$A$1:$G$1,0))</f>
        <v>20.584999999999997</v>
      </c>
      <c r="T646" s="6">
        <f t="shared" si="60"/>
        <v>41.169999999999995</v>
      </c>
      <c r="U646" s="22">
        <f t="shared" si="64"/>
        <v>2.4701999999999997</v>
      </c>
      <c r="V646" s="22">
        <f t="shared" si="65"/>
        <v>6.0000000000000009</v>
      </c>
    </row>
    <row r="647" spans="1:22" x14ac:dyDescent="0.3">
      <c r="A647" s="1" t="s">
        <v>1255</v>
      </c>
      <c r="B647" s="2">
        <v>44106</v>
      </c>
      <c r="C647" s="2" t="str">
        <f t="shared" si="61"/>
        <v>Friday</v>
      </c>
      <c r="D647" s="2" t="str">
        <f t="shared" si="62"/>
        <v>October</v>
      </c>
      <c r="E647" s="2" t="str">
        <f t="shared" si="63"/>
        <v>2020</v>
      </c>
      <c r="F647" s="3" t="s">
        <v>1256</v>
      </c>
      <c r="G647" s="3" t="str">
        <f>VLOOKUP(F648,'Customers (2)'!A:I,2,0)</f>
        <v>Dottie Rallin</v>
      </c>
      <c r="H647" s="3" t="str">
        <f>VLOOKUP(F647,'Customers (2)'!A:I,3,0)</f>
        <v>dohx@redcross.org</v>
      </c>
      <c r="I647" s="3" t="str">
        <f>VLOOKUP(F647,'Customers (2)'!A:I,4,0)</f>
        <v>+1 (325) 276-3690</v>
      </c>
      <c r="J647" s="3" t="str">
        <f>VLOOKUP(F647,'Customers (2)'!A:I,6,0)</f>
        <v>San Angelo</v>
      </c>
      <c r="K647" s="3" t="str">
        <f>VLOOKUP(F647,'Customers (2)'!A:I,7,0)</f>
        <v>United States</v>
      </c>
      <c r="L647" s="3" t="str">
        <f>VLOOKUP(F647,'Customers (2)'!A:I,9,0)</f>
        <v>Yes</v>
      </c>
      <c r="M647" s="4" t="s">
        <v>118</v>
      </c>
      <c r="N647" s="4" t="str">
        <f>VLOOKUP(M647,'Products (2)'!A:G,2,0)</f>
        <v>Arabica</v>
      </c>
      <c r="O647" s="4" t="str">
        <f>VLOOKUP(M647,'Products (2)'!A:G,3,0)</f>
        <v>Dark</v>
      </c>
      <c r="P647" s="4">
        <f>VLOOKUP(M647,'Products (2)'!A:G,7,0)</f>
        <v>2.0596499999999995</v>
      </c>
      <c r="Q647" s="3">
        <v>3</v>
      </c>
      <c r="R647" s="5">
        <f>INDEX([1]products!$A$1:$G$49,MATCH([1]orders!$D647,[1]products!$A$1:$A$49,0),MATCH([1]orders!K$1,[1]products!$A$1:$G$1,0))</f>
        <v>2.5</v>
      </c>
      <c r="S647" s="6">
        <f>INDEX([1]products!$A$1:$G$49,MATCH([1]orders!$D647,[1]products!$A$1:$A$49,0),MATCH([1]orders!L$1,[1]products!$A$1:$G$1,0))</f>
        <v>22.884999999999998</v>
      </c>
      <c r="T647" s="6">
        <f t="shared" si="60"/>
        <v>68.655000000000001</v>
      </c>
      <c r="U647" s="22">
        <f t="shared" si="64"/>
        <v>6.1789499999999986</v>
      </c>
      <c r="V647" s="22">
        <f t="shared" si="65"/>
        <v>8.9999999999999982</v>
      </c>
    </row>
    <row r="648" spans="1:22" x14ac:dyDescent="0.3">
      <c r="A648" s="1" t="s">
        <v>1257</v>
      </c>
      <c r="B648" s="2">
        <v>44532</v>
      </c>
      <c r="C648" s="2" t="str">
        <f t="shared" si="61"/>
        <v>Thursday</v>
      </c>
      <c r="D648" s="2" t="str">
        <f t="shared" si="62"/>
        <v>December</v>
      </c>
      <c r="E648" s="2" t="str">
        <f t="shared" si="63"/>
        <v>2021</v>
      </c>
      <c r="F648" s="3" t="s">
        <v>1258</v>
      </c>
      <c r="G648" s="3" t="str">
        <f>VLOOKUP(F649,'Customers (2)'!A:I,2,0)</f>
        <v>Ardith Chill</v>
      </c>
      <c r="H648" s="3" t="str">
        <f>VLOOKUP(F648,'Customers (2)'!A:I,3,0)</f>
        <v>drallinhy@howstuffworks.com</v>
      </c>
      <c r="I648" s="3" t="str">
        <f>VLOOKUP(F648,'Customers (2)'!A:I,4,0)</f>
        <v>+1 (518) 981-1531</v>
      </c>
      <c r="J648" s="3" t="str">
        <f>VLOOKUP(F648,'Customers (2)'!A:I,6,0)</f>
        <v>Albany</v>
      </c>
      <c r="K648" s="3" t="str">
        <f>VLOOKUP(F648,'Customers (2)'!A:I,7,0)</f>
        <v>United States</v>
      </c>
      <c r="L648" s="3" t="str">
        <f>VLOOKUP(F648,'Customers (2)'!A:I,9,0)</f>
        <v>Yes</v>
      </c>
      <c r="M648" s="4" t="s">
        <v>27</v>
      </c>
      <c r="N648" s="4" t="str">
        <f>VLOOKUP(M648,'Products (2)'!A:G,2,0)</f>
        <v>Arabica</v>
      </c>
      <c r="O648" s="4" t="str">
        <f>VLOOKUP(M648,'Products (2)'!A:G,3,0)</f>
        <v>Dark</v>
      </c>
      <c r="P648" s="4">
        <f>VLOOKUP(M648,'Products (2)'!A:G,7,0)</f>
        <v>0.89549999999999985</v>
      </c>
      <c r="Q648" s="3">
        <v>1</v>
      </c>
      <c r="R648" s="5">
        <f>INDEX([1]products!$A$1:$G$49,MATCH([1]orders!$D648,[1]products!$A$1:$A$49,0),MATCH([1]orders!K$1,[1]products!$A$1:$G$1,0))</f>
        <v>1</v>
      </c>
      <c r="S648" s="6">
        <f>INDEX([1]products!$A$1:$G$49,MATCH([1]orders!$D648,[1]products!$A$1:$A$49,0),MATCH([1]orders!L$1,[1]products!$A$1:$G$1,0))</f>
        <v>9.9499999999999993</v>
      </c>
      <c r="T648" s="6">
        <f t="shared" si="60"/>
        <v>9.9499999999999993</v>
      </c>
      <c r="U648" s="22">
        <f t="shared" si="64"/>
        <v>0.89549999999999985</v>
      </c>
      <c r="V648" s="22">
        <f t="shared" si="65"/>
        <v>9</v>
      </c>
    </row>
    <row r="649" spans="1:22" x14ac:dyDescent="0.3">
      <c r="A649" s="1" t="s">
        <v>1259</v>
      </c>
      <c r="B649" s="2">
        <v>44502</v>
      </c>
      <c r="C649" s="2" t="str">
        <f t="shared" si="61"/>
        <v>Tuesday</v>
      </c>
      <c r="D649" s="2" t="str">
        <f t="shared" si="62"/>
        <v>November</v>
      </c>
      <c r="E649" s="2" t="str">
        <f t="shared" si="63"/>
        <v>2021</v>
      </c>
      <c r="F649" s="3" t="s">
        <v>1260</v>
      </c>
      <c r="G649" s="3" t="str">
        <f>VLOOKUP(F650,'Customers (2)'!A:I,2,0)</f>
        <v>Tuckie Mathonnet</v>
      </c>
      <c r="H649" s="3" t="str">
        <f>VLOOKUP(F649,'Customers (2)'!A:I,3,0)</f>
        <v>achillhz@epa.gov</v>
      </c>
      <c r="I649" s="3" t="str">
        <f>VLOOKUP(F649,'Customers (2)'!A:I,4,0)</f>
        <v>+44 (411) 344-1320</v>
      </c>
      <c r="J649" s="3" t="str">
        <f>VLOOKUP(F649,'Customers (2)'!A:I,6,0)</f>
        <v>Thorpe</v>
      </c>
      <c r="K649" s="3" t="str">
        <f>VLOOKUP(F649,'Customers (2)'!A:I,7,0)</f>
        <v>United Kingdom</v>
      </c>
      <c r="L649" s="3" t="str">
        <f>VLOOKUP(F649,'Customers (2)'!A:I,9,0)</f>
        <v>Yes</v>
      </c>
      <c r="M649" s="4" t="s">
        <v>83</v>
      </c>
      <c r="N649" s="4" t="str">
        <f>VLOOKUP(M649,'Products (2)'!A:G,2,0)</f>
        <v>Liberica</v>
      </c>
      <c r="O649" s="4" t="str">
        <f>VLOOKUP(M649,'Products (2)'!A:G,3,0)</f>
        <v>Light</v>
      </c>
      <c r="P649" s="4">
        <f>VLOOKUP(M649,'Products (2)'!A:G,7,0)</f>
        <v>1.2363</v>
      </c>
      <c r="Q649" s="3">
        <v>3</v>
      </c>
      <c r="R649" s="5">
        <f>INDEX([1]products!$A$1:$G$49,MATCH([1]orders!$D649,[1]products!$A$1:$A$49,0),MATCH([1]orders!K$1,[1]products!$A$1:$G$1,0))</f>
        <v>0.5</v>
      </c>
      <c r="S649" s="6">
        <f>INDEX([1]products!$A$1:$G$49,MATCH([1]orders!$D649,[1]products!$A$1:$A$49,0),MATCH([1]orders!L$1,[1]products!$A$1:$G$1,0))</f>
        <v>9.51</v>
      </c>
      <c r="T649" s="6">
        <f t="shared" si="60"/>
        <v>28.53</v>
      </c>
      <c r="U649" s="22">
        <f t="shared" si="64"/>
        <v>3.7088999999999999</v>
      </c>
      <c r="V649" s="22">
        <f t="shared" si="65"/>
        <v>12.999999999999998</v>
      </c>
    </row>
    <row r="650" spans="1:22" x14ac:dyDescent="0.3">
      <c r="A650" s="1" t="s">
        <v>1261</v>
      </c>
      <c r="B650" s="2">
        <v>43884</v>
      </c>
      <c r="C650" s="2" t="str">
        <f t="shared" si="61"/>
        <v>Sunday</v>
      </c>
      <c r="D650" s="2" t="str">
        <f t="shared" si="62"/>
        <v>February</v>
      </c>
      <c r="E650" s="2" t="str">
        <f t="shared" si="63"/>
        <v>2020</v>
      </c>
      <c r="F650" s="3" t="s">
        <v>1246</v>
      </c>
      <c r="G650" s="3" t="str">
        <f>VLOOKUP(F651,'Customers (2)'!A:I,2,0)</f>
        <v>Charmane Denys</v>
      </c>
      <c r="H650" s="3" t="str">
        <f>VLOOKUP(F650,'Customers (2)'!A:I,3,0)</f>
        <v>tmathonneti0@google.co.jp</v>
      </c>
      <c r="I650" s="3" t="str">
        <f>VLOOKUP(F650,'Customers (2)'!A:I,4,0)</f>
        <v>+1 (614) 781-0396</v>
      </c>
      <c r="J650" s="3" t="str">
        <f>VLOOKUP(F650,'Customers (2)'!A:I,6,0)</f>
        <v>Columbus</v>
      </c>
      <c r="K650" s="3" t="str">
        <f>VLOOKUP(F650,'Customers (2)'!A:I,7,0)</f>
        <v>United States</v>
      </c>
      <c r="L650" s="3" t="str">
        <f>VLOOKUP(F650,'Customers (2)'!A:I,9,0)</f>
        <v>No</v>
      </c>
      <c r="M650" s="4" t="s">
        <v>101</v>
      </c>
      <c r="N650" s="4" t="str">
        <f>VLOOKUP(M650,'Products (2)'!A:G,2,0)</f>
        <v>Robusta</v>
      </c>
      <c r="O650" s="4" t="str">
        <f>VLOOKUP(M650,'Products (2)'!A:G,3,0)</f>
        <v>Dark</v>
      </c>
      <c r="P650" s="4">
        <f>VLOOKUP(M650,'Products (2)'!A:G,7,0)</f>
        <v>0.16109999999999997</v>
      </c>
      <c r="Q650" s="3">
        <v>6</v>
      </c>
      <c r="R650" s="5">
        <f>INDEX([1]products!$A$1:$G$49,MATCH([1]orders!$D650,[1]products!$A$1:$A$49,0),MATCH([1]orders!K$1,[1]products!$A$1:$G$1,0))</f>
        <v>0.2</v>
      </c>
      <c r="S650" s="6">
        <f>INDEX([1]products!$A$1:$G$49,MATCH([1]orders!$D650,[1]products!$A$1:$A$49,0),MATCH([1]orders!L$1,[1]products!$A$1:$G$1,0))</f>
        <v>2.6849999999999996</v>
      </c>
      <c r="T650" s="6">
        <f t="shared" si="60"/>
        <v>16.11</v>
      </c>
      <c r="U650" s="22">
        <f t="shared" si="64"/>
        <v>0.96659999999999979</v>
      </c>
      <c r="V650" s="22">
        <f t="shared" si="65"/>
        <v>5.9999999999999991</v>
      </c>
    </row>
    <row r="651" spans="1:22" x14ac:dyDescent="0.3">
      <c r="A651" s="1" t="s">
        <v>1262</v>
      </c>
      <c r="B651" s="2">
        <v>44015</v>
      </c>
      <c r="C651" s="2" t="str">
        <f t="shared" si="61"/>
        <v>Friday</v>
      </c>
      <c r="D651" s="2" t="str">
        <f t="shared" si="62"/>
        <v>July</v>
      </c>
      <c r="E651" s="2" t="str">
        <f t="shared" si="63"/>
        <v>2020</v>
      </c>
      <c r="F651" s="3" t="s">
        <v>1263</v>
      </c>
      <c r="G651" s="3" t="str">
        <f>VLOOKUP(F652,'Customers (2)'!A:I,2,0)</f>
        <v>Cecily Stebbings</v>
      </c>
      <c r="H651" s="3" t="str">
        <f>VLOOKUP(F651,'Customers (2)'!A:I,3,0)</f>
        <v>cdenysi1@is.gd</v>
      </c>
      <c r="I651" s="3" t="str">
        <f>VLOOKUP(F651,'Customers (2)'!A:I,4,0)</f>
        <v>+44 (341) 297-2539</v>
      </c>
      <c r="J651" s="3" t="str">
        <f>VLOOKUP(F651,'Customers (2)'!A:I,6,0)</f>
        <v>Carlton</v>
      </c>
      <c r="K651" s="3" t="str">
        <f>VLOOKUP(F651,'Customers (2)'!A:I,7,0)</f>
        <v>United Kingdom</v>
      </c>
      <c r="L651" s="3" t="str">
        <f>VLOOKUP(F651,'Customers (2)'!A:I,9,0)</f>
        <v>No</v>
      </c>
      <c r="M651" s="4" t="s">
        <v>132</v>
      </c>
      <c r="N651" s="4" t="str">
        <f>VLOOKUP(M651,'Products (2)'!A:G,2,0)</f>
        <v>Liberica</v>
      </c>
      <c r="O651" s="4" t="str">
        <f>VLOOKUP(M651,'Products (2)'!A:G,3,0)</f>
        <v>Light</v>
      </c>
      <c r="P651" s="4">
        <f>VLOOKUP(M651,'Products (2)'!A:G,7,0)</f>
        <v>2.0605000000000002</v>
      </c>
      <c r="Q651" s="3">
        <v>6</v>
      </c>
      <c r="R651" s="5">
        <f>INDEX([1]products!$A$1:$G$49,MATCH([1]orders!$D651,[1]products!$A$1:$A$49,0),MATCH([1]orders!K$1,[1]products!$A$1:$G$1,0))</f>
        <v>1</v>
      </c>
      <c r="S651" s="6">
        <f>INDEX([1]products!$A$1:$G$49,MATCH([1]orders!$D651,[1]products!$A$1:$A$49,0),MATCH([1]orders!L$1,[1]products!$A$1:$G$1,0))</f>
        <v>15.85</v>
      </c>
      <c r="T651" s="6">
        <f t="shared" si="60"/>
        <v>95.1</v>
      </c>
      <c r="U651" s="22">
        <f t="shared" si="64"/>
        <v>12.363000000000001</v>
      </c>
      <c r="V651" s="22">
        <f t="shared" si="65"/>
        <v>13.000000000000004</v>
      </c>
    </row>
    <row r="652" spans="1:22" x14ac:dyDescent="0.3">
      <c r="A652" s="1" t="s">
        <v>1264</v>
      </c>
      <c r="B652" s="2">
        <v>43507</v>
      </c>
      <c r="C652" s="2" t="str">
        <f t="shared" si="61"/>
        <v>Monday</v>
      </c>
      <c r="D652" s="2" t="str">
        <f t="shared" si="62"/>
        <v>February</v>
      </c>
      <c r="E652" s="2" t="str">
        <f t="shared" si="63"/>
        <v>2019</v>
      </c>
      <c r="F652" s="3" t="s">
        <v>1265</v>
      </c>
      <c r="G652" s="3" t="str">
        <f>VLOOKUP(F653,'Customers (2)'!A:I,2,0)</f>
        <v>Giana Tonnesen</v>
      </c>
      <c r="H652" s="3" t="str">
        <f>VLOOKUP(F652,'Customers (2)'!A:I,3,0)</f>
        <v>cstebbingsi2@drupal.org</v>
      </c>
      <c r="I652" s="3" t="str">
        <f>VLOOKUP(F652,'Customers (2)'!A:I,4,0)</f>
        <v>+1 (951) 986-4062</v>
      </c>
      <c r="J652" s="3" t="str">
        <f>VLOOKUP(F652,'Customers (2)'!A:I,6,0)</f>
        <v>Corona</v>
      </c>
      <c r="K652" s="3" t="str">
        <f>VLOOKUP(F652,'Customers (2)'!A:I,7,0)</f>
        <v>United States</v>
      </c>
      <c r="L652" s="3" t="str">
        <f>VLOOKUP(F652,'Customers (2)'!A:I,9,0)</f>
        <v>Yes</v>
      </c>
      <c r="M652" s="4" t="s">
        <v>146</v>
      </c>
      <c r="N652" s="4" t="str">
        <f>VLOOKUP(M652,'Products (2)'!A:G,2,0)</f>
        <v>Robusta</v>
      </c>
      <c r="O652" s="4" t="str">
        <f>VLOOKUP(M652,'Products (2)'!A:G,3,0)</f>
        <v>Dark</v>
      </c>
      <c r="P652" s="4">
        <f>VLOOKUP(M652,'Products (2)'!A:G,7,0)</f>
        <v>0.32219999999999993</v>
      </c>
      <c r="Q652" s="3">
        <v>1</v>
      </c>
      <c r="R652" s="5">
        <f>INDEX([1]products!$A$1:$G$49,MATCH([1]orders!$D652,[1]products!$A$1:$A$49,0),MATCH([1]orders!K$1,[1]products!$A$1:$G$1,0))</f>
        <v>0.5</v>
      </c>
      <c r="S652" s="6">
        <f>INDEX([1]products!$A$1:$G$49,MATCH([1]orders!$D652,[1]products!$A$1:$A$49,0),MATCH([1]orders!L$1,[1]products!$A$1:$G$1,0))</f>
        <v>5.3699999999999992</v>
      </c>
      <c r="T652" s="6">
        <f t="shared" si="60"/>
        <v>5.3699999999999992</v>
      </c>
      <c r="U652" s="22">
        <f t="shared" si="64"/>
        <v>0.32219999999999993</v>
      </c>
      <c r="V652" s="22">
        <f t="shared" si="65"/>
        <v>6</v>
      </c>
    </row>
    <row r="653" spans="1:22" x14ac:dyDescent="0.3">
      <c r="A653" s="1" t="s">
        <v>1266</v>
      </c>
      <c r="B653" s="2">
        <v>44084</v>
      </c>
      <c r="C653" s="2" t="str">
        <f t="shared" si="61"/>
        <v>Thursday</v>
      </c>
      <c r="D653" s="2" t="str">
        <f t="shared" si="62"/>
        <v>September</v>
      </c>
      <c r="E653" s="2" t="str">
        <f t="shared" si="63"/>
        <v>2020</v>
      </c>
      <c r="F653" s="3" t="s">
        <v>1267</v>
      </c>
      <c r="G653" s="3" t="str">
        <f>VLOOKUP(F654,'Customers (2)'!A:I,2,0)</f>
        <v>Rhetta Zywicki</v>
      </c>
      <c r="H653" s="3">
        <f>VLOOKUP(F653,'Customers (2)'!A:I,3,0)</f>
        <v>0</v>
      </c>
      <c r="I653" s="3" t="str">
        <f>VLOOKUP(F653,'Customers (2)'!A:I,4,0)</f>
        <v>+1 (202) 931-2413</v>
      </c>
      <c r="J653" s="3" t="str">
        <f>VLOOKUP(F653,'Customers (2)'!A:I,6,0)</f>
        <v>Washington</v>
      </c>
      <c r="K653" s="3" t="str">
        <f>VLOOKUP(F653,'Customers (2)'!A:I,7,0)</f>
        <v>United States</v>
      </c>
      <c r="L653" s="3" t="str">
        <f>VLOOKUP(F653,'Customers (2)'!A:I,9,0)</f>
        <v>No</v>
      </c>
      <c r="M653" s="4" t="s">
        <v>189</v>
      </c>
      <c r="N653" s="4" t="str">
        <f>VLOOKUP(M653,'Products (2)'!A:G,2,0)</f>
        <v>Robusta</v>
      </c>
      <c r="O653" s="4" t="str">
        <f>VLOOKUP(M653,'Products (2)'!A:G,3,0)</f>
        <v>Light</v>
      </c>
      <c r="P653" s="4">
        <f>VLOOKUP(M653,'Products (2)'!A:G,7,0)</f>
        <v>0.71699999999999997</v>
      </c>
      <c r="Q653" s="3">
        <v>4</v>
      </c>
      <c r="R653" s="5">
        <f>INDEX([1]products!$A$1:$G$49,MATCH([1]orders!$D653,[1]products!$A$1:$A$49,0),MATCH([1]orders!K$1,[1]products!$A$1:$G$1,0))</f>
        <v>1</v>
      </c>
      <c r="S653" s="6">
        <f>INDEX([1]products!$A$1:$G$49,MATCH([1]orders!$D653,[1]products!$A$1:$A$49,0),MATCH([1]orders!L$1,[1]products!$A$1:$G$1,0))</f>
        <v>11.95</v>
      </c>
      <c r="T653" s="6">
        <f t="shared" si="60"/>
        <v>47.8</v>
      </c>
      <c r="U653" s="22">
        <f t="shared" si="64"/>
        <v>2.8679999999999999</v>
      </c>
      <c r="V653" s="22">
        <f t="shared" si="65"/>
        <v>6</v>
      </c>
    </row>
    <row r="654" spans="1:22" x14ac:dyDescent="0.3">
      <c r="A654" s="1" t="s">
        <v>1268</v>
      </c>
      <c r="B654" s="2">
        <v>43892</v>
      </c>
      <c r="C654" s="2" t="str">
        <f t="shared" si="61"/>
        <v>Monday</v>
      </c>
      <c r="D654" s="2" t="str">
        <f t="shared" si="62"/>
        <v>March</v>
      </c>
      <c r="E654" s="2" t="str">
        <f t="shared" si="63"/>
        <v>2020</v>
      </c>
      <c r="F654" s="3" t="s">
        <v>1269</v>
      </c>
      <c r="G654" s="3" t="str">
        <f>VLOOKUP(F655,'Customers (2)'!A:I,2,0)</f>
        <v>Almeria Burgett</v>
      </c>
      <c r="H654" s="3" t="str">
        <f>VLOOKUP(F654,'Customers (2)'!A:I,3,0)</f>
        <v>rzywickii4@ifeng.com</v>
      </c>
      <c r="I654" s="3">
        <f>VLOOKUP(F654,'Customers (2)'!A:I,4,0)</f>
        <v>0</v>
      </c>
      <c r="J654" s="3" t="str">
        <f>VLOOKUP(F654,'Customers (2)'!A:I,6,0)</f>
        <v>Ballinteer</v>
      </c>
      <c r="K654" s="3" t="str">
        <f>VLOOKUP(F654,'Customers (2)'!A:I,7,0)</f>
        <v>Ireland</v>
      </c>
      <c r="L654" s="3" t="str">
        <f>VLOOKUP(F654,'Customers (2)'!A:I,9,0)</f>
        <v>No</v>
      </c>
      <c r="M654" s="4" t="s">
        <v>132</v>
      </c>
      <c r="N654" s="4" t="str">
        <f>VLOOKUP(M654,'Products (2)'!A:G,2,0)</f>
        <v>Liberica</v>
      </c>
      <c r="O654" s="4" t="str">
        <f>VLOOKUP(M654,'Products (2)'!A:G,3,0)</f>
        <v>Light</v>
      </c>
      <c r="P654" s="4">
        <f>VLOOKUP(M654,'Products (2)'!A:G,7,0)</f>
        <v>2.0605000000000002</v>
      </c>
      <c r="Q654" s="3">
        <v>4</v>
      </c>
      <c r="R654" s="5">
        <f>INDEX([1]products!$A$1:$G$49,MATCH([1]orders!$D654,[1]products!$A$1:$A$49,0),MATCH([1]orders!K$1,[1]products!$A$1:$G$1,0))</f>
        <v>1</v>
      </c>
      <c r="S654" s="6">
        <f>INDEX([1]products!$A$1:$G$49,MATCH([1]orders!$D654,[1]products!$A$1:$A$49,0),MATCH([1]orders!L$1,[1]products!$A$1:$G$1,0))</f>
        <v>15.85</v>
      </c>
      <c r="T654" s="6">
        <f t="shared" si="60"/>
        <v>63.4</v>
      </c>
      <c r="U654" s="22">
        <f t="shared" si="64"/>
        <v>8.2420000000000009</v>
      </c>
      <c r="V654" s="22">
        <f t="shared" si="65"/>
        <v>13</v>
      </c>
    </row>
    <row r="655" spans="1:22" x14ac:dyDescent="0.3">
      <c r="A655" s="1" t="s">
        <v>1270</v>
      </c>
      <c r="B655" s="2">
        <v>44375</v>
      </c>
      <c r="C655" s="2" t="str">
        <f t="shared" si="61"/>
        <v>Monday</v>
      </c>
      <c r="D655" s="2" t="str">
        <f t="shared" si="62"/>
        <v>June</v>
      </c>
      <c r="E655" s="2" t="str">
        <f t="shared" si="63"/>
        <v>2021</v>
      </c>
      <c r="F655" s="3" t="s">
        <v>1271</v>
      </c>
      <c r="G655" s="3" t="str">
        <f>VLOOKUP(F656,'Customers (2)'!A:I,2,0)</f>
        <v>Marvin Malloy</v>
      </c>
      <c r="H655" s="3" t="str">
        <f>VLOOKUP(F655,'Customers (2)'!A:I,3,0)</f>
        <v>aburgetti5@moonfruit.com</v>
      </c>
      <c r="I655" s="3" t="str">
        <f>VLOOKUP(F655,'Customers (2)'!A:I,4,0)</f>
        <v>+1 (419) 372-4746</v>
      </c>
      <c r="J655" s="3" t="str">
        <f>VLOOKUP(F655,'Customers (2)'!A:I,6,0)</f>
        <v>Toledo</v>
      </c>
      <c r="K655" s="3" t="str">
        <f>VLOOKUP(F655,'Customers (2)'!A:I,7,0)</f>
        <v>United States</v>
      </c>
      <c r="L655" s="3" t="str">
        <f>VLOOKUP(F655,'Customers (2)'!A:I,9,0)</f>
        <v>No</v>
      </c>
      <c r="M655" s="4" t="s">
        <v>171</v>
      </c>
      <c r="N655" s="4" t="str">
        <f>VLOOKUP(M655,'Products (2)'!A:G,2,0)</f>
        <v>Arabica</v>
      </c>
      <c r="O655" s="4" t="str">
        <f>VLOOKUP(M655,'Products (2)'!A:G,3,0)</f>
        <v>Medium</v>
      </c>
      <c r="P655" s="4">
        <f>VLOOKUP(M655,'Products (2)'!A:G,7,0)</f>
        <v>2.3287499999999994</v>
      </c>
      <c r="Q655" s="3">
        <v>4</v>
      </c>
      <c r="R655" s="5">
        <f>INDEX([1]products!$A$1:$G$49,MATCH([1]orders!$D655,[1]products!$A$1:$A$49,0),MATCH([1]orders!K$1,[1]products!$A$1:$G$1,0))</f>
        <v>2.5</v>
      </c>
      <c r="S655" s="6">
        <f>INDEX([1]products!$A$1:$G$49,MATCH([1]orders!$D655,[1]products!$A$1:$A$49,0),MATCH([1]orders!L$1,[1]products!$A$1:$G$1,0))</f>
        <v>25.874999999999996</v>
      </c>
      <c r="T655" s="6">
        <f t="shared" si="60"/>
        <v>103.49999999999999</v>
      </c>
      <c r="U655" s="22">
        <f t="shared" si="64"/>
        <v>9.3149999999999977</v>
      </c>
      <c r="V655" s="22">
        <f t="shared" si="65"/>
        <v>9</v>
      </c>
    </row>
    <row r="656" spans="1:22" x14ac:dyDescent="0.3">
      <c r="A656" s="1" t="s">
        <v>1272</v>
      </c>
      <c r="B656" s="2">
        <v>43476</v>
      </c>
      <c r="C656" s="2" t="str">
        <f t="shared" si="61"/>
        <v>Friday</v>
      </c>
      <c r="D656" s="2" t="str">
        <f t="shared" si="62"/>
        <v>January</v>
      </c>
      <c r="E656" s="2" t="str">
        <f t="shared" si="63"/>
        <v>2019</v>
      </c>
      <c r="F656" s="3" t="s">
        <v>1273</v>
      </c>
      <c r="G656" s="3" t="str">
        <f>VLOOKUP(F657,'Customers (2)'!A:I,2,0)</f>
        <v>Maxim McParland</v>
      </c>
      <c r="H656" s="3" t="str">
        <f>VLOOKUP(F656,'Customers (2)'!A:I,3,0)</f>
        <v>mmalloyi6@seattletimes.com</v>
      </c>
      <c r="I656" s="3" t="str">
        <f>VLOOKUP(F656,'Customers (2)'!A:I,4,0)</f>
        <v>+1 (202) 284-7115</v>
      </c>
      <c r="J656" s="3" t="str">
        <f>VLOOKUP(F656,'Customers (2)'!A:I,6,0)</f>
        <v>Washington</v>
      </c>
      <c r="K656" s="3" t="str">
        <f>VLOOKUP(F656,'Customers (2)'!A:I,7,0)</f>
        <v>United States</v>
      </c>
      <c r="L656" s="3" t="str">
        <f>VLOOKUP(F656,'Customers (2)'!A:I,9,0)</f>
        <v>No</v>
      </c>
      <c r="M656" s="4" t="s">
        <v>118</v>
      </c>
      <c r="N656" s="4" t="str">
        <f>VLOOKUP(M656,'Products (2)'!A:G,2,0)</f>
        <v>Arabica</v>
      </c>
      <c r="O656" s="4" t="str">
        <f>VLOOKUP(M656,'Products (2)'!A:G,3,0)</f>
        <v>Dark</v>
      </c>
      <c r="P656" s="4">
        <f>VLOOKUP(M656,'Products (2)'!A:G,7,0)</f>
        <v>2.0596499999999995</v>
      </c>
      <c r="Q656" s="3">
        <v>3</v>
      </c>
      <c r="R656" s="5">
        <f>INDEX([1]products!$A$1:$G$49,MATCH([1]orders!$D656,[1]products!$A$1:$A$49,0),MATCH([1]orders!K$1,[1]products!$A$1:$G$1,0))</f>
        <v>2.5</v>
      </c>
      <c r="S656" s="6">
        <f>INDEX([1]products!$A$1:$G$49,MATCH([1]orders!$D656,[1]products!$A$1:$A$49,0),MATCH([1]orders!L$1,[1]products!$A$1:$G$1,0))</f>
        <v>22.884999999999998</v>
      </c>
      <c r="T656" s="6">
        <f t="shared" si="60"/>
        <v>68.655000000000001</v>
      </c>
      <c r="U656" s="22">
        <f t="shared" si="64"/>
        <v>6.1789499999999986</v>
      </c>
      <c r="V656" s="22">
        <f t="shared" si="65"/>
        <v>8.9999999999999982</v>
      </c>
    </row>
    <row r="657" spans="1:22" x14ac:dyDescent="0.3">
      <c r="A657" s="1" t="s">
        <v>1274</v>
      </c>
      <c r="B657" s="2">
        <v>43728</v>
      </c>
      <c r="C657" s="2" t="str">
        <f t="shared" si="61"/>
        <v>Friday</v>
      </c>
      <c r="D657" s="2" t="str">
        <f t="shared" si="62"/>
        <v>September</v>
      </c>
      <c r="E657" s="2" t="str">
        <f t="shared" si="63"/>
        <v>2019</v>
      </c>
      <c r="F657" s="3" t="s">
        <v>1275</v>
      </c>
      <c r="G657" s="3" t="str">
        <f>VLOOKUP(F658,'Customers (2)'!A:I,2,0)</f>
        <v>Sylas Jennaroy</v>
      </c>
      <c r="H657" s="3" t="str">
        <f>VLOOKUP(F657,'Customers (2)'!A:I,3,0)</f>
        <v>mmcparlandi7@w3.org</v>
      </c>
      <c r="I657" s="3">
        <f>VLOOKUP(F657,'Customers (2)'!A:I,4,0)</f>
        <v>0</v>
      </c>
      <c r="J657" s="3" t="str">
        <f>VLOOKUP(F657,'Customers (2)'!A:I,6,0)</f>
        <v>Cedar Rapids</v>
      </c>
      <c r="K657" s="3" t="str">
        <f>VLOOKUP(F657,'Customers (2)'!A:I,7,0)</f>
        <v>United States</v>
      </c>
      <c r="L657" s="3" t="str">
        <f>VLOOKUP(F657,'Customers (2)'!A:I,9,0)</f>
        <v>Yes</v>
      </c>
      <c r="M657" s="4" t="s">
        <v>41</v>
      </c>
      <c r="N657" s="4" t="str">
        <f>VLOOKUP(M657,'Products (2)'!A:G,2,0)</f>
        <v>Robusta</v>
      </c>
      <c r="O657" s="4" t="str">
        <f>VLOOKUP(M657,'Products (2)'!A:G,3,0)</f>
        <v>Medium</v>
      </c>
      <c r="P657" s="4">
        <f>VLOOKUP(M657,'Products (2)'!A:G,7,0)</f>
        <v>1.3730999999999998</v>
      </c>
      <c r="Q657" s="3">
        <v>2</v>
      </c>
      <c r="R657" s="5">
        <f>INDEX([1]products!$A$1:$G$49,MATCH([1]orders!$D657,[1]products!$A$1:$A$49,0),MATCH([1]orders!K$1,[1]products!$A$1:$G$1,0))</f>
        <v>2.5</v>
      </c>
      <c r="S657" s="6">
        <f>INDEX([1]products!$A$1:$G$49,MATCH([1]orders!$D657,[1]products!$A$1:$A$49,0),MATCH([1]orders!L$1,[1]products!$A$1:$G$1,0))</f>
        <v>22.884999999999998</v>
      </c>
      <c r="T657" s="6">
        <f t="shared" si="60"/>
        <v>45.769999999999996</v>
      </c>
      <c r="U657" s="22">
        <f t="shared" si="64"/>
        <v>2.7461999999999995</v>
      </c>
      <c r="V657" s="22">
        <f t="shared" si="65"/>
        <v>6</v>
      </c>
    </row>
    <row r="658" spans="1:22" x14ac:dyDescent="0.3">
      <c r="A658" s="1" t="s">
        <v>1276</v>
      </c>
      <c r="B658" s="2">
        <v>44485</v>
      </c>
      <c r="C658" s="2" t="str">
        <f t="shared" si="61"/>
        <v>Saturday</v>
      </c>
      <c r="D658" s="2" t="str">
        <f t="shared" si="62"/>
        <v>October</v>
      </c>
      <c r="E658" s="2" t="str">
        <f t="shared" si="63"/>
        <v>2021</v>
      </c>
      <c r="F658" s="3" t="s">
        <v>1277</v>
      </c>
      <c r="G658" s="3" t="str">
        <f>VLOOKUP(F659,'Customers (2)'!A:I,2,0)</f>
        <v>Wren Place</v>
      </c>
      <c r="H658" s="3" t="str">
        <f>VLOOKUP(F658,'Customers (2)'!A:I,3,0)</f>
        <v>sjennaroyi8@purevolume.com</v>
      </c>
      <c r="I658" s="3">
        <f>VLOOKUP(F658,'Customers (2)'!A:I,4,0)</f>
        <v>0</v>
      </c>
      <c r="J658" s="3" t="str">
        <f>VLOOKUP(F658,'Customers (2)'!A:I,6,0)</f>
        <v>Aurora</v>
      </c>
      <c r="K658" s="3" t="str">
        <f>VLOOKUP(F658,'Customers (2)'!A:I,7,0)</f>
        <v>United States</v>
      </c>
      <c r="L658" s="3" t="str">
        <f>VLOOKUP(F658,'Customers (2)'!A:I,9,0)</f>
        <v>No</v>
      </c>
      <c r="M658" s="4" t="s">
        <v>13</v>
      </c>
      <c r="N658" s="4" t="str">
        <f>VLOOKUP(M658,'Products (2)'!A:G,2,0)</f>
        <v>Liberica</v>
      </c>
      <c r="O658" s="4" t="str">
        <f>VLOOKUP(M658,'Products (2)'!A:G,3,0)</f>
        <v>Dark</v>
      </c>
      <c r="P658" s="4">
        <f>VLOOKUP(M658,'Products (2)'!A:G,7,0)</f>
        <v>1.6835</v>
      </c>
      <c r="Q658" s="3">
        <v>4</v>
      </c>
      <c r="R658" s="5">
        <f>INDEX([1]products!$A$1:$G$49,MATCH([1]orders!$D658,[1]products!$A$1:$A$49,0),MATCH([1]orders!K$1,[1]products!$A$1:$G$1,0))</f>
        <v>1</v>
      </c>
      <c r="S658" s="6">
        <f>INDEX([1]products!$A$1:$G$49,MATCH([1]orders!$D658,[1]products!$A$1:$A$49,0),MATCH([1]orders!L$1,[1]products!$A$1:$G$1,0))</f>
        <v>12.95</v>
      </c>
      <c r="T658" s="6">
        <f t="shared" si="60"/>
        <v>51.8</v>
      </c>
      <c r="U658" s="22">
        <f t="shared" si="64"/>
        <v>6.734</v>
      </c>
      <c r="V658" s="22">
        <f t="shared" si="65"/>
        <v>13</v>
      </c>
    </row>
    <row r="659" spans="1:22" x14ac:dyDescent="0.3">
      <c r="A659" s="1" t="s">
        <v>1278</v>
      </c>
      <c r="B659" s="2">
        <v>43831</v>
      </c>
      <c r="C659" s="2" t="str">
        <f t="shared" si="61"/>
        <v>Wednesday</v>
      </c>
      <c r="D659" s="2" t="str">
        <f t="shared" si="62"/>
        <v>January</v>
      </c>
      <c r="E659" s="2" t="str">
        <f t="shared" si="63"/>
        <v>2020</v>
      </c>
      <c r="F659" s="3" t="s">
        <v>1279</v>
      </c>
      <c r="G659" s="3" t="str">
        <f>VLOOKUP(F660,'Customers (2)'!A:I,2,0)</f>
        <v>Janella Millett</v>
      </c>
      <c r="H659" s="3" t="str">
        <f>VLOOKUP(F659,'Customers (2)'!A:I,3,0)</f>
        <v>wplacei9@wsj.com</v>
      </c>
      <c r="I659" s="3" t="str">
        <f>VLOOKUP(F659,'Customers (2)'!A:I,4,0)</f>
        <v>+1 (408) 106-8863</v>
      </c>
      <c r="J659" s="3" t="str">
        <f>VLOOKUP(F659,'Customers (2)'!A:I,6,0)</f>
        <v>Sunnyvale</v>
      </c>
      <c r="K659" s="3" t="str">
        <f>VLOOKUP(F659,'Customers (2)'!A:I,7,0)</f>
        <v>United States</v>
      </c>
      <c r="L659" s="3" t="str">
        <f>VLOOKUP(F659,'Customers (2)'!A:I,9,0)</f>
        <v>Yes</v>
      </c>
      <c r="M659" s="4" t="s">
        <v>67</v>
      </c>
      <c r="N659" s="4" t="str">
        <f>VLOOKUP(M659,'Products (2)'!A:G,2,0)</f>
        <v>Arabica</v>
      </c>
      <c r="O659" s="4" t="str">
        <f>VLOOKUP(M659,'Products (2)'!A:G,3,0)</f>
        <v>Medium</v>
      </c>
      <c r="P659" s="4">
        <f>VLOOKUP(M659,'Products (2)'!A:G,7,0)</f>
        <v>0.60749999999999993</v>
      </c>
      <c r="Q659" s="3">
        <v>2</v>
      </c>
      <c r="R659" s="5">
        <f>INDEX([1]products!$A$1:$G$49,MATCH([1]orders!$D659,[1]products!$A$1:$A$49,0),MATCH([1]orders!K$1,[1]products!$A$1:$G$1,0))</f>
        <v>0.5</v>
      </c>
      <c r="S659" s="6">
        <f>INDEX([1]products!$A$1:$G$49,MATCH([1]orders!$D659,[1]products!$A$1:$A$49,0),MATCH([1]orders!L$1,[1]products!$A$1:$G$1,0))</f>
        <v>6.75</v>
      </c>
      <c r="T659" s="6">
        <f t="shared" si="60"/>
        <v>13.5</v>
      </c>
      <c r="U659" s="22">
        <f t="shared" si="64"/>
        <v>1.2149999999999999</v>
      </c>
      <c r="V659" s="22">
        <f t="shared" si="65"/>
        <v>8.9999999999999982</v>
      </c>
    </row>
    <row r="660" spans="1:22" x14ac:dyDescent="0.3">
      <c r="A660" s="1" t="s">
        <v>1280</v>
      </c>
      <c r="B660" s="2">
        <v>44630</v>
      </c>
      <c r="C660" s="2" t="str">
        <f t="shared" si="61"/>
        <v>Thursday</v>
      </c>
      <c r="D660" s="2" t="str">
        <f t="shared" si="62"/>
        <v>March</v>
      </c>
      <c r="E660" s="2" t="str">
        <f t="shared" si="63"/>
        <v>2022</v>
      </c>
      <c r="F660" s="3" t="s">
        <v>1281</v>
      </c>
      <c r="G660" s="3" t="str">
        <f>VLOOKUP(F661,'Customers (2)'!A:I,2,0)</f>
        <v>Dollie Gadsden</v>
      </c>
      <c r="H660" s="3" t="str">
        <f>VLOOKUP(F660,'Customers (2)'!A:I,3,0)</f>
        <v>jmillettik@addtoany.com</v>
      </c>
      <c r="I660" s="3" t="str">
        <f>VLOOKUP(F660,'Customers (2)'!A:I,4,0)</f>
        <v>+1 (919) 302-3228</v>
      </c>
      <c r="J660" s="3" t="str">
        <f>VLOOKUP(F660,'Customers (2)'!A:I,6,0)</f>
        <v>Durham</v>
      </c>
      <c r="K660" s="3" t="str">
        <f>VLOOKUP(F660,'Customers (2)'!A:I,7,0)</f>
        <v>United States</v>
      </c>
      <c r="L660" s="3" t="str">
        <f>VLOOKUP(F660,'Customers (2)'!A:I,9,0)</f>
        <v>Yes</v>
      </c>
      <c r="M660" s="4" t="s">
        <v>3</v>
      </c>
      <c r="N660" s="4" t="str">
        <f>VLOOKUP(M660,'Products (2)'!A:G,2,0)</f>
        <v>Excelsa</v>
      </c>
      <c r="O660" s="4" t="str">
        <f>VLOOKUP(M660,'Products (2)'!A:G,3,0)</f>
        <v>Medium</v>
      </c>
      <c r="P660" s="4">
        <f>VLOOKUP(M660,'Products (2)'!A:G,7,0)</f>
        <v>0.90749999999999997</v>
      </c>
      <c r="Q660" s="3">
        <v>3</v>
      </c>
      <c r="R660" s="5">
        <f>INDEX([1]products!$A$1:$G$49,MATCH([1]orders!$D660,[1]products!$A$1:$A$49,0),MATCH([1]orders!K$1,[1]products!$A$1:$G$1,0))</f>
        <v>0.5</v>
      </c>
      <c r="S660" s="6">
        <f>INDEX([1]products!$A$1:$G$49,MATCH([1]orders!$D660,[1]products!$A$1:$A$49,0),MATCH([1]orders!L$1,[1]products!$A$1:$G$1,0))</f>
        <v>8.25</v>
      </c>
      <c r="T660" s="6">
        <f t="shared" si="60"/>
        <v>24.75</v>
      </c>
      <c r="U660" s="22">
        <f t="shared" si="64"/>
        <v>2.7225000000000001</v>
      </c>
      <c r="V660" s="22">
        <f t="shared" si="65"/>
        <v>11</v>
      </c>
    </row>
    <row r="661" spans="1:22" x14ac:dyDescent="0.3">
      <c r="A661" s="1" t="s">
        <v>1282</v>
      </c>
      <c r="B661" s="2">
        <v>44693</v>
      </c>
      <c r="C661" s="2" t="str">
        <f t="shared" si="61"/>
        <v>Thursday</v>
      </c>
      <c r="D661" s="2" t="str">
        <f t="shared" si="62"/>
        <v>May</v>
      </c>
      <c r="E661" s="2" t="str">
        <f t="shared" si="63"/>
        <v>2022</v>
      </c>
      <c r="F661" s="3" t="s">
        <v>1283</v>
      </c>
      <c r="G661" s="3" t="str">
        <f>VLOOKUP(F662,'Customers (2)'!A:I,2,0)</f>
        <v>Val Wakelin</v>
      </c>
      <c r="H661" s="3" t="str">
        <f>VLOOKUP(F661,'Customers (2)'!A:I,3,0)</f>
        <v>dgadsdenib@google.com.hk</v>
      </c>
      <c r="I661" s="3" t="str">
        <f>VLOOKUP(F661,'Customers (2)'!A:I,4,0)</f>
        <v>+353 (847) 447-7835</v>
      </c>
      <c r="J661" s="3" t="str">
        <f>VLOOKUP(F661,'Customers (2)'!A:I,6,0)</f>
        <v>Cluain Meala</v>
      </c>
      <c r="K661" s="3" t="str">
        <f>VLOOKUP(F661,'Customers (2)'!A:I,7,0)</f>
        <v>Ireland</v>
      </c>
      <c r="L661" s="3" t="str">
        <f>VLOOKUP(F661,'Customers (2)'!A:I,9,0)</f>
        <v>Yes</v>
      </c>
      <c r="M661" s="4" t="s">
        <v>118</v>
      </c>
      <c r="N661" s="4" t="str">
        <f>VLOOKUP(M661,'Products (2)'!A:G,2,0)</f>
        <v>Arabica</v>
      </c>
      <c r="O661" s="4" t="str">
        <f>VLOOKUP(M661,'Products (2)'!A:G,3,0)</f>
        <v>Dark</v>
      </c>
      <c r="P661" s="4">
        <f>VLOOKUP(M661,'Products (2)'!A:G,7,0)</f>
        <v>2.0596499999999995</v>
      </c>
      <c r="Q661" s="3">
        <v>2</v>
      </c>
      <c r="R661" s="5">
        <f>INDEX([1]products!$A$1:$G$49,MATCH([1]orders!$D661,[1]products!$A$1:$A$49,0),MATCH([1]orders!K$1,[1]products!$A$1:$G$1,0))</f>
        <v>2.5</v>
      </c>
      <c r="S661" s="6">
        <f>INDEX([1]products!$A$1:$G$49,MATCH([1]orders!$D661,[1]products!$A$1:$A$49,0),MATCH([1]orders!L$1,[1]products!$A$1:$G$1,0))</f>
        <v>22.884999999999998</v>
      </c>
      <c r="T661" s="6">
        <f t="shared" si="60"/>
        <v>45.769999999999996</v>
      </c>
      <c r="U661" s="22">
        <f t="shared" si="64"/>
        <v>4.1192999999999991</v>
      </c>
      <c r="V661" s="22">
        <f t="shared" si="65"/>
        <v>8.9999999999999982</v>
      </c>
    </row>
    <row r="662" spans="1:22" x14ac:dyDescent="0.3">
      <c r="A662" s="1" t="s">
        <v>1284</v>
      </c>
      <c r="B662" s="2">
        <v>44084</v>
      </c>
      <c r="C662" s="2" t="str">
        <f t="shared" si="61"/>
        <v>Thursday</v>
      </c>
      <c r="D662" s="2" t="str">
        <f t="shared" si="62"/>
        <v>September</v>
      </c>
      <c r="E662" s="2" t="str">
        <f t="shared" si="63"/>
        <v>2020</v>
      </c>
      <c r="F662" s="3" t="s">
        <v>1285</v>
      </c>
      <c r="G662" s="3" t="str">
        <f>VLOOKUP(F663,'Customers (2)'!A:I,2,0)</f>
        <v>Annie Campsall</v>
      </c>
      <c r="H662" s="3" t="str">
        <f>VLOOKUP(F662,'Customers (2)'!A:I,3,0)</f>
        <v>vwakelinic@unesco.org</v>
      </c>
      <c r="I662" s="3" t="str">
        <f>VLOOKUP(F662,'Customers (2)'!A:I,4,0)</f>
        <v>+1 (517) 163-7746</v>
      </c>
      <c r="J662" s="3" t="str">
        <f>VLOOKUP(F662,'Customers (2)'!A:I,6,0)</f>
        <v>Lansing</v>
      </c>
      <c r="K662" s="3" t="str">
        <f>VLOOKUP(F662,'Customers (2)'!A:I,7,0)</f>
        <v>United States</v>
      </c>
      <c r="L662" s="3" t="str">
        <f>VLOOKUP(F662,'Customers (2)'!A:I,9,0)</f>
        <v>No</v>
      </c>
      <c r="M662" s="4" t="s">
        <v>176</v>
      </c>
      <c r="N662" s="4" t="str">
        <f>VLOOKUP(M662,'Products (2)'!A:G,2,0)</f>
        <v>Excelsa</v>
      </c>
      <c r="O662" s="4" t="str">
        <f>VLOOKUP(M662,'Products (2)'!A:G,3,0)</f>
        <v>Light</v>
      </c>
      <c r="P662" s="4">
        <f>VLOOKUP(M662,'Products (2)'!A:G,7,0)</f>
        <v>0.98009999999999997</v>
      </c>
      <c r="Q662" s="3">
        <v>6</v>
      </c>
      <c r="R662" s="5">
        <f>INDEX([1]products!$A$1:$G$49,MATCH([1]orders!$D662,[1]products!$A$1:$A$49,0),MATCH([1]orders!K$1,[1]products!$A$1:$G$1,0))</f>
        <v>0.5</v>
      </c>
      <c r="S662" s="6">
        <f>INDEX([1]products!$A$1:$G$49,MATCH([1]orders!$D662,[1]products!$A$1:$A$49,0),MATCH([1]orders!L$1,[1]products!$A$1:$G$1,0))</f>
        <v>8.91</v>
      </c>
      <c r="T662" s="6">
        <f t="shared" si="60"/>
        <v>53.46</v>
      </c>
      <c r="U662" s="22">
        <f t="shared" si="64"/>
        <v>5.8805999999999994</v>
      </c>
      <c r="V662" s="22">
        <f t="shared" si="65"/>
        <v>10.999999999999998</v>
      </c>
    </row>
    <row r="663" spans="1:22" x14ac:dyDescent="0.3">
      <c r="A663" s="1" t="s">
        <v>1286</v>
      </c>
      <c r="B663" s="2">
        <v>44485</v>
      </c>
      <c r="C663" s="2" t="str">
        <f t="shared" si="61"/>
        <v>Saturday</v>
      </c>
      <c r="D663" s="2" t="str">
        <f t="shared" si="62"/>
        <v>October</v>
      </c>
      <c r="E663" s="2" t="str">
        <f t="shared" si="63"/>
        <v>2021</v>
      </c>
      <c r="F663" s="3" t="s">
        <v>1287</v>
      </c>
      <c r="G663" s="3" t="str">
        <f>VLOOKUP(F664,'Customers (2)'!A:I,2,0)</f>
        <v>Shermy Moseby</v>
      </c>
      <c r="H663" s="3" t="str">
        <f>VLOOKUP(F663,'Customers (2)'!A:I,3,0)</f>
        <v>acampsallid@zimbio.com</v>
      </c>
      <c r="I663" s="3" t="str">
        <f>VLOOKUP(F663,'Customers (2)'!A:I,4,0)</f>
        <v>+1 (713) 339-5547</v>
      </c>
      <c r="J663" s="3" t="str">
        <f>VLOOKUP(F663,'Customers (2)'!A:I,6,0)</f>
        <v>Houston</v>
      </c>
      <c r="K663" s="3" t="str">
        <f>VLOOKUP(F663,'Customers (2)'!A:I,7,0)</f>
        <v>United States</v>
      </c>
      <c r="L663" s="3" t="str">
        <f>VLOOKUP(F663,'Customers (2)'!A:I,9,0)</f>
        <v>Yes</v>
      </c>
      <c r="M663" s="4" t="s">
        <v>44</v>
      </c>
      <c r="N663" s="4" t="str">
        <f>VLOOKUP(M663,'Products (2)'!A:G,2,0)</f>
        <v>Arabica</v>
      </c>
      <c r="O663" s="4" t="str">
        <f>VLOOKUP(M663,'Products (2)'!A:G,3,0)</f>
        <v>Medium</v>
      </c>
      <c r="P663" s="4">
        <f>VLOOKUP(M663,'Products (2)'!A:G,7,0)</f>
        <v>0.30374999999999996</v>
      </c>
      <c r="Q663" s="3">
        <v>6</v>
      </c>
      <c r="R663" s="5">
        <f>INDEX([1]products!$A$1:$G$49,MATCH([1]orders!$D663,[1]products!$A$1:$A$49,0),MATCH([1]orders!K$1,[1]products!$A$1:$G$1,0))</f>
        <v>0.2</v>
      </c>
      <c r="S663" s="6">
        <f>INDEX([1]products!$A$1:$G$49,MATCH([1]orders!$D663,[1]products!$A$1:$A$49,0),MATCH([1]orders!L$1,[1]products!$A$1:$G$1,0))</f>
        <v>3.375</v>
      </c>
      <c r="T663" s="6">
        <f t="shared" si="60"/>
        <v>20.25</v>
      </c>
      <c r="U663" s="22">
        <f t="shared" si="64"/>
        <v>1.8224999999999998</v>
      </c>
      <c r="V663" s="22">
        <f t="shared" si="65"/>
        <v>8.9999999999999982</v>
      </c>
    </row>
    <row r="664" spans="1:22" x14ac:dyDescent="0.3">
      <c r="A664" s="1" t="s">
        <v>1288</v>
      </c>
      <c r="B664" s="2">
        <v>44364</v>
      </c>
      <c r="C664" s="2" t="str">
        <f t="shared" si="61"/>
        <v>Thursday</v>
      </c>
      <c r="D664" s="2" t="str">
        <f t="shared" si="62"/>
        <v>June</v>
      </c>
      <c r="E664" s="2" t="str">
        <f t="shared" si="63"/>
        <v>2021</v>
      </c>
      <c r="F664" s="3" t="s">
        <v>1289</v>
      </c>
      <c r="G664" s="3" t="str">
        <f>VLOOKUP(F665,'Customers (2)'!A:I,2,0)</f>
        <v>Corrie Wass</v>
      </c>
      <c r="H664" s="3" t="str">
        <f>VLOOKUP(F664,'Customers (2)'!A:I,3,0)</f>
        <v>smosebyie@stanford.edu</v>
      </c>
      <c r="I664" s="3">
        <f>VLOOKUP(F664,'Customers (2)'!A:I,4,0)</f>
        <v>0</v>
      </c>
      <c r="J664" s="3" t="str">
        <f>VLOOKUP(F664,'Customers (2)'!A:I,6,0)</f>
        <v>Murfreesboro</v>
      </c>
      <c r="K664" s="3" t="str">
        <f>VLOOKUP(F664,'Customers (2)'!A:I,7,0)</f>
        <v>United States</v>
      </c>
      <c r="L664" s="3" t="str">
        <f>VLOOKUP(F664,'Customers (2)'!A:I,9,0)</f>
        <v>No</v>
      </c>
      <c r="M664" s="4" t="s">
        <v>109</v>
      </c>
      <c r="N664" s="4" t="str">
        <f>VLOOKUP(M664,'Products (2)'!A:G,2,0)</f>
        <v>Liberica</v>
      </c>
      <c r="O664" s="4" t="str">
        <f>VLOOKUP(M664,'Products (2)'!A:G,3,0)</f>
        <v>Dark</v>
      </c>
      <c r="P664" s="4">
        <f>VLOOKUP(M664,'Products (2)'!A:G,7,0)</f>
        <v>3.8720499999999998</v>
      </c>
      <c r="Q664" s="3">
        <v>5</v>
      </c>
      <c r="R664" s="5">
        <f>INDEX([1]products!$A$1:$G$49,MATCH([1]orders!$D664,[1]products!$A$1:$A$49,0),MATCH([1]orders!K$1,[1]products!$A$1:$G$1,0))</f>
        <v>2.5</v>
      </c>
      <c r="S664" s="6">
        <f>INDEX([1]products!$A$1:$G$49,MATCH([1]orders!$D664,[1]products!$A$1:$A$49,0),MATCH([1]orders!L$1,[1]products!$A$1:$G$1,0))</f>
        <v>29.784999999999997</v>
      </c>
      <c r="T664" s="6">
        <f t="shared" si="60"/>
        <v>148.92499999999998</v>
      </c>
      <c r="U664" s="22">
        <f t="shared" si="64"/>
        <v>19.360250000000001</v>
      </c>
      <c r="V664" s="22">
        <f t="shared" si="65"/>
        <v>13.000000000000004</v>
      </c>
    </row>
    <row r="665" spans="1:22" x14ac:dyDescent="0.3">
      <c r="A665" s="1" t="s">
        <v>1290</v>
      </c>
      <c r="B665" s="2">
        <v>43554</v>
      </c>
      <c r="C665" s="2" t="str">
        <f t="shared" si="61"/>
        <v>Saturday</v>
      </c>
      <c r="D665" s="2" t="str">
        <f t="shared" si="62"/>
        <v>March</v>
      </c>
      <c r="E665" s="2" t="str">
        <f t="shared" si="63"/>
        <v>2019</v>
      </c>
      <c r="F665" s="3" t="s">
        <v>1291</v>
      </c>
      <c r="G665" s="3" t="str">
        <f>VLOOKUP(F666,'Customers (2)'!A:I,2,0)</f>
        <v>Ira Sjostrom</v>
      </c>
      <c r="H665" s="3" t="str">
        <f>VLOOKUP(F665,'Customers (2)'!A:I,3,0)</f>
        <v>cwassif@prweb.com</v>
      </c>
      <c r="I665" s="3">
        <f>VLOOKUP(F665,'Customers (2)'!A:I,4,0)</f>
        <v>0</v>
      </c>
      <c r="J665" s="3" t="str">
        <f>VLOOKUP(F665,'Customers (2)'!A:I,6,0)</f>
        <v>Charleston</v>
      </c>
      <c r="K665" s="3" t="str">
        <f>VLOOKUP(F665,'Customers (2)'!A:I,7,0)</f>
        <v>United States</v>
      </c>
      <c r="L665" s="3" t="str">
        <f>VLOOKUP(F665,'Customers (2)'!A:I,9,0)</f>
        <v>No</v>
      </c>
      <c r="M665" s="4" t="s">
        <v>61</v>
      </c>
      <c r="N665" s="4" t="str">
        <f>VLOOKUP(M665,'Products (2)'!A:G,2,0)</f>
        <v>Arabica</v>
      </c>
      <c r="O665" s="4" t="str">
        <f>VLOOKUP(M665,'Products (2)'!A:G,3,0)</f>
        <v>Medium</v>
      </c>
      <c r="P665" s="4">
        <f>VLOOKUP(M665,'Products (2)'!A:G,7,0)</f>
        <v>1.0125</v>
      </c>
      <c r="Q665" s="3">
        <v>6</v>
      </c>
      <c r="R665" s="5">
        <f>INDEX([1]products!$A$1:$G$49,MATCH([1]orders!$D665,[1]products!$A$1:$A$49,0),MATCH([1]orders!K$1,[1]products!$A$1:$G$1,0))</f>
        <v>1</v>
      </c>
      <c r="S665" s="6">
        <f>INDEX([1]products!$A$1:$G$49,MATCH([1]orders!$D665,[1]products!$A$1:$A$49,0),MATCH([1]orders!L$1,[1]products!$A$1:$G$1,0))</f>
        <v>11.25</v>
      </c>
      <c r="T665" s="6">
        <f t="shared" si="60"/>
        <v>67.5</v>
      </c>
      <c r="U665" s="22">
        <f t="shared" si="64"/>
        <v>6.0749999999999993</v>
      </c>
      <c r="V665" s="22">
        <f t="shared" si="65"/>
        <v>8.9999999999999982</v>
      </c>
    </row>
    <row r="666" spans="1:22" x14ac:dyDescent="0.3">
      <c r="A666" s="1" t="s">
        <v>1292</v>
      </c>
      <c r="B666" s="2">
        <v>44549</v>
      </c>
      <c r="C666" s="2" t="str">
        <f t="shared" si="61"/>
        <v>Sunday</v>
      </c>
      <c r="D666" s="2" t="str">
        <f t="shared" si="62"/>
        <v>December</v>
      </c>
      <c r="E666" s="2" t="str">
        <f t="shared" si="63"/>
        <v>2021</v>
      </c>
      <c r="F666" s="3" t="s">
        <v>1293</v>
      </c>
      <c r="G666" s="3" t="str">
        <f>VLOOKUP(F667,'Customers (2)'!A:I,2,0)</f>
        <v>Ira Sjostrom</v>
      </c>
      <c r="H666" s="3" t="str">
        <f>VLOOKUP(F666,'Customers (2)'!A:I,3,0)</f>
        <v>isjostromig@pbs.org</v>
      </c>
      <c r="I666" s="3" t="str">
        <f>VLOOKUP(F666,'Customers (2)'!A:I,4,0)</f>
        <v>+1 (814) 359-4610</v>
      </c>
      <c r="J666" s="3" t="str">
        <f>VLOOKUP(F666,'Customers (2)'!A:I,6,0)</f>
        <v>Erie</v>
      </c>
      <c r="K666" s="3" t="str">
        <f>VLOOKUP(F666,'Customers (2)'!A:I,7,0)</f>
        <v>United States</v>
      </c>
      <c r="L666" s="3" t="str">
        <f>VLOOKUP(F666,'Customers (2)'!A:I,9,0)</f>
        <v>No</v>
      </c>
      <c r="M666" s="4" t="s">
        <v>245</v>
      </c>
      <c r="N666" s="4" t="str">
        <f>VLOOKUP(M666,'Products (2)'!A:G,2,0)</f>
        <v>Excelsa</v>
      </c>
      <c r="O666" s="4" t="str">
        <f>VLOOKUP(M666,'Products (2)'!A:G,3,0)</f>
        <v>Dark</v>
      </c>
      <c r="P666" s="4">
        <f>VLOOKUP(M666,'Products (2)'!A:G,7,0)</f>
        <v>1.3365</v>
      </c>
      <c r="Q666" s="3">
        <v>6</v>
      </c>
      <c r="R666" s="5">
        <f>INDEX([1]products!$A$1:$G$49,MATCH([1]orders!$D666,[1]products!$A$1:$A$49,0),MATCH([1]orders!K$1,[1]products!$A$1:$G$1,0))</f>
        <v>1</v>
      </c>
      <c r="S666" s="6">
        <f>INDEX([1]products!$A$1:$G$49,MATCH([1]orders!$D666,[1]products!$A$1:$A$49,0),MATCH([1]orders!L$1,[1]products!$A$1:$G$1,0))</f>
        <v>12.15</v>
      </c>
      <c r="T666" s="6">
        <f t="shared" si="60"/>
        <v>72.900000000000006</v>
      </c>
      <c r="U666" s="22">
        <f t="shared" si="64"/>
        <v>8.0190000000000001</v>
      </c>
      <c r="V666" s="22">
        <f t="shared" si="65"/>
        <v>10.999999999999998</v>
      </c>
    </row>
    <row r="667" spans="1:22" x14ac:dyDescent="0.3">
      <c r="A667" s="1" t="s">
        <v>1292</v>
      </c>
      <c r="B667" s="2">
        <v>44549</v>
      </c>
      <c r="C667" s="2" t="str">
        <f t="shared" si="61"/>
        <v>Sunday</v>
      </c>
      <c r="D667" s="2" t="str">
        <f t="shared" si="62"/>
        <v>December</v>
      </c>
      <c r="E667" s="2" t="str">
        <f t="shared" si="63"/>
        <v>2021</v>
      </c>
      <c r="F667" s="3" t="s">
        <v>1293</v>
      </c>
      <c r="G667" s="3" t="str">
        <f>VLOOKUP(F668,'Customers (2)'!A:I,2,0)</f>
        <v>Jermaine Branchett</v>
      </c>
      <c r="H667" s="3" t="str">
        <f>VLOOKUP(F667,'Customers (2)'!A:I,3,0)</f>
        <v>isjostromig@pbs.org</v>
      </c>
      <c r="I667" s="3" t="str">
        <f>VLOOKUP(F667,'Customers (2)'!A:I,4,0)</f>
        <v>+1 (814) 359-4610</v>
      </c>
      <c r="J667" s="3" t="str">
        <f>VLOOKUP(F667,'Customers (2)'!A:I,6,0)</f>
        <v>Erie</v>
      </c>
      <c r="K667" s="3" t="str">
        <f>VLOOKUP(F667,'Customers (2)'!A:I,7,0)</f>
        <v>United States</v>
      </c>
      <c r="L667" s="3" t="str">
        <f>VLOOKUP(F667,'Customers (2)'!A:I,9,0)</f>
        <v>No</v>
      </c>
      <c r="M667" s="4" t="s">
        <v>38</v>
      </c>
      <c r="N667" s="4" t="str">
        <f>VLOOKUP(M667,'Products (2)'!A:G,2,0)</f>
        <v>Liberica</v>
      </c>
      <c r="O667" s="4" t="str">
        <f>VLOOKUP(M667,'Products (2)'!A:G,3,0)</f>
        <v>Dark</v>
      </c>
      <c r="P667" s="4">
        <f>VLOOKUP(M667,'Products (2)'!A:G,7,0)</f>
        <v>0.50505</v>
      </c>
      <c r="Q667" s="3">
        <v>2</v>
      </c>
      <c r="R667" s="5">
        <f>INDEX([1]products!$A$1:$G$49,MATCH([1]orders!$D667,[1]products!$A$1:$A$49,0),MATCH([1]orders!K$1,[1]products!$A$1:$G$1,0))</f>
        <v>0.2</v>
      </c>
      <c r="S667" s="6">
        <f>INDEX([1]products!$A$1:$G$49,MATCH([1]orders!$D667,[1]products!$A$1:$A$49,0),MATCH([1]orders!L$1,[1]products!$A$1:$G$1,0))</f>
        <v>3.8849999999999998</v>
      </c>
      <c r="T667" s="6">
        <f t="shared" si="60"/>
        <v>7.77</v>
      </c>
      <c r="U667" s="22">
        <f t="shared" si="64"/>
        <v>1.0101</v>
      </c>
      <c r="V667" s="22">
        <f t="shared" si="65"/>
        <v>13</v>
      </c>
    </row>
    <row r="668" spans="1:22" x14ac:dyDescent="0.3">
      <c r="A668" s="1" t="s">
        <v>1294</v>
      </c>
      <c r="B668" s="2">
        <v>43987</v>
      </c>
      <c r="C668" s="2" t="str">
        <f t="shared" si="61"/>
        <v>Friday</v>
      </c>
      <c r="D668" s="2" t="str">
        <f t="shared" si="62"/>
        <v>June</v>
      </c>
      <c r="E668" s="2" t="str">
        <f t="shared" si="63"/>
        <v>2020</v>
      </c>
      <c r="F668" s="3" t="s">
        <v>1295</v>
      </c>
      <c r="G668" s="3" t="str">
        <f>VLOOKUP(F669,'Customers (2)'!A:I,2,0)</f>
        <v>Nissie Rudland</v>
      </c>
      <c r="H668" s="3" t="str">
        <f>VLOOKUP(F668,'Customers (2)'!A:I,3,0)</f>
        <v>jbranchettii@bravesites.com</v>
      </c>
      <c r="I668" s="3" t="str">
        <f>VLOOKUP(F668,'Customers (2)'!A:I,4,0)</f>
        <v>+1 (806) 376-6144</v>
      </c>
      <c r="J668" s="3" t="str">
        <f>VLOOKUP(F668,'Customers (2)'!A:I,6,0)</f>
        <v>Lubbock</v>
      </c>
      <c r="K668" s="3" t="str">
        <f>VLOOKUP(F668,'Customers (2)'!A:I,7,0)</f>
        <v>United States</v>
      </c>
      <c r="L668" s="3" t="str">
        <f>VLOOKUP(F668,'Customers (2)'!A:I,9,0)</f>
        <v>No</v>
      </c>
      <c r="M668" s="4" t="s">
        <v>118</v>
      </c>
      <c r="N668" s="4" t="str">
        <f>VLOOKUP(M668,'Products (2)'!A:G,2,0)</f>
        <v>Arabica</v>
      </c>
      <c r="O668" s="4" t="str">
        <f>VLOOKUP(M668,'Products (2)'!A:G,3,0)</f>
        <v>Dark</v>
      </c>
      <c r="P668" s="4">
        <f>VLOOKUP(M668,'Products (2)'!A:G,7,0)</f>
        <v>2.0596499999999995</v>
      </c>
      <c r="Q668" s="3">
        <v>4</v>
      </c>
      <c r="R668" s="5">
        <f>INDEX([1]products!$A$1:$G$49,MATCH([1]orders!$D668,[1]products!$A$1:$A$49,0),MATCH([1]orders!K$1,[1]products!$A$1:$G$1,0))</f>
        <v>2.5</v>
      </c>
      <c r="S668" s="6">
        <f>INDEX([1]products!$A$1:$G$49,MATCH([1]orders!$D668,[1]products!$A$1:$A$49,0),MATCH([1]orders!L$1,[1]products!$A$1:$G$1,0))</f>
        <v>22.884999999999998</v>
      </c>
      <c r="T668" s="6">
        <f t="shared" si="60"/>
        <v>91.539999999999992</v>
      </c>
      <c r="U668" s="22">
        <f t="shared" si="64"/>
        <v>8.2385999999999981</v>
      </c>
      <c r="V668" s="22">
        <f t="shared" si="65"/>
        <v>8.9999999999999982</v>
      </c>
    </row>
    <row r="669" spans="1:22" x14ac:dyDescent="0.3">
      <c r="A669" s="1" t="s">
        <v>1296</v>
      </c>
      <c r="B669" s="2">
        <v>44451</v>
      </c>
      <c r="C669" s="2" t="str">
        <f t="shared" si="61"/>
        <v>Sunday</v>
      </c>
      <c r="D669" s="2" t="str">
        <f t="shared" si="62"/>
        <v>September</v>
      </c>
      <c r="E669" s="2" t="str">
        <f t="shared" si="63"/>
        <v>2021</v>
      </c>
      <c r="F669" s="3" t="s">
        <v>1297</v>
      </c>
      <c r="G669" s="3" t="str">
        <f>VLOOKUP(F670,'Customers (2)'!A:I,2,0)</f>
        <v>Janella Millett</v>
      </c>
      <c r="H669" s="3" t="str">
        <f>VLOOKUP(F669,'Customers (2)'!A:I,3,0)</f>
        <v>nrudlandij@blogs.com</v>
      </c>
      <c r="I669" s="3" t="str">
        <f>VLOOKUP(F669,'Customers (2)'!A:I,4,0)</f>
        <v>+353 (445) 224-6111</v>
      </c>
      <c r="J669" s="3" t="str">
        <f>VLOOKUP(F669,'Customers (2)'!A:I,6,0)</f>
        <v>Gorey</v>
      </c>
      <c r="K669" s="3" t="str">
        <f>VLOOKUP(F669,'Customers (2)'!A:I,7,0)</f>
        <v>Ireland</v>
      </c>
      <c r="L669" s="3" t="str">
        <f>VLOOKUP(F669,'Customers (2)'!A:I,9,0)</f>
        <v>No</v>
      </c>
      <c r="M669" s="4" t="s">
        <v>27</v>
      </c>
      <c r="N669" s="4" t="str">
        <f>VLOOKUP(M669,'Products (2)'!A:G,2,0)</f>
        <v>Arabica</v>
      </c>
      <c r="O669" s="4" t="str">
        <f>VLOOKUP(M669,'Products (2)'!A:G,3,0)</f>
        <v>Dark</v>
      </c>
      <c r="P669" s="4">
        <f>VLOOKUP(M669,'Products (2)'!A:G,7,0)</f>
        <v>0.89549999999999985</v>
      </c>
      <c r="Q669" s="3">
        <v>6</v>
      </c>
      <c r="R669" s="5">
        <f>INDEX([1]products!$A$1:$G$49,MATCH([1]orders!$D669,[1]products!$A$1:$A$49,0),MATCH([1]orders!K$1,[1]products!$A$1:$G$1,0))</f>
        <v>1</v>
      </c>
      <c r="S669" s="6">
        <f>INDEX([1]products!$A$1:$G$49,MATCH([1]orders!$D669,[1]products!$A$1:$A$49,0),MATCH([1]orders!L$1,[1]products!$A$1:$G$1,0))</f>
        <v>9.9499999999999993</v>
      </c>
      <c r="T669" s="6">
        <f t="shared" si="60"/>
        <v>59.699999999999996</v>
      </c>
      <c r="U669" s="22">
        <f t="shared" si="64"/>
        <v>5.3729999999999993</v>
      </c>
      <c r="V669" s="22">
        <f t="shared" si="65"/>
        <v>9</v>
      </c>
    </row>
    <row r="670" spans="1:22" x14ac:dyDescent="0.3">
      <c r="A670" s="1" t="s">
        <v>1298</v>
      </c>
      <c r="B670" s="2">
        <v>44636</v>
      </c>
      <c r="C670" s="2" t="str">
        <f t="shared" si="61"/>
        <v>Wednesday</v>
      </c>
      <c r="D670" s="2" t="str">
        <f t="shared" si="62"/>
        <v>March</v>
      </c>
      <c r="E670" s="2" t="str">
        <f t="shared" si="63"/>
        <v>2022</v>
      </c>
      <c r="F670" s="3" t="s">
        <v>1281</v>
      </c>
      <c r="G670" s="3" t="str">
        <f>VLOOKUP(F671,'Customers (2)'!A:I,2,0)</f>
        <v>Ferdie Tourry</v>
      </c>
      <c r="H670" s="3" t="str">
        <f>VLOOKUP(F670,'Customers (2)'!A:I,3,0)</f>
        <v>jmillettik@addtoany.com</v>
      </c>
      <c r="I670" s="3" t="str">
        <f>VLOOKUP(F670,'Customers (2)'!A:I,4,0)</f>
        <v>+1 (919) 302-3228</v>
      </c>
      <c r="J670" s="3" t="str">
        <f>VLOOKUP(F670,'Customers (2)'!A:I,6,0)</f>
        <v>Durham</v>
      </c>
      <c r="K670" s="3" t="str">
        <f>VLOOKUP(F670,'Customers (2)'!A:I,7,0)</f>
        <v>United States</v>
      </c>
      <c r="L670" s="3" t="str">
        <f>VLOOKUP(F670,'Customers (2)'!A:I,9,0)</f>
        <v>Yes</v>
      </c>
      <c r="M670" s="4" t="s">
        <v>10</v>
      </c>
      <c r="N670" s="4" t="str">
        <f>VLOOKUP(M670,'Products (2)'!A:G,2,0)</f>
        <v>Robusta</v>
      </c>
      <c r="O670" s="4" t="str">
        <f>VLOOKUP(M670,'Products (2)'!A:G,3,0)</f>
        <v>Light</v>
      </c>
      <c r="P670" s="4">
        <f>VLOOKUP(M670,'Products (2)'!A:G,7,0)</f>
        <v>1.6490999999999998</v>
      </c>
      <c r="Q670" s="3">
        <v>5</v>
      </c>
      <c r="R670" s="5">
        <f>INDEX([1]products!$A$1:$G$49,MATCH([1]orders!$D670,[1]products!$A$1:$A$49,0),MATCH([1]orders!K$1,[1]products!$A$1:$G$1,0))</f>
        <v>2.5</v>
      </c>
      <c r="S670" s="6">
        <f>INDEX([1]products!$A$1:$G$49,MATCH([1]orders!$D670,[1]products!$A$1:$A$49,0),MATCH([1]orders!L$1,[1]products!$A$1:$G$1,0))</f>
        <v>27.484999999999996</v>
      </c>
      <c r="T670" s="6">
        <f t="shared" si="60"/>
        <v>137.42499999999998</v>
      </c>
      <c r="U670" s="22">
        <f t="shared" si="64"/>
        <v>8.2454999999999998</v>
      </c>
      <c r="V670" s="22">
        <f t="shared" si="65"/>
        <v>6.0000000000000009</v>
      </c>
    </row>
    <row r="671" spans="1:22" x14ac:dyDescent="0.3">
      <c r="A671" s="1" t="s">
        <v>1299</v>
      </c>
      <c r="B671" s="2">
        <v>44551</v>
      </c>
      <c r="C671" s="2" t="str">
        <f t="shared" si="61"/>
        <v>Tuesday</v>
      </c>
      <c r="D671" s="2" t="str">
        <f t="shared" si="62"/>
        <v>December</v>
      </c>
      <c r="E671" s="2" t="str">
        <f t="shared" si="63"/>
        <v>2021</v>
      </c>
      <c r="F671" s="3" t="s">
        <v>1300</v>
      </c>
      <c r="G671" s="3" t="str">
        <f>VLOOKUP(F672,'Customers (2)'!A:I,2,0)</f>
        <v>Cecil Weatherall</v>
      </c>
      <c r="H671" s="3" t="str">
        <f>VLOOKUP(F671,'Customers (2)'!A:I,3,0)</f>
        <v>ftourryil@google.de</v>
      </c>
      <c r="I671" s="3" t="str">
        <f>VLOOKUP(F671,'Customers (2)'!A:I,4,0)</f>
        <v>+1 (843) 243-1686</v>
      </c>
      <c r="J671" s="3" t="str">
        <f>VLOOKUP(F671,'Customers (2)'!A:I,6,0)</f>
        <v>Florence</v>
      </c>
      <c r="K671" s="3" t="str">
        <f>VLOOKUP(F671,'Customers (2)'!A:I,7,0)</f>
        <v>United States</v>
      </c>
      <c r="L671" s="3" t="str">
        <f>VLOOKUP(F671,'Customers (2)'!A:I,9,0)</f>
        <v>No</v>
      </c>
      <c r="M671" s="4" t="s">
        <v>197</v>
      </c>
      <c r="N671" s="4" t="str">
        <f>VLOOKUP(M671,'Products (2)'!A:G,2,0)</f>
        <v>Liberica</v>
      </c>
      <c r="O671" s="4" t="str">
        <f>VLOOKUP(M671,'Products (2)'!A:G,3,0)</f>
        <v>Medium</v>
      </c>
      <c r="P671" s="4">
        <f>VLOOKUP(M671,'Products (2)'!A:G,7,0)</f>
        <v>4.3504499999999995</v>
      </c>
      <c r="Q671" s="3">
        <v>2</v>
      </c>
      <c r="R671" s="5">
        <f>INDEX([1]products!$A$1:$G$49,MATCH([1]orders!$D671,[1]products!$A$1:$A$49,0),MATCH([1]orders!K$1,[1]products!$A$1:$G$1,0))</f>
        <v>2.5</v>
      </c>
      <c r="S671" s="6">
        <f>INDEX([1]products!$A$1:$G$49,MATCH([1]orders!$D671,[1]products!$A$1:$A$49,0),MATCH([1]orders!L$1,[1]products!$A$1:$G$1,0))</f>
        <v>33.464999999999996</v>
      </c>
      <c r="T671" s="6">
        <f t="shared" si="60"/>
        <v>66.929999999999993</v>
      </c>
      <c r="U671" s="22">
        <f t="shared" si="64"/>
        <v>8.700899999999999</v>
      </c>
      <c r="V671" s="22">
        <f t="shared" si="65"/>
        <v>13</v>
      </c>
    </row>
    <row r="672" spans="1:22" x14ac:dyDescent="0.3">
      <c r="A672" s="1" t="s">
        <v>1301</v>
      </c>
      <c r="B672" s="2">
        <v>43606</v>
      </c>
      <c r="C672" s="2" t="str">
        <f t="shared" si="61"/>
        <v>Tuesday</v>
      </c>
      <c r="D672" s="2" t="str">
        <f t="shared" si="62"/>
        <v>May</v>
      </c>
      <c r="E672" s="2" t="str">
        <f t="shared" si="63"/>
        <v>2019</v>
      </c>
      <c r="F672" s="3" t="s">
        <v>1302</v>
      </c>
      <c r="G672" s="3" t="str">
        <f>VLOOKUP(F673,'Customers (2)'!A:I,2,0)</f>
        <v>Gale Heindrick</v>
      </c>
      <c r="H672" s="3" t="str">
        <f>VLOOKUP(F672,'Customers (2)'!A:I,3,0)</f>
        <v>cweatherallim@toplist.cz</v>
      </c>
      <c r="I672" s="3" t="str">
        <f>VLOOKUP(F672,'Customers (2)'!A:I,4,0)</f>
        <v>+1 (315) 335-0182</v>
      </c>
      <c r="J672" s="3" t="str">
        <f>VLOOKUP(F672,'Customers (2)'!A:I,6,0)</f>
        <v>Syracuse</v>
      </c>
      <c r="K672" s="3" t="str">
        <f>VLOOKUP(F672,'Customers (2)'!A:I,7,0)</f>
        <v>United States</v>
      </c>
      <c r="L672" s="3" t="str">
        <f>VLOOKUP(F672,'Customers (2)'!A:I,9,0)</f>
        <v>Yes</v>
      </c>
      <c r="M672" s="4" t="s">
        <v>77</v>
      </c>
      <c r="N672" s="4" t="str">
        <f>VLOOKUP(M672,'Products (2)'!A:G,2,0)</f>
        <v>Liberica</v>
      </c>
      <c r="O672" s="4" t="str">
        <f>VLOOKUP(M672,'Products (2)'!A:G,3,0)</f>
        <v>Medium</v>
      </c>
      <c r="P672" s="4">
        <f>VLOOKUP(M672,'Products (2)'!A:G,7,0)</f>
        <v>0.56745000000000001</v>
      </c>
      <c r="Q672" s="3">
        <v>3</v>
      </c>
      <c r="R672" s="5">
        <f>INDEX([1]products!$A$1:$G$49,MATCH([1]orders!$D672,[1]products!$A$1:$A$49,0),MATCH([1]orders!K$1,[1]products!$A$1:$G$1,0))</f>
        <v>0.2</v>
      </c>
      <c r="S672" s="6">
        <f>INDEX([1]products!$A$1:$G$49,MATCH([1]orders!$D672,[1]products!$A$1:$A$49,0),MATCH([1]orders!L$1,[1]products!$A$1:$G$1,0))</f>
        <v>4.3650000000000002</v>
      </c>
      <c r="T672" s="6">
        <f t="shared" si="60"/>
        <v>13.095000000000001</v>
      </c>
      <c r="U672" s="22">
        <f t="shared" si="64"/>
        <v>1.70235</v>
      </c>
      <c r="V672" s="22">
        <f t="shared" si="65"/>
        <v>13</v>
      </c>
    </row>
    <row r="673" spans="1:22" x14ac:dyDescent="0.3">
      <c r="A673" s="1" t="s">
        <v>1303</v>
      </c>
      <c r="B673" s="2">
        <v>44495</v>
      </c>
      <c r="C673" s="2" t="str">
        <f t="shared" si="61"/>
        <v>Tuesday</v>
      </c>
      <c r="D673" s="2" t="str">
        <f t="shared" si="62"/>
        <v>October</v>
      </c>
      <c r="E673" s="2" t="str">
        <f t="shared" si="63"/>
        <v>2021</v>
      </c>
      <c r="F673" s="3" t="s">
        <v>1304</v>
      </c>
      <c r="G673" s="3" t="str">
        <f>VLOOKUP(F674,'Customers (2)'!A:I,2,0)</f>
        <v>Layne Imason</v>
      </c>
      <c r="H673" s="3" t="str">
        <f>VLOOKUP(F673,'Customers (2)'!A:I,3,0)</f>
        <v>gheindrickin@usda.gov</v>
      </c>
      <c r="I673" s="3" t="str">
        <f>VLOOKUP(F673,'Customers (2)'!A:I,4,0)</f>
        <v>+1 (229) 111-7292</v>
      </c>
      <c r="J673" s="3" t="str">
        <f>VLOOKUP(F673,'Customers (2)'!A:I,6,0)</f>
        <v>Lawrenceville</v>
      </c>
      <c r="K673" s="3" t="str">
        <f>VLOOKUP(F673,'Customers (2)'!A:I,7,0)</f>
        <v>United States</v>
      </c>
      <c r="L673" s="3" t="str">
        <f>VLOOKUP(F673,'Customers (2)'!A:I,9,0)</f>
        <v>No</v>
      </c>
      <c r="M673" s="4" t="s">
        <v>189</v>
      </c>
      <c r="N673" s="4" t="str">
        <f>VLOOKUP(M673,'Products (2)'!A:G,2,0)</f>
        <v>Robusta</v>
      </c>
      <c r="O673" s="4" t="str">
        <f>VLOOKUP(M673,'Products (2)'!A:G,3,0)</f>
        <v>Light</v>
      </c>
      <c r="P673" s="4">
        <f>VLOOKUP(M673,'Products (2)'!A:G,7,0)</f>
        <v>0.71699999999999997</v>
      </c>
      <c r="Q673" s="3">
        <v>5</v>
      </c>
      <c r="R673" s="5">
        <f>INDEX([1]products!$A$1:$G$49,MATCH([1]orders!$D673,[1]products!$A$1:$A$49,0),MATCH([1]orders!K$1,[1]products!$A$1:$G$1,0))</f>
        <v>1</v>
      </c>
      <c r="S673" s="6">
        <f>INDEX([1]products!$A$1:$G$49,MATCH([1]orders!$D673,[1]products!$A$1:$A$49,0),MATCH([1]orders!L$1,[1]products!$A$1:$G$1,0))</f>
        <v>11.95</v>
      </c>
      <c r="T673" s="6">
        <f t="shared" si="60"/>
        <v>59.75</v>
      </c>
      <c r="U673" s="22">
        <f t="shared" si="64"/>
        <v>3.585</v>
      </c>
      <c r="V673" s="22">
        <f t="shared" si="65"/>
        <v>6</v>
      </c>
    </row>
    <row r="674" spans="1:22" x14ac:dyDescent="0.3">
      <c r="A674" s="1" t="s">
        <v>1305</v>
      </c>
      <c r="B674" s="2">
        <v>43916</v>
      </c>
      <c r="C674" s="2" t="str">
        <f t="shared" si="61"/>
        <v>Thursday</v>
      </c>
      <c r="D674" s="2" t="str">
        <f t="shared" si="62"/>
        <v>March</v>
      </c>
      <c r="E674" s="2" t="str">
        <f t="shared" si="63"/>
        <v>2020</v>
      </c>
      <c r="F674" s="3" t="s">
        <v>1306</v>
      </c>
      <c r="G674" s="3" t="str">
        <f>VLOOKUP(F675,'Customers (2)'!A:I,2,0)</f>
        <v>Hazel Saill</v>
      </c>
      <c r="H674" s="3" t="str">
        <f>VLOOKUP(F674,'Customers (2)'!A:I,3,0)</f>
        <v>limasonio@discuz.net</v>
      </c>
      <c r="I674" s="3">
        <f>VLOOKUP(F674,'Customers (2)'!A:I,4,0)</f>
        <v>0</v>
      </c>
      <c r="J674" s="3" t="str">
        <f>VLOOKUP(F674,'Customers (2)'!A:I,6,0)</f>
        <v>Houston</v>
      </c>
      <c r="K674" s="3" t="str">
        <f>VLOOKUP(F674,'Customers (2)'!A:I,7,0)</f>
        <v>United States</v>
      </c>
      <c r="L674" s="3" t="str">
        <f>VLOOKUP(F674,'Customers (2)'!A:I,9,0)</f>
        <v>Yes</v>
      </c>
      <c r="M674" s="4" t="s">
        <v>78</v>
      </c>
      <c r="N674" s="4" t="str">
        <f>VLOOKUP(M674,'Products (2)'!A:G,2,0)</f>
        <v>Liberica</v>
      </c>
      <c r="O674" s="4" t="str">
        <f>VLOOKUP(M674,'Products (2)'!A:G,3,0)</f>
        <v>Medium</v>
      </c>
      <c r="P674" s="4">
        <f>VLOOKUP(M674,'Products (2)'!A:G,7,0)</f>
        <v>1.1349</v>
      </c>
      <c r="Q674" s="3">
        <v>5</v>
      </c>
      <c r="R674" s="5">
        <f>INDEX([1]products!$A$1:$G$49,MATCH([1]orders!$D674,[1]products!$A$1:$A$49,0),MATCH([1]orders!K$1,[1]products!$A$1:$G$1,0))</f>
        <v>0.5</v>
      </c>
      <c r="S674" s="6">
        <f>INDEX([1]products!$A$1:$G$49,MATCH([1]orders!$D674,[1]products!$A$1:$A$49,0),MATCH([1]orders!L$1,[1]products!$A$1:$G$1,0))</f>
        <v>8.73</v>
      </c>
      <c r="T674" s="6">
        <f t="shared" si="60"/>
        <v>43.650000000000006</v>
      </c>
      <c r="U674" s="22">
        <f t="shared" si="64"/>
        <v>5.6745000000000001</v>
      </c>
      <c r="V674" s="22">
        <f t="shared" si="65"/>
        <v>12.999999999999998</v>
      </c>
    </row>
    <row r="675" spans="1:22" x14ac:dyDescent="0.3">
      <c r="A675" s="1" t="s">
        <v>1307</v>
      </c>
      <c r="B675" s="2">
        <v>44118</v>
      </c>
      <c r="C675" s="2" t="str">
        <f t="shared" si="61"/>
        <v>Wednesday</v>
      </c>
      <c r="D675" s="2" t="str">
        <f t="shared" si="62"/>
        <v>October</v>
      </c>
      <c r="E675" s="2" t="str">
        <f t="shared" si="63"/>
        <v>2020</v>
      </c>
      <c r="F675" s="3" t="s">
        <v>1308</v>
      </c>
      <c r="G675" s="3" t="str">
        <f>VLOOKUP(F676,'Customers (2)'!A:I,2,0)</f>
        <v>Hermann Larvor</v>
      </c>
      <c r="H675" s="3" t="str">
        <f>VLOOKUP(F675,'Customers (2)'!A:I,3,0)</f>
        <v>hsaillip@odnoklassniki.ru</v>
      </c>
      <c r="I675" s="3" t="str">
        <f>VLOOKUP(F675,'Customers (2)'!A:I,4,0)</f>
        <v>+1 (913) 968-8024</v>
      </c>
      <c r="J675" s="3" t="str">
        <f>VLOOKUP(F675,'Customers (2)'!A:I,6,0)</f>
        <v>Kansas City</v>
      </c>
      <c r="K675" s="3" t="str">
        <f>VLOOKUP(F675,'Customers (2)'!A:I,7,0)</f>
        <v>United States</v>
      </c>
      <c r="L675" s="3" t="str">
        <f>VLOOKUP(F675,'Customers (2)'!A:I,9,0)</f>
        <v>Yes</v>
      </c>
      <c r="M675" s="4" t="s">
        <v>9</v>
      </c>
      <c r="N675" s="4" t="str">
        <f>VLOOKUP(M675,'Products (2)'!A:G,2,0)</f>
        <v>Excelsa</v>
      </c>
      <c r="O675" s="4" t="str">
        <f>VLOOKUP(M675,'Products (2)'!A:G,3,0)</f>
        <v>Medium</v>
      </c>
      <c r="P675" s="4">
        <f>VLOOKUP(M675,'Products (2)'!A:G,7,0)</f>
        <v>1.5125</v>
      </c>
      <c r="Q675" s="3">
        <v>6</v>
      </c>
      <c r="R675" s="5">
        <f>INDEX([1]products!$A$1:$G$49,MATCH([1]orders!$D675,[1]products!$A$1:$A$49,0),MATCH([1]orders!K$1,[1]products!$A$1:$G$1,0))</f>
        <v>1</v>
      </c>
      <c r="S675" s="6">
        <f>INDEX([1]products!$A$1:$G$49,MATCH([1]orders!$D675,[1]products!$A$1:$A$49,0),MATCH([1]orders!L$1,[1]products!$A$1:$G$1,0))</f>
        <v>13.75</v>
      </c>
      <c r="T675" s="6">
        <f t="shared" si="60"/>
        <v>82.5</v>
      </c>
      <c r="U675" s="22">
        <f t="shared" si="64"/>
        <v>9.0749999999999993</v>
      </c>
      <c r="V675" s="22">
        <f t="shared" si="65"/>
        <v>10.999999999999998</v>
      </c>
    </row>
    <row r="676" spans="1:22" x14ac:dyDescent="0.3">
      <c r="A676" s="1" t="s">
        <v>1309</v>
      </c>
      <c r="B676" s="2">
        <v>44543</v>
      </c>
      <c r="C676" s="2" t="str">
        <f t="shared" si="61"/>
        <v>Monday</v>
      </c>
      <c r="D676" s="2" t="str">
        <f t="shared" si="62"/>
        <v>December</v>
      </c>
      <c r="E676" s="2" t="str">
        <f t="shared" si="63"/>
        <v>2021</v>
      </c>
      <c r="F676" s="3" t="s">
        <v>1310</v>
      </c>
      <c r="G676" s="3" t="str">
        <f>VLOOKUP(F677,'Customers (2)'!A:I,2,0)</f>
        <v>Terri Lyford</v>
      </c>
      <c r="H676" s="3" t="str">
        <f>VLOOKUP(F676,'Customers (2)'!A:I,3,0)</f>
        <v>hlarvoriq@last.fm</v>
      </c>
      <c r="I676" s="3" t="str">
        <f>VLOOKUP(F676,'Customers (2)'!A:I,4,0)</f>
        <v>+1 (941) 779-2195</v>
      </c>
      <c r="J676" s="3" t="str">
        <f>VLOOKUP(F676,'Customers (2)'!A:I,6,0)</f>
        <v>Bradenton</v>
      </c>
      <c r="K676" s="3" t="str">
        <f>VLOOKUP(F676,'Customers (2)'!A:I,7,0)</f>
        <v>United States</v>
      </c>
      <c r="L676" s="3" t="str">
        <f>VLOOKUP(F676,'Customers (2)'!A:I,9,0)</f>
        <v>Yes</v>
      </c>
      <c r="M676" s="4" t="s">
        <v>204</v>
      </c>
      <c r="N676" s="4" t="str">
        <f>VLOOKUP(M676,'Products (2)'!A:G,2,0)</f>
        <v>Arabica</v>
      </c>
      <c r="O676" s="4" t="str">
        <f>VLOOKUP(M676,'Products (2)'!A:G,3,0)</f>
        <v>Light</v>
      </c>
      <c r="P676" s="4">
        <f>VLOOKUP(M676,'Products (2)'!A:G,7,0)</f>
        <v>2.6806499999999995</v>
      </c>
      <c r="Q676" s="3">
        <v>6</v>
      </c>
      <c r="R676" s="5">
        <f>INDEX([1]products!$A$1:$G$49,MATCH([1]orders!$D676,[1]products!$A$1:$A$49,0),MATCH([1]orders!K$1,[1]products!$A$1:$G$1,0))</f>
        <v>2.5</v>
      </c>
      <c r="S676" s="6">
        <f>INDEX([1]products!$A$1:$G$49,MATCH([1]orders!$D676,[1]products!$A$1:$A$49,0),MATCH([1]orders!L$1,[1]products!$A$1:$G$1,0))</f>
        <v>29.784999999999997</v>
      </c>
      <c r="T676" s="6">
        <f t="shared" si="60"/>
        <v>178.70999999999998</v>
      </c>
      <c r="U676" s="22">
        <f t="shared" si="64"/>
        <v>16.083899999999996</v>
      </c>
      <c r="V676" s="22">
        <f t="shared" si="65"/>
        <v>8.9999999999999982</v>
      </c>
    </row>
    <row r="677" spans="1:22" x14ac:dyDescent="0.3">
      <c r="A677" s="1" t="s">
        <v>1311</v>
      </c>
      <c r="B677" s="2">
        <v>44263</v>
      </c>
      <c r="C677" s="2" t="str">
        <f t="shared" si="61"/>
        <v>Monday</v>
      </c>
      <c r="D677" s="2" t="str">
        <f t="shared" si="62"/>
        <v>March</v>
      </c>
      <c r="E677" s="2" t="str">
        <f t="shared" si="63"/>
        <v>2021</v>
      </c>
      <c r="F677" s="3" t="s">
        <v>1312</v>
      </c>
      <c r="G677" s="3" t="str">
        <f>VLOOKUP(F678,'Customers (2)'!A:I,2,0)</f>
        <v>Gabey Cogan</v>
      </c>
      <c r="H677" s="3">
        <f>VLOOKUP(F677,'Customers (2)'!A:I,3,0)</f>
        <v>0</v>
      </c>
      <c r="I677" s="3" t="str">
        <f>VLOOKUP(F677,'Customers (2)'!A:I,4,0)</f>
        <v>+1 (610) 942-2790</v>
      </c>
      <c r="J677" s="3" t="str">
        <f>VLOOKUP(F677,'Customers (2)'!A:I,6,0)</f>
        <v>Allentown</v>
      </c>
      <c r="K677" s="3" t="str">
        <f>VLOOKUP(F677,'Customers (2)'!A:I,7,0)</f>
        <v>United States</v>
      </c>
      <c r="L677" s="3" t="str">
        <f>VLOOKUP(F677,'Customers (2)'!A:I,9,0)</f>
        <v>Yes</v>
      </c>
      <c r="M677" s="4" t="s">
        <v>109</v>
      </c>
      <c r="N677" s="4" t="str">
        <f>VLOOKUP(M677,'Products (2)'!A:G,2,0)</f>
        <v>Liberica</v>
      </c>
      <c r="O677" s="4" t="str">
        <f>VLOOKUP(M677,'Products (2)'!A:G,3,0)</f>
        <v>Dark</v>
      </c>
      <c r="P677" s="4">
        <f>VLOOKUP(M677,'Products (2)'!A:G,7,0)</f>
        <v>3.8720499999999998</v>
      </c>
      <c r="Q677" s="3">
        <v>4</v>
      </c>
      <c r="R677" s="5">
        <f>INDEX([1]products!$A$1:$G$49,MATCH([1]orders!$D677,[1]products!$A$1:$A$49,0),MATCH([1]orders!K$1,[1]products!$A$1:$G$1,0))</f>
        <v>2.5</v>
      </c>
      <c r="S677" s="6">
        <f>INDEX([1]products!$A$1:$G$49,MATCH([1]orders!$D677,[1]products!$A$1:$A$49,0),MATCH([1]orders!L$1,[1]products!$A$1:$G$1,0))</f>
        <v>29.784999999999997</v>
      </c>
      <c r="T677" s="6">
        <f t="shared" si="60"/>
        <v>119.13999999999999</v>
      </c>
      <c r="U677" s="22">
        <f t="shared" si="64"/>
        <v>15.488199999999999</v>
      </c>
      <c r="V677" s="22">
        <f t="shared" si="65"/>
        <v>13</v>
      </c>
    </row>
    <row r="678" spans="1:22" x14ac:dyDescent="0.3">
      <c r="A678" s="1" t="s">
        <v>1313</v>
      </c>
      <c r="B678" s="2">
        <v>44217</v>
      </c>
      <c r="C678" s="2" t="str">
        <f t="shared" si="61"/>
        <v>Thursday</v>
      </c>
      <c r="D678" s="2" t="str">
        <f t="shared" si="62"/>
        <v>January</v>
      </c>
      <c r="E678" s="2" t="str">
        <f t="shared" si="63"/>
        <v>2021</v>
      </c>
      <c r="F678" s="3" t="s">
        <v>1314</v>
      </c>
      <c r="G678" s="3" t="str">
        <f>VLOOKUP(F679,'Customers (2)'!A:I,2,0)</f>
        <v>Charin Penwarden</v>
      </c>
      <c r="H678" s="3">
        <f>VLOOKUP(F678,'Customers (2)'!A:I,3,0)</f>
        <v>0</v>
      </c>
      <c r="I678" s="3" t="str">
        <f>VLOOKUP(F678,'Customers (2)'!A:I,4,0)</f>
        <v>+1 (757) 101-9459</v>
      </c>
      <c r="J678" s="3" t="str">
        <f>VLOOKUP(F678,'Customers (2)'!A:I,6,0)</f>
        <v>Hampton</v>
      </c>
      <c r="K678" s="3" t="str">
        <f>VLOOKUP(F678,'Customers (2)'!A:I,7,0)</f>
        <v>United States</v>
      </c>
      <c r="L678" s="3" t="str">
        <f>VLOOKUP(F678,'Customers (2)'!A:I,9,0)</f>
        <v>No</v>
      </c>
      <c r="M678" s="4" t="s">
        <v>83</v>
      </c>
      <c r="N678" s="4" t="str">
        <f>VLOOKUP(M678,'Products (2)'!A:G,2,0)</f>
        <v>Liberica</v>
      </c>
      <c r="O678" s="4" t="str">
        <f>VLOOKUP(M678,'Products (2)'!A:G,3,0)</f>
        <v>Light</v>
      </c>
      <c r="P678" s="4">
        <f>VLOOKUP(M678,'Products (2)'!A:G,7,0)</f>
        <v>1.2363</v>
      </c>
      <c r="Q678" s="3">
        <v>5</v>
      </c>
      <c r="R678" s="5">
        <f>INDEX([1]products!$A$1:$G$49,MATCH([1]orders!$D678,[1]products!$A$1:$A$49,0),MATCH([1]orders!K$1,[1]products!$A$1:$G$1,0))</f>
        <v>0.5</v>
      </c>
      <c r="S678" s="6">
        <f>INDEX([1]products!$A$1:$G$49,MATCH([1]orders!$D678,[1]products!$A$1:$A$49,0),MATCH([1]orders!L$1,[1]products!$A$1:$G$1,0))</f>
        <v>9.51</v>
      </c>
      <c r="T678" s="6">
        <f t="shared" si="60"/>
        <v>47.55</v>
      </c>
      <c r="U678" s="22">
        <f t="shared" si="64"/>
        <v>6.1814999999999998</v>
      </c>
      <c r="V678" s="22">
        <f t="shared" si="65"/>
        <v>13</v>
      </c>
    </row>
    <row r="679" spans="1:22" x14ac:dyDescent="0.3">
      <c r="A679" s="1" t="s">
        <v>1315</v>
      </c>
      <c r="B679" s="2">
        <v>44206</v>
      </c>
      <c r="C679" s="2" t="str">
        <f t="shared" si="61"/>
        <v>Sunday</v>
      </c>
      <c r="D679" s="2" t="str">
        <f t="shared" si="62"/>
        <v>January</v>
      </c>
      <c r="E679" s="2" t="str">
        <f t="shared" si="63"/>
        <v>2021</v>
      </c>
      <c r="F679" s="3" t="s">
        <v>1316</v>
      </c>
      <c r="G679" s="3" t="str">
        <f>VLOOKUP(F680,'Customers (2)'!A:I,2,0)</f>
        <v>Milty Middis</v>
      </c>
      <c r="H679" s="3" t="str">
        <f>VLOOKUP(F679,'Customers (2)'!A:I,3,0)</f>
        <v>cpenwardenit@mlb.com</v>
      </c>
      <c r="I679" s="3" t="str">
        <f>VLOOKUP(F679,'Customers (2)'!A:I,4,0)</f>
        <v>+353 (765) 345-5590</v>
      </c>
      <c r="J679" s="3" t="str">
        <f>VLOOKUP(F679,'Customers (2)'!A:I,6,0)</f>
        <v>Whitegate</v>
      </c>
      <c r="K679" s="3" t="str">
        <f>VLOOKUP(F679,'Customers (2)'!A:I,7,0)</f>
        <v>Ireland</v>
      </c>
      <c r="L679" s="3" t="str">
        <f>VLOOKUP(F679,'Customers (2)'!A:I,9,0)</f>
        <v>No</v>
      </c>
      <c r="M679" s="4" t="s">
        <v>78</v>
      </c>
      <c r="N679" s="4" t="str">
        <f>VLOOKUP(M679,'Products (2)'!A:G,2,0)</f>
        <v>Liberica</v>
      </c>
      <c r="O679" s="4" t="str">
        <f>VLOOKUP(M679,'Products (2)'!A:G,3,0)</f>
        <v>Medium</v>
      </c>
      <c r="P679" s="4">
        <f>VLOOKUP(M679,'Products (2)'!A:G,7,0)</f>
        <v>1.1349</v>
      </c>
      <c r="Q679" s="3">
        <v>5</v>
      </c>
      <c r="R679" s="5">
        <f>INDEX([1]products!$A$1:$G$49,MATCH([1]orders!$D679,[1]products!$A$1:$A$49,0),MATCH([1]orders!K$1,[1]products!$A$1:$G$1,0))</f>
        <v>0.5</v>
      </c>
      <c r="S679" s="6">
        <f>INDEX([1]products!$A$1:$G$49,MATCH([1]orders!$D679,[1]products!$A$1:$A$49,0),MATCH([1]orders!L$1,[1]products!$A$1:$G$1,0))</f>
        <v>8.73</v>
      </c>
      <c r="T679" s="6">
        <f t="shared" si="60"/>
        <v>43.650000000000006</v>
      </c>
      <c r="U679" s="22">
        <f t="shared" si="64"/>
        <v>5.6745000000000001</v>
      </c>
      <c r="V679" s="22">
        <f t="shared" si="65"/>
        <v>12.999999999999998</v>
      </c>
    </row>
    <row r="680" spans="1:22" x14ac:dyDescent="0.3">
      <c r="A680" s="1" t="s">
        <v>1317</v>
      </c>
      <c r="B680" s="2">
        <v>44281</v>
      </c>
      <c r="C680" s="2" t="str">
        <f t="shared" si="61"/>
        <v>Friday</v>
      </c>
      <c r="D680" s="2" t="str">
        <f t="shared" si="62"/>
        <v>March</v>
      </c>
      <c r="E680" s="2" t="str">
        <f t="shared" si="63"/>
        <v>2021</v>
      </c>
      <c r="F680" s="3" t="s">
        <v>1318</v>
      </c>
      <c r="G680" s="3" t="str">
        <f>VLOOKUP(F681,'Customers (2)'!A:I,2,0)</f>
        <v>Adrianne Vairow</v>
      </c>
      <c r="H680" s="3" t="str">
        <f>VLOOKUP(F680,'Customers (2)'!A:I,3,0)</f>
        <v>mmiddisiu@dmoz.org</v>
      </c>
      <c r="I680" s="3" t="str">
        <f>VLOOKUP(F680,'Customers (2)'!A:I,4,0)</f>
        <v>+1 (316) 736-9645</v>
      </c>
      <c r="J680" s="3" t="str">
        <f>VLOOKUP(F680,'Customers (2)'!A:I,6,0)</f>
        <v>Wichita</v>
      </c>
      <c r="K680" s="3" t="str">
        <f>VLOOKUP(F680,'Customers (2)'!A:I,7,0)</f>
        <v>United States</v>
      </c>
      <c r="L680" s="3" t="str">
        <f>VLOOKUP(F680,'Customers (2)'!A:I,9,0)</f>
        <v>Yes</v>
      </c>
      <c r="M680" s="4" t="s">
        <v>204</v>
      </c>
      <c r="N680" s="4" t="str">
        <f>VLOOKUP(M680,'Products (2)'!A:G,2,0)</f>
        <v>Arabica</v>
      </c>
      <c r="O680" s="4" t="str">
        <f>VLOOKUP(M680,'Products (2)'!A:G,3,0)</f>
        <v>Light</v>
      </c>
      <c r="P680" s="4">
        <f>VLOOKUP(M680,'Products (2)'!A:G,7,0)</f>
        <v>2.6806499999999995</v>
      </c>
      <c r="Q680" s="3">
        <v>6</v>
      </c>
      <c r="R680" s="5">
        <f>INDEX([1]products!$A$1:$G$49,MATCH([1]orders!$D680,[1]products!$A$1:$A$49,0),MATCH([1]orders!K$1,[1]products!$A$1:$G$1,0))</f>
        <v>2.5</v>
      </c>
      <c r="S680" s="6">
        <f>INDEX([1]products!$A$1:$G$49,MATCH([1]orders!$D680,[1]products!$A$1:$A$49,0),MATCH([1]orders!L$1,[1]products!$A$1:$G$1,0))</f>
        <v>29.784999999999997</v>
      </c>
      <c r="T680" s="6">
        <f t="shared" si="60"/>
        <v>178.70999999999998</v>
      </c>
      <c r="U680" s="22">
        <f t="shared" si="64"/>
        <v>16.083899999999996</v>
      </c>
      <c r="V680" s="22">
        <f t="shared" si="65"/>
        <v>8.9999999999999982</v>
      </c>
    </row>
    <row r="681" spans="1:22" x14ac:dyDescent="0.3">
      <c r="A681" s="1" t="s">
        <v>1319</v>
      </c>
      <c r="B681" s="2">
        <v>44645</v>
      </c>
      <c r="C681" s="2" t="str">
        <f t="shared" si="61"/>
        <v>Friday</v>
      </c>
      <c r="D681" s="2" t="str">
        <f t="shared" si="62"/>
        <v>March</v>
      </c>
      <c r="E681" s="2" t="str">
        <f t="shared" si="63"/>
        <v>2022</v>
      </c>
      <c r="F681" s="3" t="s">
        <v>1320</v>
      </c>
      <c r="G681" s="3" t="str">
        <f>VLOOKUP(F682,'Customers (2)'!A:I,2,0)</f>
        <v>Anjanette Goldie</v>
      </c>
      <c r="H681" s="3" t="str">
        <f>VLOOKUP(F681,'Customers (2)'!A:I,3,0)</f>
        <v>avairowiv@studiopress.com</v>
      </c>
      <c r="I681" s="3" t="str">
        <f>VLOOKUP(F681,'Customers (2)'!A:I,4,0)</f>
        <v>+44 (236) 517-2586</v>
      </c>
      <c r="J681" s="3" t="str">
        <f>VLOOKUP(F681,'Customers (2)'!A:I,6,0)</f>
        <v>Thorpe</v>
      </c>
      <c r="K681" s="3" t="str">
        <f>VLOOKUP(F681,'Customers (2)'!A:I,7,0)</f>
        <v>United Kingdom</v>
      </c>
      <c r="L681" s="3" t="str">
        <f>VLOOKUP(F681,'Customers (2)'!A:I,9,0)</f>
        <v>No</v>
      </c>
      <c r="M681" s="4" t="s">
        <v>10</v>
      </c>
      <c r="N681" s="4" t="str">
        <f>VLOOKUP(M681,'Products (2)'!A:G,2,0)</f>
        <v>Robusta</v>
      </c>
      <c r="O681" s="4" t="str">
        <f>VLOOKUP(M681,'Products (2)'!A:G,3,0)</f>
        <v>Light</v>
      </c>
      <c r="P681" s="4">
        <f>VLOOKUP(M681,'Products (2)'!A:G,7,0)</f>
        <v>1.6490999999999998</v>
      </c>
      <c r="Q681" s="3">
        <v>1</v>
      </c>
      <c r="R681" s="5">
        <f>INDEX([1]products!$A$1:$G$49,MATCH([1]orders!$D681,[1]products!$A$1:$A$49,0),MATCH([1]orders!K$1,[1]products!$A$1:$G$1,0))</f>
        <v>2.5</v>
      </c>
      <c r="S681" s="6">
        <f>INDEX([1]products!$A$1:$G$49,MATCH([1]orders!$D681,[1]products!$A$1:$A$49,0),MATCH([1]orders!L$1,[1]products!$A$1:$G$1,0))</f>
        <v>27.484999999999996</v>
      </c>
      <c r="T681" s="6">
        <f t="shared" si="60"/>
        <v>27.484999999999996</v>
      </c>
      <c r="U681" s="22">
        <f t="shared" si="64"/>
        <v>1.6490999999999998</v>
      </c>
      <c r="V681" s="22">
        <f t="shared" si="65"/>
        <v>6.0000000000000009</v>
      </c>
    </row>
    <row r="682" spans="1:22" x14ac:dyDescent="0.3">
      <c r="A682" s="1" t="s">
        <v>1321</v>
      </c>
      <c r="B682" s="2">
        <v>44399</v>
      </c>
      <c r="C682" s="2" t="str">
        <f t="shared" si="61"/>
        <v>Thursday</v>
      </c>
      <c r="D682" s="2" t="str">
        <f t="shared" si="62"/>
        <v>July</v>
      </c>
      <c r="E682" s="2" t="str">
        <f t="shared" si="63"/>
        <v>2021</v>
      </c>
      <c r="F682" s="3" t="s">
        <v>1322</v>
      </c>
      <c r="G682" s="3" t="str">
        <f>VLOOKUP(F683,'Customers (2)'!A:I,2,0)</f>
        <v>Nicky Ayris</v>
      </c>
      <c r="H682" s="3" t="str">
        <f>VLOOKUP(F682,'Customers (2)'!A:I,3,0)</f>
        <v>agoldieiw@goo.gl</v>
      </c>
      <c r="I682" s="3">
        <f>VLOOKUP(F682,'Customers (2)'!A:I,4,0)</f>
        <v>0</v>
      </c>
      <c r="J682" s="3" t="str">
        <f>VLOOKUP(F682,'Customers (2)'!A:I,6,0)</f>
        <v>Danbury</v>
      </c>
      <c r="K682" s="3" t="str">
        <f>VLOOKUP(F682,'Customers (2)'!A:I,7,0)</f>
        <v>United States</v>
      </c>
      <c r="L682" s="3" t="str">
        <f>VLOOKUP(F682,'Customers (2)'!A:I,9,0)</f>
        <v>No</v>
      </c>
      <c r="M682" s="4" t="s">
        <v>61</v>
      </c>
      <c r="N682" s="4" t="str">
        <f>VLOOKUP(M682,'Products (2)'!A:G,2,0)</f>
        <v>Arabica</v>
      </c>
      <c r="O682" s="4" t="str">
        <f>VLOOKUP(M682,'Products (2)'!A:G,3,0)</f>
        <v>Medium</v>
      </c>
      <c r="P682" s="4">
        <f>VLOOKUP(M682,'Products (2)'!A:G,7,0)</f>
        <v>1.0125</v>
      </c>
      <c r="Q682" s="3">
        <v>5</v>
      </c>
      <c r="R682" s="5">
        <f>INDEX([1]products!$A$1:$G$49,MATCH([1]orders!$D682,[1]products!$A$1:$A$49,0),MATCH([1]orders!K$1,[1]products!$A$1:$G$1,0))</f>
        <v>1</v>
      </c>
      <c r="S682" s="6">
        <f>INDEX([1]products!$A$1:$G$49,MATCH([1]orders!$D682,[1]products!$A$1:$A$49,0),MATCH([1]orders!L$1,[1]products!$A$1:$G$1,0))</f>
        <v>11.25</v>
      </c>
      <c r="T682" s="6">
        <f t="shared" si="60"/>
        <v>56.25</v>
      </c>
      <c r="U682" s="22">
        <f t="shared" si="64"/>
        <v>5.0625</v>
      </c>
      <c r="V682" s="22">
        <f t="shared" si="65"/>
        <v>9</v>
      </c>
    </row>
    <row r="683" spans="1:22" x14ac:dyDescent="0.3">
      <c r="A683" s="1" t="s">
        <v>1323</v>
      </c>
      <c r="B683" s="2">
        <v>44080</v>
      </c>
      <c r="C683" s="2" t="str">
        <f t="shared" si="61"/>
        <v>Sunday</v>
      </c>
      <c r="D683" s="2" t="str">
        <f t="shared" si="62"/>
        <v>September</v>
      </c>
      <c r="E683" s="2" t="str">
        <f t="shared" si="63"/>
        <v>2020</v>
      </c>
      <c r="F683" s="3" t="s">
        <v>1324</v>
      </c>
      <c r="G683" s="3" t="str">
        <f>VLOOKUP(F684,'Customers (2)'!A:I,2,0)</f>
        <v>Laryssa Benediktovich</v>
      </c>
      <c r="H683" s="3" t="str">
        <f>VLOOKUP(F683,'Customers (2)'!A:I,3,0)</f>
        <v>nayrisix@t-online.de</v>
      </c>
      <c r="I683" s="3" t="str">
        <f>VLOOKUP(F683,'Customers (2)'!A:I,4,0)</f>
        <v>+44 (627) 552-5656</v>
      </c>
      <c r="J683" s="3" t="str">
        <f>VLOOKUP(F683,'Customers (2)'!A:I,6,0)</f>
        <v>Kinloch</v>
      </c>
      <c r="K683" s="3" t="str">
        <f>VLOOKUP(F683,'Customers (2)'!A:I,7,0)</f>
        <v>United Kingdom</v>
      </c>
      <c r="L683" s="3" t="str">
        <f>VLOOKUP(F683,'Customers (2)'!A:I,9,0)</f>
        <v>Yes</v>
      </c>
      <c r="M683" s="4" t="s">
        <v>19</v>
      </c>
      <c r="N683" s="4" t="str">
        <f>VLOOKUP(M683,'Products (2)'!A:G,2,0)</f>
        <v>Liberica</v>
      </c>
      <c r="O683" s="4" t="str">
        <f>VLOOKUP(M683,'Products (2)'!A:G,3,0)</f>
        <v>Light</v>
      </c>
      <c r="P683" s="4">
        <f>VLOOKUP(M683,'Products (2)'!A:G,7,0)</f>
        <v>0.61814999999999998</v>
      </c>
      <c r="Q683" s="3">
        <v>2</v>
      </c>
      <c r="R683" s="5">
        <f>INDEX([1]products!$A$1:$G$49,MATCH([1]orders!$D683,[1]products!$A$1:$A$49,0),MATCH([1]orders!K$1,[1]products!$A$1:$G$1,0))</f>
        <v>0.2</v>
      </c>
      <c r="S683" s="6">
        <f>INDEX([1]products!$A$1:$G$49,MATCH([1]orders!$D683,[1]products!$A$1:$A$49,0),MATCH([1]orders!L$1,[1]products!$A$1:$G$1,0))</f>
        <v>4.7549999999999999</v>
      </c>
      <c r="T683" s="6">
        <f t="shared" si="60"/>
        <v>9.51</v>
      </c>
      <c r="U683" s="22">
        <f t="shared" si="64"/>
        <v>1.2363</v>
      </c>
      <c r="V683" s="22">
        <f t="shared" si="65"/>
        <v>13</v>
      </c>
    </row>
    <row r="684" spans="1:22" x14ac:dyDescent="0.3">
      <c r="A684" s="1" t="s">
        <v>1325</v>
      </c>
      <c r="B684" s="2">
        <v>43827</v>
      </c>
      <c r="C684" s="2" t="str">
        <f t="shared" si="61"/>
        <v>Saturday</v>
      </c>
      <c r="D684" s="2" t="str">
        <f t="shared" si="62"/>
        <v>December</v>
      </c>
      <c r="E684" s="2" t="str">
        <f t="shared" si="63"/>
        <v>2019</v>
      </c>
      <c r="F684" s="3" t="s">
        <v>1326</v>
      </c>
      <c r="G684" s="3" t="str">
        <f>VLOOKUP(F685,'Customers (2)'!A:I,2,0)</f>
        <v>Theo Jacobovitz</v>
      </c>
      <c r="H684" s="3" t="str">
        <f>VLOOKUP(F684,'Customers (2)'!A:I,3,0)</f>
        <v>lbenediktovichiy@wunderground.com</v>
      </c>
      <c r="I684" s="3" t="str">
        <f>VLOOKUP(F684,'Customers (2)'!A:I,4,0)</f>
        <v>+1 (904) 330-1211</v>
      </c>
      <c r="J684" s="3" t="str">
        <f>VLOOKUP(F684,'Customers (2)'!A:I,6,0)</f>
        <v>Jacksonville</v>
      </c>
      <c r="K684" s="3" t="str">
        <f>VLOOKUP(F684,'Customers (2)'!A:I,7,0)</f>
        <v>United States</v>
      </c>
      <c r="L684" s="3" t="str">
        <f>VLOOKUP(F684,'Customers (2)'!A:I,9,0)</f>
        <v>Yes</v>
      </c>
      <c r="M684" s="4" t="s">
        <v>64</v>
      </c>
      <c r="N684" s="4" t="str">
        <f>VLOOKUP(M684,'Products (2)'!A:G,2,0)</f>
        <v>Excelsa</v>
      </c>
      <c r="O684" s="4" t="str">
        <f>VLOOKUP(M684,'Products (2)'!A:G,3,0)</f>
        <v>Medium</v>
      </c>
      <c r="P684" s="4">
        <f>VLOOKUP(M684,'Products (2)'!A:G,7,0)</f>
        <v>0.45374999999999999</v>
      </c>
      <c r="Q684" s="3">
        <v>2</v>
      </c>
      <c r="R684" s="5">
        <f>INDEX([1]products!$A$1:$G$49,MATCH([1]orders!$D684,[1]products!$A$1:$A$49,0),MATCH([1]orders!K$1,[1]products!$A$1:$G$1,0))</f>
        <v>0.2</v>
      </c>
      <c r="S684" s="6">
        <f>INDEX([1]products!$A$1:$G$49,MATCH([1]orders!$D684,[1]products!$A$1:$A$49,0),MATCH([1]orders!L$1,[1]products!$A$1:$G$1,0))</f>
        <v>4.125</v>
      </c>
      <c r="T684" s="6">
        <f t="shared" si="60"/>
        <v>8.25</v>
      </c>
      <c r="U684" s="22">
        <f t="shared" si="64"/>
        <v>0.90749999999999997</v>
      </c>
      <c r="V684" s="22">
        <f t="shared" si="65"/>
        <v>11</v>
      </c>
    </row>
    <row r="685" spans="1:22" x14ac:dyDescent="0.3">
      <c r="A685" s="1" t="s">
        <v>1327</v>
      </c>
      <c r="B685" s="2">
        <v>43941</v>
      </c>
      <c r="C685" s="2" t="str">
        <f t="shared" si="61"/>
        <v>Monday</v>
      </c>
      <c r="D685" s="2" t="str">
        <f t="shared" si="62"/>
        <v>April</v>
      </c>
      <c r="E685" s="2" t="str">
        <f t="shared" si="63"/>
        <v>2020</v>
      </c>
      <c r="F685" s="3" t="s">
        <v>1328</v>
      </c>
      <c r="G685" s="3" t="str">
        <f>VLOOKUP(F686,'Customers (2)'!A:I,2,0)</f>
        <v>Becca Ableson</v>
      </c>
      <c r="H685" s="3" t="str">
        <f>VLOOKUP(F685,'Customers (2)'!A:I,3,0)</f>
        <v>tjacobovitziz@cbc.ca</v>
      </c>
      <c r="I685" s="3" t="str">
        <f>VLOOKUP(F685,'Customers (2)'!A:I,4,0)</f>
        <v>+1 (713) 642-2082</v>
      </c>
      <c r="J685" s="3" t="str">
        <f>VLOOKUP(F685,'Customers (2)'!A:I,6,0)</f>
        <v>Houston</v>
      </c>
      <c r="K685" s="3" t="str">
        <f>VLOOKUP(F685,'Customers (2)'!A:I,7,0)</f>
        <v>United States</v>
      </c>
      <c r="L685" s="3" t="str">
        <f>VLOOKUP(F685,'Customers (2)'!A:I,9,0)</f>
        <v>No</v>
      </c>
      <c r="M685" s="4" t="s">
        <v>123</v>
      </c>
      <c r="N685" s="4" t="str">
        <f>VLOOKUP(M685,'Products (2)'!A:G,2,0)</f>
        <v>Liberica</v>
      </c>
      <c r="O685" s="4" t="str">
        <f>VLOOKUP(M685,'Products (2)'!A:G,3,0)</f>
        <v>Dark</v>
      </c>
      <c r="P685" s="4">
        <f>VLOOKUP(M685,'Products (2)'!A:G,7,0)</f>
        <v>1.0101</v>
      </c>
      <c r="Q685" s="3">
        <v>6</v>
      </c>
      <c r="R685" s="5">
        <f>INDEX([1]products!$A$1:$G$49,MATCH([1]orders!$D685,[1]products!$A$1:$A$49,0),MATCH([1]orders!K$1,[1]products!$A$1:$G$1,0))</f>
        <v>0.5</v>
      </c>
      <c r="S685" s="6">
        <f>INDEX([1]products!$A$1:$G$49,MATCH([1]orders!$D685,[1]products!$A$1:$A$49,0),MATCH([1]orders!L$1,[1]products!$A$1:$G$1,0))</f>
        <v>7.77</v>
      </c>
      <c r="T685" s="6">
        <f t="shared" si="60"/>
        <v>46.62</v>
      </c>
      <c r="U685" s="22">
        <f t="shared" si="64"/>
        <v>6.0606</v>
      </c>
      <c r="V685" s="22">
        <f t="shared" si="65"/>
        <v>13</v>
      </c>
    </row>
    <row r="686" spans="1:22" x14ac:dyDescent="0.3">
      <c r="A686" s="1" t="s">
        <v>1329</v>
      </c>
      <c r="B686" s="2">
        <v>43517</v>
      </c>
      <c r="C686" s="2" t="str">
        <f t="shared" si="61"/>
        <v>Thursday</v>
      </c>
      <c r="D686" s="2" t="str">
        <f t="shared" si="62"/>
        <v>February</v>
      </c>
      <c r="E686" s="2" t="str">
        <f t="shared" si="63"/>
        <v>2019</v>
      </c>
      <c r="F686" s="3" t="s">
        <v>1330</v>
      </c>
      <c r="G686" s="3" t="str">
        <f>VLOOKUP(F687,'Customers (2)'!A:I,2,0)</f>
        <v>Jeno Druitt</v>
      </c>
      <c r="H686" s="3">
        <f>VLOOKUP(F686,'Customers (2)'!A:I,3,0)</f>
        <v>0</v>
      </c>
      <c r="I686" s="3" t="str">
        <f>VLOOKUP(F686,'Customers (2)'!A:I,4,0)</f>
        <v>+1 (971) 254-5295</v>
      </c>
      <c r="J686" s="3" t="str">
        <f>VLOOKUP(F686,'Customers (2)'!A:I,6,0)</f>
        <v>Portland</v>
      </c>
      <c r="K686" s="3" t="str">
        <f>VLOOKUP(F686,'Customers (2)'!A:I,7,0)</f>
        <v>United States</v>
      </c>
      <c r="L686" s="3" t="str">
        <f>VLOOKUP(F686,'Customers (2)'!A:I,9,0)</f>
        <v>No</v>
      </c>
      <c r="M686" s="4" t="s">
        <v>189</v>
      </c>
      <c r="N686" s="4" t="str">
        <f>VLOOKUP(M686,'Products (2)'!A:G,2,0)</f>
        <v>Robusta</v>
      </c>
      <c r="O686" s="4" t="str">
        <f>VLOOKUP(M686,'Products (2)'!A:G,3,0)</f>
        <v>Light</v>
      </c>
      <c r="P686" s="4">
        <f>VLOOKUP(M686,'Products (2)'!A:G,7,0)</f>
        <v>0.71699999999999997</v>
      </c>
      <c r="Q686" s="3">
        <v>6</v>
      </c>
      <c r="R686" s="5">
        <f>INDEX([1]products!$A$1:$G$49,MATCH([1]orders!$D686,[1]products!$A$1:$A$49,0),MATCH([1]orders!K$1,[1]products!$A$1:$G$1,0))</f>
        <v>1</v>
      </c>
      <c r="S686" s="6">
        <f>INDEX([1]products!$A$1:$G$49,MATCH([1]orders!$D686,[1]products!$A$1:$A$49,0),MATCH([1]orders!L$1,[1]products!$A$1:$G$1,0))</f>
        <v>11.95</v>
      </c>
      <c r="T686" s="6">
        <f t="shared" si="60"/>
        <v>71.699999999999989</v>
      </c>
      <c r="U686" s="22">
        <f t="shared" si="64"/>
        <v>4.3019999999999996</v>
      </c>
      <c r="V686" s="22">
        <f t="shared" si="65"/>
        <v>6.0000000000000009</v>
      </c>
    </row>
    <row r="687" spans="1:22" x14ac:dyDescent="0.3">
      <c r="A687" s="1" t="s">
        <v>1331</v>
      </c>
      <c r="B687" s="2">
        <v>44637</v>
      </c>
      <c r="C687" s="2" t="str">
        <f t="shared" si="61"/>
        <v>Thursday</v>
      </c>
      <c r="D687" s="2" t="str">
        <f t="shared" si="62"/>
        <v>March</v>
      </c>
      <c r="E687" s="2" t="str">
        <f t="shared" si="63"/>
        <v>2022</v>
      </c>
      <c r="F687" s="3" t="s">
        <v>1332</v>
      </c>
      <c r="G687" s="3" t="str">
        <f>VLOOKUP(F688,'Customers (2)'!A:I,2,0)</f>
        <v>Deonne Shortall</v>
      </c>
      <c r="H687" s="3" t="str">
        <f>VLOOKUP(F687,'Customers (2)'!A:I,3,0)</f>
        <v>jdruittj1@feedburner.com</v>
      </c>
      <c r="I687" s="3" t="str">
        <f>VLOOKUP(F687,'Customers (2)'!A:I,4,0)</f>
        <v>+1 (650) 693-6904</v>
      </c>
      <c r="J687" s="3" t="str">
        <f>VLOOKUP(F687,'Customers (2)'!A:I,6,0)</f>
        <v>Pasadena</v>
      </c>
      <c r="K687" s="3" t="str">
        <f>VLOOKUP(F687,'Customers (2)'!A:I,7,0)</f>
        <v>United States</v>
      </c>
      <c r="L687" s="3" t="str">
        <f>VLOOKUP(F687,'Customers (2)'!A:I,9,0)</f>
        <v>Yes</v>
      </c>
      <c r="M687" s="4" t="s">
        <v>104</v>
      </c>
      <c r="N687" s="4" t="str">
        <f>VLOOKUP(M687,'Products (2)'!A:G,2,0)</f>
        <v>Liberica</v>
      </c>
      <c r="O687" s="4" t="str">
        <f>VLOOKUP(M687,'Products (2)'!A:G,3,0)</f>
        <v>Light</v>
      </c>
      <c r="P687" s="4">
        <f>VLOOKUP(M687,'Products (2)'!A:G,7,0)</f>
        <v>4.7391499999999995</v>
      </c>
      <c r="Q687" s="3">
        <v>2</v>
      </c>
      <c r="R687" s="5">
        <f>INDEX([1]products!$A$1:$G$49,MATCH([1]orders!$D687,[1]products!$A$1:$A$49,0),MATCH([1]orders!K$1,[1]products!$A$1:$G$1,0))</f>
        <v>2.5</v>
      </c>
      <c r="S687" s="6">
        <f>INDEX([1]products!$A$1:$G$49,MATCH([1]orders!$D687,[1]products!$A$1:$A$49,0),MATCH([1]orders!L$1,[1]products!$A$1:$G$1,0))</f>
        <v>36.454999999999998</v>
      </c>
      <c r="T687" s="6">
        <f t="shared" si="60"/>
        <v>72.91</v>
      </c>
      <c r="U687" s="22">
        <f t="shared" si="64"/>
        <v>9.4782999999999991</v>
      </c>
      <c r="V687" s="22">
        <f t="shared" si="65"/>
        <v>13</v>
      </c>
    </row>
    <row r="688" spans="1:22" x14ac:dyDescent="0.3">
      <c r="A688" s="1" t="s">
        <v>1333</v>
      </c>
      <c r="B688" s="2">
        <v>44330</v>
      </c>
      <c r="C688" s="2" t="str">
        <f t="shared" si="61"/>
        <v>Friday</v>
      </c>
      <c r="D688" s="2" t="str">
        <f t="shared" si="62"/>
        <v>May</v>
      </c>
      <c r="E688" s="2" t="str">
        <f t="shared" si="63"/>
        <v>2021</v>
      </c>
      <c r="F688" s="3" t="s">
        <v>1334</v>
      </c>
      <c r="G688" s="3" t="str">
        <f>VLOOKUP(F689,'Customers (2)'!A:I,2,0)</f>
        <v>Wilton Cottier</v>
      </c>
      <c r="H688" s="3" t="str">
        <f>VLOOKUP(F688,'Customers (2)'!A:I,3,0)</f>
        <v>dshortallj2@wikipedia.org</v>
      </c>
      <c r="I688" s="3" t="str">
        <f>VLOOKUP(F688,'Customers (2)'!A:I,4,0)</f>
        <v>+1 (714) 917-8665</v>
      </c>
      <c r="J688" s="3" t="str">
        <f>VLOOKUP(F688,'Customers (2)'!A:I,6,0)</f>
        <v>Santa Ana</v>
      </c>
      <c r="K688" s="3" t="str">
        <f>VLOOKUP(F688,'Customers (2)'!A:I,7,0)</f>
        <v>United States</v>
      </c>
      <c r="L688" s="3" t="str">
        <f>VLOOKUP(F688,'Customers (2)'!A:I,9,0)</f>
        <v>Yes</v>
      </c>
      <c r="M688" s="4" t="s">
        <v>101</v>
      </c>
      <c r="N688" s="4" t="str">
        <f>VLOOKUP(M688,'Products (2)'!A:G,2,0)</f>
        <v>Robusta</v>
      </c>
      <c r="O688" s="4" t="str">
        <f>VLOOKUP(M688,'Products (2)'!A:G,3,0)</f>
        <v>Dark</v>
      </c>
      <c r="P688" s="4">
        <f>VLOOKUP(M688,'Products (2)'!A:G,7,0)</f>
        <v>0.16109999999999997</v>
      </c>
      <c r="Q688" s="3">
        <v>3</v>
      </c>
      <c r="R688" s="5">
        <f>INDEX([1]products!$A$1:$G$49,MATCH([1]orders!$D688,[1]products!$A$1:$A$49,0),MATCH([1]orders!K$1,[1]products!$A$1:$G$1,0))</f>
        <v>0.2</v>
      </c>
      <c r="S688" s="6">
        <f>INDEX([1]products!$A$1:$G$49,MATCH([1]orders!$D688,[1]products!$A$1:$A$49,0),MATCH([1]orders!L$1,[1]products!$A$1:$G$1,0))</f>
        <v>2.6849999999999996</v>
      </c>
      <c r="T688" s="6">
        <f t="shared" si="60"/>
        <v>8.0549999999999997</v>
      </c>
      <c r="U688" s="22">
        <f t="shared" si="64"/>
        <v>0.4832999999999999</v>
      </c>
      <c r="V688" s="22">
        <f t="shared" si="65"/>
        <v>5.9999999999999991</v>
      </c>
    </row>
    <row r="689" spans="1:22" x14ac:dyDescent="0.3">
      <c r="A689" s="1" t="s">
        <v>1335</v>
      </c>
      <c r="B689" s="2">
        <v>43471</v>
      </c>
      <c r="C689" s="2" t="str">
        <f t="shared" si="61"/>
        <v>Sunday</v>
      </c>
      <c r="D689" s="2" t="str">
        <f t="shared" si="62"/>
        <v>January</v>
      </c>
      <c r="E689" s="2" t="str">
        <f t="shared" si="63"/>
        <v>2019</v>
      </c>
      <c r="F689" s="3" t="s">
        <v>1336</v>
      </c>
      <c r="G689" s="3" t="str">
        <f>VLOOKUP(F690,'Customers (2)'!A:I,2,0)</f>
        <v>Kevan Grinsted</v>
      </c>
      <c r="H689" s="3" t="str">
        <f>VLOOKUP(F689,'Customers (2)'!A:I,3,0)</f>
        <v>wcottierj3@cafepress.com</v>
      </c>
      <c r="I689" s="3" t="str">
        <f>VLOOKUP(F689,'Customers (2)'!A:I,4,0)</f>
        <v>+1 (408) 261-7902</v>
      </c>
      <c r="J689" s="3" t="str">
        <f>VLOOKUP(F689,'Customers (2)'!A:I,6,0)</f>
        <v>San Jose</v>
      </c>
      <c r="K689" s="3" t="str">
        <f>VLOOKUP(F689,'Customers (2)'!A:I,7,0)</f>
        <v>United States</v>
      </c>
      <c r="L689" s="3" t="str">
        <f>VLOOKUP(F689,'Customers (2)'!A:I,9,0)</f>
        <v>No</v>
      </c>
      <c r="M689" s="4" t="s">
        <v>3</v>
      </c>
      <c r="N689" s="4" t="str">
        <f>VLOOKUP(M689,'Products (2)'!A:G,2,0)</f>
        <v>Excelsa</v>
      </c>
      <c r="O689" s="4" t="str">
        <f>VLOOKUP(M689,'Products (2)'!A:G,3,0)</f>
        <v>Medium</v>
      </c>
      <c r="P689" s="4">
        <f>VLOOKUP(M689,'Products (2)'!A:G,7,0)</f>
        <v>0.90749999999999997</v>
      </c>
      <c r="Q689" s="3">
        <v>2</v>
      </c>
      <c r="R689" s="5">
        <f>INDEX([1]products!$A$1:$G$49,MATCH([1]orders!$D689,[1]products!$A$1:$A$49,0),MATCH([1]orders!K$1,[1]products!$A$1:$G$1,0))</f>
        <v>0.5</v>
      </c>
      <c r="S689" s="6">
        <f>INDEX([1]products!$A$1:$G$49,MATCH([1]orders!$D689,[1]products!$A$1:$A$49,0),MATCH([1]orders!L$1,[1]products!$A$1:$G$1,0))</f>
        <v>8.25</v>
      </c>
      <c r="T689" s="6">
        <f t="shared" si="60"/>
        <v>16.5</v>
      </c>
      <c r="U689" s="22">
        <f t="shared" si="64"/>
        <v>1.8149999999999999</v>
      </c>
      <c r="V689" s="22">
        <f t="shared" si="65"/>
        <v>11</v>
      </c>
    </row>
    <row r="690" spans="1:22" x14ac:dyDescent="0.3">
      <c r="A690" s="1" t="s">
        <v>1337</v>
      </c>
      <c r="B690" s="2">
        <v>43579</v>
      </c>
      <c r="C690" s="2" t="str">
        <f t="shared" si="61"/>
        <v>Wednesday</v>
      </c>
      <c r="D690" s="2" t="str">
        <f t="shared" si="62"/>
        <v>April</v>
      </c>
      <c r="E690" s="2" t="str">
        <f t="shared" si="63"/>
        <v>2019</v>
      </c>
      <c r="F690" s="3" t="s">
        <v>1338</v>
      </c>
      <c r="G690" s="3" t="str">
        <f>VLOOKUP(F691,'Customers (2)'!A:I,2,0)</f>
        <v>Dionne Skyner</v>
      </c>
      <c r="H690" s="3" t="str">
        <f>VLOOKUP(F690,'Customers (2)'!A:I,3,0)</f>
        <v>kgrinstedj4@google.com.br</v>
      </c>
      <c r="I690" s="3" t="str">
        <f>VLOOKUP(F690,'Customers (2)'!A:I,4,0)</f>
        <v>+353 (773) 225-6216</v>
      </c>
      <c r="J690" s="3" t="str">
        <f>VLOOKUP(F690,'Customers (2)'!A:I,6,0)</f>
        <v>Tallaght</v>
      </c>
      <c r="K690" s="3" t="str">
        <f>VLOOKUP(F690,'Customers (2)'!A:I,7,0)</f>
        <v>Ireland</v>
      </c>
      <c r="L690" s="3" t="str">
        <f>VLOOKUP(F690,'Customers (2)'!A:I,9,0)</f>
        <v>No</v>
      </c>
      <c r="M690" s="4" t="s">
        <v>6</v>
      </c>
      <c r="N690" s="4" t="str">
        <f>VLOOKUP(M690,'Products (2)'!A:G,2,0)</f>
        <v>Arabica</v>
      </c>
      <c r="O690" s="4" t="str">
        <f>VLOOKUP(M690,'Products (2)'!A:G,3,0)</f>
        <v>Light</v>
      </c>
      <c r="P690" s="4">
        <f>VLOOKUP(M690,'Products (2)'!A:G,7,0)</f>
        <v>1.1655</v>
      </c>
      <c r="Q690" s="3">
        <v>5</v>
      </c>
      <c r="R690" s="5">
        <f>INDEX([1]products!$A$1:$G$49,MATCH([1]orders!$D690,[1]products!$A$1:$A$49,0),MATCH([1]orders!K$1,[1]products!$A$1:$G$1,0))</f>
        <v>1</v>
      </c>
      <c r="S690" s="6">
        <f>INDEX([1]products!$A$1:$G$49,MATCH([1]orders!$D690,[1]products!$A$1:$A$49,0),MATCH([1]orders!L$1,[1]products!$A$1:$G$1,0))</f>
        <v>12.95</v>
      </c>
      <c r="T690" s="6">
        <f t="shared" si="60"/>
        <v>64.75</v>
      </c>
      <c r="U690" s="22">
        <f t="shared" si="64"/>
        <v>5.8274999999999997</v>
      </c>
      <c r="V690" s="22">
        <f t="shared" si="65"/>
        <v>9</v>
      </c>
    </row>
    <row r="691" spans="1:22" x14ac:dyDescent="0.3">
      <c r="A691" s="1" t="s">
        <v>1339</v>
      </c>
      <c r="B691" s="2">
        <v>44346</v>
      </c>
      <c r="C691" s="2" t="str">
        <f t="shared" si="61"/>
        <v>Sunday</v>
      </c>
      <c r="D691" s="2" t="str">
        <f t="shared" si="62"/>
        <v>May</v>
      </c>
      <c r="E691" s="2" t="str">
        <f t="shared" si="63"/>
        <v>2021</v>
      </c>
      <c r="F691" s="3" t="s">
        <v>1340</v>
      </c>
      <c r="G691" s="3" t="str">
        <f>VLOOKUP(F692,'Customers (2)'!A:I,2,0)</f>
        <v>Francesco Dressel</v>
      </c>
      <c r="H691" s="3" t="str">
        <f>VLOOKUP(F691,'Customers (2)'!A:I,3,0)</f>
        <v>dskynerj5@hubpages.com</v>
      </c>
      <c r="I691" s="3" t="str">
        <f>VLOOKUP(F691,'Customers (2)'!A:I,4,0)</f>
        <v>+1 (719) 937-4913</v>
      </c>
      <c r="J691" s="3" t="str">
        <f>VLOOKUP(F691,'Customers (2)'!A:I,6,0)</f>
        <v>Colorado Springs</v>
      </c>
      <c r="K691" s="3" t="str">
        <f>VLOOKUP(F691,'Customers (2)'!A:I,7,0)</f>
        <v>United States</v>
      </c>
      <c r="L691" s="3" t="str">
        <f>VLOOKUP(F691,'Customers (2)'!A:I,9,0)</f>
        <v>No</v>
      </c>
      <c r="M691" s="4" t="s">
        <v>67</v>
      </c>
      <c r="N691" s="4" t="str">
        <f>VLOOKUP(M691,'Products (2)'!A:G,2,0)</f>
        <v>Arabica</v>
      </c>
      <c r="O691" s="4" t="str">
        <f>VLOOKUP(M691,'Products (2)'!A:G,3,0)</f>
        <v>Medium</v>
      </c>
      <c r="P691" s="4">
        <f>VLOOKUP(M691,'Products (2)'!A:G,7,0)</f>
        <v>0.60749999999999993</v>
      </c>
      <c r="Q691" s="3">
        <v>5</v>
      </c>
      <c r="R691" s="5">
        <f>INDEX([1]products!$A$1:$G$49,MATCH([1]orders!$D691,[1]products!$A$1:$A$49,0),MATCH([1]orders!K$1,[1]products!$A$1:$G$1,0))</f>
        <v>0.5</v>
      </c>
      <c r="S691" s="6">
        <f>INDEX([1]products!$A$1:$G$49,MATCH([1]orders!$D691,[1]products!$A$1:$A$49,0),MATCH([1]orders!L$1,[1]products!$A$1:$G$1,0))</f>
        <v>6.75</v>
      </c>
      <c r="T691" s="6">
        <f t="shared" si="60"/>
        <v>33.75</v>
      </c>
      <c r="U691" s="22">
        <f t="shared" si="64"/>
        <v>3.0374999999999996</v>
      </c>
      <c r="V691" s="22">
        <f t="shared" si="65"/>
        <v>8.9999999999999982</v>
      </c>
    </row>
    <row r="692" spans="1:22" x14ac:dyDescent="0.3">
      <c r="A692" s="1" t="s">
        <v>1341</v>
      </c>
      <c r="B692" s="2">
        <v>44754</v>
      </c>
      <c r="C692" s="2" t="str">
        <f t="shared" si="61"/>
        <v>Tuesday</v>
      </c>
      <c r="D692" s="2" t="str">
        <f t="shared" si="62"/>
        <v>July</v>
      </c>
      <c r="E692" s="2" t="str">
        <f t="shared" si="63"/>
        <v>2022</v>
      </c>
      <c r="F692" s="3" t="s">
        <v>1342</v>
      </c>
      <c r="G692" s="3" t="str">
        <f>VLOOKUP(F693,'Customers (2)'!A:I,2,0)</f>
        <v>Jimmy Dymoke</v>
      </c>
      <c r="H692" s="3">
        <f>VLOOKUP(F692,'Customers (2)'!A:I,3,0)</f>
        <v>0</v>
      </c>
      <c r="I692" s="3">
        <f>VLOOKUP(F692,'Customers (2)'!A:I,4,0)</f>
        <v>0</v>
      </c>
      <c r="J692" s="3" t="str">
        <f>VLOOKUP(F692,'Customers (2)'!A:I,6,0)</f>
        <v>Toledo</v>
      </c>
      <c r="K692" s="3" t="str">
        <f>VLOOKUP(F692,'Customers (2)'!A:I,7,0)</f>
        <v>United States</v>
      </c>
      <c r="L692" s="3" t="str">
        <f>VLOOKUP(F692,'Customers (2)'!A:I,9,0)</f>
        <v>No</v>
      </c>
      <c r="M692" s="4" t="s">
        <v>109</v>
      </c>
      <c r="N692" s="4" t="str">
        <f>VLOOKUP(M692,'Products (2)'!A:G,2,0)</f>
        <v>Liberica</v>
      </c>
      <c r="O692" s="4" t="str">
        <f>VLOOKUP(M692,'Products (2)'!A:G,3,0)</f>
        <v>Dark</v>
      </c>
      <c r="P692" s="4">
        <f>VLOOKUP(M692,'Products (2)'!A:G,7,0)</f>
        <v>3.8720499999999998</v>
      </c>
      <c r="Q692" s="3">
        <v>6</v>
      </c>
      <c r="R692" s="5">
        <f>INDEX([1]products!$A$1:$G$49,MATCH([1]orders!$D692,[1]products!$A$1:$A$49,0),MATCH([1]orders!K$1,[1]products!$A$1:$G$1,0))</f>
        <v>2.5</v>
      </c>
      <c r="S692" s="6">
        <f>INDEX([1]products!$A$1:$G$49,MATCH([1]orders!$D692,[1]products!$A$1:$A$49,0),MATCH([1]orders!L$1,[1]products!$A$1:$G$1,0))</f>
        <v>29.784999999999997</v>
      </c>
      <c r="T692" s="6">
        <f t="shared" si="60"/>
        <v>178.70999999999998</v>
      </c>
      <c r="U692" s="22">
        <f t="shared" si="64"/>
        <v>23.232299999999999</v>
      </c>
      <c r="V692" s="22">
        <f t="shared" si="65"/>
        <v>13</v>
      </c>
    </row>
    <row r="693" spans="1:22" x14ac:dyDescent="0.3">
      <c r="A693" s="1" t="s">
        <v>1343</v>
      </c>
      <c r="B693" s="2">
        <v>44227</v>
      </c>
      <c r="C693" s="2" t="str">
        <f t="shared" si="61"/>
        <v>Sunday</v>
      </c>
      <c r="D693" s="2" t="str">
        <f t="shared" si="62"/>
        <v>January</v>
      </c>
      <c r="E693" s="2" t="str">
        <f t="shared" si="63"/>
        <v>2021</v>
      </c>
      <c r="F693" s="3" t="s">
        <v>1344</v>
      </c>
      <c r="G693" s="3" t="str">
        <f>VLOOKUP(F694,'Customers (2)'!A:I,2,0)</f>
        <v>Ambrosio Weinmann</v>
      </c>
      <c r="H693" s="3" t="str">
        <f>VLOOKUP(F693,'Customers (2)'!A:I,3,0)</f>
        <v>jdymokeje@prnewswire.com</v>
      </c>
      <c r="I693" s="3" t="str">
        <f>VLOOKUP(F693,'Customers (2)'!A:I,4,0)</f>
        <v>+353 (390) 459-9269</v>
      </c>
      <c r="J693" s="3" t="str">
        <f>VLOOKUP(F693,'Customers (2)'!A:I,6,0)</f>
        <v>Beaumont</v>
      </c>
      <c r="K693" s="3" t="str">
        <f>VLOOKUP(F693,'Customers (2)'!A:I,7,0)</f>
        <v>Ireland</v>
      </c>
      <c r="L693" s="3" t="str">
        <f>VLOOKUP(F693,'Customers (2)'!A:I,9,0)</f>
        <v>No</v>
      </c>
      <c r="M693" s="4" t="s">
        <v>61</v>
      </c>
      <c r="N693" s="4" t="str">
        <f>VLOOKUP(M693,'Products (2)'!A:G,2,0)</f>
        <v>Arabica</v>
      </c>
      <c r="O693" s="4" t="str">
        <f>VLOOKUP(M693,'Products (2)'!A:G,3,0)</f>
        <v>Medium</v>
      </c>
      <c r="P693" s="4">
        <f>VLOOKUP(M693,'Products (2)'!A:G,7,0)</f>
        <v>1.0125</v>
      </c>
      <c r="Q693" s="3">
        <v>2</v>
      </c>
      <c r="R693" s="5">
        <f>INDEX([1]products!$A$1:$G$49,MATCH([1]orders!$D693,[1]products!$A$1:$A$49,0),MATCH([1]orders!K$1,[1]products!$A$1:$G$1,0))</f>
        <v>1</v>
      </c>
      <c r="S693" s="6">
        <f>INDEX([1]products!$A$1:$G$49,MATCH([1]orders!$D693,[1]products!$A$1:$A$49,0),MATCH([1]orders!L$1,[1]products!$A$1:$G$1,0))</f>
        <v>11.25</v>
      </c>
      <c r="T693" s="6">
        <f t="shared" si="60"/>
        <v>22.5</v>
      </c>
      <c r="U693" s="22">
        <f t="shared" si="64"/>
        <v>2.0249999999999999</v>
      </c>
      <c r="V693" s="22">
        <f t="shared" si="65"/>
        <v>9</v>
      </c>
    </row>
    <row r="694" spans="1:22" x14ac:dyDescent="0.3">
      <c r="A694" s="1" t="s">
        <v>1345</v>
      </c>
      <c r="B694" s="2">
        <v>43720</v>
      </c>
      <c r="C694" s="2" t="str">
        <f t="shared" si="61"/>
        <v>Thursday</v>
      </c>
      <c r="D694" s="2" t="str">
        <f t="shared" si="62"/>
        <v>September</v>
      </c>
      <c r="E694" s="2" t="str">
        <f t="shared" si="63"/>
        <v>2019</v>
      </c>
      <c r="F694" s="3" t="s">
        <v>1346</v>
      </c>
      <c r="G694" s="3" t="str">
        <f>VLOOKUP(F695,'Customers (2)'!A:I,2,0)</f>
        <v>Elden Andriessen</v>
      </c>
      <c r="H694" s="3" t="str">
        <f>VLOOKUP(F694,'Customers (2)'!A:I,3,0)</f>
        <v>aweinmannj8@shinystat.com</v>
      </c>
      <c r="I694" s="3" t="str">
        <f>VLOOKUP(F694,'Customers (2)'!A:I,4,0)</f>
        <v>+1 (513) 966-3308</v>
      </c>
      <c r="J694" s="3" t="str">
        <f>VLOOKUP(F694,'Customers (2)'!A:I,6,0)</f>
        <v>Cincinnati</v>
      </c>
      <c r="K694" s="3" t="str">
        <f>VLOOKUP(F694,'Customers (2)'!A:I,7,0)</f>
        <v>United States</v>
      </c>
      <c r="L694" s="3" t="str">
        <f>VLOOKUP(F694,'Customers (2)'!A:I,9,0)</f>
        <v>No</v>
      </c>
      <c r="M694" s="4" t="s">
        <v>13</v>
      </c>
      <c r="N694" s="4" t="str">
        <f>VLOOKUP(M694,'Products (2)'!A:G,2,0)</f>
        <v>Liberica</v>
      </c>
      <c r="O694" s="4" t="str">
        <f>VLOOKUP(M694,'Products (2)'!A:G,3,0)</f>
        <v>Dark</v>
      </c>
      <c r="P694" s="4">
        <f>VLOOKUP(M694,'Products (2)'!A:G,7,0)</f>
        <v>1.6835</v>
      </c>
      <c r="Q694" s="3">
        <v>1</v>
      </c>
      <c r="R694" s="5">
        <f>INDEX([1]products!$A$1:$G$49,MATCH([1]orders!$D694,[1]products!$A$1:$A$49,0),MATCH([1]orders!K$1,[1]products!$A$1:$G$1,0))</f>
        <v>1</v>
      </c>
      <c r="S694" s="6">
        <f>INDEX([1]products!$A$1:$G$49,MATCH([1]orders!$D694,[1]products!$A$1:$A$49,0),MATCH([1]orders!L$1,[1]products!$A$1:$G$1,0))</f>
        <v>12.95</v>
      </c>
      <c r="T694" s="6">
        <f t="shared" si="60"/>
        <v>12.95</v>
      </c>
      <c r="U694" s="22">
        <f t="shared" si="64"/>
        <v>1.6835</v>
      </c>
      <c r="V694" s="22">
        <f t="shared" si="65"/>
        <v>13</v>
      </c>
    </row>
    <row r="695" spans="1:22" x14ac:dyDescent="0.3">
      <c r="A695" s="1" t="s">
        <v>1347</v>
      </c>
      <c r="B695" s="2">
        <v>44012</v>
      </c>
      <c r="C695" s="2" t="str">
        <f t="shared" si="61"/>
        <v>Tuesday</v>
      </c>
      <c r="D695" s="2" t="str">
        <f t="shared" si="62"/>
        <v>June</v>
      </c>
      <c r="E695" s="2" t="str">
        <f t="shared" si="63"/>
        <v>2020</v>
      </c>
      <c r="F695" s="3" t="s">
        <v>1348</v>
      </c>
      <c r="G695" s="3" t="str">
        <f>VLOOKUP(F696,'Customers (2)'!A:I,2,0)</f>
        <v>Roxie Deaconson</v>
      </c>
      <c r="H695" s="3" t="str">
        <f>VLOOKUP(F695,'Customers (2)'!A:I,3,0)</f>
        <v>eandriessenj9@europa.eu</v>
      </c>
      <c r="I695" s="3" t="str">
        <f>VLOOKUP(F695,'Customers (2)'!A:I,4,0)</f>
        <v>+1 (314) 307-5250</v>
      </c>
      <c r="J695" s="3" t="str">
        <f>VLOOKUP(F695,'Customers (2)'!A:I,6,0)</f>
        <v>Saint Louis</v>
      </c>
      <c r="K695" s="3" t="str">
        <f>VLOOKUP(F695,'Customers (2)'!A:I,7,0)</f>
        <v>United States</v>
      </c>
      <c r="L695" s="3" t="str">
        <f>VLOOKUP(F695,'Customers (2)'!A:I,9,0)</f>
        <v>Yes</v>
      </c>
      <c r="M695" s="4" t="s">
        <v>171</v>
      </c>
      <c r="N695" s="4" t="str">
        <f>VLOOKUP(M695,'Products (2)'!A:G,2,0)</f>
        <v>Arabica</v>
      </c>
      <c r="O695" s="4" t="str">
        <f>VLOOKUP(M695,'Products (2)'!A:G,3,0)</f>
        <v>Medium</v>
      </c>
      <c r="P695" s="4">
        <f>VLOOKUP(M695,'Products (2)'!A:G,7,0)</f>
        <v>2.3287499999999994</v>
      </c>
      <c r="Q695" s="3">
        <v>2</v>
      </c>
      <c r="R695" s="5">
        <f>INDEX([1]products!$A$1:$G$49,MATCH([1]orders!$D695,[1]products!$A$1:$A$49,0),MATCH([1]orders!K$1,[1]products!$A$1:$G$1,0))</f>
        <v>2.5</v>
      </c>
      <c r="S695" s="6">
        <f>INDEX([1]products!$A$1:$G$49,MATCH([1]orders!$D695,[1]products!$A$1:$A$49,0),MATCH([1]orders!L$1,[1]products!$A$1:$G$1,0))</f>
        <v>25.874999999999996</v>
      </c>
      <c r="T695" s="6">
        <f t="shared" si="60"/>
        <v>51.749999999999993</v>
      </c>
      <c r="U695" s="22">
        <f t="shared" si="64"/>
        <v>4.6574999999999989</v>
      </c>
      <c r="V695" s="22">
        <f t="shared" si="65"/>
        <v>9</v>
      </c>
    </row>
    <row r="696" spans="1:22" x14ac:dyDescent="0.3">
      <c r="A696" s="1" t="s">
        <v>1349</v>
      </c>
      <c r="B696" s="2">
        <v>43915</v>
      </c>
      <c r="C696" s="2" t="str">
        <f t="shared" si="61"/>
        <v>Wednesday</v>
      </c>
      <c r="D696" s="2" t="str">
        <f t="shared" si="62"/>
        <v>March</v>
      </c>
      <c r="E696" s="2" t="str">
        <f t="shared" si="63"/>
        <v>2020</v>
      </c>
      <c r="F696" s="3" t="s">
        <v>1350</v>
      </c>
      <c r="G696" s="3" t="str">
        <f>VLOOKUP(F697,'Customers (2)'!A:I,2,0)</f>
        <v>Davida Caro</v>
      </c>
      <c r="H696" s="3" t="str">
        <f>VLOOKUP(F696,'Customers (2)'!A:I,3,0)</f>
        <v>rdeaconsonja@archive.org</v>
      </c>
      <c r="I696" s="3" t="str">
        <f>VLOOKUP(F696,'Customers (2)'!A:I,4,0)</f>
        <v>+1 (914) 524-1161</v>
      </c>
      <c r="J696" s="3" t="str">
        <f>VLOOKUP(F696,'Customers (2)'!A:I,6,0)</f>
        <v>Yonkers</v>
      </c>
      <c r="K696" s="3" t="str">
        <f>VLOOKUP(F696,'Customers (2)'!A:I,7,0)</f>
        <v>United States</v>
      </c>
      <c r="L696" s="3" t="str">
        <f>VLOOKUP(F696,'Customers (2)'!A:I,9,0)</f>
        <v>No</v>
      </c>
      <c r="M696" s="4" t="s">
        <v>16</v>
      </c>
      <c r="N696" s="4" t="str">
        <f>VLOOKUP(M696,'Products (2)'!A:G,2,0)</f>
        <v>Excelsa</v>
      </c>
      <c r="O696" s="4" t="str">
        <f>VLOOKUP(M696,'Products (2)'!A:G,3,0)</f>
        <v>Dark</v>
      </c>
      <c r="P696" s="4">
        <f>VLOOKUP(M696,'Products (2)'!A:G,7,0)</f>
        <v>0.80190000000000006</v>
      </c>
      <c r="Q696" s="3">
        <v>5</v>
      </c>
      <c r="R696" s="5">
        <f>INDEX([1]products!$A$1:$G$49,MATCH([1]orders!$D696,[1]products!$A$1:$A$49,0),MATCH([1]orders!K$1,[1]products!$A$1:$G$1,0))</f>
        <v>0.5</v>
      </c>
      <c r="S696" s="6">
        <f>INDEX([1]products!$A$1:$G$49,MATCH([1]orders!$D696,[1]products!$A$1:$A$49,0),MATCH([1]orders!L$1,[1]products!$A$1:$G$1,0))</f>
        <v>7.29</v>
      </c>
      <c r="T696" s="6">
        <f t="shared" si="60"/>
        <v>36.450000000000003</v>
      </c>
      <c r="U696" s="22">
        <f t="shared" si="64"/>
        <v>4.0095000000000001</v>
      </c>
      <c r="V696" s="22">
        <f t="shared" si="65"/>
        <v>10.999999999999998</v>
      </c>
    </row>
    <row r="697" spans="1:22" x14ac:dyDescent="0.3">
      <c r="A697" s="1" t="s">
        <v>1351</v>
      </c>
      <c r="B697" s="2">
        <v>44300</v>
      </c>
      <c r="C697" s="2" t="str">
        <f t="shared" si="61"/>
        <v>Wednesday</v>
      </c>
      <c r="D697" s="2" t="str">
        <f t="shared" si="62"/>
        <v>April</v>
      </c>
      <c r="E697" s="2" t="str">
        <f t="shared" si="63"/>
        <v>2021</v>
      </c>
      <c r="F697" s="3" t="s">
        <v>1352</v>
      </c>
      <c r="G697" s="3" t="str">
        <f>VLOOKUP(F698,'Customers (2)'!A:I,2,0)</f>
        <v>Johna Bluck</v>
      </c>
      <c r="H697" s="3" t="str">
        <f>VLOOKUP(F697,'Customers (2)'!A:I,3,0)</f>
        <v>dcarojb@twitter.com</v>
      </c>
      <c r="I697" s="3" t="str">
        <f>VLOOKUP(F697,'Customers (2)'!A:I,4,0)</f>
        <v>+1 (410) 594-3041</v>
      </c>
      <c r="J697" s="3" t="str">
        <f>VLOOKUP(F697,'Customers (2)'!A:I,6,0)</f>
        <v>Baltimore</v>
      </c>
      <c r="K697" s="3" t="str">
        <f>VLOOKUP(F697,'Customers (2)'!A:I,7,0)</f>
        <v>United States</v>
      </c>
      <c r="L697" s="3" t="str">
        <f>VLOOKUP(F697,'Customers (2)'!A:I,9,0)</f>
        <v>Yes</v>
      </c>
      <c r="M697" s="4" t="s">
        <v>104</v>
      </c>
      <c r="N697" s="4" t="str">
        <f>VLOOKUP(M697,'Products (2)'!A:G,2,0)</f>
        <v>Liberica</v>
      </c>
      <c r="O697" s="4" t="str">
        <f>VLOOKUP(M697,'Products (2)'!A:G,3,0)</f>
        <v>Light</v>
      </c>
      <c r="P697" s="4">
        <f>VLOOKUP(M697,'Products (2)'!A:G,7,0)</f>
        <v>4.7391499999999995</v>
      </c>
      <c r="Q697" s="3">
        <v>5</v>
      </c>
      <c r="R697" s="5">
        <f>INDEX([1]products!$A$1:$G$49,MATCH([1]orders!$D697,[1]products!$A$1:$A$49,0),MATCH([1]orders!K$1,[1]products!$A$1:$G$1,0))</f>
        <v>2.5</v>
      </c>
      <c r="S697" s="6">
        <f>INDEX([1]products!$A$1:$G$49,MATCH([1]orders!$D697,[1]products!$A$1:$A$49,0),MATCH([1]orders!L$1,[1]products!$A$1:$G$1,0))</f>
        <v>36.454999999999998</v>
      </c>
      <c r="T697" s="6">
        <f t="shared" si="60"/>
        <v>182.27499999999998</v>
      </c>
      <c r="U697" s="22">
        <f t="shared" si="64"/>
        <v>23.695749999999997</v>
      </c>
      <c r="V697" s="22">
        <f t="shared" si="65"/>
        <v>13</v>
      </c>
    </row>
    <row r="698" spans="1:22" x14ac:dyDescent="0.3">
      <c r="A698" s="1" t="s">
        <v>1353</v>
      </c>
      <c r="B698" s="2">
        <v>43693</v>
      </c>
      <c r="C698" s="2" t="str">
        <f t="shared" si="61"/>
        <v>Friday</v>
      </c>
      <c r="D698" s="2" t="str">
        <f t="shared" si="62"/>
        <v>August</v>
      </c>
      <c r="E698" s="2" t="str">
        <f t="shared" si="63"/>
        <v>2019</v>
      </c>
      <c r="F698" s="3" t="s">
        <v>1354</v>
      </c>
      <c r="G698" s="3" t="str">
        <f>VLOOKUP(F699,'Customers (2)'!A:I,2,0)</f>
        <v>Myrle Dearden</v>
      </c>
      <c r="H698" s="3" t="str">
        <f>VLOOKUP(F698,'Customers (2)'!A:I,3,0)</f>
        <v>jbluckjc@imageshack.us</v>
      </c>
      <c r="I698" s="3" t="str">
        <f>VLOOKUP(F698,'Customers (2)'!A:I,4,0)</f>
        <v>+1 (904) 875-3139</v>
      </c>
      <c r="J698" s="3" t="str">
        <f>VLOOKUP(F698,'Customers (2)'!A:I,6,0)</f>
        <v>Jacksonville</v>
      </c>
      <c r="K698" s="3" t="str">
        <f>VLOOKUP(F698,'Customers (2)'!A:I,7,0)</f>
        <v>United States</v>
      </c>
      <c r="L698" s="3" t="str">
        <f>VLOOKUP(F698,'Customers (2)'!A:I,9,0)</f>
        <v>No</v>
      </c>
      <c r="M698" s="4" t="s">
        <v>123</v>
      </c>
      <c r="N698" s="4" t="str">
        <f>VLOOKUP(M698,'Products (2)'!A:G,2,0)</f>
        <v>Liberica</v>
      </c>
      <c r="O698" s="4" t="str">
        <f>VLOOKUP(M698,'Products (2)'!A:G,3,0)</f>
        <v>Dark</v>
      </c>
      <c r="P698" s="4">
        <f>VLOOKUP(M698,'Products (2)'!A:G,7,0)</f>
        <v>1.0101</v>
      </c>
      <c r="Q698" s="3">
        <v>4</v>
      </c>
      <c r="R698" s="5">
        <f>INDEX([1]products!$A$1:$G$49,MATCH([1]orders!$D698,[1]products!$A$1:$A$49,0),MATCH([1]orders!K$1,[1]products!$A$1:$G$1,0))</f>
        <v>0.5</v>
      </c>
      <c r="S698" s="6">
        <f>INDEX([1]products!$A$1:$G$49,MATCH([1]orders!$D698,[1]products!$A$1:$A$49,0),MATCH([1]orders!L$1,[1]products!$A$1:$G$1,0))</f>
        <v>7.77</v>
      </c>
      <c r="T698" s="6">
        <f t="shared" si="60"/>
        <v>31.08</v>
      </c>
      <c r="U698" s="22">
        <f t="shared" si="64"/>
        <v>4.0404</v>
      </c>
      <c r="V698" s="22">
        <f t="shared" si="65"/>
        <v>13</v>
      </c>
    </row>
    <row r="699" spans="1:22" x14ac:dyDescent="0.3">
      <c r="A699" s="1" t="s">
        <v>1355</v>
      </c>
      <c r="B699" s="2">
        <v>44547</v>
      </c>
      <c r="C699" s="2" t="str">
        <f t="shared" si="61"/>
        <v>Friday</v>
      </c>
      <c r="D699" s="2" t="str">
        <f t="shared" si="62"/>
        <v>December</v>
      </c>
      <c r="E699" s="2" t="str">
        <f t="shared" si="63"/>
        <v>2021</v>
      </c>
      <c r="F699" s="3" t="s">
        <v>1356</v>
      </c>
      <c r="G699" s="3" t="str">
        <f>VLOOKUP(F700,'Customers (2)'!A:I,2,0)</f>
        <v>Jimmy Dymoke</v>
      </c>
      <c r="H699" s="3">
        <f>VLOOKUP(F699,'Customers (2)'!A:I,3,0)</f>
        <v>0</v>
      </c>
      <c r="I699" s="3">
        <f>VLOOKUP(F699,'Customers (2)'!A:I,4,0)</f>
        <v>0</v>
      </c>
      <c r="J699" s="3" t="str">
        <f>VLOOKUP(F699,'Customers (2)'!A:I,6,0)</f>
        <v>Bayside</v>
      </c>
      <c r="K699" s="3" t="str">
        <f>VLOOKUP(F699,'Customers (2)'!A:I,7,0)</f>
        <v>Ireland</v>
      </c>
      <c r="L699" s="3" t="str">
        <f>VLOOKUP(F699,'Customers (2)'!A:I,9,0)</f>
        <v>No</v>
      </c>
      <c r="M699" s="4" t="s">
        <v>67</v>
      </c>
      <c r="N699" s="4" t="str">
        <f>VLOOKUP(M699,'Products (2)'!A:G,2,0)</f>
        <v>Arabica</v>
      </c>
      <c r="O699" s="4" t="str">
        <f>VLOOKUP(M699,'Products (2)'!A:G,3,0)</f>
        <v>Medium</v>
      </c>
      <c r="P699" s="4">
        <f>VLOOKUP(M699,'Products (2)'!A:G,7,0)</f>
        <v>0.60749999999999993</v>
      </c>
      <c r="Q699" s="3">
        <v>3</v>
      </c>
      <c r="R699" s="5">
        <f>INDEX([1]products!$A$1:$G$49,MATCH([1]orders!$D699,[1]products!$A$1:$A$49,0),MATCH([1]orders!K$1,[1]products!$A$1:$G$1,0))</f>
        <v>0.5</v>
      </c>
      <c r="S699" s="6">
        <f>INDEX([1]products!$A$1:$G$49,MATCH([1]orders!$D699,[1]products!$A$1:$A$49,0),MATCH([1]orders!L$1,[1]products!$A$1:$G$1,0))</f>
        <v>6.75</v>
      </c>
      <c r="T699" s="6">
        <f t="shared" si="60"/>
        <v>20.25</v>
      </c>
      <c r="U699" s="22">
        <f t="shared" si="64"/>
        <v>1.8224999999999998</v>
      </c>
      <c r="V699" s="22">
        <f t="shared" si="65"/>
        <v>8.9999999999999982</v>
      </c>
    </row>
    <row r="700" spans="1:22" x14ac:dyDescent="0.3">
      <c r="A700" s="1" t="s">
        <v>1357</v>
      </c>
      <c r="B700" s="2">
        <v>43830</v>
      </c>
      <c r="C700" s="2" t="str">
        <f t="shared" si="61"/>
        <v>Tuesday</v>
      </c>
      <c r="D700" s="2" t="str">
        <f t="shared" si="62"/>
        <v>December</v>
      </c>
      <c r="E700" s="2" t="str">
        <f t="shared" si="63"/>
        <v>2019</v>
      </c>
      <c r="F700" s="3" t="s">
        <v>1344</v>
      </c>
      <c r="G700" s="3" t="str">
        <f>VLOOKUP(F701,'Customers (2)'!A:I,2,0)</f>
        <v>Orland Tadman</v>
      </c>
      <c r="H700" s="3" t="str">
        <f>VLOOKUP(F700,'Customers (2)'!A:I,3,0)</f>
        <v>jdymokeje@prnewswire.com</v>
      </c>
      <c r="I700" s="3" t="str">
        <f>VLOOKUP(F700,'Customers (2)'!A:I,4,0)</f>
        <v>+353 (390) 459-9269</v>
      </c>
      <c r="J700" s="3" t="str">
        <f>VLOOKUP(F700,'Customers (2)'!A:I,6,0)</f>
        <v>Beaumont</v>
      </c>
      <c r="K700" s="3" t="str">
        <f>VLOOKUP(F700,'Customers (2)'!A:I,7,0)</f>
        <v>Ireland</v>
      </c>
      <c r="L700" s="3" t="str">
        <f>VLOOKUP(F700,'Customers (2)'!A:I,9,0)</f>
        <v>No</v>
      </c>
      <c r="M700" s="4" t="s">
        <v>13</v>
      </c>
      <c r="N700" s="4" t="str">
        <f>VLOOKUP(M700,'Products (2)'!A:G,2,0)</f>
        <v>Liberica</v>
      </c>
      <c r="O700" s="4" t="str">
        <f>VLOOKUP(M700,'Products (2)'!A:G,3,0)</f>
        <v>Dark</v>
      </c>
      <c r="P700" s="4">
        <f>VLOOKUP(M700,'Products (2)'!A:G,7,0)</f>
        <v>1.6835</v>
      </c>
      <c r="Q700" s="3">
        <v>2</v>
      </c>
      <c r="R700" s="5">
        <f>INDEX([1]products!$A$1:$G$49,MATCH([1]orders!$D700,[1]products!$A$1:$A$49,0),MATCH([1]orders!K$1,[1]products!$A$1:$G$1,0))</f>
        <v>1</v>
      </c>
      <c r="S700" s="6">
        <f>INDEX([1]products!$A$1:$G$49,MATCH([1]orders!$D700,[1]products!$A$1:$A$49,0),MATCH([1]orders!L$1,[1]products!$A$1:$G$1,0))</f>
        <v>12.95</v>
      </c>
      <c r="T700" s="6">
        <f t="shared" si="60"/>
        <v>25.9</v>
      </c>
      <c r="U700" s="22">
        <f t="shared" si="64"/>
        <v>3.367</v>
      </c>
      <c r="V700" s="22">
        <f t="shared" si="65"/>
        <v>13</v>
      </c>
    </row>
    <row r="701" spans="1:22" x14ac:dyDescent="0.3">
      <c r="A701" s="1" t="s">
        <v>1358</v>
      </c>
      <c r="B701" s="2">
        <v>44298</v>
      </c>
      <c r="C701" s="2" t="str">
        <f t="shared" si="61"/>
        <v>Monday</v>
      </c>
      <c r="D701" s="2" t="str">
        <f t="shared" si="62"/>
        <v>April</v>
      </c>
      <c r="E701" s="2" t="str">
        <f t="shared" si="63"/>
        <v>2021</v>
      </c>
      <c r="F701" s="3" t="s">
        <v>1359</v>
      </c>
      <c r="G701" s="3" t="str">
        <f>VLOOKUP(F702,'Customers (2)'!A:I,2,0)</f>
        <v>Barrett Gudde</v>
      </c>
      <c r="H701" s="3" t="str">
        <f>VLOOKUP(F701,'Customers (2)'!A:I,3,0)</f>
        <v>otadmanjf@ft.com</v>
      </c>
      <c r="I701" s="3" t="str">
        <f>VLOOKUP(F701,'Customers (2)'!A:I,4,0)</f>
        <v>+1 (305) 205-3682</v>
      </c>
      <c r="J701" s="3" t="str">
        <f>VLOOKUP(F701,'Customers (2)'!A:I,6,0)</f>
        <v>Miami</v>
      </c>
      <c r="K701" s="3" t="str">
        <f>VLOOKUP(F701,'Customers (2)'!A:I,7,0)</f>
        <v>United States</v>
      </c>
      <c r="L701" s="3" t="str">
        <f>VLOOKUP(F701,'Customers (2)'!A:I,9,0)</f>
        <v>Yes</v>
      </c>
      <c r="M701" s="4" t="s">
        <v>72</v>
      </c>
      <c r="N701" s="4" t="str">
        <f>VLOOKUP(M701,'Products (2)'!A:G,2,0)</f>
        <v>Arabica</v>
      </c>
      <c r="O701" s="4" t="str">
        <f>VLOOKUP(M701,'Products (2)'!A:G,3,0)</f>
        <v>Dark</v>
      </c>
      <c r="P701" s="4">
        <f>VLOOKUP(M701,'Products (2)'!A:G,7,0)</f>
        <v>0.5373</v>
      </c>
      <c r="Q701" s="3">
        <v>4</v>
      </c>
      <c r="R701" s="5">
        <f>INDEX([1]products!$A$1:$G$49,MATCH([1]orders!$D701,[1]products!$A$1:$A$49,0),MATCH([1]orders!K$1,[1]products!$A$1:$G$1,0))</f>
        <v>0.5</v>
      </c>
      <c r="S701" s="6">
        <f>INDEX([1]products!$A$1:$G$49,MATCH([1]orders!$D701,[1]products!$A$1:$A$49,0),MATCH([1]orders!L$1,[1]products!$A$1:$G$1,0))</f>
        <v>5.97</v>
      </c>
      <c r="T701" s="6">
        <f t="shared" si="60"/>
        <v>23.88</v>
      </c>
      <c r="U701" s="22">
        <f t="shared" si="64"/>
        <v>2.1492</v>
      </c>
      <c r="V701" s="22">
        <f t="shared" si="65"/>
        <v>9.0000000000000018</v>
      </c>
    </row>
    <row r="702" spans="1:22" x14ac:dyDescent="0.3">
      <c r="A702" s="1" t="s">
        <v>1360</v>
      </c>
      <c r="B702" s="2">
        <v>43736</v>
      </c>
      <c r="C702" s="2" t="str">
        <f t="shared" si="61"/>
        <v>Saturday</v>
      </c>
      <c r="D702" s="2" t="str">
        <f t="shared" si="62"/>
        <v>September</v>
      </c>
      <c r="E702" s="2" t="str">
        <f t="shared" si="63"/>
        <v>2019</v>
      </c>
      <c r="F702" s="3" t="s">
        <v>1361</v>
      </c>
      <c r="G702" s="3" t="str">
        <f>VLOOKUP(F703,'Customers (2)'!A:I,2,0)</f>
        <v>Nathan Sictornes</v>
      </c>
      <c r="H702" s="3" t="str">
        <f>VLOOKUP(F702,'Customers (2)'!A:I,3,0)</f>
        <v>bguddejg@dailymotion.com</v>
      </c>
      <c r="I702" s="3">
        <f>VLOOKUP(F702,'Customers (2)'!A:I,4,0)</f>
        <v>0</v>
      </c>
      <c r="J702" s="3" t="str">
        <f>VLOOKUP(F702,'Customers (2)'!A:I,6,0)</f>
        <v>San Francisco</v>
      </c>
      <c r="K702" s="3" t="str">
        <f>VLOOKUP(F702,'Customers (2)'!A:I,7,0)</f>
        <v>United States</v>
      </c>
      <c r="L702" s="3" t="str">
        <f>VLOOKUP(F702,'Customers (2)'!A:I,9,0)</f>
        <v>No</v>
      </c>
      <c r="M702" s="4" t="s">
        <v>83</v>
      </c>
      <c r="N702" s="4" t="str">
        <f>VLOOKUP(M702,'Products (2)'!A:G,2,0)</f>
        <v>Liberica</v>
      </c>
      <c r="O702" s="4" t="str">
        <f>VLOOKUP(M702,'Products (2)'!A:G,3,0)</f>
        <v>Light</v>
      </c>
      <c r="P702" s="4">
        <f>VLOOKUP(M702,'Products (2)'!A:G,7,0)</f>
        <v>1.2363</v>
      </c>
      <c r="Q702" s="3">
        <v>2</v>
      </c>
      <c r="R702" s="5">
        <f>INDEX([1]products!$A$1:$G$49,MATCH([1]orders!$D702,[1]products!$A$1:$A$49,0),MATCH([1]orders!K$1,[1]products!$A$1:$G$1,0))</f>
        <v>0.5</v>
      </c>
      <c r="S702" s="6">
        <f>INDEX([1]products!$A$1:$G$49,MATCH([1]orders!$D702,[1]products!$A$1:$A$49,0),MATCH([1]orders!L$1,[1]products!$A$1:$G$1,0))</f>
        <v>9.51</v>
      </c>
      <c r="T702" s="6">
        <f t="shared" si="60"/>
        <v>19.02</v>
      </c>
      <c r="U702" s="22">
        <f t="shared" si="64"/>
        <v>2.4725999999999999</v>
      </c>
      <c r="V702" s="22">
        <f t="shared" si="65"/>
        <v>13</v>
      </c>
    </row>
    <row r="703" spans="1:22" x14ac:dyDescent="0.3">
      <c r="A703" s="1" t="s">
        <v>1362</v>
      </c>
      <c r="B703" s="2">
        <v>44727</v>
      </c>
      <c r="C703" s="2" t="str">
        <f t="shared" si="61"/>
        <v>Wednesday</v>
      </c>
      <c r="D703" s="2" t="str">
        <f t="shared" si="62"/>
        <v>June</v>
      </c>
      <c r="E703" s="2" t="str">
        <f t="shared" si="63"/>
        <v>2022</v>
      </c>
      <c r="F703" s="3" t="s">
        <v>1363</v>
      </c>
      <c r="G703" s="3" t="str">
        <f>VLOOKUP(F704,'Customers (2)'!A:I,2,0)</f>
        <v>Vivyan Dunning</v>
      </c>
      <c r="H703" s="3" t="str">
        <f>VLOOKUP(F703,'Customers (2)'!A:I,3,0)</f>
        <v>nsictornesjh@buzzfeed.com</v>
      </c>
      <c r="I703" s="3" t="str">
        <f>VLOOKUP(F703,'Customers (2)'!A:I,4,0)</f>
        <v>+353 (410) 713-0145</v>
      </c>
      <c r="J703" s="3" t="str">
        <f>VLOOKUP(F703,'Customers (2)'!A:I,6,0)</f>
        <v>Sandyford</v>
      </c>
      <c r="K703" s="3" t="str">
        <f>VLOOKUP(F703,'Customers (2)'!A:I,7,0)</f>
        <v>Ireland</v>
      </c>
      <c r="L703" s="3" t="str">
        <f>VLOOKUP(F703,'Customers (2)'!A:I,9,0)</f>
        <v>Yes</v>
      </c>
      <c r="M703" s="4" t="s">
        <v>72</v>
      </c>
      <c r="N703" s="4" t="str">
        <f>VLOOKUP(M703,'Products (2)'!A:G,2,0)</f>
        <v>Arabica</v>
      </c>
      <c r="O703" s="4" t="str">
        <f>VLOOKUP(M703,'Products (2)'!A:G,3,0)</f>
        <v>Dark</v>
      </c>
      <c r="P703" s="4">
        <f>VLOOKUP(M703,'Products (2)'!A:G,7,0)</f>
        <v>0.5373</v>
      </c>
      <c r="Q703" s="3">
        <v>5</v>
      </c>
      <c r="R703" s="5">
        <f>INDEX([1]products!$A$1:$G$49,MATCH([1]orders!$D703,[1]products!$A$1:$A$49,0),MATCH([1]orders!K$1,[1]products!$A$1:$G$1,0))</f>
        <v>0.5</v>
      </c>
      <c r="S703" s="6">
        <f>INDEX([1]products!$A$1:$G$49,MATCH([1]orders!$D703,[1]products!$A$1:$A$49,0),MATCH([1]orders!L$1,[1]products!$A$1:$G$1,0))</f>
        <v>5.97</v>
      </c>
      <c r="T703" s="6">
        <f t="shared" si="60"/>
        <v>29.849999999999998</v>
      </c>
      <c r="U703" s="22">
        <f t="shared" si="64"/>
        <v>2.6865000000000001</v>
      </c>
      <c r="V703" s="22">
        <f t="shared" si="65"/>
        <v>9.0000000000000018</v>
      </c>
    </row>
    <row r="704" spans="1:22" x14ac:dyDescent="0.3">
      <c r="A704" s="1" t="s">
        <v>1364</v>
      </c>
      <c r="B704" s="2">
        <v>43661</v>
      </c>
      <c r="C704" s="2" t="str">
        <f t="shared" si="61"/>
        <v>Monday</v>
      </c>
      <c r="D704" s="2" t="str">
        <f t="shared" si="62"/>
        <v>July</v>
      </c>
      <c r="E704" s="2" t="str">
        <f t="shared" si="63"/>
        <v>2019</v>
      </c>
      <c r="F704" s="3" t="s">
        <v>1365</v>
      </c>
      <c r="G704" s="3" t="str">
        <f>VLOOKUP(F705,'Customers (2)'!A:I,2,0)</f>
        <v>Doralin Baison</v>
      </c>
      <c r="H704" s="3" t="str">
        <f>VLOOKUP(F704,'Customers (2)'!A:I,3,0)</f>
        <v>vdunningji@independent.co.uk</v>
      </c>
      <c r="I704" s="3">
        <f>VLOOKUP(F704,'Customers (2)'!A:I,4,0)</f>
        <v>0</v>
      </c>
      <c r="J704" s="3" t="str">
        <f>VLOOKUP(F704,'Customers (2)'!A:I,6,0)</f>
        <v>Punta Gorda</v>
      </c>
      <c r="K704" s="3" t="str">
        <f>VLOOKUP(F704,'Customers (2)'!A:I,7,0)</f>
        <v>United States</v>
      </c>
      <c r="L704" s="3" t="str">
        <f>VLOOKUP(F704,'Customers (2)'!A:I,9,0)</f>
        <v>Yes</v>
      </c>
      <c r="M704" s="4" t="s">
        <v>192</v>
      </c>
      <c r="N704" s="4" t="str">
        <f>VLOOKUP(M704,'Products (2)'!A:G,2,0)</f>
        <v>Arabica</v>
      </c>
      <c r="O704" s="4" t="str">
        <f>VLOOKUP(M704,'Products (2)'!A:G,3,0)</f>
        <v>Light</v>
      </c>
      <c r="P704" s="4">
        <f>VLOOKUP(M704,'Products (2)'!A:G,7,0)</f>
        <v>0.69929999999999992</v>
      </c>
      <c r="Q704" s="3">
        <v>1</v>
      </c>
      <c r="R704" s="5">
        <f>INDEX([1]products!$A$1:$G$49,MATCH([1]orders!$D704,[1]products!$A$1:$A$49,0),MATCH([1]orders!K$1,[1]products!$A$1:$G$1,0))</f>
        <v>0.5</v>
      </c>
      <c r="S704" s="6">
        <f>INDEX([1]products!$A$1:$G$49,MATCH([1]orders!$D704,[1]products!$A$1:$A$49,0),MATCH([1]orders!L$1,[1]products!$A$1:$G$1,0))</f>
        <v>7.77</v>
      </c>
      <c r="T704" s="6">
        <f t="shared" si="60"/>
        <v>7.77</v>
      </c>
      <c r="U704" s="22">
        <f t="shared" si="64"/>
        <v>0.69929999999999992</v>
      </c>
      <c r="V704" s="22">
        <f t="shared" si="65"/>
        <v>9</v>
      </c>
    </row>
    <row r="705" spans="1:22" x14ac:dyDescent="0.3">
      <c r="A705" s="1" t="s">
        <v>1366</v>
      </c>
      <c r="B705" s="2">
        <v>43506</v>
      </c>
      <c r="C705" s="2" t="str">
        <f t="shared" si="61"/>
        <v>Sunday</v>
      </c>
      <c r="D705" s="2" t="str">
        <f t="shared" si="62"/>
        <v>February</v>
      </c>
      <c r="E705" s="2" t="str">
        <f t="shared" si="63"/>
        <v>2019</v>
      </c>
      <c r="F705" s="3" t="s">
        <v>1367</v>
      </c>
      <c r="G705" s="3" t="str">
        <f>VLOOKUP(F706,'Customers (2)'!A:I,2,0)</f>
        <v>Josefina Ferens</v>
      </c>
      <c r="H705" s="3">
        <f>VLOOKUP(F705,'Customers (2)'!A:I,3,0)</f>
        <v>0</v>
      </c>
      <c r="I705" s="3" t="str">
        <f>VLOOKUP(F705,'Customers (2)'!A:I,4,0)</f>
        <v>+353 (214) 406-4884</v>
      </c>
      <c r="J705" s="3" t="str">
        <f>VLOOKUP(F705,'Customers (2)'!A:I,6,0)</f>
        <v>Ballivor</v>
      </c>
      <c r="K705" s="3" t="str">
        <f>VLOOKUP(F705,'Customers (2)'!A:I,7,0)</f>
        <v>Ireland</v>
      </c>
      <c r="L705" s="3" t="str">
        <f>VLOOKUP(F705,'Customers (2)'!A:I,9,0)</f>
        <v>Yes</v>
      </c>
      <c r="M705" s="4" t="s">
        <v>109</v>
      </c>
      <c r="N705" s="4" t="str">
        <f>VLOOKUP(M705,'Products (2)'!A:G,2,0)</f>
        <v>Liberica</v>
      </c>
      <c r="O705" s="4" t="str">
        <f>VLOOKUP(M705,'Products (2)'!A:G,3,0)</f>
        <v>Dark</v>
      </c>
      <c r="P705" s="4">
        <f>VLOOKUP(M705,'Products (2)'!A:G,7,0)</f>
        <v>3.8720499999999998</v>
      </c>
      <c r="Q705" s="3">
        <v>4</v>
      </c>
      <c r="R705" s="5">
        <f>INDEX([1]products!$A$1:$G$49,MATCH([1]orders!$D705,[1]products!$A$1:$A$49,0),MATCH([1]orders!K$1,[1]products!$A$1:$G$1,0))</f>
        <v>2.5</v>
      </c>
      <c r="S705" s="6">
        <f>INDEX([1]products!$A$1:$G$49,MATCH([1]orders!$D705,[1]products!$A$1:$A$49,0),MATCH([1]orders!L$1,[1]products!$A$1:$G$1,0))</f>
        <v>29.784999999999997</v>
      </c>
      <c r="T705" s="6">
        <f t="shared" si="60"/>
        <v>119.13999999999999</v>
      </c>
      <c r="U705" s="22">
        <f t="shared" si="64"/>
        <v>15.488199999999999</v>
      </c>
      <c r="V705" s="22">
        <f t="shared" si="65"/>
        <v>13</v>
      </c>
    </row>
    <row r="706" spans="1:22" x14ac:dyDescent="0.3">
      <c r="A706" s="1" t="s">
        <v>1368</v>
      </c>
      <c r="B706" s="2">
        <v>44716</v>
      </c>
      <c r="C706" s="2" t="str">
        <f t="shared" si="61"/>
        <v>Saturday</v>
      </c>
      <c r="D706" s="2" t="str">
        <f t="shared" si="62"/>
        <v>June</v>
      </c>
      <c r="E706" s="2" t="str">
        <f t="shared" si="63"/>
        <v>2022</v>
      </c>
      <c r="F706" s="3" t="s">
        <v>1369</v>
      </c>
      <c r="G706" s="3" t="str">
        <f>VLOOKUP(F707,'Customers (2)'!A:I,2,0)</f>
        <v>Shelley Gehring</v>
      </c>
      <c r="H706" s="3">
        <f>VLOOKUP(F706,'Customers (2)'!A:I,3,0)</f>
        <v>0</v>
      </c>
      <c r="I706" s="3" t="str">
        <f>VLOOKUP(F706,'Customers (2)'!A:I,4,0)</f>
        <v>+1 (212) 163-1916</v>
      </c>
      <c r="J706" s="3" t="str">
        <f>VLOOKUP(F706,'Customers (2)'!A:I,6,0)</f>
        <v>New York City</v>
      </c>
      <c r="K706" s="3" t="str">
        <f>VLOOKUP(F706,'Customers (2)'!A:I,7,0)</f>
        <v>United States</v>
      </c>
      <c r="L706" s="3" t="str">
        <f>VLOOKUP(F706,'Customers (2)'!A:I,9,0)</f>
        <v>Yes</v>
      </c>
      <c r="M706" s="4" t="s">
        <v>51</v>
      </c>
      <c r="N706" s="4" t="str">
        <f>VLOOKUP(M706,'Products (2)'!A:G,2,0)</f>
        <v>Excelsa</v>
      </c>
      <c r="O706" s="4" t="str">
        <f>VLOOKUP(M706,'Products (2)'!A:G,3,0)</f>
        <v>Dark</v>
      </c>
      <c r="P706" s="4">
        <f>VLOOKUP(M706,'Products (2)'!A:G,7,0)</f>
        <v>0.40095000000000003</v>
      </c>
      <c r="Q706" s="3">
        <v>6</v>
      </c>
      <c r="R706" s="5">
        <f>INDEX([1]products!$A$1:$G$49,MATCH([1]orders!$D706,[1]products!$A$1:$A$49,0),MATCH([1]orders!K$1,[1]products!$A$1:$G$1,0))</f>
        <v>0.2</v>
      </c>
      <c r="S706" s="6">
        <f>INDEX([1]products!$A$1:$G$49,MATCH([1]orders!$D706,[1]products!$A$1:$A$49,0),MATCH([1]orders!L$1,[1]products!$A$1:$G$1,0))</f>
        <v>3.645</v>
      </c>
      <c r="T706" s="6">
        <f t="shared" ref="T706:T769" si="66">Q706*S706</f>
        <v>21.87</v>
      </c>
      <c r="U706" s="22">
        <f t="shared" si="64"/>
        <v>2.4057000000000004</v>
      </c>
      <c r="V706" s="22">
        <f t="shared" si="65"/>
        <v>11.000000000000002</v>
      </c>
    </row>
    <row r="707" spans="1:22" x14ac:dyDescent="0.3">
      <c r="A707" s="1" t="s">
        <v>1370</v>
      </c>
      <c r="B707" s="2">
        <v>44114</v>
      </c>
      <c r="C707" s="2" t="str">
        <f t="shared" ref="C707:C770" si="67">TEXT(B707,"dddd")</f>
        <v>Saturday</v>
      </c>
      <c r="D707" s="2" t="str">
        <f t="shared" ref="D707:D770" si="68">TEXT(B707,"MMMM")</f>
        <v>October</v>
      </c>
      <c r="E707" s="2" t="str">
        <f t="shared" ref="E707:E770" si="69">TEXT(B707,"YYYY")</f>
        <v>2020</v>
      </c>
      <c r="F707" s="3" t="s">
        <v>1371</v>
      </c>
      <c r="G707" s="3" t="str">
        <f>VLOOKUP(F708,'Customers (2)'!A:I,2,0)</f>
        <v>Barrie Fallowes</v>
      </c>
      <c r="H707" s="3" t="str">
        <f>VLOOKUP(F707,'Customers (2)'!A:I,3,0)</f>
        <v>sgehringjl@gnu.org</v>
      </c>
      <c r="I707" s="3" t="str">
        <f>VLOOKUP(F707,'Customers (2)'!A:I,4,0)</f>
        <v>+1 (864) 940-7075</v>
      </c>
      <c r="J707" s="3" t="str">
        <f>VLOOKUP(F707,'Customers (2)'!A:I,6,0)</f>
        <v>Spartanburg</v>
      </c>
      <c r="K707" s="3" t="str">
        <f>VLOOKUP(F707,'Customers (2)'!A:I,7,0)</f>
        <v>United States</v>
      </c>
      <c r="L707" s="3" t="str">
        <f>VLOOKUP(F707,'Customers (2)'!A:I,9,0)</f>
        <v>No</v>
      </c>
      <c r="M707" s="4" t="s">
        <v>176</v>
      </c>
      <c r="N707" s="4" t="str">
        <f>VLOOKUP(M707,'Products (2)'!A:G,2,0)</f>
        <v>Excelsa</v>
      </c>
      <c r="O707" s="4" t="str">
        <f>VLOOKUP(M707,'Products (2)'!A:G,3,0)</f>
        <v>Light</v>
      </c>
      <c r="P707" s="4">
        <f>VLOOKUP(M707,'Products (2)'!A:G,7,0)</f>
        <v>0.98009999999999997</v>
      </c>
      <c r="Q707" s="3">
        <v>2</v>
      </c>
      <c r="R707" s="5">
        <f>INDEX([1]products!$A$1:$G$49,MATCH([1]orders!$D707,[1]products!$A$1:$A$49,0),MATCH([1]orders!K$1,[1]products!$A$1:$G$1,0))</f>
        <v>0.5</v>
      </c>
      <c r="S707" s="6">
        <f>INDEX([1]products!$A$1:$G$49,MATCH([1]orders!$D707,[1]products!$A$1:$A$49,0),MATCH([1]orders!L$1,[1]products!$A$1:$G$1,0))</f>
        <v>8.91</v>
      </c>
      <c r="T707" s="6">
        <f t="shared" si="66"/>
        <v>17.82</v>
      </c>
      <c r="U707" s="22">
        <f t="shared" ref="U707:U770" si="70">Q707*P707</f>
        <v>1.9601999999999999</v>
      </c>
      <c r="V707" s="22">
        <f t="shared" ref="V707:V770" si="71">U707/T707*100</f>
        <v>11</v>
      </c>
    </row>
    <row r="708" spans="1:22" x14ac:dyDescent="0.3">
      <c r="A708" s="1" t="s">
        <v>1372</v>
      </c>
      <c r="B708" s="2">
        <v>44353</v>
      </c>
      <c r="C708" s="2" t="str">
        <f t="shared" si="67"/>
        <v>Sunday</v>
      </c>
      <c r="D708" s="2" t="str">
        <f t="shared" si="68"/>
        <v>June</v>
      </c>
      <c r="E708" s="2" t="str">
        <f t="shared" si="69"/>
        <v>2021</v>
      </c>
      <c r="F708" s="3" t="s">
        <v>1373</v>
      </c>
      <c r="G708" s="3" t="str">
        <f>VLOOKUP(F709,'Customers (2)'!A:I,2,0)</f>
        <v>Nicolas Aiton</v>
      </c>
      <c r="H708" s="3" t="str">
        <f>VLOOKUP(F708,'Customers (2)'!A:I,3,0)</f>
        <v>bfallowesjm@purevolume.com</v>
      </c>
      <c r="I708" s="3" t="str">
        <f>VLOOKUP(F708,'Customers (2)'!A:I,4,0)</f>
        <v>+1 (805) 975-3527</v>
      </c>
      <c r="J708" s="3" t="str">
        <f>VLOOKUP(F708,'Customers (2)'!A:I,6,0)</f>
        <v>Bakersfield</v>
      </c>
      <c r="K708" s="3" t="str">
        <f>VLOOKUP(F708,'Customers (2)'!A:I,7,0)</f>
        <v>United States</v>
      </c>
      <c r="L708" s="3" t="str">
        <f>VLOOKUP(F708,'Customers (2)'!A:I,9,0)</f>
        <v>No</v>
      </c>
      <c r="M708" s="4" t="s">
        <v>64</v>
      </c>
      <c r="N708" s="4" t="str">
        <f>VLOOKUP(M708,'Products (2)'!A:G,2,0)</f>
        <v>Excelsa</v>
      </c>
      <c r="O708" s="4" t="str">
        <f>VLOOKUP(M708,'Products (2)'!A:G,3,0)</f>
        <v>Medium</v>
      </c>
      <c r="P708" s="4">
        <f>VLOOKUP(M708,'Products (2)'!A:G,7,0)</f>
        <v>0.45374999999999999</v>
      </c>
      <c r="Q708" s="3">
        <v>3</v>
      </c>
      <c r="R708" s="5">
        <f>INDEX([1]products!$A$1:$G$49,MATCH([1]orders!$D708,[1]products!$A$1:$A$49,0),MATCH([1]orders!K$1,[1]products!$A$1:$G$1,0))</f>
        <v>0.2</v>
      </c>
      <c r="S708" s="6">
        <f>INDEX([1]products!$A$1:$G$49,MATCH([1]orders!$D708,[1]products!$A$1:$A$49,0),MATCH([1]orders!L$1,[1]products!$A$1:$G$1,0))</f>
        <v>4.125</v>
      </c>
      <c r="T708" s="6">
        <f t="shared" si="66"/>
        <v>12.375</v>
      </c>
      <c r="U708" s="22">
        <f t="shared" si="70"/>
        <v>1.3612500000000001</v>
      </c>
      <c r="V708" s="22">
        <f t="shared" si="71"/>
        <v>11</v>
      </c>
    </row>
    <row r="709" spans="1:22" x14ac:dyDescent="0.3">
      <c r="A709" s="1" t="s">
        <v>1374</v>
      </c>
      <c r="B709" s="2">
        <v>43540</v>
      </c>
      <c r="C709" s="2" t="str">
        <f t="shared" si="67"/>
        <v>Saturday</v>
      </c>
      <c r="D709" s="2" t="str">
        <f t="shared" si="68"/>
        <v>March</v>
      </c>
      <c r="E709" s="2" t="str">
        <f t="shared" si="69"/>
        <v>2019</v>
      </c>
      <c r="F709" s="3" t="s">
        <v>1375</v>
      </c>
      <c r="G709" s="3" t="str">
        <f>VLOOKUP(F710,'Customers (2)'!A:I,2,0)</f>
        <v>Shelli De Banke</v>
      </c>
      <c r="H709" s="3">
        <f>VLOOKUP(F709,'Customers (2)'!A:I,3,0)</f>
        <v>0</v>
      </c>
      <c r="I709" s="3" t="str">
        <f>VLOOKUP(F709,'Customers (2)'!A:I,4,0)</f>
        <v>+353 (861) 791-0313</v>
      </c>
      <c r="J709" s="3" t="str">
        <f>VLOOKUP(F709,'Customers (2)'!A:I,6,0)</f>
        <v>Dungarvan</v>
      </c>
      <c r="K709" s="3" t="str">
        <f>VLOOKUP(F709,'Customers (2)'!A:I,7,0)</f>
        <v>Ireland</v>
      </c>
      <c r="L709" s="3" t="str">
        <f>VLOOKUP(F709,'Customers (2)'!A:I,9,0)</f>
        <v>No</v>
      </c>
      <c r="M709" s="4" t="s">
        <v>13</v>
      </c>
      <c r="N709" s="4" t="str">
        <f>VLOOKUP(M709,'Products (2)'!A:G,2,0)</f>
        <v>Liberica</v>
      </c>
      <c r="O709" s="4" t="str">
        <f>VLOOKUP(M709,'Products (2)'!A:G,3,0)</f>
        <v>Dark</v>
      </c>
      <c r="P709" s="4">
        <f>VLOOKUP(M709,'Products (2)'!A:G,7,0)</f>
        <v>1.6835</v>
      </c>
      <c r="Q709" s="3">
        <v>2</v>
      </c>
      <c r="R709" s="5">
        <f>INDEX([1]products!$A$1:$G$49,MATCH([1]orders!$D709,[1]products!$A$1:$A$49,0),MATCH([1]orders!K$1,[1]products!$A$1:$G$1,0))</f>
        <v>1</v>
      </c>
      <c r="S709" s="6">
        <f>INDEX([1]products!$A$1:$G$49,MATCH([1]orders!$D709,[1]products!$A$1:$A$49,0),MATCH([1]orders!L$1,[1]products!$A$1:$G$1,0))</f>
        <v>12.95</v>
      </c>
      <c r="T709" s="6">
        <f t="shared" si="66"/>
        <v>25.9</v>
      </c>
      <c r="U709" s="22">
        <f t="shared" si="70"/>
        <v>3.367</v>
      </c>
      <c r="V709" s="22">
        <f t="shared" si="71"/>
        <v>13</v>
      </c>
    </row>
    <row r="710" spans="1:22" x14ac:dyDescent="0.3">
      <c r="A710" s="1" t="s">
        <v>1376</v>
      </c>
      <c r="B710" s="2">
        <v>43804</v>
      </c>
      <c r="C710" s="2" t="str">
        <f t="shared" si="67"/>
        <v>Thursday</v>
      </c>
      <c r="D710" s="2" t="str">
        <f t="shared" si="68"/>
        <v>December</v>
      </c>
      <c r="E710" s="2" t="str">
        <f t="shared" si="69"/>
        <v>2019</v>
      </c>
      <c r="F710" s="3" t="s">
        <v>1377</v>
      </c>
      <c r="G710" s="3" t="str">
        <f>VLOOKUP(F711,'Customers (2)'!A:I,2,0)</f>
        <v>Lyell Murch</v>
      </c>
      <c r="H710" s="3" t="str">
        <f>VLOOKUP(F710,'Customers (2)'!A:I,3,0)</f>
        <v>sdejo@newsvine.com</v>
      </c>
      <c r="I710" s="3" t="str">
        <f>VLOOKUP(F710,'Customers (2)'!A:I,4,0)</f>
        <v>+1 (314) 496-2561</v>
      </c>
      <c r="J710" s="3" t="str">
        <f>VLOOKUP(F710,'Customers (2)'!A:I,6,0)</f>
        <v>Saint Louis</v>
      </c>
      <c r="K710" s="3" t="str">
        <f>VLOOKUP(F710,'Customers (2)'!A:I,7,0)</f>
        <v>United States</v>
      </c>
      <c r="L710" s="3" t="str">
        <f>VLOOKUP(F710,'Customers (2)'!A:I,9,0)</f>
        <v>Yes</v>
      </c>
      <c r="M710" s="4" t="s">
        <v>67</v>
      </c>
      <c r="N710" s="4" t="str">
        <f>VLOOKUP(M710,'Products (2)'!A:G,2,0)</f>
        <v>Arabica</v>
      </c>
      <c r="O710" s="4" t="str">
        <f>VLOOKUP(M710,'Products (2)'!A:G,3,0)</f>
        <v>Medium</v>
      </c>
      <c r="P710" s="4">
        <f>VLOOKUP(M710,'Products (2)'!A:G,7,0)</f>
        <v>0.60749999999999993</v>
      </c>
      <c r="Q710" s="3">
        <v>2</v>
      </c>
      <c r="R710" s="5">
        <f>INDEX([1]products!$A$1:$G$49,MATCH([1]orders!$D710,[1]products!$A$1:$A$49,0),MATCH([1]orders!K$1,[1]products!$A$1:$G$1,0))</f>
        <v>0.5</v>
      </c>
      <c r="S710" s="6">
        <f>INDEX([1]products!$A$1:$G$49,MATCH([1]orders!$D710,[1]products!$A$1:$A$49,0),MATCH([1]orders!L$1,[1]products!$A$1:$G$1,0))</f>
        <v>6.75</v>
      </c>
      <c r="T710" s="6">
        <f t="shared" si="66"/>
        <v>13.5</v>
      </c>
      <c r="U710" s="22">
        <f t="shared" si="70"/>
        <v>1.2149999999999999</v>
      </c>
      <c r="V710" s="22">
        <f t="shared" si="71"/>
        <v>8.9999999999999982</v>
      </c>
    </row>
    <row r="711" spans="1:22" x14ac:dyDescent="0.3">
      <c r="A711" s="1" t="s">
        <v>1378</v>
      </c>
      <c r="B711" s="2">
        <v>43485</v>
      </c>
      <c r="C711" s="2" t="str">
        <f t="shared" si="67"/>
        <v>Sunday</v>
      </c>
      <c r="D711" s="2" t="str">
        <f t="shared" si="68"/>
        <v>January</v>
      </c>
      <c r="E711" s="2" t="str">
        <f t="shared" si="69"/>
        <v>2019</v>
      </c>
      <c r="F711" s="3" t="s">
        <v>1379</v>
      </c>
      <c r="G711" s="3" t="str">
        <f>VLOOKUP(F712,'Customers (2)'!A:I,2,0)</f>
        <v>Stearne Count</v>
      </c>
      <c r="H711" s="3">
        <f>VLOOKUP(F711,'Customers (2)'!A:I,3,0)</f>
        <v>0</v>
      </c>
      <c r="I711" s="3" t="str">
        <f>VLOOKUP(F711,'Customers (2)'!A:I,4,0)</f>
        <v>+1 (260) 280-7251</v>
      </c>
      <c r="J711" s="3" t="str">
        <f>VLOOKUP(F711,'Customers (2)'!A:I,6,0)</f>
        <v>Fort Wayne</v>
      </c>
      <c r="K711" s="3" t="str">
        <f>VLOOKUP(F711,'Customers (2)'!A:I,7,0)</f>
        <v>United States</v>
      </c>
      <c r="L711" s="3" t="str">
        <f>VLOOKUP(F711,'Customers (2)'!A:I,9,0)</f>
        <v>Yes</v>
      </c>
      <c r="M711" s="4" t="s">
        <v>176</v>
      </c>
      <c r="N711" s="4" t="str">
        <f>VLOOKUP(M711,'Products (2)'!A:G,2,0)</f>
        <v>Excelsa</v>
      </c>
      <c r="O711" s="4" t="str">
        <f>VLOOKUP(M711,'Products (2)'!A:G,3,0)</f>
        <v>Light</v>
      </c>
      <c r="P711" s="4">
        <f>VLOOKUP(M711,'Products (2)'!A:G,7,0)</f>
        <v>0.98009999999999997</v>
      </c>
      <c r="Q711" s="3">
        <v>2</v>
      </c>
      <c r="R711" s="5">
        <f>INDEX([1]products!$A$1:$G$49,MATCH([1]orders!$D711,[1]products!$A$1:$A$49,0),MATCH([1]orders!K$1,[1]products!$A$1:$G$1,0))</f>
        <v>0.5</v>
      </c>
      <c r="S711" s="6">
        <f>INDEX([1]products!$A$1:$G$49,MATCH([1]orders!$D711,[1]products!$A$1:$A$49,0),MATCH([1]orders!L$1,[1]products!$A$1:$G$1,0))</f>
        <v>8.91</v>
      </c>
      <c r="T711" s="6">
        <f t="shared" si="66"/>
        <v>17.82</v>
      </c>
      <c r="U711" s="22">
        <f t="shared" si="70"/>
        <v>1.9601999999999999</v>
      </c>
      <c r="V711" s="22">
        <f t="shared" si="71"/>
        <v>11</v>
      </c>
    </row>
    <row r="712" spans="1:22" x14ac:dyDescent="0.3">
      <c r="A712" s="1" t="s">
        <v>1380</v>
      </c>
      <c r="B712" s="2">
        <v>44655</v>
      </c>
      <c r="C712" s="2" t="str">
        <f t="shared" si="67"/>
        <v>Monday</v>
      </c>
      <c r="D712" s="2" t="str">
        <f t="shared" si="68"/>
        <v>April</v>
      </c>
      <c r="E712" s="2" t="str">
        <f t="shared" si="69"/>
        <v>2022</v>
      </c>
      <c r="F712" s="3" t="s">
        <v>1381</v>
      </c>
      <c r="G712" s="3" t="str">
        <f>VLOOKUP(F713,'Customers (2)'!A:I,2,0)</f>
        <v>Selia Ragles</v>
      </c>
      <c r="H712" s="3" t="str">
        <f>VLOOKUP(F712,'Customers (2)'!A:I,3,0)</f>
        <v>scountjq@nba.com</v>
      </c>
      <c r="I712" s="3" t="str">
        <f>VLOOKUP(F712,'Customers (2)'!A:I,4,0)</f>
        <v>+1 (952) 721-7276</v>
      </c>
      <c r="J712" s="3" t="str">
        <f>VLOOKUP(F712,'Customers (2)'!A:I,6,0)</f>
        <v>Young America</v>
      </c>
      <c r="K712" s="3" t="str">
        <f>VLOOKUP(F712,'Customers (2)'!A:I,7,0)</f>
        <v>United States</v>
      </c>
      <c r="L712" s="3" t="str">
        <f>VLOOKUP(F712,'Customers (2)'!A:I,9,0)</f>
        <v>No</v>
      </c>
      <c r="M712" s="4" t="s">
        <v>3</v>
      </c>
      <c r="N712" s="4" t="str">
        <f>VLOOKUP(M712,'Products (2)'!A:G,2,0)</f>
        <v>Excelsa</v>
      </c>
      <c r="O712" s="4" t="str">
        <f>VLOOKUP(M712,'Products (2)'!A:G,3,0)</f>
        <v>Medium</v>
      </c>
      <c r="P712" s="4">
        <f>VLOOKUP(M712,'Products (2)'!A:G,7,0)</f>
        <v>0.90749999999999997</v>
      </c>
      <c r="Q712" s="3">
        <v>3</v>
      </c>
      <c r="R712" s="5">
        <f>INDEX([1]products!$A$1:$G$49,MATCH([1]orders!$D712,[1]products!$A$1:$A$49,0),MATCH([1]orders!K$1,[1]products!$A$1:$G$1,0))</f>
        <v>0.5</v>
      </c>
      <c r="S712" s="6">
        <f>INDEX([1]products!$A$1:$G$49,MATCH([1]orders!$D712,[1]products!$A$1:$A$49,0),MATCH([1]orders!L$1,[1]products!$A$1:$G$1,0))</f>
        <v>8.25</v>
      </c>
      <c r="T712" s="6">
        <f t="shared" si="66"/>
        <v>24.75</v>
      </c>
      <c r="U712" s="22">
        <f t="shared" si="70"/>
        <v>2.7225000000000001</v>
      </c>
      <c r="V712" s="22">
        <f t="shared" si="71"/>
        <v>11</v>
      </c>
    </row>
    <row r="713" spans="1:22" x14ac:dyDescent="0.3">
      <c r="A713" s="1" t="s">
        <v>1382</v>
      </c>
      <c r="B713" s="2">
        <v>44600</v>
      </c>
      <c r="C713" s="2" t="str">
        <f t="shared" si="67"/>
        <v>Tuesday</v>
      </c>
      <c r="D713" s="2" t="str">
        <f t="shared" si="68"/>
        <v>February</v>
      </c>
      <c r="E713" s="2" t="str">
        <f t="shared" si="69"/>
        <v>2022</v>
      </c>
      <c r="F713" s="3" t="s">
        <v>1383</v>
      </c>
      <c r="G713" s="3" t="str">
        <f>VLOOKUP(F714,'Customers (2)'!A:I,2,0)</f>
        <v>Silas Deehan</v>
      </c>
      <c r="H713" s="3" t="str">
        <f>VLOOKUP(F713,'Customers (2)'!A:I,3,0)</f>
        <v>sraglesjr@blogtalkradio.com</v>
      </c>
      <c r="I713" s="3" t="str">
        <f>VLOOKUP(F713,'Customers (2)'!A:I,4,0)</f>
        <v>+1 (479) 494-1369</v>
      </c>
      <c r="J713" s="3" t="str">
        <f>VLOOKUP(F713,'Customers (2)'!A:I,6,0)</f>
        <v>Fort Smith</v>
      </c>
      <c r="K713" s="3" t="str">
        <f>VLOOKUP(F713,'Customers (2)'!A:I,7,0)</f>
        <v>United States</v>
      </c>
      <c r="L713" s="3" t="str">
        <f>VLOOKUP(F713,'Customers (2)'!A:I,9,0)</f>
        <v>No</v>
      </c>
      <c r="M713" s="4" t="s">
        <v>162</v>
      </c>
      <c r="N713" s="4" t="str">
        <f>VLOOKUP(M713,'Products (2)'!A:G,2,0)</f>
        <v>Robusta</v>
      </c>
      <c r="O713" s="4" t="str">
        <f>VLOOKUP(M713,'Products (2)'!A:G,3,0)</f>
        <v>Medium</v>
      </c>
      <c r="P713" s="4">
        <f>VLOOKUP(M713,'Products (2)'!A:G,7,0)</f>
        <v>0.17909999999999998</v>
      </c>
      <c r="Q713" s="3">
        <v>6</v>
      </c>
      <c r="R713" s="5">
        <f>INDEX([1]products!$A$1:$G$49,MATCH([1]orders!$D713,[1]products!$A$1:$A$49,0),MATCH([1]orders!K$1,[1]products!$A$1:$G$1,0))</f>
        <v>0.2</v>
      </c>
      <c r="S713" s="6">
        <f>INDEX([1]products!$A$1:$G$49,MATCH([1]orders!$D713,[1]products!$A$1:$A$49,0),MATCH([1]orders!L$1,[1]products!$A$1:$G$1,0))</f>
        <v>2.9849999999999999</v>
      </c>
      <c r="T713" s="6">
        <f t="shared" si="66"/>
        <v>17.91</v>
      </c>
      <c r="U713" s="22">
        <f t="shared" si="70"/>
        <v>1.0745999999999998</v>
      </c>
      <c r="V713" s="22">
        <f t="shared" si="71"/>
        <v>5.9999999999999982</v>
      </c>
    </row>
    <row r="714" spans="1:22" x14ac:dyDescent="0.3">
      <c r="A714" s="1" t="s">
        <v>1384</v>
      </c>
      <c r="B714" s="2">
        <v>43646</v>
      </c>
      <c r="C714" s="2" t="str">
        <f t="shared" si="67"/>
        <v>Sunday</v>
      </c>
      <c r="D714" s="2" t="str">
        <f t="shared" si="68"/>
        <v>June</v>
      </c>
      <c r="E714" s="2" t="str">
        <f t="shared" si="69"/>
        <v>2019</v>
      </c>
      <c r="F714" s="3" t="s">
        <v>1385</v>
      </c>
      <c r="G714" s="3" t="str">
        <f>VLOOKUP(F715,'Customers (2)'!A:I,2,0)</f>
        <v>Sacha Bruun</v>
      </c>
      <c r="H714" s="3">
        <f>VLOOKUP(F714,'Customers (2)'!A:I,3,0)</f>
        <v>0</v>
      </c>
      <c r="I714" s="3">
        <f>VLOOKUP(F714,'Customers (2)'!A:I,4,0)</f>
        <v>0</v>
      </c>
      <c r="J714" s="3" t="str">
        <f>VLOOKUP(F714,'Customers (2)'!A:I,6,0)</f>
        <v>Charlton</v>
      </c>
      <c r="K714" s="3" t="str">
        <f>VLOOKUP(F714,'Customers (2)'!A:I,7,0)</f>
        <v>United Kingdom</v>
      </c>
      <c r="L714" s="3" t="str">
        <f>VLOOKUP(F714,'Customers (2)'!A:I,9,0)</f>
        <v>No</v>
      </c>
      <c r="M714" s="4" t="s">
        <v>3</v>
      </c>
      <c r="N714" s="4" t="str">
        <f>VLOOKUP(M714,'Products (2)'!A:G,2,0)</f>
        <v>Excelsa</v>
      </c>
      <c r="O714" s="4" t="str">
        <f>VLOOKUP(M714,'Products (2)'!A:G,3,0)</f>
        <v>Medium</v>
      </c>
      <c r="P714" s="4">
        <f>VLOOKUP(M714,'Products (2)'!A:G,7,0)</f>
        <v>0.90749999999999997</v>
      </c>
      <c r="Q714" s="3">
        <v>2</v>
      </c>
      <c r="R714" s="5">
        <f>INDEX([1]products!$A$1:$G$49,MATCH([1]orders!$D714,[1]products!$A$1:$A$49,0),MATCH([1]orders!K$1,[1]products!$A$1:$G$1,0))</f>
        <v>0.5</v>
      </c>
      <c r="S714" s="6">
        <f>INDEX([1]products!$A$1:$G$49,MATCH([1]orders!$D714,[1]products!$A$1:$A$49,0),MATCH([1]orders!L$1,[1]products!$A$1:$G$1,0))</f>
        <v>8.25</v>
      </c>
      <c r="T714" s="6">
        <f t="shared" si="66"/>
        <v>16.5</v>
      </c>
      <c r="U714" s="22">
        <f t="shared" si="70"/>
        <v>1.8149999999999999</v>
      </c>
      <c r="V714" s="22">
        <f t="shared" si="71"/>
        <v>11</v>
      </c>
    </row>
    <row r="715" spans="1:22" x14ac:dyDescent="0.3">
      <c r="A715" s="1" t="s">
        <v>1386</v>
      </c>
      <c r="B715" s="2">
        <v>43960</v>
      </c>
      <c r="C715" s="2" t="str">
        <f t="shared" si="67"/>
        <v>Saturday</v>
      </c>
      <c r="D715" s="2" t="str">
        <f t="shared" si="68"/>
        <v>May</v>
      </c>
      <c r="E715" s="2" t="str">
        <f t="shared" si="69"/>
        <v>2020</v>
      </c>
      <c r="F715" s="3" t="s">
        <v>1387</v>
      </c>
      <c r="G715" s="3" t="str">
        <f>VLOOKUP(F716,'Customers (2)'!A:I,2,0)</f>
        <v>Alon Pllu</v>
      </c>
      <c r="H715" s="3" t="str">
        <f>VLOOKUP(F715,'Customers (2)'!A:I,3,0)</f>
        <v>sbruunjt@blogtalkradio.com</v>
      </c>
      <c r="I715" s="3" t="str">
        <f>VLOOKUP(F715,'Customers (2)'!A:I,4,0)</f>
        <v>+1 (209) 784-1969</v>
      </c>
      <c r="J715" s="3" t="str">
        <f>VLOOKUP(F715,'Customers (2)'!A:I,6,0)</f>
        <v>Stockton</v>
      </c>
      <c r="K715" s="3" t="str">
        <f>VLOOKUP(F715,'Customers (2)'!A:I,7,0)</f>
        <v>United States</v>
      </c>
      <c r="L715" s="3" t="str">
        <f>VLOOKUP(F715,'Customers (2)'!A:I,9,0)</f>
        <v>No</v>
      </c>
      <c r="M715" s="4" t="s">
        <v>162</v>
      </c>
      <c r="N715" s="4" t="str">
        <f>VLOOKUP(M715,'Products (2)'!A:G,2,0)</f>
        <v>Robusta</v>
      </c>
      <c r="O715" s="4" t="str">
        <f>VLOOKUP(M715,'Products (2)'!A:G,3,0)</f>
        <v>Medium</v>
      </c>
      <c r="P715" s="4">
        <f>VLOOKUP(M715,'Products (2)'!A:G,7,0)</f>
        <v>0.17909999999999998</v>
      </c>
      <c r="Q715" s="3">
        <v>1</v>
      </c>
      <c r="R715" s="5">
        <f>INDEX([1]products!$A$1:$G$49,MATCH([1]orders!$D715,[1]products!$A$1:$A$49,0),MATCH([1]orders!K$1,[1]products!$A$1:$G$1,0))</f>
        <v>0.2</v>
      </c>
      <c r="S715" s="6">
        <f>INDEX([1]products!$A$1:$G$49,MATCH([1]orders!$D715,[1]products!$A$1:$A$49,0),MATCH([1]orders!L$1,[1]products!$A$1:$G$1,0))</f>
        <v>2.9849999999999999</v>
      </c>
      <c r="T715" s="6">
        <f t="shared" si="66"/>
        <v>2.9849999999999999</v>
      </c>
      <c r="U715" s="22">
        <f t="shared" si="70"/>
        <v>0.17909999999999998</v>
      </c>
      <c r="V715" s="22">
        <f t="shared" si="71"/>
        <v>6</v>
      </c>
    </row>
    <row r="716" spans="1:22" x14ac:dyDescent="0.3">
      <c r="A716" s="1" t="s">
        <v>1388</v>
      </c>
      <c r="B716" s="2">
        <v>44358</v>
      </c>
      <c r="C716" s="2" t="str">
        <f t="shared" si="67"/>
        <v>Friday</v>
      </c>
      <c r="D716" s="2" t="str">
        <f t="shared" si="68"/>
        <v>June</v>
      </c>
      <c r="E716" s="2" t="str">
        <f t="shared" si="69"/>
        <v>2021</v>
      </c>
      <c r="F716" s="3" t="s">
        <v>1389</v>
      </c>
      <c r="G716" s="3" t="str">
        <f>VLOOKUP(F717,'Customers (2)'!A:I,2,0)</f>
        <v>Gilberto Cornier</v>
      </c>
      <c r="H716" s="3" t="str">
        <f>VLOOKUP(F716,'Customers (2)'!A:I,3,0)</f>
        <v>aplluju@dagondesign.com</v>
      </c>
      <c r="I716" s="3" t="str">
        <f>VLOOKUP(F716,'Customers (2)'!A:I,4,0)</f>
        <v>+353 (915) 742-6707</v>
      </c>
      <c r="J716" s="3" t="str">
        <f>VLOOKUP(F716,'Customers (2)'!A:I,6,0)</f>
        <v>Navan</v>
      </c>
      <c r="K716" s="3" t="str">
        <f>VLOOKUP(F716,'Customers (2)'!A:I,7,0)</f>
        <v>Ireland</v>
      </c>
      <c r="L716" s="3" t="str">
        <f>VLOOKUP(F716,'Customers (2)'!A:I,9,0)</f>
        <v>Yes</v>
      </c>
      <c r="M716" s="4" t="s">
        <v>51</v>
      </c>
      <c r="N716" s="4" t="str">
        <f>VLOOKUP(M716,'Products (2)'!A:G,2,0)</f>
        <v>Excelsa</v>
      </c>
      <c r="O716" s="4" t="str">
        <f>VLOOKUP(M716,'Products (2)'!A:G,3,0)</f>
        <v>Dark</v>
      </c>
      <c r="P716" s="4">
        <f>VLOOKUP(M716,'Products (2)'!A:G,7,0)</f>
        <v>0.40095000000000003</v>
      </c>
      <c r="Q716" s="3">
        <v>4</v>
      </c>
      <c r="R716" s="5">
        <f>INDEX([1]products!$A$1:$G$49,MATCH([1]orders!$D716,[1]products!$A$1:$A$49,0),MATCH([1]orders!K$1,[1]products!$A$1:$G$1,0))</f>
        <v>0.2</v>
      </c>
      <c r="S716" s="6">
        <f>INDEX([1]products!$A$1:$G$49,MATCH([1]orders!$D716,[1]products!$A$1:$A$49,0),MATCH([1]orders!L$1,[1]products!$A$1:$G$1,0))</f>
        <v>3.645</v>
      </c>
      <c r="T716" s="6">
        <f t="shared" si="66"/>
        <v>14.58</v>
      </c>
      <c r="U716" s="22">
        <f t="shared" si="70"/>
        <v>1.6038000000000001</v>
      </c>
      <c r="V716" s="22">
        <f t="shared" si="71"/>
        <v>11</v>
      </c>
    </row>
    <row r="717" spans="1:22" x14ac:dyDescent="0.3">
      <c r="A717" s="1" t="s">
        <v>1390</v>
      </c>
      <c r="B717" s="2">
        <v>44504</v>
      </c>
      <c r="C717" s="2" t="str">
        <f t="shared" si="67"/>
        <v>Thursday</v>
      </c>
      <c r="D717" s="2" t="str">
        <f t="shared" si="68"/>
        <v>November</v>
      </c>
      <c r="E717" s="2" t="str">
        <f t="shared" si="69"/>
        <v>2021</v>
      </c>
      <c r="F717" s="3" t="s">
        <v>1391</v>
      </c>
      <c r="G717" s="3" t="str">
        <f>VLOOKUP(F718,'Customers (2)'!A:I,2,0)</f>
        <v>Jimmy Dymoke</v>
      </c>
      <c r="H717" s="3" t="str">
        <f>VLOOKUP(F717,'Customers (2)'!A:I,3,0)</f>
        <v>gcornierjv@techcrunch.com</v>
      </c>
      <c r="I717" s="3">
        <f>VLOOKUP(F717,'Customers (2)'!A:I,4,0)</f>
        <v>0</v>
      </c>
      <c r="J717" s="3" t="str">
        <f>VLOOKUP(F717,'Customers (2)'!A:I,6,0)</f>
        <v>Tampa</v>
      </c>
      <c r="K717" s="3" t="str">
        <f>VLOOKUP(F717,'Customers (2)'!A:I,7,0)</f>
        <v>United States</v>
      </c>
      <c r="L717" s="3" t="str">
        <f>VLOOKUP(F717,'Customers (2)'!A:I,9,0)</f>
        <v>No</v>
      </c>
      <c r="M717" s="4" t="s">
        <v>137</v>
      </c>
      <c r="N717" s="4" t="str">
        <f>VLOOKUP(M717,'Products (2)'!A:G,2,0)</f>
        <v>Excelsa</v>
      </c>
      <c r="O717" s="4" t="str">
        <f>VLOOKUP(M717,'Products (2)'!A:G,3,0)</f>
        <v>Light</v>
      </c>
      <c r="P717" s="4">
        <f>VLOOKUP(M717,'Products (2)'!A:G,7,0)</f>
        <v>1.6335</v>
      </c>
      <c r="Q717" s="3">
        <v>6</v>
      </c>
      <c r="R717" s="5">
        <f>INDEX([1]products!$A$1:$G$49,MATCH([1]orders!$D717,[1]products!$A$1:$A$49,0),MATCH([1]orders!K$1,[1]products!$A$1:$G$1,0))</f>
        <v>1</v>
      </c>
      <c r="S717" s="6">
        <f>INDEX([1]products!$A$1:$G$49,MATCH([1]orders!$D717,[1]products!$A$1:$A$49,0),MATCH([1]orders!L$1,[1]products!$A$1:$G$1,0))</f>
        <v>14.85</v>
      </c>
      <c r="T717" s="6">
        <f t="shared" si="66"/>
        <v>89.1</v>
      </c>
      <c r="U717" s="22">
        <f t="shared" si="70"/>
        <v>9.8010000000000002</v>
      </c>
      <c r="V717" s="22">
        <f t="shared" si="71"/>
        <v>11.000000000000002</v>
      </c>
    </row>
    <row r="718" spans="1:22" x14ac:dyDescent="0.3">
      <c r="A718" s="1" t="s">
        <v>1392</v>
      </c>
      <c r="B718" s="2">
        <v>44612</v>
      </c>
      <c r="C718" s="2" t="str">
        <f t="shared" si="67"/>
        <v>Sunday</v>
      </c>
      <c r="D718" s="2" t="str">
        <f t="shared" si="68"/>
        <v>February</v>
      </c>
      <c r="E718" s="2" t="str">
        <f t="shared" si="69"/>
        <v>2022</v>
      </c>
      <c r="F718" s="3" t="s">
        <v>1344</v>
      </c>
      <c r="G718" s="3" t="str">
        <f>VLOOKUP(F719,'Customers (2)'!A:I,2,0)</f>
        <v>Willabella Harvison</v>
      </c>
      <c r="H718" s="3" t="str">
        <f>VLOOKUP(F718,'Customers (2)'!A:I,3,0)</f>
        <v>jdymokeje@prnewswire.com</v>
      </c>
      <c r="I718" s="3" t="str">
        <f>VLOOKUP(F718,'Customers (2)'!A:I,4,0)</f>
        <v>+353 (390) 459-9269</v>
      </c>
      <c r="J718" s="3" t="str">
        <f>VLOOKUP(F718,'Customers (2)'!A:I,6,0)</f>
        <v>Beaumont</v>
      </c>
      <c r="K718" s="3" t="str">
        <f>VLOOKUP(F718,'Customers (2)'!A:I,7,0)</f>
        <v>Ireland</v>
      </c>
      <c r="L718" s="3" t="str">
        <f>VLOOKUP(F718,'Customers (2)'!A:I,9,0)</f>
        <v>No</v>
      </c>
      <c r="M718" s="4" t="s">
        <v>189</v>
      </c>
      <c r="N718" s="4" t="str">
        <f>VLOOKUP(M718,'Products (2)'!A:G,2,0)</f>
        <v>Robusta</v>
      </c>
      <c r="O718" s="4" t="str">
        <f>VLOOKUP(M718,'Products (2)'!A:G,3,0)</f>
        <v>Light</v>
      </c>
      <c r="P718" s="4">
        <f>VLOOKUP(M718,'Products (2)'!A:G,7,0)</f>
        <v>0.71699999999999997</v>
      </c>
      <c r="Q718" s="3">
        <v>3</v>
      </c>
      <c r="R718" s="5">
        <f>INDEX([1]products!$A$1:$G$49,MATCH([1]orders!$D718,[1]products!$A$1:$A$49,0),MATCH([1]orders!K$1,[1]products!$A$1:$G$1,0))</f>
        <v>1</v>
      </c>
      <c r="S718" s="6">
        <f>INDEX([1]products!$A$1:$G$49,MATCH([1]orders!$D718,[1]products!$A$1:$A$49,0),MATCH([1]orders!L$1,[1]products!$A$1:$G$1,0))</f>
        <v>11.95</v>
      </c>
      <c r="T718" s="6">
        <f t="shared" si="66"/>
        <v>35.849999999999994</v>
      </c>
      <c r="U718" s="22">
        <f t="shared" si="70"/>
        <v>2.1509999999999998</v>
      </c>
      <c r="V718" s="22">
        <f t="shared" si="71"/>
        <v>6.0000000000000009</v>
      </c>
    </row>
    <row r="719" spans="1:22" x14ac:dyDescent="0.3">
      <c r="A719" s="1" t="s">
        <v>1393</v>
      </c>
      <c r="B719" s="2">
        <v>43649</v>
      </c>
      <c r="C719" s="2" t="str">
        <f t="shared" si="67"/>
        <v>Wednesday</v>
      </c>
      <c r="D719" s="2" t="str">
        <f t="shared" si="68"/>
        <v>July</v>
      </c>
      <c r="E719" s="2" t="str">
        <f t="shared" si="69"/>
        <v>2019</v>
      </c>
      <c r="F719" s="3" t="s">
        <v>1394</v>
      </c>
      <c r="G719" s="3" t="str">
        <f>VLOOKUP(F720,'Customers (2)'!A:I,2,0)</f>
        <v>Darice Heaford</v>
      </c>
      <c r="H719" s="3" t="str">
        <f>VLOOKUP(F719,'Customers (2)'!A:I,3,0)</f>
        <v>wharvisonjx@gizmodo.com</v>
      </c>
      <c r="I719" s="3" t="str">
        <f>VLOOKUP(F719,'Customers (2)'!A:I,4,0)</f>
        <v>+1 (610) 316-8430</v>
      </c>
      <c r="J719" s="3" t="str">
        <f>VLOOKUP(F719,'Customers (2)'!A:I,6,0)</f>
        <v>Philadelphia</v>
      </c>
      <c r="K719" s="3" t="str">
        <f>VLOOKUP(F719,'Customers (2)'!A:I,7,0)</f>
        <v>United States</v>
      </c>
      <c r="L719" s="3" t="str">
        <f>VLOOKUP(F719,'Customers (2)'!A:I,9,0)</f>
        <v>No</v>
      </c>
      <c r="M719" s="4" t="s">
        <v>118</v>
      </c>
      <c r="N719" s="4" t="str">
        <f>VLOOKUP(M719,'Products (2)'!A:G,2,0)</f>
        <v>Arabica</v>
      </c>
      <c r="O719" s="4" t="str">
        <f>VLOOKUP(M719,'Products (2)'!A:G,3,0)</f>
        <v>Dark</v>
      </c>
      <c r="P719" s="4">
        <f>VLOOKUP(M719,'Products (2)'!A:G,7,0)</f>
        <v>2.0596499999999995</v>
      </c>
      <c r="Q719" s="3">
        <v>3</v>
      </c>
      <c r="R719" s="5">
        <f>INDEX([1]products!$A$1:$G$49,MATCH([1]orders!$D719,[1]products!$A$1:$A$49,0),MATCH([1]orders!K$1,[1]products!$A$1:$G$1,0))</f>
        <v>2.5</v>
      </c>
      <c r="S719" s="6">
        <f>INDEX([1]products!$A$1:$G$49,MATCH([1]orders!$D719,[1]products!$A$1:$A$49,0),MATCH([1]orders!L$1,[1]products!$A$1:$G$1,0))</f>
        <v>22.884999999999998</v>
      </c>
      <c r="T719" s="6">
        <f t="shared" si="66"/>
        <v>68.655000000000001</v>
      </c>
      <c r="U719" s="22">
        <f t="shared" si="70"/>
        <v>6.1789499999999986</v>
      </c>
      <c r="V719" s="22">
        <f t="shared" si="71"/>
        <v>8.9999999999999982</v>
      </c>
    </row>
    <row r="720" spans="1:22" x14ac:dyDescent="0.3">
      <c r="A720" s="1" t="s">
        <v>1395</v>
      </c>
      <c r="B720" s="2">
        <v>44348</v>
      </c>
      <c r="C720" s="2" t="str">
        <f t="shared" si="67"/>
        <v>Tuesday</v>
      </c>
      <c r="D720" s="2" t="str">
        <f t="shared" si="68"/>
        <v>June</v>
      </c>
      <c r="E720" s="2" t="str">
        <f t="shared" si="69"/>
        <v>2021</v>
      </c>
      <c r="F720" s="3" t="s">
        <v>1396</v>
      </c>
      <c r="G720" s="3" t="str">
        <f>VLOOKUP(F721,'Customers (2)'!A:I,2,0)</f>
        <v>Granger Fantham</v>
      </c>
      <c r="H720" s="3" t="str">
        <f>VLOOKUP(F720,'Customers (2)'!A:I,3,0)</f>
        <v>dheafordjy@twitpic.com</v>
      </c>
      <c r="I720" s="3" t="str">
        <f>VLOOKUP(F720,'Customers (2)'!A:I,4,0)</f>
        <v>+1 (325) 537-8835</v>
      </c>
      <c r="J720" s="3" t="str">
        <f>VLOOKUP(F720,'Customers (2)'!A:I,6,0)</f>
        <v>San Angelo</v>
      </c>
      <c r="K720" s="3" t="str">
        <f>VLOOKUP(F720,'Customers (2)'!A:I,7,0)</f>
        <v>United States</v>
      </c>
      <c r="L720" s="3" t="str">
        <f>VLOOKUP(F720,'Customers (2)'!A:I,9,0)</f>
        <v>No</v>
      </c>
      <c r="M720" s="4" t="s">
        <v>13</v>
      </c>
      <c r="N720" s="4" t="str">
        <f>VLOOKUP(M720,'Products (2)'!A:G,2,0)</f>
        <v>Liberica</v>
      </c>
      <c r="O720" s="4" t="str">
        <f>VLOOKUP(M720,'Products (2)'!A:G,3,0)</f>
        <v>Dark</v>
      </c>
      <c r="P720" s="4">
        <f>VLOOKUP(M720,'Products (2)'!A:G,7,0)</f>
        <v>1.6835</v>
      </c>
      <c r="Q720" s="3">
        <v>3</v>
      </c>
      <c r="R720" s="5">
        <f>INDEX([1]products!$A$1:$G$49,MATCH([1]orders!$D720,[1]products!$A$1:$A$49,0),MATCH([1]orders!K$1,[1]products!$A$1:$G$1,0))</f>
        <v>1</v>
      </c>
      <c r="S720" s="6">
        <f>INDEX([1]products!$A$1:$G$49,MATCH([1]orders!$D720,[1]products!$A$1:$A$49,0),MATCH([1]orders!L$1,[1]products!$A$1:$G$1,0))</f>
        <v>12.95</v>
      </c>
      <c r="T720" s="6">
        <f t="shared" si="66"/>
        <v>38.849999999999994</v>
      </c>
      <c r="U720" s="22">
        <f t="shared" si="70"/>
        <v>5.0504999999999995</v>
      </c>
      <c r="V720" s="22">
        <f t="shared" si="71"/>
        <v>13</v>
      </c>
    </row>
    <row r="721" spans="1:22" x14ac:dyDescent="0.3">
      <c r="A721" s="1" t="s">
        <v>1397</v>
      </c>
      <c r="B721" s="2">
        <v>44150</v>
      </c>
      <c r="C721" s="2" t="str">
        <f t="shared" si="67"/>
        <v>Sunday</v>
      </c>
      <c r="D721" s="2" t="str">
        <f t="shared" si="68"/>
        <v>November</v>
      </c>
      <c r="E721" s="2" t="str">
        <f t="shared" si="69"/>
        <v>2020</v>
      </c>
      <c r="F721" s="3" t="s">
        <v>1398</v>
      </c>
      <c r="G721" s="3" t="str">
        <f>VLOOKUP(F722,'Customers (2)'!A:I,2,0)</f>
        <v>Reynolds Crookshanks</v>
      </c>
      <c r="H721" s="3" t="str">
        <f>VLOOKUP(F721,'Customers (2)'!A:I,3,0)</f>
        <v>gfanthamjz@hexun.com</v>
      </c>
      <c r="I721" s="3" t="str">
        <f>VLOOKUP(F721,'Customers (2)'!A:I,4,0)</f>
        <v>+1 (323) 878-8818</v>
      </c>
      <c r="J721" s="3" t="str">
        <f>VLOOKUP(F721,'Customers (2)'!A:I,6,0)</f>
        <v>Los Angeles</v>
      </c>
      <c r="K721" s="3" t="str">
        <f>VLOOKUP(F721,'Customers (2)'!A:I,7,0)</f>
        <v>United States</v>
      </c>
      <c r="L721" s="3" t="str">
        <f>VLOOKUP(F721,'Customers (2)'!A:I,9,0)</f>
        <v>Yes</v>
      </c>
      <c r="M721" s="4" t="s">
        <v>132</v>
      </c>
      <c r="N721" s="4" t="str">
        <f>VLOOKUP(M721,'Products (2)'!A:G,2,0)</f>
        <v>Liberica</v>
      </c>
      <c r="O721" s="4" t="str">
        <f>VLOOKUP(M721,'Products (2)'!A:G,3,0)</f>
        <v>Light</v>
      </c>
      <c r="P721" s="4">
        <f>VLOOKUP(M721,'Products (2)'!A:G,7,0)</f>
        <v>2.0605000000000002</v>
      </c>
      <c r="Q721" s="3">
        <v>5</v>
      </c>
      <c r="R721" s="5">
        <f>INDEX([1]products!$A$1:$G$49,MATCH([1]orders!$D721,[1]products!$A$1:$A$49,0),MATCH([1]orders!K$1,[1]products!$A$1:$G$1,0))</f>
        <v>1</v>
      </c>
      <c r="S721" s="6">
        <f>INDEX([1]products!$A$1:$G$49,MATCH([1]orders!$D721,[1]products!$A$1:$A$49,0),MATCH([1]orders!L$1,[1]products!$A$1:$G$1,0))</f>
        <v>15.85</v>
      </c>
      <c r="T721" s="6">
        <f t="shared" si="66"/>
        <v>79.25</v>
      </c>
      <c r="U721" s="22">
        <f t="shared" si="70"/>
        <v>10.302500000000002</v>
      </c>
      <c r="V721" s="22">
        <f t="shared" si="71"/>
        <v>13.000000000000004</v>
      </c>
    </row>
    <row r="722" spans="1:22" x14ac:dyDescent="0.3">
      <c r="A722" s="1" t="s">
        <v>1399</v>
      </c>
      <c r="B722" s="2">
        <v>44215</v>
      </c>
      <c r="C722" s="2" t="str">
        <f t="shared" si="67"/>
        <v>Tuesday</v>
      </c>
      <c r="D722" s="2" t="str">
        <f t="shared" si="68"/>
        <v>January</v>
      </c>
      <c r="E722" s="2" t="str">
        <f t="shared" si="69"/>
        <v>2021</v>
      </c>
      <c r="F722" s="3" t="s">
        <v>1400</v>
      </c>
      <c r="G722" s="3" t="str">
        <f>VLOOKUP(F723,'Customers (2)'!A:I,2,0)</f>
        <v>Niels Leake</v>
      </c>
      <c r="H722" s="3" t="str">
        <f>VLOOKUP(F722,'Customers (2)'!A:I,3,0)</f>
        <v>rcrookshanksk0@unc.edu</v>
      </c>
      <c r="I722" s="3" t="str">
        <f>VLOOKUP(F722,'Customers (2)'!A:I,4,0)</f>
        <v>+1 (517) 654-6004</v>
      </c>
      <c r="J722" s="3" t="str">
        <f>VLOOKUP(F722,'Customers (2)'!A:I,6,0)</f>
        <v>Lansing</v>
      </c>
      <c r="K722" s="3" t="str">
        <f>VLOOKUP(F722,'Customers (2)'!A:I,7,0)</f>
        <v>United States</v>
      </c>
      <c r="L722" s="3" t="str">
        <f>VLOOKUP(F722,'Customers (2)'!A:I,9,0)</f>
        <v>Yes</v>
      </c>
      <c r="M722" s="4" t="s">
        <v>16</v>
      </c>
      <c r="N722" s="4" t="str">
        <f>VLOOKUP(M722,'Products (2)'!A:G,2,0)</f>
        <v>Excelsa</v>
      </c>
      <c r="O722" s="4" t="str">
        <f>VLOOKUP(M722,'Products (2)'!A:G,3,0)</f>
        <v>Dark</v>
      </c>
      <c r="P722" s="4">
        <f>VLOOKUP(M722,'Products (2)'!A:G,7,0)</f>
        <v>0.80190000000000006</v>
      </c>
      <c r="Q722" s="3">
        <v>5</v>
      </c>
      <c r="R722" s="5">
        <f>INDEX([1]products!$A$1:$G$49,MATCH([1]orders!$D722,[1]products!$A$1:$A$49,0),MATCH([1]orders!K$1,[1]products!$A$1:$G$1,0))</f>
        <v>0.5</v>
      </c>
      <c r="S722" s="6">
        <f>INDEX([1]products!$A$1:$G$49,MATCH([1]orders!$D722,[1]products!$A$1:$A$49,0),MATCH([1]orders!L$1,[1]products!$A$1:$G$1,0))</f>
        <v>7.29</v>
      </c>
      <c r="T722" s="6">
        <f t="shared" si="66"/>
        <v>36.450000000000003</v>
      </c>
      <c r="U722" s="22">
        <f t="shared" si="70"/>
        <v>4.0095000000000001</v>
      </c>
      <c r="V722" s="22">
        <f t="shared" si="71"/>
        <v>10.999999999999998</v>
      </c>
    </row>
    <row r="723" spans="1:22" x14ac:dyDescent="0.3">
      <c r="A723" s="1" t="s">
        <v>1401</v>
      </c>
      <c r="B723" s="2">
        <v>44479</v>
      </c>
      <c r="C723" s="2" t="str">
        <f t="shared" si="67"/>
        <v>Sunday</v>
      </c>
      <c r="D723" s="2" t="str">
        <f t="shared" si="68"/>
        <v>October</v>
      </c>
      <c r="E723" s="2" t="str">
        <f t="shared" si="69"/>
        <v>2021</v>
      </c>
      <c r="F723" s="3" t="s">
        <v>1402</v>
      </c>
      <c r="G723" s="3" t="str">
        <f>VLOOKUP(F724,'Customers (2)'!A:I,2,0)</f>
        <v>Hetti Measures</v>
      </c>
      <c r="H723" s="3" t="str">
        <f>VLOOKUP(F723,'Customers (2)'!A:I,3,0)</f>
        <v>nleakek1@cmu.edu</v>
      </c>
      <c r="I723" s="3" t="str">
        <f>VLOOKUP(F723,'Customers (2)'!A:I,4,0)</f>
        <v>+1 (786) 470-1233</v>
      </c>
      <c r="J723" s="3" t="str">
        <f>VLOOKUP(F723,'Customers (2)'!A:I,6,0)</f>
        <v>Clearwater</v>
      </c>
      <c r="K723" s="3" t="str">
        <f>VLOOKUP(F723,'Customers (2)'!A:I,7,0)</f>
        <v>United States</v>
      </c>
      <c r="L723" s="3" t="str">
        <f>VLOOKUP(F723,'Customers (2)'!A:I,9,0)</f>
        <v>Yes</v>
      </c>
      <c r="M723" s="4" t="s">
        <v>162</v>
      </c>
      <c r="N723" s="4" t="str">
        <f>VLOOKUP(M723,'Products (2)'!A:G,2,0)</f>
        <v>Robusta</v>
      </c>
      <c r="O723" s="4" t="str">
        <f>VLOOKUP(M723,'Products (2)'!A:G,3,0)</f>
        <v>Medium</v>
      </c>
      <c r="P723" s="4">
        <f>VLOOKUP(M723,'Products (2)'!A:G,7,0)</f>
        <v>0.17909999999999998</v>
      </c>
      <c r="Q723" s="3">
        <v>3</v>
      </c>
      <c r="R723" s="5">
        <f>INDEX([1]products!$A$1:$G$49,MATCH([1]orders!$D723,[1]products!$A$1:$A$49,0),MATCH([1]orders!K$1,[1]products!$A$1:$G$1,0))</f>
        <v>0.2</v>
      </c>
      <c r="S723" s="6">
        <f>INDEX([1]products!$A$1:$G$49,MATCH([1]orders!$D723,[1]products!$A$1:$A$49,0),MATCH([1]orders!L$1,[1]products!$A$1:$G$1,0))</f>
        <v>2.9849999999999999</v>
      </c>
      <c r="T723" s="6">
        <f t="shared" si="66"/>
        <v>8.9550000000000001</v>
      </c>
      <c r="U723" s="22">
        <f t="shared" si="70"/>
        <v>0.53729999999999989</v>
      </c>
      <c r="V723" s="22">
        <f t="shared" si="71"/>
        <v>5.9999999999999982</v>
      </c>
    </row>
    <row r="724" spans="1:22" x14ac:dyDescent="0.3">
      <c r="A724" s="1" t="s">
        <v>1403</v>
      </c>
      <c r="B724" s="2">
        <v>44620</v>
      </c>
      <c r="C724" s="2" t="str">
        <f t="shared" si="67"/>
        <v>Monday</v>
      </c>
      <c r="D724" s="2" t="str">
        <f t="shared" si="68"/>
        <v>February</v>
      </c>
      <c r="E724" s="2" t="str">
        <f t="shared" si="69"/>
        <v>2022</v>
      </c>
      <c r="F724" s="3" t="s">
        <v>1404</v>
      </c>
      <c r="G724" s="3" t="str">
        <f>VLOOKUP(F725,'Customers (2)'!A:I,2,0)</f>
        <v>Gay Eilhersen</v>
      </c>
      <c r="H724" s="3">
        <f>VLOOKUP(F724,'Customers (2)'!A:I,3,0)</f>
        <v>0</v>
      </c>
      <c r="I724" s="3" t="str">
        <f>VLOOKUP(F724,'Customers (2)'!A:I,4,0)</f>
        <v>+1 (562) 343-9707</v>
      </c>
      <c r="J724" s="3" t="str">
        <f>VLOOKUP(F724,'Customers (2)'!A:I,6,0)</f>
        <v>Whittier</v>
      </c>
      <c r="K724" s="3" t="str">
        <f>VLOOKUP(F724,'Customers (2)'!A:I,7,0)</f>
        <v>United States</v>
      </c>
      <c r="L724" s="3" t="str">
        <f>VLOOKUP(F724,'Customers (2)'!A:I,9,0)</f>
        <v>No</v>
      </c>
      <c r="M724" s="4" t="s">
        <v>245</v>
      </c>
      <c r="N724" s="4" t="str">
        <f>VLOOKUP(M724,'Products (2)'!A:G,2,0)</f>
        <v>Excelsa</v>
      </c>
      <c r="O724" s="4" t="str">
        <f>VLOOKUP(M724,'Products (2)'!A:G,3,0)</f>
        <v>Dark</v>
      </c>
      <c r="P724" s="4">
        <f>VLOOKUP(M724,'Products (2)'!A:G,7,0)</f>
        <v>1.3365</v>
      </c>
      <c r="Q724" s="3">
        <v>2</v>
      </c>
      <c r="R724" s="5">
        <f>INDEX([1]products!$A$1:$G$49,MATCH([1]orders!$D724,[1]products!$A$1:$A$49,0),MATCH([1]orders!K$1,[1]products!$A$1:$G$1,0))</f>
        <v>1</v>
      </c>
      <c r="S724" s="6">
        <f>INDEX([1]products!$A$1:$G$49,MATCH([1]orders!$D724,[1]products!$A$1:$A$49,0),MATCH([1]orders!L$1,[1]products!$A$1:$G$1,0))</f>
        <v>12.15</v>
      </c>
      <c r="T724" s="6">
        <f t="shared" si="66"/>
        <v>24.3</v>
      </c>
      <c r="U724" s="22">
        <f t="shared" si="70"/>
        <v>2.673</v>
      </c>
      <c r="V724" s="22">
        <f t="shared" si="71"/>
        <v>11</v>
      </c>
    </row>
    <row r="725" spans="1:22" x14ac:dyDescent="0.3">
      <c r="A725" s="1" t="s">
        <v>1405</v>
      </c>
      <c r="B725" s="2">
        <v>44470</v>
      </c>
      <c r="C725" s="2" t="str">
        <f t="shared" si="67"/>
        <v>Friday</v>
      </c>
      <c r="D725" s="2" t="str">
        <f t="shared" si="68"/>
        <v>October</v>
      </c>
      <c r="E725" s="2" t="str">
        <f t="shared" si="69"/>
        <v>2021</v>
      </c>
      <c r="F725" s="3" t="s">
        <v>1406</v>
      </c>
      <c r="G725" s="3" t="str">
        <f>VLOOKUP(F726,'Customers (2)'!A:I,2,0)</f>
        <v>Nico Hubert</v>
      </c>
      <c r="H725" s="3" t="str">
        <f>VLOOKUP(F725,'Customers (2)'!A:I,3,0)</f>
        <v>geilhersenk3@networksolutions.com</v>
      </c>
      <c r="I725" s="3" t="str">
        <f>VLOOKUP(F725,'Customers (2)'!A:I,4,0)</f>
        <v>+1 (559) 791-5117</v>
      </c>
      <c r="J725" s="3" t="str">
        <f>VLOOKUP(F725,'Customers (2)'!A:I,6,0)</f>
        <v>Fresno</v>
      </c>
      <c r="K725" s="3" t="str">
        <f>VLOOKUP(F725,'Customers (2)'!A:I,7,0)</f>
        <v>United States</v>
      </c>
      <c r="L725" s="3" t="str">
        <f>VLOOKUP(F725,'Customers (2)'!A:I,9,0)</f>
        <v>No</v>
      </c>
      <c r="M725" s="4" t="s">
        <v>112</v>
      </c>
      <c r="N725" s="4" t="str">
        <f>VLOOKUP(M725,'Products (2)'!A:G,2,0)</f>
        <v>Excelsa</v>
      </c>
      <c r="O725" s="4" t="str">
        <f>VLOOKUP(M725,'Products (2)'!A:G,3,0)</f>
        <v>Medium</v>
      </c>
      <c r="P725" s="4">
        <f>VLOOKUP(M725,'Products (2)'!A:G,7,0)</f>
        <v>3.4787499999999998</v>
      </c>
      <c r="Q725" s="3">
        <v>2</v>
      </c>
      <c r="R725" s="5">
        <f>INDEX([1]products!$A$1:$G$49,MATCH([1]orders!$D725,[1]products!$A$1:$A$49,0),MATCH([1]orders!K$1,[1]products!$A$1:$G$1,0))</f>
        <v>2.5</v>
      </c>
      <c r="S725" s="6">
        <f>INDEX([1]products!$A$1:$G$49,MATCH([1]orders!$D725,[1]products!$A$1:$A$49,0),MATCH([1]orders!L$1,[1]products!$A$1:$G$1,0))</f>
        <v>31.624999999999996</v>
      </c>
      <c r="T725" s="6">
        <f t="shared" si="66"/>
        <v>63.249999999999993</v>
      </c>
      <c r="U725" s="22">
        <f t="shared" si="70"/>
        <v>6.9574999999999996</v>
      </c>
      <c r="V725" s="22">
        <f t="shared" si="71"/>
        <v>11</v>
      </c>
    </row>
    <row r="726" spans="1:22" x14ac:dyDescent="0.3">
      <c r="A726" s="1" t="s">
        <v>1407</v>
      </c>
      <c r="B726" s="2">
        <v>44076</v>
      </c>
      <c r="C726" s="2" t="str">
        <f t="shared" si="67"/>
        <v>Wednesday</v>
      </c>
      <c r="D726" s="2" t="str">
        <f t="shared" si="68"/>
        <v>September</v>
      </c>
      <c r="E726" s="2" t="str">
        <f t="shared" si="69"/>
        <v>2020</v>
      </c>
      <c r="F726" s="3" t="s">
        <v>1408</v>
      </c>
      <c r="G726" s="3" t="str">
        <f>VLOOKUP(F727,'Customers (2)'!A:I,2,0)</f>
        <v>Cristina Aleixo</v>
      </c>
      <c r="H726" s="3">
        <f>VLOOKUP(F726,'Customers (2)'!A:I,3,0)</f>
        <v>0</v>
      </c>
      <c r="I726" s="3" t="str">
        <f>VLOOKUP(F726,'Customers (2)'!A:I,4,0)</f>
        <v>+1 (646) 228-3492</v>
      </c>
      <c r="J726" s="3" t="str">
        <f>VLOOKUP(F726,'Customers (2)'!A:I,6,0)</f>
        <v>New York City</v>
      </c>
      <c r="K726" s="3" t="str">
        <f>VLOOKUP(F726,'Customers (2)'!A:I,7,0)</f>
        <v>United States</v>
      </c>
      <c r="L726" s="3" t="str">
        <f>VLOOKUP(F726,'Customers (2)'!A:I,9,0)</f>
        <v>Yes</v>
      </c>
      <c r="M726" s="4" t="s">
        <v>44</v>
      </c>
      <c r="N726" s="4" t="str">
        <f>VLOOKUP(M726,'Products (2)'!A:G,2,0)</f>
        <v>Arabica</v>
      </c>
      <c r="O726" s="4" t="str">
        <f>VLOOKUP(M726,'Products (2)'!A:G,3,0)</f>
        <v>Medium</v>
      </c>
      <c r="P726" s="4">
        <f>VLOOKUP(M726,'Products (2)'!A:G,7,0)</f>
        <v>0.30374999999999996</v>
      </c>
      <c r="Q726" s="3">
        <v>2</v>
      </c>
      <c r="R726" s="5">
        <f>INDEX([1]products!$A$1:$G$49,MATCH([1]orders!$D726,[1]products!$A$1:$A$49,0),MATCH([1]orders!K$1,[1]products!$A$1:$G$1,0))</f>
        <v>0.2</v>
      </c>
      <c r="S726" s="6">
        <f>INDEX([1]products!$A$1:$G$49,MATCH([1]orders!$D726,[1]products!$A$1:$A$49,0),MATCH([1]orders!L$1,[1]products!$A$1:$G$1,0))</f>
        <v>3.375</v>
      </c>
      <c r="T726" s="6">
        <f t="shared" si="66"/>
        <v>6.75</v>
      </c>
      <c r="U726" s="22">
        <f t="shared" si="70"/>
        <v>0.60749999999999993</v>
      </c>
      <c r="V726" s="22">
        <f t="shared" si="71"/>
        <v>8.9999999999999982</v>
      </c>
    </row>
    <row r="727" spans="1:22" x14ac:dyDescent="0.3">
      <c r="A727" s="1" t="s">
        <v>1409</v>
      </c>
      <c r="B727" s="2">
        <v>44043</v>
      </c>
      <c r="C727" s="2" t="str">
        <f t="shared" si="67"/>
        <v>Friday</v>
      </c>
      <c r="D727" s="2" t="str">
        <f t="shared" si="68"/>
        <v>July</v>
      </c>
      <c r="E727" s="2" t="str">
        <f t="shared" si="69"/>
        <v>2020</v>
      </c>
      <c r="F727" s="3" t="s">
        <v>1410</v>
      </c>
      <c r="G727" s="3" t="str">
        <f>VLOOKUP(F728,'Customers (2)'!A:I,2,0)</f>
        <v>Derrek Allpress</v>
      </c>
      <c r="H727" s="3" t="str">
        <f>VLOOKUP(F727,'Customers (2)'!A:I,3,0)</f>
        <v>caleixok5@globo.com</v>
      </c>
      <c r="I727" s="3" t="str">
        <f>VLOOKUP(F727,'Customers (2)'!A:I,4,0)</f>
        <v>+1 (719) 241-4639</v>
      </c>
      <c r="J727" s="3" t="str">
        <f>VLOOKUP(F727,'Customers (2)'!A:I,6,0)</f>
        <v>Colorado Springs</v>
      </c>
      <c r="K727" s="3" t="str">
        <f>VLOOKUP(F727,'Customers (2)'!A:I,7,0)</f>
        <v>United States</v>
      </c>
      <c r="L727" s="3" t="str">
        <f>VLOOKUP(F727,'Customers (2)'!A:I,9,0)</f>
        <v>No</v>
      </c>
      <c r="M727" s="4" t="s">
        <v>115</v>
      </c>
      <c r="N727" s="4" t="str">
        <f>VLOOKUP(M727,'Products (2)'!A:G,2,0)</f>
        <v>Arabica</v>
      </c>
      <c r="O727" s="4" t="str">
        <f>VLOOKUP(M727,'Products (2)'!A:G,3,0)</f>
        <v>Light</v>
      </c>
      <c r="P727" s="4">
        <f>VLOOKUP(M727,'Products (2)'!A:G,7,0)</f>
        <v>0.34964999999999996</v>
      </c>
      <c r="Q727" s="3">
        <v>6</v>
      </c>
      <c r="R727" s="5">
        <f>INDEX([1]products!$A$1:$G$49,MATCH([1]orders!$D727,[1]products!$A$1:$A$49,0),MATCH([1]orders!K$1,[1]products!$A$1:$G$1,0))</f>
        <v>0.2</v>
      </c>
      <c r="S727" s="6">
        <f>INDEX([1]products!$A$1:$G$49,MATCH([1]orders!$D727,[1]products!$A$1:$A$49,0),MATCH([1]orders!L$1,[1]products!$A$1:$G$1,0))</f>
        <v>3.8849999999999998</v>
      </c>
      <c r="T727" s="6">
        <f t="shared" si="66"/>
        <v>23.31</v>
      </c>
      <c r="U727" s="22">
        <f t="shared" si="70"/>
        <v>2.0978999999999997</v>
      </c>
      <c r="V727" s="22">
        <f t="shared" si="71"/>
        <v>9</v>
      </c>
    </row>
    <row r="728" spans="1:22" x14ac:dyDescent="0.3">
      <c r="A728" s="1" t="s">
        <v>1411</v>
      </c>
      <c r="B728" s="2">
        <v>44571</v>
      </c>
      <c r="C728" s="2" t="str">
        <f t="shared" si="67"/>
        <v>Monday</v>
      </c>
      <c r="D728" s="2" t="str">
        <f t="shared" si="68"/>
        <v>January</v>
      </c>
      <c r="E728" s="2" t="str">
        <f t="shared" si="69"/>
        <v>2022</v>
      </c>
      <c r="F728" s="3" t="s">
        <v>1412</v>
      </c>
      <c r="G728" s="3" t="str">
        <f>VLOOKUP(F729,'Customers (2)'!A:I,2,0)</f>
        <v>Rikki Tomkowicz</v>
      </c>
      <c r="H728" s="3">
        <f>VLOOKUP(F728,'Customers (2)'!A:I,3,0)</f>
        <v>0</v>
      </c>
      <c r="I728" s="3" t="str">
        <f>VLOOKUP(F728,'Customers (2)'!A:I,4,0)</f>
        <v>+1 (562) 723-4457</v>
      </c>
      <c r="J728" s="3" t="str">
        <f>VLOOKUP(F728,'Customers (2)'!A:I,6,0)</f>
        <v>Long Beach</v>
      </c>
      <c r="K728" s="3" t="str">
        <f>VLOOKUP(F728,'Customers (2)'!A:I,7,0)</f>
        <v>United States</v>
      </c>
      <c r="L728" s="3" t="str">
        <f>VLOOKUP(F728,'Customers (2)'!A:I,9,0)</f>
        <v>No</v>
      </c>
      <c r="M728" s="4" t="s">
        <v>104</v>
      </c>
      <c r="N728" s="4" t="str">
        <f>VLOOKUP(M728,'Products (2)'!A:G,2,0)</f>
        <v>Liberica</v>
      </c>
      <c r="O728" s="4" t="str">
        <f>VLOOKUP(M728,'Products (2)'!A:G,3,0)</f>
        <v>Light</v>
      </c>
      <c r="P728" s="4">
        <f>VLOOKUP(M728,'Products (2)'!A:G,7,0)</f>
        <v>4.7391499999999995</v>
      </c>
      <c r="Q728" s="3">
        <v>4</v>
      </c>
      <c r="R728" s="5">
        <f>INDEX([1]products!$A$1:$G$49,MATCH([1]orders!$D728,[1]products!$A$1:$A$49,0),MATCH([1]orders!K$1,[1]products!$A$1:$G$1,0))</f>
        <v>2.5</v>
      </c>
      <c r="S728" s="6">
        <f>INDEX([1]products!$A$1:$G$49,MATCH([1]orders!$D728,[1]products!$A$1:$A$49,0),MATCH([1]orders!L$1,[1]products!$A$1:$G$1,0))</f>
        <v>36.454999999999998</v>
      </c>
      <c r="T728" s="6">
        <f t="shared" si="66"/>
        <v>145.82</v>
      </c>
      <c r="U728" s="22">
        <f t="shared" si="70"/>
        <v>18.956599999999998</v>
      </c>
      <c r="V728" s="22">
        <f t="shared" si="71"/>
        <v>13</v>
      </c>
    </row>
    <row r="729" spans="1:22" x14ac:dyDescent="0.3">
      <c r="A729" s="1" t="s">
        <v>1413</v>
      </c>
      <c r="B729" s="2">
        <v>44264</v>
      </c>
      <c r="C729" s="2" t="str">
        <f t="shared" si="67"/>
        <v>Tuesday</v>
      </c>
      <c r="D729" s="2" t="str">
        <f t="shared" si="68"/>
        <v>March</v>
      </c>
      <c r="E729" s="2" t="str">
        <f t="shared" si="69"/>
        <v>2021</v>
      </c>
      <c r="F729" s="3" t="s">
        <v>1414</v>
      </c>
      <c r="G729" s="3" t="str">
        <f>VLOOKUP(F730,'Customers (2)'!A:I,2,0)</f>
        <v>Rochette Huscroft</v>
      </c>
      <c r="H729" s="3" t="str">
        <f>VLOOKUP(F729,'Customers (2)'!A:I,3,0)</f>
        <v>rtomkowiczk7@bravesites.com</v>
      </c>
      <c r="I729" s="3" t="str">
        <f>VLOOKUP(F729,'Customers (2)'!A:I,4,0)</f>
        <v>+353 (849) 645-1593</v>
      </c>
      <c r="J729" s="3" t="str">
        <f>VLOOKUP(F729,'Customers (2)'!A:I,6,0)</f>
        <v>Lusk</v>
      </c>
      <c r="K729" s="3" t="str">
        <f>VLOOKUP(F729,'Customers (2)'!A:I,7,0)</f>
        <v>Ireland</v>
      </c>
      <c r="L729" s="3" t="str">
        <f>VLOOKUP(F729,'Customers (2)'!A:I,9,0)</f>
        <v>Yes</v>
      </c>
      <c r="M729" s="4" t="s">
        <v>22</v>
      </c>
      <c r="N729" s="4" t="str">
        <f>VLOOKUP(M729,'Products (2)'!A:G,2,0)</f>
        <v>Robusta</v>
      </c>
      <c r="O729" s="4" t="str">
        <f>VLOOKUP(M729,'Products (2)'!A:G,3,0)</f>
        <v>Medium</v>
      </c>
      <c r="P729" s="4">
        <f>VLOOKUP(M729,'Products (2)'!A:G,7,0)</f>
        <v>0.35819999999999996</v>
      </c>
      <c r="Q729" s="3">
        <v>5</v>
      </c>
      <c r="R729" s="5">
        <f>INDEX([1]products!$A$1:$G$49,MATCH([1]orders!$D729,[1]products!$A$1:$A$49,0),MATCH([1]orders!K$1,[1]products!$A$1:$G$1,0))</f>
        <v>0.5</v>
      </c>
      <c r="S729" s="6">
        <f>INDEX([1]products!$A$1:$G$49,MATCH([1]orders!$D729,[1]products!$A$1:$A$49,0),MATCH([1]orders!L$1,[1]products!$A$1:$G$1,0))</f>
        <v>5.97</v>
      </c>
      <c r="T729" s="6">
        <f t="shared" si="66"/>
        <v>29.849999999999998</v>
      </c>
      <c r="U729" s="22">
        <f t="shared" si="70"/>
        <v>1.7909999999999999</v>
      </c>
      <c r="V729" s="22">
        <f t="shared" si="71"/>
        <v>6.0000000000000009</v>
      </c>
    </row>
    <row r="730" spans="1:22" x14ac:dyDescent="0.3">
      <c r="A730" s="1" t="s">
        <v>1415</v>
      </c>
      <c r="B730" s="2">
        <v>44155</v>
      </c>
      <c r="C730" s="2" t="str">
        <f t="shared" si="67"/>
        <v>Friday</v>
      </c>
      <c r="D730" s="2" t="str">
        <f t="shared" si="68"/>
        <v>November</v>
      </c>
      <c r="E730" s="2" t="str">
        <f t="shared" si="69"/>
        <v>2020</v>
      </c>
      <c r="F730" s="3" t="s">
        <v>1416</v>
      </c>
      <c r="G730" s="3" t="str">
        <f>VLOOKUP(F731,'Customers (2)'!A:I,2,0)</f>
        <v>Selle Scurrer</v>
      </c>
      <c r="H730" s="3" t="str">
        <f>VLOOKUP(F730,'Customers (2)'!A:I,3,0)</f>
        <v>rhuscroftk8@jimdo.com</v>
      </c>
      <c r="I730" s="3" t="str">
        <f>VLOOKUP(F730,'Customers (2)'!A:I,4,0)</f>
        <v>+1 (775) 223-5044</v>
      </c>
      <c r="J730" s="3" t="str">
        <f>VLOOKUP(F730,'Customers (2)'!A:I,6,0)</f>
        <v>Reno</v>
      </c>
      <c r="K730" s="3" t="str">
        <f>VLOOKUP(F730,'Customers (2)'!A:I,7,0)</f>
        <v>United States</v>
      </c>
      <c r="L730" s="3" t="str">
        <f>VLOOKUP(F730,'Customers (2)'!A:I,9,0)</f>
        <v>Yes</v>
      </c>
      <c r="M730" s="4" t="s">
        <v>16</v>
      </c>
      <c r="N730" s="4" t="str">
        <f>VLOOKUP(M730,'Products (2)'!A:G,2,0)</f>
        <v>Excelsa</v>
      </c>
      <c r="O730" s="4" t="str">
        <f>VLOOKUP(M730,'Products (2)'!A:G,3,0)</f>
        <v>Dark</v>
      </c>
      <c r="P730" s="4">
        <f>VLOOKUP(M730,'Products (2)'!A:G,7,0)</f>
        <v>0.80190000000000006</v>
      </c>
      <c r="Q730" s="3">
        <v>3</v>
      </c>
      <c r="R730" s="5">
        <f>INDEX([1]products!$A$1:$G$49,MATCH([1]orders!$D730,[1]products!$A$1:$A$49,0),MATCH([1]orders!K$1,[1]products!$A$1:$G$1,0))</f>
        <v>0.5</v>
      </c>
      <c r="S730" s="6">
        <f>INDEX([1]products!$A$1:$G$49,MATCH([1]orders!$D730,[1]products!$A$1:$A$49,0),MATCH([1]orders!L$1,[1]products!$A$1:$G$1,0))</f>
        <v>7.29</v>
      </c>
      <c r="T730" s="6">
        <f t="shared" si="66"/>
        <v>21.87</v>
      </c>
      <c r="U730" s="22">
        <f t="shared" si="70"/>
        <v>2.4057000000000004</v>
      </c>
      <c r="V730" s="22">
        <f t="shared" si="71"/>
        <v>11.000000000000002</v>
      </c>
    </row>
    <row r="731" spans="1:22" x14ac:dyDescent="0.3">
      <c r="A731" s="1" t="s">
        <v>1417</v>
      </c>
      <c r="B731" s="2">
        <v>44634</v>
      </c>
      <c r="C731" s="2" t="str">
        <f t="shared" si="67"/>
        <v>Monday</v>
      </c>
      <c r="D731" s="2" t="str">
        <f t="shared" si="68"/>
        <v>March</v>
      </c>
      <c r="E731" s="2" t="str">
        <f t="shared" si="69"/>
        <v>2022</v>
      </c>
      <c r="F731" s="3" t="s">
        <v>1418</v>
      </c>
      <c r="G731" s="3" t="str">
        <f>VLOOKUP(F732,'Customers (2)'!A:I,2,0)</f>
        <v>Andie Rudram</v>
      </c>
      <c r="H731" s="3" t="str">
        <f>VLOOKUP(F731,'Customers (2)'!A:I,3,0)</f>
        <v>sscurrerk9@flavors.me</v>
      </c>
      <c r="I731" s="3" t="str">
        <f>VLOOKUP(F731,'Customers (2)'!A:I,4,0)</f>
        <v>+44 (520) 402-1303</v>
      </c>
      <c r="J731" s="3" t="str">
        <f>VLOOKUP(F731,'Customers (2)'!A:I,6,0)</f>
        <v>Upton</v>
      </c>
      <c r="K731" s="3" t="str">
        <f>VLOOKUP(F731,'Customers (2)'!A:I,7,0)</f>
        <v>United Kingdom</v>
      </c>
      <c r="L731" s="3" t="str">
        <f>VLOOKUP(F731,'Customers (2)'!A:I,9,0)</f>
        <v>No</v>
      </c>
      <c r="M731" s="4" t="s">
        <v>77</v>
      </c>
      <c r="N731" s="4" t="str">
        <f>VLOOKUP(M731,'Products (2)'!A:G,2,0)</f>
        <v>Liberica</v>
      </c>
      <c r="O731" s="4" t="str">
        <f>VLOOKUP(M731,'Products (2)'!A:G,3,0)</f>
        <v>Medium</v>
      </c>
      <c r="P731" s="4">
        <f>VLOOKUP(M731,'Products (2)'!A:G,7,0)</f>
        <v>0.56745000000000001</v>
      </c>
      <c r="Q731" s="3">
        <v>1</v>
      </c>
      <c r="R731" s="5">
        <f>INDEX([1]products!$A$1:$G$49,MATCH([1]orders!$D731,[1]products!$A$1:$A$49,0),MATCH([1]orders!K$1,[1]products!$A$1:$G$1,0))</f>
        <v>0.2</v>
      </c>
      <c r="S731" s="6">
        <f>INDEX([1]products!$A$1:$G$49,MATCH([1]orders!$D731,[1]products!$A$1:$A$49,0),MATCH([1]orders!L$1,[1]products!$A$1:$G$1,0))</f>
        <v>4.3650000000000002</v>
      </c>
      <c r="T731" s="6">
        <f t="shared" si="66"/>
        <v>4.3650000000000002</v>
      </c>
      <c r="U731" s="22">
        <f t="shared" si="70"/>
        <v>0.56745000000000001</v>
      </c>
      <c r="V731" s="22">
        <f t="shared" si="71"/>
        <v>13</v>
      </c>
    </row>
    <row r="732" spans="1:22" x14ac:dyDescent="0.3">
      <c r="A732" s="1" t="s">
        <v>1419</v>
      </c>
      <c r="B732" s="2">
        <v>43475</v>
      </c>
      <c r="C732" s="2" t="str">
        <f t="shared" si="67"/>
        <v>Thursday</v>
      </c>
      <c r="D732" s="2" t="str">
        <f t="shared" si="68"/>
        <v>January</v>
      </c>
      <c r="E732" s="2" t="str">
        <f t="shared" si="69"/>
        <v>2019</v>
      </c>
      <c r="F732" s="3" t="s">
        <v>1420</v>
      </c>
      <c r="G732" s="3" t="str">
        <f>VLOOKUP(F733,'Customers (2)'!A:I,2,0)</f>
        <v>Leta Clarricoates</v>
      </c>
      <c r="H732" s="3" t="str">
        <f>VLOOKUP(F732,'Customers (2)'!A:I,3,0)</f>
        <v>arudramka@prnewswire.com</v>
      </c>
      <c r="I732" s="3" t="str">
        <f>VLOOKUP(F732,'Customers (2)'!A:I,4,0)</f>
        <v>+1 (702) 333-7442</v>
      </c>
      <c r="J732" s="3" t="str">
        <f>VLOOKUP(F732,'Customers (2)'!A:I,6,0)</f>
        <v>Las Vegas</v>
      </c>
      <c r="K732" s="3" t="str">
        <f>VLOOKUP(F732,'Customers (2)'!A:I,7,0)</f>
        <v>United States</v>
      </c>
      <c r="L732" s="3" t="str">
        <f>VLOOKUP(F732,'Customers (2)'!A:I,9,0)</f>
        <v>No</v>
      </c>
      <c r="M732" s="4" t="s">
        <v>104</v>
      </c>
      <c r="N732" s="4" t="str">
        <f>VLOOKUP(M732,'Products (2)'!A:G,2,0)</f>
        <v>Liberica</v>
      </c>
      <c r="O732" s="4" t="str">
        <f>VLOOKUP(M732,'Products (2)'!A:G,3,0)</f>
        <v>Light</v>
      </c>
      <c r="P732" s="4">
        <f>VLOOKUP(M732,'Products (2)'!A:G,7,0)</f>
        <v>4.7391499999999995</v>
      </c>
      <c r="Q732" s="3">
        <v>1</v>
      </c>
      <c r="R732" s="5">
        <f>INDEX([1]products!$A$1:$G$49,MATCH([1]orders!$D732,[1]products!$A$1:$A$49,0),MATCH([1]orders!K$1,[1]products!$A$1:$G$1,0))</f>
        <v>2.5</v>
      </c>
      <c r="S732" s="6">
        <f>INDEX([1]products!$A$1:$G$49,MATCH([1]orders!$D732,[1]products!$A$1:$A$49,0),MATCH([1]orders!L$1,[1]products!$A$1:$G$1,0))</f>
        <v>36.454999999999998</v>
      </c>
      <c r="T732" s="6">
        <f t="shared" si="66"/>
        <v>36.454999999999998</v>
      </c>
      <c r="U732" s="22">
        <f t="shared" si="70"/>
        <v>4.7391499999999995</v>
      </c>
      <c r="V732" s="22">
        <f t="shared" si="71"/>
        <v>13</v>
      </c>
    </row>
    <row r="733" spans="1:22" x14ac:dyDescent="0.3">
      <c r="A733" s="1" t="s">
        <v>1421</v>
      </c>
      <c r="B733" s="2">
        <v>44222</v>
      </c>
      <c r="C733" s="2" t="str">
        <f t="shared" si="67"/>
        <v>Tuesday</v>
      </c>
      <c r="D733" s="2" t="str">
        <f t="shared" si="68"/>
        <v>January</v>
      </c>
      <c r="E733" s="2" t="str">
        <f t="shared" si="69"/>
        <v>2021</v>
      </c>
      <c r="F733" s="3" t="s">
        <v>1422</v>
      </c>
      <c r="G733" s="3" t="str">
        <f>VLOOKUP(F734,'Customers (2)'!A:I,2,0)</f>
        <v>Jacquelyn Maha</v>
      </c>
      <c r="H733" s="3">
        <f>VLOOKUP(F733,'Customers (2)'!A:I,3,0)</f>
        <v>0</v>
      </c>
      <c r="I733" s="3" t="str">
        <f>VLOOKUP(F733,'Customers (2)'!A:I,4,0)</f>
        <v>+1 (302) 620-1205</v>
      </c>
      <c r="J733" s="3" t="str">
        <f>VLOOKUP(F733,'Customers (2)'!A:I,6,0)</f>
        <v>Wilmington</v>
      </c>
      <c r="K733" s="3" t="str">
        <f>VLOOKUP(F733,'Customers (2)'!A:I,7,0)</f>
        <v>United States</v>
      </c>
      <c r="L733" s="3" t="str">
        <f>VLOOKUP(F733,'Customers (2)'!A:I,9,0)</f>
        <v>Yes</v>
      </c>
      <c r="M733" s="4" t="s">
        <v>38</v>
      </c>
      <c r="N733" s="4" t="str">
        <f>VLOOKUP(M733,'Products (2)'!A:G,2,0)</f>
        <v>Liberica</v>
      </c>
      <c r="O733" s="4" t="str">
        <f>VLOOKUP(M733,'Products (2)'!A:G,3,0)</f>
        <v>Dark</v>
      </c>
      <c r="P733" s="4">
        <f>VLOOKUP(M733,'Products (2)'!A:G,7,0)</f>
        <v>0.50505</v>
      </c>
      <c r="Q733" s="3">
        <v>4</v>
      </c>
      <c r="R733" s="5">
        <f>INDEX([1]products!$A$1:$G$49,MATCH([1]orders!$D733,[1]products!$A$1:$A$49,0),MATCH([1]orders!K$1,[1]products!$A$1:$G$1,0))</f>
        <v>0.2</v>
      </c>
      <c r="S733" s="6">
        <f>INDEX([1]products!$A$1:$G$49,MATCH([1]orders!$D733,[1]products!$A$1:$A$49,0),MATCH([1]orders!L$1,[1]products!$A$1:$G$1,0))</f>
        <v>3.8849999999999998</v>
      </c>
      <c r="T733" s="6">
        <f t="shared" si="66"/>
        <v>15.54</v>
      </c>
      <c r="U733" s="22">
        <f t="shared" si="70"/>
        <v>2.0202</v>
      </c>
      <c r="V733" s="22">
        <f t="shared" si="71"/>
        <v>13</v>
      </c>
    </row>
    <row r="734" spans="1:22" x14ac:dyDescent="0.3">
      <c r="A734" s="1" t="s">
        <v>1423</v>
      </c>
      <c r="B734" s="2">
        <v>44312</v>
      </c>
      <c r="C734" s="2" t="str">
        <f t="shared" si="67"/>
        <v>Monday</v>
      </c>
      <c r="D734" s="2" t="str">
        <f t="shared" si="68"/>
        <v>April</v>
      </c>
      <c r="E734" s="2" t="str">
        <f t="shared" si="69"/>
        <v>2021</v>
      </c>
      <c r="F734" s="3" t="s">
        <v>1424</v>
      </c>
      <c r="G734" s="3" t="str">
        <f>VLOOKUP(F735,'Customers (2)'!A:I,2,0)</f>
        <v>Glory Clemon</v>
      </c>
      <c r="H734" s="3" t="str">
        <f>VLOOKUP(F734,'Customers (2)'!A:I,3,0)</f>
        <v>jmahakc@cyberchimps.com</v>
      </c>
      <c r="I734" s="3" t="str">
        <f>VLOOKUP(F734,'Customers (2)'!A:I,4,0)</f>
        <v>+1 (702) 238-8287</v>
      </c>
      <c r="J734" s="3" t="str">
        <f>VLOOKUP(F734,'Customers (2)'!A:I,6,0)</f>
        <v>Reno</v>
      </c>
      <c r="K734" s="3" t="str">
        <f>VLOOKUP(F734,'Customers (2)'!A:I,7,0)</f>
        <v>United States</v>
      </c>
      <c r="L734" s="3" t="str">
        <f>VLOOKUP(F734,'Customers (2)'!A:I,9,0)</f>
        <v>No</v>
      </c>
      <c r="M734" s="4" t="s">
        <v>254</v>
      </c>
      <c r="N734" s="4" t="str">
        <f>VLOOKUP(M734,'Products (2)'!A:G,2,0)</f>
        <v>Excelsa</v>
      </c>
      <c r="O734" s="4" t="str">
        <f>VLOOKUP(M734,'Products (2)'!A:G,3,0)</f>
        <v>Light</v>
      </c>
      <c r="P734" s="4">
        <f>VLOOKUP(M734,'Products (2)'!A:G,7,0)</f>
        <v>0.49004999999999999</v>
      </c>
      <c r="Q734" s="3">
        <v>2</v>
      </c>
      <c r="R734" s="5">
        <f>INDEX([1]products!$A$1:$G$49,MATCH([1]orders!$D734,[1]products!$A$1:$A$49,0),MATCH([1]orders!K$1,[1]products!$A$1:$G$1,0))</f>
        <v>0.2</v>
      </c>
      <c r="S734" s="6">
        <f>INDEX([1]products!$A$1:$G$49,MATCH([1]orders!$D734,[1]products!$A$1:$A$49,0),MATCH([1]orders!L$1,[1]products!$A$1:$G$1,0))</f>
        <v>4.4550000000000001</v>
      </c>
      <c r="T734" s="6">
        <f t="shared" si="66"/>
        <v>8.91</v>
      </c>
      <c r="U734" s="22">
        <f t="shared" si="70"/>
        <v>0.98009999999999997</v>
      </c>
      <c r="V734" s="22">
        <f t="shared" si="71"/>
        <v>11</v>
      </c>
    </row>
    <row r="735" spans="1:22" x14ac:dyDescent="0.3">
      <c r="A735" s="1" t="s">
        <v>1425</v>
      </c>
      <c r="B735" s="2">
        <v>44565</v>
      </c>
      <c r="C735" s="2" t="str">
        <f t="shared" si="67"/>
        <v>Tuesday</v>
      </c>
      <c r="D735" s="2" t="str">
        <f t="shared" si="68"/>
        <v>January</v>
      </c>
      <c r="E735" s="2" t="str">
        <f t="shared" si="69"/>
        <v>2022</v>
      </c>
      <c r="F735" s="3" t="s">
        <v>1426</v>
      </c>
      <c r="G735" s="3" t="str">
        <f>VLOOKUP(F736,'Customers (2)'!A:I,2,0)</f>
        <v>Alica Kift</v>
      </c>
      <c r="H735" s="3" t="str">
        <f>VLOOKUP(F735,'Customers (2)'!A:I,3,0)</f>
        <v>gclemonkd@networksolutions.com</v>
      </c>
      <c r="I735" s="3" t="str">
        <f>VLOOKUP(F735,'Customers (2)'!A:I,4,0)</f>
        <v>+1 (205) 681-2376</v>
      </c>
      <c r="J735" s="3" t="str">
        <f>VLOOKUP(F735,'Customers (2)'!A:I,6,0)</f>
        <v>Tuscaloosa</v>
      </c>
      <c r="K735" s="3" t="str">
        <f>VLOOKUP(F735,'Customers (2)'!A:I,7,0)</f>
        <v>United States</v>
      </c>
      <c r="L735" s="3" t="str">
        <f>VLOOKUP(F735,'Customers (2)'!A:I,9,0)</f>
        <v>Yes</v>
      </c>
      <c r="M735" s="4" t="s">
        <v>197</v>
      </c>
      <c r="N735" s="4" t="str">
        <f>VLOOKUP(M735,'Products (2)'!A:G,2,0)</f>
        <v>Liberica</v>
      </c>
      <c r="O735" s="4" t="str">
        <f>VLOOKUP(M735,'Products (2)'!A:G,3,0)</f>
        <v>Medium</v>
      </c>
      <c r="P735" s="4">
        <f>VLOOKUP(M735,'Products (2)'!A:G,7,0)</f>
        <v>4.3504499999999995</v>
      </c>
      <c r="Q735" s="3">
        <v>3</v>
      </c>
      <c r="R735" s="5">
        <f>INDEX([1]products!$A$1:$G$49,MATCH([1]orders!$D735,[1]products!$A$1:$A$49,0),MATCH([1]orders!K$1,[1]products!$A$1:$G$1,0))</f>
        <v>2.5</v>
      </c>
      <c r="S735" s="6">
        <f>INDEX([1]products!$A$1:$G$49,MATCH([1]orders!$D735,[1]products!$A$1:$A$49,0),MATCH([1]orders!L$1,[1]products!$A$1:$G$1,0))</f>
        <v>33.464999999999996</v>
      </c>
      <c r="T735" s="6">
        <f t="shared" si="66"/>
        <v>100.39499999999998</v>
      </c>
      <c r="U735" s="22">
        <f t="shared" si="70"/>
        <v>13.051349999999999</v>
      </c>
      <c r="V735" s="22">
        <f t="shared" si="71"/>
        <v>13</v>
      </c>
    </row>
    <row r="736" spans="1:22" x14ac:dyDescent="0.3">
      <c r="A736" s="1" t="s">
        <v>1427</v>
      </c>
      <c r="B736" s="2">
        <v>43697</v>
      </c>
      <c r="C736" s="2" t="str">
        <f t="shared" si="67"/>
        <v>Tuesday</v>
      </c>
      <c r="D736" s="2" t="str">
        <f t="shared" si="68"/>
        <v>August</v>
      </c>
      <c r="E736" s="2" t="str">
        <f t="shared" si="69"/>
        <v>2019</v>
      </c>
      <c r="F736" s="3" t="s">
        <v>1428</v>
      </c>
      <c r="G736" s="3" t="str">
        <f>VLOOKUP(F737,'Customers (2)'!A:I,2,0)</f>
        <v>Babb Pollins</v>
      </c>
      <c r="H736" s="3">
        <f>VLOOKUP(F736,'Customers (2)'!A:I,3,0)</f>
        <v>0</v>
      </c>
      <c r="I736" s="3" t="str">
        <f>VLOOKUP(F736,'Customers (2)'!A:I,4,0)</f>
        <v>+1 (209) 133-9447</v>
      </c>
      <c r="J736" s="3" t="str">
        <f>VLOOKUP(F736,'Customers (2)'!A:I,6,0)</f>
        <v>Garden Grove</v>
      </c>
      <c r="K736" s="3" t="str">
        <f>VLOOKUP(F736,'Customers (2)'!A:I,7,0)</f>
        <v>United States</v>
      </c>
      <c r="L736" s="3" t="str">
        <f>VLOOKUP(F736,'Customers (2)'!A:I,9,0)</f>
        <v>No</v>
      </c>
      <c r="M736" s="4" t="s">
        <v>101</v>
      </c>
      <c r="N736" s="4" t="str">
        <f>VLOOKUP(M736,'Products (2)'!A:G,2,0)</f>
        <v>Robusta</v>
      </c>
      <c r="O736" s="4" t="str">
        <f>VLOOKUP(M736,'Products (2)'!A:G,3,0)</f>
        <v>Dark</v>
      </c>
      <c r="P736" s="4">
        <f>VLOOKUP(M736,'Products (2)'!A:G,7,0)</f>
        <v>0.16109999999999997</v>
      </c>
      <c r="Q736" s="3">
        <v>5</v>
      </c>
      <c r="R736" s="5">
        <f>INDEX([1]products!$A$1:$G$49,MATCH([1]orders!$D736,[1]products!$A$1:$A$49,0),MATCH([1]orders!K$1,[1]products!$A$1:$G$1,0))</f>
        <v>0.2</v>
      </c>
      <c r="S736" s="6">
        <f>INDEX([1]products!$A$1:$G$49,MATCH([1]orders!$D736,[1]products!$A$1:$A$49,0),MATCH([1]orders!L$1,[1]products!$A$1:$G$1,0))</f>
        <v>2.6849999999999996</v>
      </c>
      <c r="T736" s="6">
        <f t="shared" si="66"/>
        <v>13.424999999999997</v>
      </c>
      <c r="U736" s="22">
        <f t="shared" si="70"/>
        <v>0.80549999999999988</v>
      </c>
      <c r="V736" s="22">
        <f t="shared" si="71"/>
        <v>6.0000000000000009</v>
      </c>
    </row>
    <row r="737" spans="1:22" x14ac:dyDescent="0.3">
      <c r="A737" s="1" t="s">
        <v>1429</v>
      </c>
      <c r="B737" s="2">
        <v>44757</v>
      </c>
      <c r="C737" s="2" t="str">
        <f t="shared" si="67"/>
        <v>Friday</v>
      </c>
      <c r="D737" s="2" t="str">
        <f t="shared" si="68"/>
        <v>July</v>
      </c>
      <c r="E737" s="2" t="str">
        <f t="shared" si="69"/>
        <v>2022</v>
      </c>
      <c r="F737" s="3" t="s">
        <v>1430</v>
      </c>
      <c r="G737" s="3" t="str">
        <f>VLOOKUP(F738,'Customers (2)'!A:I,2,0)</f>
        <v>Jarret Toye</v>
      </c>
      <c r="H737" s="3" t="str">
        <f>VLOOKUP(F737,'Customers (2)'!A:I,3,0)</f>
        <v>bpollinskf@shinystat.com</v>
      </c>
      <c r="I737" s="3">
        <f>VLOOKUP(F737,'Customers (2)'!A:I,4,0)</f>
        <v>0</v>
      </c>
      <c r="J737" s="3" t="str">
        <f>VLOOKUP(F737,'Customers (2)'!A:I,6,0)</f>
        <v>Shawnee Mission</v>
      </c>
      <c r="K737" s="3" t="str">
        <f>VLOOKUP(F737,'Customers (2)'!A:I,7,0)</f>
        <v>United States</v>
      </c>
      <c r="L737" s="3" t="str">
        <f>VLOOKUP(F737,'Customers (2)'!A:I,9,0)</f>
        <v>No</v>
      </c>
      <c r="M737" s="4" t="s">
        <v>51</v>
      </c>
      <c r="N737" s="4" t="str">
        <f>VLOOKUP(M737,'Products (2)'!A:G,2,0)</f>
        <v>Excelsa</v>
      </c>
      <c r="O737" s="4" t="str">
        <f>VLOOKUP(M737,'Products (2)'!A:G,3,0)</f>
        <v>Dark</v>
      </c>
      <c r="P737" s="4">
        <f>VLOOKUP(M737,'Products (2)'!A:G,7,0)</f>
        <v>0.40095000000000003</v>
      </c>
      <c r="Q737" s="3">
        <v>6</v>
      </c>
      <c r="R737" s="5">
        <f>INDEX([1]products!$A$1:$G$49,MATCH([1]orders!$D737,[1]products!$A$1:$A$49,0),MATCH([1]orders!K$1,[1]products!$A$1:$G$1,0))</f>
        <v>0.2</v>
      </c>
      <c r="S737" s="6">
        <f>INDEX([1]products!$A$1:$G$49,MATCH([1]orders!$D737,[1]products!$A$1:$A$49,0),MATCH([1]orders!L$1,[1]products!$A$1:$G$1,0))</f>
        <v>3.645</v>
      </c>
      <c r="T737" s="6">
        <f t="shared" si="66"/>
        <v>21.87</v>
      </c>
      <c r="U737" s="22">
        <f t="shared" si="70"/>
        <v>2.4057000000000004</v>
      </c>
      <c r="V737" s="22">
        <f t="shared" si="71"/>
        <v>11.000000000000002</v>
      </c>
    </row>
    <row r="738" spans="1:22" x14ac:dyDescent="0.3">
      <c r="A738" s="1" t="s">
        <v>1431</v>
      </c>
      <c r="B738" s="2">
        <v>43508</v>
      </c>
      <c r="C738" s="2" t="str">
        <f t="shared" si="67"/>
        <v>Tuesday</v>
      </c>
      <c r="D738" s="2" t="str">
        <f t="shared" si="68"/>
        <v>February</v>
      </c>
      <c r="E738" s="2" t="str">
        <f t="shared" si="69"/>
        <v>2019</v>
      </c>
      <c r="F738" s="3" t="s">
        <v>1432</v>
      </c>
      <c r="G738" s="3" t="str">
        <f>VLOOKUP(F739,'Customers (2)'!A:I,2,0)</f>
        <v>Carlie Linskill</v>
      </c>
      <c r="H738" s="3" t="str">
        <f>VLOOKUP(F738,'Customers (2)'!A:I,3,0)</f>
        <v>jtoyekg@pinterest.com</v>
      </c>
      <c r="I738" s="3" t="str">
        <f>VLOOKUP(F738,'Customers (2)'!A:I,4,0)</f>
        <v>+353 (587) 270-6561</v>
      </c>
      <c r="J738" s="3" t="str">
        <f>VLOOKUP(F738,'Customers (2)'!A:I,6,0)</f>
        <v>Ballivor</v>
      </c>
      <c r="K738" s="3" t="str">
        <f>VLOOKUP(F738,'Customers (2)'!A:I,7,0)</f>
        <v>Ireland</v>
      </c>
      <c r="L738" s="3" t="str">
        <f>VLOOKUP(F738,'Customers (2)'!A:I,9,0)</f>
        <v>Yes</v>
      </c>
      <c r="M738" s="4" t="s">
        <v>13</v>
      </c>
      <c r="N738" s="4" t="str">
        <f>VLOOKUP(M738,'Products (2)'!A:G,2,0)</f>
        <v>Liberica</v>
      </c>
      <c r="O738" s="4" t="str">
        <f>VLOOKUP(M738,'Products (2)'!A:G,3,0)</f>
        <v>Dark</v>
      </c>
      <c r="P738" s="4">
        <f>VLOOKUP(M738,'Products (2)'!A:G,7,0)</f>
        <v>1.6835</v>
      </c>
      <c r="Q738" s="3">
        <v>2</v>
      </c>
      <c r="R738" s="5">
        <f>INDEX([1]products!$A$1:$G$49,MATCH([1]orders!$D738,[1]products!$A$1:$A$49,0),MATCH([1]orders!K$1,[1]products!$A$1:$G$1,0))</f>
        <v>1</v>
      </c>
      <c r="S738" s="6">
        <f>INDEX([1]products!$A$1:$G$49,MATCH([1]orders!$D738,[1]products!$A$1:$A$49,0),MATCH([1]orders!L$1,[1]products!$A$1:$G$1,0))</f>
        <v>12.95</v>
      </c>
      <c r="T738" s="6">
        <f t="shared" si="66"/>
        <v>25.9</v>
      </c>
      <c r="U738" s="22">
        <f t="shared" si="70"/>
        <v>3.367</v>
      </c>
      <c r="V738" s="22">
        <f t="shared" si="71"/>
        <v>13</v>
      </c>
    </row>
    <row r="739" spans="1:22" x14ac:dyDescent="0.3">
      <c r="A739" s="1" t="s">
        <v>1433</v>
      </c>
      <c r="B739" s="2">
        <v>44447</v>
      </c>
      <c r="C739" s="2" t="str">
        <f t="shared" si="67"/>
        <v>Wednesday</v>
      </c>
      <c r="D739" s="2" t="str">
        <f t="shared" si="68"/>
        <v>September</v>
      </c>
      <c r="E739" s="2" t="str">
        <f t="shared" si="69"/>
        <v>2021</v>
      </c>
      <c r="F739" s="3" t="s">
        <v>1434</v>
      </c>
      <c r="G739" s="3" t="str">
        <f>VLOOKUP(F740,'Customers (2)'!A:I,2,0)</f>
        <v>Natal Vigrass</v>
      </c>
      <c r="H739" s="3" t="str">
        <f>VLOOKUP(F739,'Customers (2)'!A:I,3,0)</f>
        <v>clinskillkh@sphinn.com</v>
      </c>
      <c r="I739" s="3" t="str">
        <f>VLOOKUP(F739,'Customers (2)'!A:I,4,0)</f>
        <v>+1 (513) 743-7556</v>
      </c>
      <c r="J739" s="3" t="str">
        <f>VLOOKUP(F739,'Customers (2)'!A:I,6,0)</f>
        <v>Cincinnati</v>
      </c>
      <c r="K739" s="3" t="str">
        <f>VLOOKUP(F739,'Customers (2)'!A:I,7,0)</f>
        <v>United States</v>
      </c>
      <c r="L739" s="3" t="str">
        <f>VLOOKUP(F739,'Customers (2)'!A:I,9,0)</f>
        <v>No</v>
      </c>
      <c r="M739" s="4" t="s">
        <v>61</v>
      </c>
      <c r="N739" s="4" t="str">
        <f>VLOOKUP(M739,'Products (2)'!A:G,2,0)</f>
        <v>Arabica</v>
      </c>
      <c r="O739" s="4" t="str">
        <f>VLOOKUP(M739,'Products (2)'!A:G,3,0)</f>
        <v>Medium</v>
      </c>
      <c r="P739" s="4">
        <f>VLOOKUP(M739,'Products (2)'!A:G,7,0)</f>
        <v>1.0125</v>
      </c>
      <c r="Q739" s="3">
        <v>5</v>
      </c>
      <c r="R739" s="5">
        <f>INDEX([1]products!$A$1:$G$49,MATCH([1]orders!$D739,[1]products!$A$1:$A$49,0),MATCH([1]orders!K$1,[1]products!$A$1:$G$1,0))</f>
        <v>1</v>
      </c>
      <c r="S739" s="6">
        <f>INDEX([1]products!$A$1:$G$49,MATCH([1]orders!$D739,[1]products!$A$1:$A$49,0),MATCH([1]orders!L$1,[1]products!$A$1:$G$1,0))</f>
        <v>11.25</v>
      </c>
      <c r="T739" s="6">
        <f t="shared" si="66"/>
        <v>56.25</v>
      </c>
      <c r="U739" s="22">
        <f t="shared" si="70"/>
        <v>5.0625</v>
      </c>
      <c r="V739" s="22">
        <f t="shared" si="71"/>
        <v>9</v>
      </c>
    </row>
    <row r="740" spans="1:22" x14ac:dyDescent="0.3">
      <c r="A740" s="1" t="s">
        <v>1435</v>
      </c>
      <c r="B740" s="2">
        <v>43812</v>
      </c>
      <c r="C740" s="2" t="str">
        <f t="shared" si="67"/>
        <v>Friday</v>
      </c>
      <c r="D740" s="2" t="str">
        <f t="shared" si="68"/>
        <v>December</v>
      </c>
      <c r="E740" s="2" t="str">
        <f t="shared" si="69"/>
        <v>2019</v>
      </c>
      <c r="F740" s="3" t="s">
        <v>1436</v>
      </c>
      <c r="G740" s="3" t="str">
        <f>VLOOKUP(F741,'Customers (2)'!A:I,2,0)</f>
        <v>Jimmy Dymoke</v>
      </c>
      <c r="H740" s="3" t="str">
        <f>VLOOKUP(F740,'Customers (2)'!A:I,3,0)</f>
        <v>nvigrasski@ezinearticles.com</v>
      </c>
      <c r="I740" s="3" t="str">
        <f>VLOOKUP(F740,'Customers (2)'!A:I,4,0)</f>
        <v>+44 (336) 257-7415</v>
      </c>
      <c r="J740" s="3" t="str">
        <f>VLOOKUP(F740,'Customers (2)'!A:I,6,0)</f>
        <v>Whitwell</v>
      </c>
      <c r="K740" s="3" t="str">
        <f>VLOOKUP(F740,'Customers (2)'!A:I,7,0)</f>
        <v>United Kingdom</v>
      </c>
      <c r="L740" s="3" t="str">
        <f>VLOOKUP(F740,'Customers (2)'!A:I,9,0)</f>
        <v>No</v>
      </c>
      <c r="M740" s="4" t="s">
        <v>182</v>
      </c>
      <c r="N740" s="4" t="str">
        <f>VLOOKUP(M740,'Products (2)'!A:G,2,0)</f>
        <v>Robusta</v>
      </c>
      <c r="O740" s="4" t="str">
        <f>VLOOKUP(M740,'Products (2)'!A:G,3,0)</f>
        <v>Light</v>
      </c>
      <c r="P740" s="4">
        <f>VLOOKUP(M740,'Products (2)'!A:G,7,0)</f>
        <v>0.21509999999999996</v>
      </c>
      <c r="Q740" s="3">
        <v>3</v>
      </c>
      <c r="R740" s="5">
        <f>INDEX([1]products!$A$1:$G$49,MATCH([1]orders!$D740,[1]products!$A$1:$A$49,0),MATCH([1]orders!K$1,[1]products!$A$1:$G$1,0))</f>
        <v>0.2</v>
      </c>
      <c r="S740" s="6">
        <f>INDEX([1]products!$A$1:$G$49,MATCH([1]orders!$D740,[1]products!$A$1:$A$49,0),MATCH([1]orders!L$1,[1]products!$A$1:$G$1,0))</f>
        <v>3.5849999999999995</v>
      </c>
      <c r="T740" s="6">
        <f t="shared" si="66"/>
        <v>10.754999999999999</v>
      </c>
      <c r="U740" s="22">
        <f t="shared" si="70"/>
        <v>0.64529999999999987</v>
      </c>
      <c r="V740" s="22">
        <f t="shared" si="71"/>
        <v>5.9999999999999991</v>
      </c>
    </row>
    <row r="741" spans="1:22" x14ac:dyDescent="0.3">
      <c r="A741" s="1" t="s">
        <v>1437</v>
      </c>
      <c r="B741" s="2">
        <v>44433</v>
      </c>
      <c r="C741" s="2" t="str">
        <f t="shared" si="67"/>
        <v>Wednesday</v>
      </c>
      <c r="D741" s="2" t="str">
        <f t="shared" si="68"/>
        <v>August</v>
      </c>
      <c r="E741" s="2" t="str">
        <f t="shared" si="69"/>
        <v>2021</v>
      </c>
      <c r="F741" s="3" t="s">
        <v>1344</v>
      </c>
      <c r="G741" s="3" t="str">
        <f>VLOOKUP(F742,'Customers (2)'!A:I,2,0)</f>
        <v>Kandace Cragell</v>
      </c>
      <c r="H741" s="3" t="str">
        <f>VLOOKUP(F741,'Customers (2)'!A:I,3,0)</f>
        <v>jdymokeje@prnewswire.com</v>
      </c>
      <c r="I741" s="3" t="str">
        <f>VLOOKUP(F741,'Customers (2)'!A:I,4,0)</f>
        <v>+353 (390) 459-9269</v>
      </c>
      <c r="J741" s="3" t="str">
        <f>VLOOKUP(F741,'Customers (2)'!A:I,6,0)</f>
        <v>Beaumont</v>
      </c>
      <c r="K741" s="3" t="str">
        <f>VLOOKUP(F741,'Customers (2)'!A:I,7,0)</f>
        <v>Ireland</v>
      </c>
      <c r="L741" s="3" t="str">
        <f>VLOOKUP(F741,'Customers (2)'!A:I,9,0)</f>
        <v>No</v>
      </c>
      <c r="M741" s="4" t="s">
        <v>51</v>
      </c>
      <c r="N741" s="4" t="str">
        <f>VLOOKUP(M741,'Products (2)'!A:G,2,0)</f>
        <v>Excelsa</v>
      </c>
      <c r="O741" s="4" t="str">
        <f>VLOOKUP(M741,'Products (2)'!A:G,3,0)</f>
        <v>Dark</v>
      </c>
      <c r="P741" s="4">
        <f>VLOOKUP(M741,'Products (2)'!A:G,7,0)</f>
        <v>0.40095000000000003</v>
      </c>
      <c r="Q741" s="3">
        <v>5</v>
      </c>
      <c r="R741" s="5">
        <f>INDEX([1]products!$A$1:$G$49,MATCH([1]orders!$D741,[1]products!$A$1:$A$49,0),MATCH([1]orders!K$1,[1]products!$A$1:$G$1,0))</f>
        <v>0.2</v>
      </c>
      <c r="S741" s="6">
        <f>INDEX([1]products!$A$1:$G$49,MATCH([1]orders!$D741,[1]products!$A$1:$A$49,0),MATCH([1]orders!L$1,[1]products!$A$1:$G$1,0))</f>
        <v>3.645</v>
      </c>
      <c r="T741" s="6">
        <f t="shared" si="66"/>
        <v>18.225000000000001</v>
      </c>
      <c r="U741" s="22">
        <f t="shared" si="70"/>
        <v>2.00475</v>
      </c>
      <c r="V741" s="22">
        <f t="shared" si="71"/>
        <v>10.999999999999998</v>
      </c>
    </row>
    <row r="742" spans="1:22" x14ac:dyDescent="0.3">
      <c r="A742" s="1" t="s">
        <v>1438</v>
      </c>
      <c r="B742" s="2">
        <v>44643</v>
      </c>
      <c r="C742" s="2" t="str">
        <f t="shared" si="67"/>
        <v>Wednesday</v>
      </c>
      <c r="D742" s="2" t="str">
        <f t="shared" si="68"/>
        <v>March</v>
      </c>
      <c r="E742" s="2" t="str">
        <f t="shared" si="69"/>
        <v>2022</v>
      </c>
      <c r="F742" s="3" t="s">
        <v>1439</v>
      </c>
      <c r="G742" s="3" t="str">
        <f>VLOOKUP(F743,'Customers (2)'!A:I,2,0)</f>
        <v>Lyon Ibert</v>
      </c>
      <c r="H742" s="3" t="str">
        <f>VLOOKUP(F742,'Customers (2)'!A:I,3,0)</f>
        <v>kcragellkk@google.com</v>
      </c>
      <c r="I742" s="3" t="str">
        <f>VLOOKUP(F742,'Customers (2)'!A:I,4,0)</f>
        <v>+353 (458) 634-2269</v>
      </c>
      <c r="J742" s="3" t="str">
        <f>VLOOKUP(F742,'Customers (2)'!A:I,6,0)</f>
        <v>Dungarvan</v>
      </c>
      <c r="K742" s="3" t="str">
        <f>VLOOKUP(F742,'Customers (2)'!A:I,7,0)</f>
        <v>Ireland</v>
      </c>
      <c r="L742" s="3" t="str">
        <f>VLOOKUP(F742,'Customers (2)'!A:I,9,0)</f>
        <v>No</v>
      </c>
      <c r="M742" s="4" t="s">
        <v>157</v>
      </c>
      <c r="N742" s="4" t="str">
        <f>VLOOKUP(M742,'Products (2)'!A:G,2,0)</f>
        <v>Robusta</v>
      </c>
      <c r="O742" s="4" t="str">
        <f>VLOOKUP(M742,'Products (2)'!A:G,3,0)</f>
        <v>Light</v>
      </c>
      <c r="P742" s="4">
        <f>VLOOKUP(M742,'Products (2)'!A:G,7,0)</f>
        <v>0.43019999999999992</v>
      </c>
      <c r="Q742" s="3">
        <v>4</v>
      </c>
      <c r="R742" s="5">
        <f>INDEX([1]products!$A$1:$G$49,MATCH([1]orders!$D742,[1]products!$A$1:$A$49,0),MATCH([1]orders!K$1,[1]products!$A$1:$G$1,0))</f>
        <v>0.5</v>
      </c>
      <c r="S742" s="6">
        <f>INDEX([1]products!$A$1:$G$49,MATCH([1]orders!$D742,[1]products!$A$1:$A$49,0),MATCH([1]orders!L$1,[1]products!$A$1:$G$1,0))</f>
        <v>7.169999999999999</v>
      </c>
      <c r="T742" s="6">
        <f t="shared" si="66"/>
        <v>28.679999999999996</v>
      </c>
      <c r="U742" s="22">
        <f t="shared" si="70"/>
        <v>1.7207999999999997</v>
      </c>
      <c r="V742" s="22">
        <f t="shared" si="71"/>
        <v>6</v>
      </c>
    </row>
    <row r="743" spans="1:22" x14ac:dyDescent="0.3">
      <c r="A743" s="1" t="s">
        <v>1440</v>
      </c>
      <c r="B743" s="2">
        <v>43566</v>
      </c>
      <c r="C743" s="2" t="str">
        <f t="shared" si="67"/>
        <v>Thursday</v>
      </c>
      <c r="D743" s="2" t="str">
        <f t="shared" si="68"/>
        <v>April</v>
      </c>
      <c r="E743" s="2" t="str">
        <f t="shared" si="69"/>
        <v>2019</v>
      </c>
      <c r="F743" s="3" t="s">
        <v>1441</v>
      </c>
      <c r="G743" s="3" t="str">
        <f>VLOOKUP(F744,'Customers (2)'!A:I,2,0)</f>
        <v>Reese Lidgey</v>
      </c>
      <c r="H743" s="3" t="str">
        <f>VLOOKUP(F743,'Customers (2)'!A:I,3,0)</f>
        <v>libertkl@huffingtonpost.com</v>
      </c>
      <c r="I743" s="3" t="str">
        <f>VLOOKUP(F743,'Customers (2)'!A:I,4,0)</f>
        <v>+1 (408) 546-0790</v>
      </c>
      <c r="J743" s="3" t="str">
        <f>VLOOKUP(F743,'Customers (2)'!A:I,6,0)</f>
        <v>Sunnyvale</v>
      </c>
      <c r="K743" s="3" t="str">
        <f>VLOOKUP(F743,'Customers (2)'!A:I,7,0)</f>
        <v>United States</v>
      </c>
      <c r="L743" s="3" t="str">
        <f>VLOOKUP(F743,'Customers (2)'!A:I,9,0)</f>
        <v>No</v>
      </c>
      <c r="M743" s="4" t="s">
        <v>77</v>
      </c>
      <c r="N743" s="4" t="str">
        <f>VLOOKUP(M743,'Products (2)'!A:G,2,0)</f>
        <v>Liberica</v>
      </c>
      <c r="O743" s="4" t="str">
        <f>VLOOKUP(M743,'Products (2)'!A:G,3,0)</f>
        <v>Medium</v>
      </c>
      <c r="P743" s="4">
        <f>VLOOKUP(M743,'Products (2)'!A:G,7,0)</f>
        <v>0.56745000000000001</v>
      </c>
      <c r="Q743" s="3">
        <v>2</v>
      </c>
      <c r="R743" s="5">
        <f>INDEX([1]products!$A$1:$G$49,MATCH([1]orders!$D743,[1]products!$A$1:$A$49,0),MATCH([1]orders!K$1,[1]products!$A$1:$G$1,0))</f>
        <v>0.2</v>
      </c>
      <c r="S743" s="6">
        <f>INDEX([1]products!$A$1:$G$49,MATCH([1]orders!$D743,[1]products!$A$1:$A$49,0),MATCH([1]orders!L$1,[1]products!$A$1:$G$1,0))</f>
        <v>4.3650000000000002</v>
      </c>
      <c r="T743" s="6">
        <f t="shared" si="66"/>
        <v>8.73</v>
      </c>
      <c r="U743" s="22">
        <f t="shared" si="70"/>
        <v>1.1349</v>
      </c>
      <c r="V743" s="22">
        <f t="shared" si="71"/>
        <v>13</v>
      </c>
    </row>
    <row r="744" spans="1:22" x14ac:dyDescent="0.3">
      <c r="A744" s="1" t="s">
        <v>1442</v>
      </c>
      <c r="B744" s="2">
        <v>44133</v>
      </c>
      <c r="C744" s="2" t="str">
        <f t="shared" si="67"/>
        <v>Thursday</v>
      </c>
      <c r="D744" s="2" t="str">
        <f t="shared" si="68"/>
        <v>October</v>
      </c>
      <c r="E744" s="2" t="str">
        <f t="shared" si="69"/>
        <v>2020</v>
      </c>
      <c r="F744" s="3" t="s">
        <v>1443</v>
      </c>
      <c r="G744" s="3" t="str">
        <f>VLOOKUP(F745,'Customers (2)'!A:I,2,0)</f>
        <v>Tersina Castagne</v>
      </c>
      <c r="H744" s="3" t="str">
        <f>VLOOKUP(F744,'Customers (2)'!A:I,3,0)</f>
        <v>rlidgeykm@vimeo.com</v>
      </c>
      <c r="I744" s="3" t="str">
        <f>VLOOKUP(F744,'Customers (2)'!A:I,4,0)</f>
        <v>+1 (901) 276-4141</v>
      </c>
      <c r="J744" s="3" t="str">
        <f>VLOOKUP(F744,'Customers (2)'!A:I,6,0)</f>
        <v>Memphis</v>
      </c>
      <c r="K744" s="3" t="str">
        <f>VLOOKUP(F744,'Customers (2)'!A:I,7,0)</f>
        <v>United States</v>
      </c>
      <c r="L744" s="3" t="str">
        <f>VLOOKUP(F744,'Customers (2)'!A:I,9,0)</f>
        <v>No</v>
      </c>
      <c r="M744" s="4" t="s">
        <v>96</v>
      </c>
      <c r="N744" s="4" t="str">
        <f>VLOOKUP(M744,'Products (2)'!A:G,2,0)</f>
        <v>Liberica</v>
      </c>
      <c r="O744" s="4" t="str">
        <f>VLOOKUP(M744,'Products (2)'!A:G,3,0)</f>
        <v>Medium</v>
      </c>
      <c r="P744" s="4">
        <f>VLOOKUP(M744,'Products (2)'!A:G,7,0)</f>
        <v>1.8915000000000002</v>
      </c>
      <c r="Q744" s="3">
        <v>4</v>
      </c>
      <c r="R744" s="5">
        <f>INDEX([1]products!$A$1:$G$49,MATCH([1]orders!$D744,[1]products!$A$1:$A$49,0),MATCH([1]orders!K$1,[1]products!$A$1:$G$1,0))</f>
        <v>1</v>
      </c>
      <c r="S744" s="6">
        <f>INDEX([1]products!$A$1:$G$49,MATCH([1]orders!$D744,[1]products!$A$1:$A$49,0),MATCH([1]orders!L$1,[1]products!$A$1:$G$1,0))</f>
        <v>14.55</v>
      </c>
      <c r="T744" s="6">
        <f t="shared" si="66"/>
        <v>58.2</v>
      </c>
      <c r="U744" s="22">
        <f t="shared" si="70"/>
        <v>7.5660000000000007</v>
      </c>
      <c r="V744" s="22">
        <f t="shared" si="71"/>
        <v>13</v>
      </c>
    </row>
    <row r="745" spans="1:22" x14ac:dyDescent="0.3">
      <c r="A745" s="1" t="s">
        <v>1444</v>
      </c>
      <c r="B745" s="2">
        <v>44042</v>
      </c>
      <c r="C745" s="2" t="str">
        <f t="shared" si="67"/>
        <v>Thursday</v>
      </c>
      <c r="D745" s="2" t="str">
        <f t="shared" si="68"/>
        <v>July</v>
      </c>
      <c r="E745" s="2" t="str">
        <f t="shared" si="69"/>
        <v>2020</v>
      </c>
      <c r="F745" s="3" t="s">
        <v>1445</v>
      </c>
      <c r="G745" s="3" t="str">
        <f>VLOOKUP(F746,'Customers (2)'!A:I,2,0)</f>
        <v>Samuele Klaaassen</v>
      </c>
      <c r="H745" s="3" t="str">
        <f>VLOOKUP(F745,'Customers (2)'!A:I,3,0)</f>
        <v>tcastagnekn@wikia.com</v>
      </c>
      <c r="I745" s="3" t="str">
        <f>VLOOKUP(F745,'Customers (2)'!A:I,4,0)</f>
        <v>+1 (407) 154-6967</v>
      </c>
      <c r="J745" s="3" t="str">
        <f>VLOOKUP(F745,'Customers (2)'!A:I,6,0)</f>
        <v>Orlando</v>
      </c>
      <c r="K745" s="3" t="str">
        <f>VLOOKUP(F745,'Customers (2)'!A:I,7,0)</f>
        <v>United States</v>
      </c>
      <c r="L745" s="3" t="str">
        <f>VLOOKUP(F745,'Customers (2)'!A:I,9,0)</f>
        <v>No</v>
      </c>
      <c r="M745" s="4" t="s">
        <v>72</v>
      </c>
      <c r="N745" s="4" t="str">
        <f>VLOOKUP(M745,'Products (2)'!A:G,2,0)</f>
        <v>Arabica</v>
      </c>
      <c r="O745" s="4" t="str">
        <f>VLOOKUP(M745,'Products (2)'!A:G,3,0)</f>
        <v>Dark</v>
      </c>
      <c r="P745" s="4">
        <f>VLOOKUP(M745,'Products (2)'!A:G,7,0)</f>
        <v>0.5373</v>
      </c>
      <c r="Q745" s="3">
        <v>3</v>
      </c>
      <c r="R745" s="5">
        <f>INDEX([1]products!$A$1:$G$49,MATCH([1]orders!$D745,[1]products!$A$1:$A$49,0),MATCH([1]orders!K$1,[1]products!$A$1:$G$1,0))</f>
        <v>0.5</v>
      </c>
      <c r="S745" s="6">
        <f>INDEX([1]products!$A$1:$G$49,MATCH([1]orders!$D745,[1]products!$A$1:$A$49,0),MATCH([1]orders!L$1,[1]products!$A$1:$G$1,0))</f>
        <v>5.97</v>
      </c>
      <c r="T745" s="6">
        <f t="shared" si="66"/>
        <v>17.91</v>
      </c>
      <c r="U745" s="22">
        <f t="shared" si="70"/>
        <v>1.6118999999999999</v>
      </c>
      <c r="V745" s="22">
        <f t="shared" si="71"/>
        <v>9</v>
      </c>
    </row>
    <row r="746" spans="1:22" x14ac:dyDescent="0.3">
      <c r="A746" s="1" t="s">
        <v>1446</v>
      </c>
      <c r="B746" s="2">
        <v>43539</v>
      </c>
      <c r="C746" s="2" t="str">
        <f t="shared" si="67"/>
        <v>Friday</v>
      </c>
      <c r="D746" s="2" t="str">
        <f t="shared" si="68"/>
        <v>March</v>
      </c>
      <c r="E746" s="2" t="str">
        <f t="shared" si="69"/>
        <v>2019</v>
      </c>
      <c r="F746" s="3" t="s">
        <v>1447</v>
      </c>
      <c r="G746" s="3" t="str">
        <f>VLOOKUP(F747,'Customers (2)'!A:I,2,0)</f>
        <v>Jordana Halden</v>
      </c>
      <c r="H746" s="3">
        <f>VLOOKUP(F746,'Customers (2)'!A:I,3,0)</f>
        <v>0</v>
      </c>
      <c r="I746" s="3" t="str">
        <f>VLOOKUP(F746,'Customers (2)'!A:I,4,0)</f>
        <v>+1 (313) 436-2249</v>
      </c>
      <c r="J746" s="3" t="str">
        <f>VLOOKUP(F746,'Customers (2)'!A:I,6,0)</f>
        <v>Detroit</v>
      </c>
      <c r="K746" s="3" t="str">
        <f>VLOOKUP(F746,'Customers (2)'!A:I,7,0)</f>
        <v>United States</v>
      </c>
      <c r="L746" s="3" t="str">
        <f>VLOOKUP(F746,'Customers (2)'!A:I,9,0)</f>
        <v>Yes</v>
      </c>
      <c r="M746" s="4" t="s">
        <v>162</v>
      </c>
      <c r="N746" s="4" t="str">
        <f>VLOOKUP(M746,'Products (2)'!A:G,2,0)</f>
        <v>Robusta</v>
      </c>
      <c r="O746" s="4" t="str">
        <f>VLOOKUP(M746,'Products (2)'!A:G,3,0)</f>
        <v>Medium</v>
      </c>
      <c r="P746" s="4">
        <f>VLOOKUP(M746,'Products (2)'!A:G,7,0)</f>
        <v>0.17909999999999998</v>
      </c>
      <c r="Q746" s="3">
        <v>6</v>
      </c>
      <c r="R746" s="5">
        <f>INDEX([1]products!$A$1:$G$49,MATCH([1]orders!$D746,[1]products!$A$1:$A$49,0),MATCH([1]orders!K$1,[1]products!$A$1:$G$1,0))</f>
        <v>0.2</v>
      </c>
      <c r="S746" s="6">
        <f>INDEX([1]products!$A$1:$G$49,MATCH([1]orders!$D746,[1]products!$A$1:$A$49,0),MATCH([1]orders!L$1,[1]products!$A$1:$G$1,0))</f>
        <v>2.9849999999999999</v>
      </c>
      <c r="T746" s="6">
        <f t="shared" si="66"/>
        <v>17.91</v>
      </c>
      <c r="U746" s="22">
        <f t="shared" si="70"/>
        <v>1.0745999999999998</v>
      </c>
      <c r="V746" s="22">
        <f t="shared" si="71"/>
        <v>5.9999999999999982</v>
      </c>
    </row>
    <row r="747" spans="1:22" x14ac:dyDescent="0.3">
      <c r="A747" s="1" t="s">
        <v>1448</v>
      </c>
      <c r="B747" s="2">
        <v>44557</v>
      </c>
      <c r="C747" s="2" t="str">
        <f t="shared" si="67"/>
        <v>Monday</v>
      </c>
      <c r="D747" s="2" t="str">
        <f t="shared" si="68"/>
        <v>December</v>
      </c>
      <c r="E747" s="2" t="str">
        <f t="shared" si="69"/>
        <v>2021</v>
      </c>
      <c r="F747" s="3" t="s">
        <v>1449</v>
      </c>
      <c r="G747" s="3" t="str">
        <f>VLOOKUP(F748,'Customers (2)'!A:I,2,0)</f>
        <v>Hussein Olliff</v>
      </c>
      <c r="H747" s="3" t="str">
        <f>VLOOKUP(F747,'Customers (2)'!A:I,3,0)</f>
        <v>jhaldenkp@comcast.net</v>
      </c>
      <c r="I747" s="3" t="str">
        <f>VLOOKUP(F747,'Customers (2)'!A:I,4,0)</f>
        <v>+353 (278) 873-4395</v>
      </c>
      <c r="J747" s="3" t="str">
        <f>VLOOKUP(F747,'Customers (2)'!A:I,6,0)</f>
        <v>Clones</v>
      </c>
      <c r="K747" s="3" t="str">
        <f>VLOOKUP(F747,'Customers (2)'!A:I,7,0)</f>
        <v>Ireland</v>
      </c>
      <c r="L747" s="3" t="str">
        <f>VLOOKUP(F747,'Customers (2)'!A:I,9,0)</f>
        <v>No</v>
      </c>
      <c r="M747" s="4" t="s">
        <v>16</v>
      </c>
      <c r="N747" s="4" t="str">
        <f>VLOOKUP(M747,'Products (2)'!A:G,2,0)</f>
        <v>Excelsa</v>
      </c>
      <c r="O747" s="4" t="str">
        <f>VLOOKUP(M747,'Products (2)'!A:G,3,0)</f>
        <v>Dark</v>
      </c>
      <c r="P747" s="4">
        <f>VLOOKUP(M747,'Products (2)'!A:G,7,0)</f>
        <v>0.80190000000000006</v>
      </c>
      <c r="Q747" s="3">
        <v>2</v>
      </c>
      <c r="R747" s="5">
        <f>INDEX([1]products!$A$1:$G$49,MATCH([1]orders!$D747,[1]products!$A$1:$A$49,0),MATCH([1]orders!K$1,[1]products!$A$1:$G$1,0))</f>
        <v>0.5</v>
      </c>
      <c r="S747" s="6">
        <f>INDEX([1]products!$A$1:$G$49,MATCH([1]orders!$D747,[1]products!$A$1:$A$49,0),MATCH([1]orders!L$1,[1]products!$A$1:$G$1,0))</f>
        <v>7.29</v>
      </c>
      <c r="T747" s="6">
        <f t="shared" si="66"/>
        <v>14.58</v>
      </c>
      <c r="U747" s="22">
        <f t="shared" si="70"/>
        <v>1.6038000000000001</v>
      </c>
      <c r="V747" s="22">
        <f t="shared" si="71"/>
        <v>11</v>
      </c>
    </row>
    <row r="748" spans="1:22" x14ac:dyDescent="0.3">
      <c r="A748" s="1" t="s">
        <v>1450</v>
      </c>
      <c r="B748" s="2">
        <v>43741</v>
      </c>
      <c r="C748" s="2" t="str">
        <f t="shared" si="67"/>
        <v>Thursday</v>
      </c>
      <c r="D748" s="2" t="str">
        <f t="shared" si="68"/>
        <v>October</v>
      </c>
      <c r="E748" s="2" t="str">
        <f t="shared" si="69"/>
        <v>2019</v>
      </c>
      <c r="F748" s="3" t="s">
        <v>1451</v>
      </c>
      <c r="G748" s="3" t="str">
        <f>VLOOKUP(F749,'Customers (2)'!A:I,2,0)</f>
        <v>Teddi Quadri</v>
      </c>
      <c r="H748" s="3" t="str">
        <f>VLOOKUP(F748,'Customers (2)'!A:I,3,0)</f>
        <v>holliffkq@sciencedirect.com</v>
      </c>
      <c r="I748" s="3" t="str">
        <f>VLOOKUP(F748,'Customers (2)'!A:I,4,0)</f>
        <v>+353 (203) 716-7239</v>
      </c>
      <c r="J748" s="3" t="str">
        <f>VLOOKUP(F748,'Customers (2)'!A:I,6,0)</f>
        <v>Stradbally</v>
      </c>
      <c r="K748" s="3" t="str">
        <f>VLOOKUP(F748,'Customers (2)'!A:I,7,0)</f>
        <v>Ireland</v>
      </c>
      <c r="L748" s="3" t="str">
        <f>VLOOKUP(F748,'Customers (2)'!A:I,9,0)</f>
        <v>No</v>
      </c>
      <c r="M748" s="4" t="s">
        <v>61</v>
      </c>
      <c r="N748" s="4" t="str">
        <f>VLOOKUP(M748,'Products (2)'!A:G,2,0)</f>
        <v>Arabica</v>
      </c>
      <c r="O748" s="4" t="str">
        <f>VLOOKUP(M748,'Products (2)'!A:G,3,0)</f>
        <v>Medium</v>
      </c>
      <c r="P748" s="4">
        <f>VLOOKUP(M748,'Products (2)'!A:G,7,0)</f>
        <v>1.0125</v>
      </c>
      <c r="Q748" s="3">
        <v>3</v>
      </c>
      <c r="R748" s="5">
        <f>INDEX([1]products!$A$1:$G$49,MATCH([1]orders!$D748,[1]products!$A$1:$A$49,0),MATCH([1]orders!K$1,[1]products!$A$1:$G$1,0))</f>
        <v>1</v>
      </c>
      <c r="S748" s="6">
        <f>INDEX([1]products!$A$1:$G$49,MATCH([1]orders!$D748,[1]products!$A$1:$A$49,0),MATCH([1]orders!L$1,[1]products!$A$1:$G$1,0))</f>
        <v>11.25</v>
      </c>
      <c r="T748" s="6">
        <f t="shared" si="66"/>
        <v>33.75</v>
      </c>
      <c r="U748" s="22">
        <f t="shared" si="70"/>
        <v>3.0374999999999996</v>
      </c>
      <c r="V748" s="22">
        <f t="shared" si="71"/>
        <v>8.9999999999999982</v>
      </c>
    </row>
    <row r="749" spans="1:22" x14ac:dyDescent="0.3">
      <c r="A749" s="1" t="s">
        <v>1452</v>
      </c>
      <c r="B749" s="2">
        <v>43501</v>
      </c>
      <c r="C749" s="2" t="str">
        <f t="shared" si="67"/>
        <v>Tuesday</v>
      </c>
      <c r="D749" s="2" t="str">
        <f t="shared" si="68"/>
        <v>February</v>
      </c>
      <c r="E749" s="2" t="str">
        <f t="shared" si="69"/>
        <v>2019</v>
      </c>
      <c r="F749" s="3" t="s">
        <v>1453</v>
      </c>
      <c r="G749" s="3" t="str">
        <f>VLOOKUP(F750,'Customers (2)'!A:I,2,0)</f>
        <v>Felita Eshmade</v>
      </c>
      <c r="H749" s="3" t="str">
        <f>VLOOKUP(F749,'Customers (2)'!A:I,3,0)</f>
        <v>tquadrikr@opensource.org</v>
      </c>
      <c r="I749" s="3" t="str">
        <f>VLOOKUP(F749,'Customers (2)'!A:I,4,0)</f>
        <v>+353 (789) 442-3189</v>
      </c>
      <c r="J749" s="3" t="str">
        <f>VLOOKUP(F749,'Customers (2)'!A:I,6,0)</f>
        <v>Ballina</v>
      </c>
      <c r="K749" s="3" t="str">
        <f>VLOOKUP(F749,'Customers (2)'!A:I,7,0)</f>
        <v>Ireland</v>
      </c>
      <c r="L749" s="3" t="str">
        <f>VLOOKUP(F749,'Customers (2)'!A:I,9,0)</f>
        <v>Yes</v>
      </c>
      <c r="M749" s="4" t="s">
        <v>78</v>
      </c>
      <c r="N749" s="4" t="str">
        <f>VLOOKUP(M749,'Products (2)'!A:G,2,0)</f>
        <v>Liberica</v>
      </c>
      <c r="O749" s="4" t="str">
        <f>VLOOKUP(M749,'Products (2)'!A:G,3,0)</f>
        <v>Medium</v>
      </c>
      <c r="P749" s="4">
        <f>VLOOKUP(M749,'Products (2)'!A:G,7,0)</f>
        <v>1.1349</v>
      </c>
      <c r="Q749" s="3">
        <v>4</v>
      </c>
      <c r="R749" s="5">
        <f>INDEX([1]products!$A$1:$G$49,MATCH([1]orders!$D749,[1]products!$A$1:$A$49,0),MATCH([1]orders!K$1,[1]products!$A$1:$G$1,0))</f>
        <v>0.5</v>
      </c>
      <c r="S749" s="6">
        <f>INDEX([1]products!$A$1:$G$49,MATCH([1]orders!$D749,[1]products!$A$1:$A$49,0),MATCH([1]orders!L$1,[1]products!$A$1:$G$1,0))</f>
        <v>8.73</v>
      </c>
      <c r="T749" s="6">
        <f t="shared" si="66"/>
        <v>34.92</v>
      </c>
      <c r="U749" s="22">
        <f t="shared" si="70"/>
        <v>4.5396000000000001</v>
      </c>
      <c r="V749" s="22">
        <f t="shared" si="71"/>
        <v>13</v>
      </c>
    </row>
    <row r="750" spans="1:22" x14ac:dyDescent="0.3">
      <c r="A750" s="1" t="s">
        <v>1454</v>
      </c>
      <c r="B750" s="2">
        <v>44074</v>
      </c>
      <c r="C750" s="2" t="str">
        <f t="shared" si="67"/>
        <v>Monday</v>
      </c>
      <c r="D750" s="2" t="str">
        <f t="shared" si="68"/>
        <v>August</v>
      </c>
      <c r="E750" s="2" t="str">
        <f t="shared" si="69"/>
        <v>2020</v>
      </c>
      <c r="F750" s="3" t="s">
        <v>1455</v>
      </c>
      <c r="G750" s="3" t="str">
        <f>VLOOKUP(F751,'Customers (2)'!A:I,2,0)</f>
        <v>Melodie OIlier</v>
      </c>
      <c r="H750" s="3" t="str">
        <f>VLOOKUP(F750,'Customers (2)'!A:I,3,0)</f>
        <v>feshmadeks@umn.edu</v>
      </c>
      <c r="I750" s="3" t="str">
        <f>VLOOKUP(F750,'Customers (2)'!A:I,4,0)</f>
        <v>+1 (804) 531-4136</v>
      </c>
      <c r="J750" s="3" t="str">
        <f>VLOOKUP(F750,'Customers (2)'!A:I,6,0)</f>
        <v>Richmond</v>
      </c>
      <c r="K750" s="3" t="str">
        <f>VLOOKUP(F750,'Customers (2)'!A:I,7,0)</f>
        <v>United States</v>
      </c>
      <c r="L750" s="3" t="str">
        <f>VLOOKUP(F750,'Customers (2)'!A:I,9,0)</f>
        <v>No</v>
      </c>
      <c r="M750" s="4" t="s">
        <v>16</v>
      </c>
      <c r="N750" s="4" t="str">
        <f>VLOOKUP(M750,'Products (2)'!A:G,2,0)</f>
        <v>Excelsa</v>
      </c>
      <c r="O750" s="4" t="str">
        <f>VLOOKUP(M750,'Products (2)'!A:G,3,0)</f>
        <v>Dark</v>
      </c>
      <c r="P750" s="4">
        <f>VLOOKUP(M750,'Products (2)'!A:G,7,0)</f>
        <v>0.80190000000000006</v>
      </c>
      <c r="Q750" s="3">
        <v>2</v>
      </c>
      <c r="R750" s="5">
        <f>INDEX([1]products!$A$1:$G$49,MATCH([1]orders!$D750,[1]products!$A$1:$A$49,0),MATCH([1]orders!K$1,[1]products!$A$1:$G$1,0))</f>
        <v>0.5</v>
      </c>
      <c r="S750" s="6">
        <f>INDEX([1]products!$A$1:$G$49,MATCH([1]orders!$D750,[1]products!$A$1:$A$49,0),MATCH([1]orders!L$1,[1]products!$A$1:$G$1,0))</f>
        <v>7.29</v>
      </c>
      <c r="T750" s="6">
        <f t="shared" si="66"/>
        <v>14.58</v>
      </c>
      <c r="U750" s="22">
        <f t="shared" si="70"/>
        <v>1.6038000000000001</v>
      </c>
      <c r="V750" s="22">
        <f t="shared" si="71"/>
        <v>11</v>
      </c>
    </row>
    <row r="751" spans="1:22" x14ac:dyDescent="0.3">
      <c r="A751" s="1" t="s">
        <v>1456</v>
      </c>
      <c r="B751" s="2">
        <v>44209</v>
      </c>
      <c r="C751" s="2" t="str">
        <f t="shared" si="67"/>
        <v>Wednesday</v>
      </c>
      <c r="D751" s="2" t="str">
        <f t="shared" si="68"/>
        <v>January</v>
      </c>
      <c r="E751" s="2" t="str">
        <f t="shared" si="69"/>
        <v>2021</v>
      </c>
      <c r="F751" s="3" t="s">
        <v>1457</v>
      </c>
      <c r="G751" s="3" t="str">
        <f>VLOOKUP(F752,'Customers (2)'!A:I,2,0)</f>
        <v>Hazel Iacopini</v>
      </c>
      <c r="H751" s="3" t="str">
        <f>VLOOKUP(F751,'Customers (2)'!A:I,3,0)</f>
        <v>moilierkt@paginegialle.it</v>
      </c>
      <c r="I751" s="3" t="str">
        <f>VLOOKUP(F751,'Customers (2)'!A:I,4,0)</f>
        <v>+353 (675) 503-7567</v>
      </c>
      <c r="J751" s="3" t="str">
        <f>VLOOKUP(F751,'Customers (2)'!A:I,6,0)</f>
        <v>Glasnevin</v>
      </c>
      <c r="K751" s="3" t="str">
        <f>VLOOKUP(F751,'Customers (2)'!A:I,7,0)</f>
        <v>Ireland</v>
      </c>
      <c r="L751" s="3" t="str">
        <f>VLOOKUP(F751,'Customers (2)'!A:I,9,0)</f>
        <v>Yes</v>
      </c>
      <c r="M751" s="4" t="s">
        <v>101</v>
      </c>
      <c r="N751" s="4" t="str">
        <f>VLOOKUP(M751,'Products (2)'!A:G,2,0)</f>
        <v>Robusta</v>
      </c>
      <c r="O751" s="4" t="str">
        <f>VLOOKUP(M751,'Products (2)'!A:G,3,0)</f>
        <v>Dark</v>
      </c>
      <c r="P751" s="4">
        <f>VLOOKUP(M751,'Products (2)'!A:G,7,0)</f>
        <v>0.16109999999999997</v>
      </c>
      <c r="Q751" s="3">
        <v>2</v>
      </c>
      <c r="R751" s="5">
        <f>INDEX([1]products!$A$1:$G$49,MATCH([1]orders!$D751,[1]products!$A$1:$A$49,0),MATCH([1]orders!K$1,[1]products!$A$1:$G$1,0))</f>
        <v>0.2</v>
      </c>
      <c r="S751" s="6">
        <f>INDEX([1]products!$A$1:$G$49,MATCH([1]orders!$D751,[1]products!$A$1:$A$49,0),MATCH([1]orders!L$1,[1]products!$A$1:$G$1,0))</f>
        <v>2.6849999999999996</v>
      </c>
      <c r="T751" s="6">
        <f t="shared" si="66"/>
        <v>5.3699999999999992</v>
      </c>
      <c r="U751" s="22">
        <f t="shared" si="70"/>
        <v>0.32219999999999993</v>
      </c>
      <c r="V751" s="22">
        <f t="shared" si="71"/>
        <v>6</v>
      </c>
    </row>
    <row r="752" spans="1:22" x14ac:dyDescent="0.3">
      <c r="A752" s="1" t="s">
        <v>1458</v>
      </c>
      <c r="B752" s="2">
        <v>44277</v>
      </c>
      <c r="C752" s="2" t="str">
        <f t="shared" si="67"/>
        <v>Monday</v>
      </c>
      <c r="D752" s="2" t="str">
        <f t="shared" si="68"/>
        <v>March</v>
      </c>
      <c r="E752" s="2" t="str">
        <f t="shared" si="69"/>
        <v>2021</v>
      </c>
      <c r="F752" s="3" t="s">
        <v>1459</v>
      </c>
      <c r="G752" s="3" t="str">
        <f>VLOOKUP(F753,'Customers (2)'!A:I,2,0)</f>
        <v>Vinny Shoebotham</v>
      </c>
      <c r="H752" s="3">
        <f>VLOOKUP(F752,'Customers (2)'!A:I,3,0)</f>
        <v>0</v>
      </c>
      <c r="I752" s="3" t="str">
        <f>VLOOKUP(F752,'Customers (2)'!A:I,4,0)</f>
        <v>+1 (682) 246-6139</v>
      </c>
      <c r="J752" s="3" t="str">
        <f>VLOOKUP(F752,'Customers (2)'!A:I,6,0)</f>
        <v>Fort Worth</v>
      </c>
      <c r="K752" s="3" t="str">
        <f>VLOOKUP(F752,'Customers (2)'!A:I,7,0)</f>
        <v>United States</v>
      </c>
      <c r="L752" s="3" t="str">
        <f>VLOOKUP(F752,'Customers (2)'!A:I,9,0)</f>
        <v>Yes</v>
      </c>
      <c r="M752" s="4" t="s">
        <v>22</v>
      </c>
      <c r="N752" s="4" t="str">
        <f>VLOOKUP(M752,'Products (2)'!A:G,2,0)</f>
        <v>Robusta</v>
      </c>
      <c r="O752" s="4" t="str">
        <f>VLOOKUP(M752,'Products (2)'!A:G,3,0)</f>
        <v>Medium</v>
      </c>
      <c r="P752" s="4">
        <f>VLOOKUP(M752,'Products (2)'!A:G,7,0)</f>
        <v>0.35819999999999996</v>
      </c>
      <c r="Q752" s="3">
        <v>1</v>
      </c>
      <c r="R752" s="5">
        <f>INDEX([1]products!$A$1:$G$49,MATCH([1]orders!$D752,[1]products!$A$1:$A$49,0),MATCH([1]orders!K$1,[1]products!$A$1:$G$1,0))</f>
        <v>0.5</v>
      </c>
      <c r="S752" s="6">
        <f>INDEX([1]products!$A$1:$G$49,MATCH([1]orders!$D752,[1]products!$A$1:$A$49,0),MATCH([1]orders!L$1,[1]products!$A$1:$G$1,0))</f>
        <v>5.97</v>
      </c>
      <c r="T752" s="6">
        <f t="shared" si="66"/>
        <v>5.97</v>
      </c>
      <c r="U752" s="22">
        <f t="shared" si="70"/>
        <v>0.35819999999999996</v>
      </c>
      <c r="V752" s="22">
        <f t="shared" si="71"/>
        <v>6</v>
      </c>
    </row>
    <row r="753" spans="1:22" x14ac:dyDescent="0.3">
      <c r="A753" s="1" t="s">
        <v>1460</v>
      </c>
      <c r="B753" s="2">
        <v>43847</v>
      </c>
      <c r="C753" s="2" t="str">
        <f t="shared" si="67"/>
        <v>Friday</v>
      </c>
      <c r="D753" s="2" t="str">
        <f t="shared" si="68"/>
        <v>January</v>
      </c>
      <c r="E753" s="2" t="str">
        <f t="shared" si="69"/>
        <v>2020</v>
      </c>
      <c r="F753" s="3" t="s">
        <v>1461</v>
      </c>
      <c r="G753" s="3" t="str">
        <f>VLOOKUP(F754,'Customers (2)'!A:I,2,0)</f>
        <v>Bran Sterke</v>
      </c>
      <c r="H753" s="3" t="str">
        <f>VLOOKUP(F753,'Customers (2)'!A:I,3,0)</f>
        <v>vshoebothamkv@redcross.org</v>
      </c>
      <c r="I753" s="3" t="str">
        <f>VLOOKUP(F753,'Customers (2)'!A:I,4,0)</f>
        <v>+1 (212) 998-0802</v>
      </c>
      <c r="J753" s="3" t="str">
        <f>VLOOKUP(F753,'Customers (2)'!A:I,6,0)</f>
        <v>Brooklyn</v>
      </c>
      <c r="K753" s="3" t="str">
        <f>VLOOKUP(F753,'Customers (2)'!A:I,7,0)</f>
        <v>United States</v>
      </c>
      <c r="L753" s="3" t="str">
        <f>VLOOKUP(F753,'Customers (2)'!A:I,9,0)</f>
        <v>No</v>
      </c>
      <c r="M753" s="4" t="s">
        <v>83</v>
      </c>
      <c r="N753" s="4" t="str">
        <f>VLOOKUP(M753,'Products (2)'!A:G,2,0)</f>
        <v>Liberica</v>
      </c>
      <c r="O753" s="4" t="str">
        <f>VLOOKUP(M753,'Products (2)'!A:G,3,0)</f>
        <v>Light</v>
      </c>
      <c r="P753" s="4">
        <f>VLOOKUP(M753,'Products (2)'!A:G,7,0)</f>
        <v>1.2363</v>
      </c>
      <c r="Q753" s="3">
        <v>2</v>
      </c>
      <c r="R753" s="5">
        <f>INDEX([1]products!$A$1:$G$49,MATCH([1]orders!$D753,[1]products!$A$1:$A$49,0),MATCH([1]orders!K$1,[1]products!$A$1:$G$1,0))</f>
        <v>0.5</v>
      </c>
      <c r="S753" s="6">
        <f>INDEX([1]products!$A$1:$G$49,MATCH([1]orders!$D753,[1]products!$A$1:$A$49,0),MATCH([1]orders!L$1,[1]products!$A$1:$G$1,0))</f>
        <v>9.51</v>
      </c>
      <c r="T753" s="6">
        <f t="shared" si="66"/>
        <v>19.02</v>
      </c>
      <c r="U753" s="22">
        <f t="shared" si="70"/>
        <v>2.4725999999999999</v>
      </c>
      <c r="V753" s="22">
        <f t="shared" si="71"/>
        <v>13</v>
      </c>
    </row>
    <row r="754" spans="1:22" x14ac:dyDescent="0.3">
      <c r="A754" s="1" t="s">
        <v>1462</v>
      </c>
      <c r="B754" s="2">
        <v>43648</v>
      </c>
      <c r="C754" s="2" t="str">
        <f t="shared" si="67"/>
        <v>Tuesday</v>
      </c>
      <c r="D754" s="2" t="str">
        <f t="shared" si="68"/>
        <v>July</v>
      </c>
      <c r="E754" s="2" t="str">
        <f t="shared" si="69"/>
        <v>2019</v>
      </c>
      <c r="F754" s="3" t="s">
        <v>1463</v>
      </c>
      <c r="G754" s="3" t="str">
        <f>VLOOKUP(F755,'Customers (2)'!A:I,2,0)</f>
        <v>Simone Capon</v>
      </c>
      <c r="H754" s="3" t="str">
        <f>VLOOKUP(F754,'Customers (2)'!A:I,3,0)</f>
        <v>bsterkekw@biblegateway.com</v>
      </c>
      <c r="I754" s="3" t="str">
        <f>VLOOKUP(F754,'Customers (2)'!A:I,4,0)</f>
        <v>+1 (682) 617-0470</v>
      </c>
      <c r="J754" s="3" t="str">
        <f>VLOOKUP(F754,'Customers (2)'!A:I,6,0)</f>
        <v>Fort Worth</v>
      </c>
      <c r="K754" s="3" t="str">
        <f>VLOOKUP(F754,'Customers (2)'!A:I,7,0)</f>
        <v>United States</v>
      </c>
      <c r="L754" s="3" t="str">
        <f>VLOOKUP(F754,'Customers (2)'!A:I,9,0)</f>
        <v>Yes</v>
      </c>
      <c r="M754" s="4" t="s">
        <v>9</v>
      </c>
      <c r="N754" s="4" t="str">
        <f>VLOOKUP(M754,'Products (2)'!A:G,2,0)</f>
        <v>Excelsa</v>
      </c>
      <c r="O754" s="4" t="str">
        <f>VLOOKUP(M754,'Products (2)'!A:G,3,0)</f>
        <v>Medium</v>
      </c>
      <c r="P754" s="4">
        <f>VLOOKUP(M754,'Products (2)'!A:G,7,0)</f>
        <v>1.5125</v>
      </c>
      <c r="Q754" s="3">
        <v>2</v>
      </c>
      <c r="R754" s="5">
        <f>INDEX([1]products!$A$1:$G$49,MATCH([1]orders!$D754,[1]products!$A$1:$A$49,0),MATCH([1]orders!K$1,[1]products!$A$1:$G$1,0))</f>
        <v>1</v>
      </c>
      <c r="S754" s="6">
        <f>INDEX([1]products!$A$1:$G$49,MATCH([1]orders!$D754,[1]products!$A$1:$A$49,0),MATCH([1]orders!L$1,[1]products!$A$1:$G$1,0))</f>
        <v>13.75</v>
      </c>
      <c r="T754" s="6">
        <f t="shared" si="66"/>
        <v>27.5</v>
      </c>
      <c r="U754" s="22">
        <f t="shared" si="70"/>
        <v>3.0249999999999999</v>
      </c>
      <c r="V754" s="22">
        <f t="shared" si="71"/>
        <v>11</v>
      </c>
    </row>
    <row r="755" spans="1:22" x14ac:dyDescent="0.3">
      <c r="A755" s="1" t="s">
        <v>1464</v>
      </c>
      <c r="B755" s="2">
        <v>44704</v>
      </c>
      <c r="C755" s="2" t="str">
        <f t="shared" si="67"/>
        <v>Monday</v>
      </c>
      <c r="D755" s="2" t="str">
        <f t="shared" si="68"/>
        <v>May</v>
      </c>
      <c r="E755" s="2" t="str">
        <f t="shared" si="69"/>
        <v>2022</v>
      </c>
      <c r="F755" s="3" t="s">
        <v>1465</v>
      </c>
      <c r="G755" s="3" t="str">
        <f>VLOOKUP(F756,'Customers (2)'!A:I,2,0)</f>
        <v>Jimmy Dymoke</v>
      </c>
      <c r="H755" s="3" t="str">
        <f>VLOOKUP(F755,'Customers (2)'!A:I,3,0)</f>
        <v>scaponkx@craigslist.org</v>
      </c>
      <c r="I755" s="3" t="str">
        <f>VLOOKUP(F755,'Customers (2)'!A:I,4,0)</f>
        <v>+1 (602) 619-0168</v>
      </c>
      <c r="J755" s="3" t="str">
        <f>VLOOKUP(F755,'Customers (2)'!A:I,6,0)</f>
        <v>Phoenix</v>
      </c>
      <c r="K755" s="3" t="str">
        <f>VLOOKUP(F755,'Customers (2)'!A:I,7,0)</f>
        <v>United States</v>
      </c>
      <c r="L755" s="3" t="str">
        <f>VLOOKUP(F755,'Customers (2)'!A:I,9,0)</f>
        <v>No</v>
      </c>
      <c r="M755" s="4" t="s">
        <v>72</v>
      </c>
      <c r="N755" s="4" t="str">
        <f>VLOOKUP(M755,'Products (2)'!A:G,2,0)</f>
        <v>Arabica</v>
      </c>
      <c r="O755" s="4" t="str">
        <f>VLOOKUP(M755,'Products (2)'!A:G,3,0)</f>
        <v>Dark</v>
      </c>
      <c r="P755" s="4">
        <f>VLOOKUP(M755,'Products (2)'!A:G,7,0)</f>
        <v>0.5373</v>
      </c>
      <c r="Q755" s="3">
        <v>5</v>
      </c>
      <c r="R755" s="5">
        <f>INDEX([1]products!$A$1:$G$49,MATCH([1]orders!$D755,[1]products!$A$1:$A$49,0),MATCH([1]orders!K$1,[1]products!$A$1:$G$1,0))</f>
        <v>0.5</v>
      </c>
      <c r="S755" s="6">
        <f>INDEX([1]products!$A$1:$G$49,MATCH([1]orders!$D755,[1]products!$A$1:$A$49,0),MATCH([1]orders!L$1,[1]products!$A$1:$G$1,0))</f>
        <v>5.97</v>
      </c>
      <c r="T755" s="6">
        <f t="shared" si="66"/>
        <v>29.849999999999998</v>
      </c>
      <c r="U755" s="22">
        <f t="shared" si="70"/>
        <v>2.6865000000000001</v>
      </c>
      <c r="V755" s="22">
        <f t="shared" si="71"/>
        <v>9.0000000000000018</v>
      </c>
    </row>
    <row r="756" spans="1:22" x14ac:dyDescent="0.3">
      <c r="A756" s="1" t="s">
        <v>1466</v>
      </c>
      <c r="B756" s="2">
        <v>44726</v>
      </c>
      <c r="C756" s="2" t="str">
        <f t="shared" si="67"/>
        <v>Tuesday</v>
      </c>
      <c r="D756" s="2" t="str">
        <f t="shared" si="68"/>
        <v>June</v>
      </c>
      <c r="E756" s="2" t="str">
        <f t="shared" si="69"/>
        <v>2022</v>
      </c>
      <c r="F756" s="3" t="s">
        <v>1344</v>
      </c>
      <c r="G756" s="3" t="str">
        <f>VLOOKUP(F757,'Customers (2)'!A:I,2,0)</f>
        <v>Foster Constance</v>
      </c>
      <c r="H756" s="3" t="str">
        <f>VLOOKUP(F756,'Customers (2)'!A:I,3,0)</f>
        <v>jdymokeje@prnewswire.com</v>
      </c>
      <c r="I756" s="3" t="str">
        <f>VLOOKUP(F756,'Customers (2)'!A:I,4,0)</f>
        <v>+353 (390) 459-9269</v>
      </c>
      <c r="J756" s="3" t="str">
        <f>VLOOKUP(F756,'Customers (2)'!A:I,6,0)</f>
        <v>Beaumont</v>
      </c>
      <c r="K756" s="3" t="str">
        <f>VLOOKUP(F756,'Customers (2)'!A:I,7,0)</f>
        <v>Ireland</v>
      </c>
      <c r="L756" s="3" t="str">
        <f>VLOOKUP(F756,'Customers (2)'!A:I,9,0)</f>
        <v>No</v>
      </c>
      <c r="M756" s="4" t="s">
        <v>54</v>
      </c>
      <c r="N756" s="4" t="str">
        <f>VLOOKUP(M756,'Products (2)'!A:G,2,0)</f>
        <v>Arabica</v>
      </c>
      <c r="O756" s="4" t="str">
        <f>VLOOKUP(M756,'Products (2)'!A:G,3,0)</f>
        <v>Dark</v>
      </c>
      <c r="P756" s="4">
        <f>VLOOKUP(M756,'Products (2)'!A:G,7,0)</f>
        <v>0.26865</v>
      </c>
      <c r="Q756" s="3">
        <v>6</v>
      </c>
      <c r="R756" s="5">
        <f>INDEX([1]products!$A$1:$G$49,MATCH([1]orders!$D756,[1]products!$A$1:$A$49,0),MATCH([1]orders!K$1,[1]products!$A$1:$G$1,0))</f>
        <v>0.2</v>
      </c>
      <c r="S756" s="6">
        <f>INDEX([1]products!$A$1:$G$49,MATCH([1]orders!$D756,[1]products!$A$1:$A$49,0),MATCH([1]orders!L$1,[1]products!$A$1:$G$1,0))</f>
        <v>2.9849999999999999</v>
      </c>
      <c r="T756" s="6">
        <f t="shared" si="66"/>
        <v>17.91</v>
      </c>
      <c r="U756" s="22">
        <f t="shared" si="70"/>
        <v>1.6118999999999999</v>
      </c>
      <c r="V756" s="22">
        <f t="shared" si="71"/>
        <v>9</v>
      </c>
    </row>
    <row r="757" spans="1:22" x14ac:dyDescent="0.3">
      <c r="A757" s="1" t="s">
        <v>1467</v>
      </c>
      <c r="B757" s="2">
        <v>44397</v>
      </c>
      <c r="C757" s="2" t="str">
        <f t="shared" si="67"/>
        <v>Tuesday</v>
      </c>
      <c r="D757" s="2" t="str">
        <f t="shared" si="68"/>
        <v>July</v>
      </c>
      <c r="E757" s="2" t="str">
        <f t="shared" si="69"/>
        <v>2021</v>
      </c>
      <c r="F757" s="3" t="s">
        <v>1468</v>
      </c>
      <c r="G757" s="3" t="str">
        <f>VLOOKUP(F758,'Customers (2)'!A:I,2,0)</f>
        <v>Fernando Sulman</v>
      </c>
      <c r="H757" s="3" t="str">
        <f>VLOOKUP(F757,'Customers (2)'!A:I,3,0)</f>
        <v>fconstancekz@ifeng.com</v>
      </c>
      <c r="I757" s="3" t="str">
        <f>VLOOKUP(F757,'Customers (2)'!A:I,4,0)</f>
        <v>+1 (214) 388-6754</v>
      </c>
      <c r="J757" s="3" t="str">
        <f>VLOOKUP(F757,'Customers (2)'!A:I,6,0)</f>
        <v>Dallas</v>
      </c>
      <c r="K757" s="3" t="str">
        <f>VLOOKUP(F757,'Customers (2)'!A:I,7,0)</f>
        <v>United States</v>
      </c>
      <c r="L757" s="3" t="str">
        <f>VLOOKUP(F757,'Customers (2)'!A:I,9,0)</f>
        <v>No</v>
      </c>
      <c r="M757" s="4" t="s">
        <v>19</v>
      </c>
      <c r="N757" s="4" t="str">
        <f>VLOOKUP(M757,'Products (2)'!A:G,2,0)</f>
        <v>Liberica</v>
      </c>
      <c r="O757" s="4" t="str">
        <f>VLOOKUP(M757,'Products (2)'!A:G,3,0)</f>
        <v>Light</v>
      </c>
      <c r="P757" s="4">
        <f>VLOOKUP(M757,'Products (2)'!A:G,7,0)</f>
        <v>0.61814999999999998</v>
      </c>
      <c r="Q757" s="3">
        <v>6</v>
      </c>
      <c r="R757" s="5">
        <f>INDEX([1]products!$A$1:$G$49,MATCH([1]orders!$D757,[1]products!$A$1:$A$49,0),MATCH([1]orders!K$1,[1]products!$A$1:$G$1,0))</f>
        <v>0.2</v>
      </c>
      <c r="S757" s="6">
        <f>INDEX([1]products!$A$1:$G$49,MATCH([1]orders!$D757,[1]products!$A$1:$A$49,0),MATCH([1]orders!L$1,[1]products!$A$1:$G$1,0))</f>
        <v>4.7549999999999999</v>
      </c>
      <c r="T757" s="6">
        <f t="shared" si="66"/>
        <v>28.53</v>
      </c>
      <c r="U757" s="22">
        <f t="shared" si="70"/>
        <v>3.7088999999999999</v>
      </c>
      <c r="V757" s="22">
        <f t="shared" si="71"/>
        <v>12.999999999999998</v>
      </c>
    </row>
    <row r="758" spans="1:22" x14ac:dyDescent="0.3">
      <c r="A758" s="1" t="s">
        <v>1469</v>
      </c>
      <c r="B758" s="2">
        <v>44715</v>
      </c>
      <c r="C758" s="2" t="str">
        <f t="shared" si="67"/>
        <v>Friday</v>
      </c>
      <c r="D758" s="2" t="str">
        <f t="shared" si="68"/>
        <v>June</v>
      </c>
      <c r="E758" s="2" t="str">
        <f t="shared" si="69"/>
        <v>2022</v>
      </c>
      <c r="F758" s="3" t="s">
        <v>1470</v>
      </c>
      <c r="G758" s="3" t="str">
        <f>VLOOKUP(F759,'Customers (2)'!A:I,2,0)</f>
        <v>Dorotea Hollyman</v>
      </c>
      <c r="H758" s="3" t="str">
        <f>VLOOKUP(F758,'Customers (2)'!A:I,3,0)</f>
        <v>fsulmanl0@washington.edu</v>
      </c>
      <c r="I758" s="3" t="str">
        <f>VLOOKUP(F758,'Customers (2)'!A:I,4,0)</f>
        <v>+1 (828) 464-2678</v>
      </c>
      <c r="J758" s="3" t="str">
        <f>VLOOKUP(F758,'Customers (2)'!A:I,6,0)</f>
        <v>Asheville</v>
      </c>
      <c r="K758" s="3" t="str">
        <f>VLOOKUP(F758,'Customers (2)'!A:I,7,0)</f>
        <v>United States</v>
      </c>
      <c r="L758" s="3" t="str">
        <f>VLOOKUP(F758,'Customers (2)'!A:I,9,0)</f>
        <v>Yes</v>
      </c>
      <c r="M758" s="4" t="s">
        <v>179</v>
      </c>
      <c r="N758" s="4" t="str">
        <f>VLOOKUP(M758,'Products (2)'!A:G,2,0)</f>
        <v>Robusta</v>
      </c>
      <c r="O758" s="4" t="str">
        <f>VLOOKUP(M758,'Products (2)'!A:G,3,0)</f>
        <v>Dark</v>
      </c>
      <c r="P758" s="4">
        <f>VLOOKUP(M758,'Products (2)'!A:G,7,0)</f>
        <v>0.53699999999999992</v>
      </c>
      <c r="Q758" s="3">
        <v>4</v>
      </c>
      <c r="R758" s="5">
        <f>INDEX([1]products!$A$1:$G$49,MATCH([1]orders!$D758,[1]products!$A$1:$A$49,0),MATCH([1]orders!K$1,[1]products!$A$1:$G$1,0))</f>
        <v>1</v>
      </c>
      <c r="S758" s="6">
        <f>INDEX([1]products!$A$1:$G$49,MATCH([1]orders!$D758,[1]products!$A$1:$A$49,0),MATCH([1]orders!L$1,[1]products!$A$1:$G$1,0))</f>
        <v>8.9499999999999993</v>
      </c>
      <c r="T758" s="6">
        <f t="shared" si="66"/>
        <v>35.799999999999997</v>
      </c>
      <c r="U758" s="22">
        <f t="shared" si="70"/>
        <v>2.1479999999999997</v>
      </c>
      <c r="V758" s="22">
        <f t="shared" si="71"/>
        <v>6</v>
      </c>
    </row>
    <row r="759" spans="1:22" x14ac:dyDescent="0.3">
      <c r="A759" s="1" t="s">
        <v>1471</v>
      </c>
      <c r="B759" s="2">
        <v>43977</v>
      </c>
      <c r="C759" s="2" t="str">
        <f t="shared" si="67"/>
        <v>Tuesday</v>
      </c>
      <c r="D759" s="2" t="str">
        <f t="shared" si="68"/>
        <v>May</v>
      </c>
      <c r="E759" s="2" t="str">
        <f t="shared" si="69"/>
        <v>2020</v>
      </c>
      <c r="F759" s="3" t="s">
        <v>1472</v>
      </c>
      <c r="G759" s="3" t="str">
        <f>VLOOKUP(F760,'Customers (2)'!A:I,2,0)</f>
        <v>Lorelei Nardoni</v>
      </c>
      <c r="H759" s="3" t="str">
        <f>VLOOKUP(F759,'Customers (2)'!A:I,3,0)</f>
        <v>dhollymanl1@ibm.com</v>
      </c>
      <c r="I759" s="3" t="str">
        <f>VLOOKUP(F759,'Customers (2)'!A:I,4,0)</f>
        <v>+1 (406) 851-1244</v>
      </c>
      <c r="J759" s="3" t="str">
        <f>VLOOKUP(F759,'Customers (2)'!A:I,6,0)</f>
        <v>Billings</v>
      </c>
      <c r="K759" s="3" t="str">
        <f>VLOOKUP(F759,'Customers (2)'!A:I,7,0)</f>
        <v>United States</v>
      </c>
      <c r="L759" s="3" t="str">
        <f>VLOOKUP(F759,'Customers (2)'!A:I,9,0)</f>
        <v>Yes</v>
      </c>
      <c r="M759" s="4" t="s">
        <v>72</v>
      </c>
      <c r="N759" s="4" t="str">
        <f>VLOOKUP(M759,'Products (2)'!A:G,2,0)</f>
        <v>Arabica</v>
      </c>
      <c r="O759" s="4" t="str">
        <f>VLOOKUP(M759,'Products (2)'!A:G,3,0)</f>
        <v>Dark</v>
      </c>
      <c r="P759" s="4">
        <f>VLOOKUP(M759,'Products (2)'!A:G,7,0)</f>
        <v>0.5373</v>
      </c>
      <c r="Q759" s="3">
        <v>3</v>
      </c>
      <c r="R759" s="5">
        <f>INDEX([1]products!$A$1:$G$49,MATCH([1]orders!$D759,[1]products!$A$1:$A$49,0),MATCH([1]orders!K$1,[1]products!$A$1:$G$1,0))</f>
        <v>0.5</v>
      </c>
      <c r="S759" s="6">
        <f>INDEX([1]products!$A$1:$G$49,MATCH([1]orders!$D759,[1]products!$A$1:$A$49,0),MATCH([1]orders!L$1,[1]products!$A$1:$G$1,0))</f>
        <v>5.97</v>
      </c>
      <c r="T759" s="6">
        <f t="shared" si="66"/>
        <v>17.91</v>
      </c>
      <c r="U759" s="22">
        <f t="shared" si="70"/>
        <v>1.6118999999999999</v>
      </c>
      <c r="V759" s="22">
        <f t="shared" si="71"/>
        <v>9</v>
      </c>
    </row>
    <row r="760" spans="1:22" x14ac:dyDescent="0.3">
      <c r="A760" s="1" t="s">
        <v>1473</v>
      </c>
      <c r="B760" s="2">
        <v>43672</v>
      </c>
      <c r="C760" s="2" t="str">
        <f t="shared" si="67"/>
        <v>Friday</v>
      </c>
      <c r="D760" s="2" t="str">
        <f t="shared" si="68"/>
        <v>July</v>
      </c>
      <c r="E760" s="2" t="str">
        <f t="shared" si="69"/>
        <v>2019</v>
      </c>
      <c r="F760" s="3" t="s">
        <v>1474</v>
      </c>
      <c r="G760" s="3" t="str">
        <f>VLOOKUP(F761,'Customers (2)'!A:I,2,0)</f>
        <v>Dallas Yarham</v>
      </c>
      <c r="H760" s="3" t="str">
        <f>VLOOKUP(F760,'Customers (2)'!A:I,3,0)</f>
        <v>lnardonil2@hao123.com</v>
      </c>
      <c r="I760" s="3">
        <f>VLOOKUP(F760,'Customers (2)'!A:I,4,0)</f>
        <v>0</v>
      </c>
      <c r="J760" s="3" t="str">
        <f>VLOOKUP(F760,'Customers (2)'!A:I,6,0)</f>
        <v>Saint Louis</v>
      </c>
      <c r="K760" s="3" t="str">
        <f>VLOOKUP(F760,'Customers (2)'!A:I,7,0)</f>
        <v>United States</v>
      </c>
      <c r="L760" s="3" t="str">
        <f>VLOOKUP(F760,'Customers (2)'!A:I,9,0)</f>
        <v>No</v>
      </c>
      <c r="M760" s="4" t="s">
        <v>179</v>
      </c>
      <c r="N760" s="4" t="str">
        <f>VLOOKUP(M760,'Products (2)'!A:G,2,0)</f>
        <v>Robusta</v>
      </c>
      <c r="O760" s="4" t="str">
        <f>VLOOKUP(M760,'Products (2)'!A:G,3,0)</f>
        <v>Dark</v>
      </c>
      <c r="P760" s="4">
        <f>VLOOKUP(M760,'Products (2)'!A:G,7,0)</f>
        <v>0.53699999999999992</v>
      </c>
      <c r="Q760" s="3">
        <v>1</v>
      </c>
      <c r="R760" s="5">
        <f>INDEX([1]products!$A$1:$G$49,MATCH([1]orders!$D760,[1]products!$A$1:$A$49,0),MATCH([1]orders!K$1,[1]products!$A$1:$G$1,0))</f>
        <v>1</v>
      </c>
      <c r="S760" s="6">
        <f>INDEX([1]products!$A$1:$G$49,MATCH([1]orders!$D760,[1]products!$A$1:$A$49,0),MATCH([1]orders!L$1,[1]products!$A$1:$G$1,0))</f>
        <v>8.9499999999999993</v>
      </c>
      <c r="T760" s="6">
        <f t="shared" si="66"/>
        <v>8.9499999999999993</v>
      </c>
      <c r="U760" s="22">
        <f t="shared" si="70"/>
        <v>0.53699999999999992</v>
      </c>
      <c r="V760" s="22">
        <f t="shared" si="71"/>
        <v>6</v>
      </c>
    </row>
    <row r="761" spans="1:22" x14ac:dyDescent="0.3">
      <c r="A761" s="1" t="s">
        <v>1475</v>
      </c>
      <c r="B761" s="2">
        <v>44126</v>
      </c>
      <c r="C761" s="2" t="str">
        <f t="shared" si="67"/>
        <v>Thursday</v>
      </c>
      <c r="D761" s="2" t="str">
        <f t="shared" si="68"/>
        <v>October</v>
      </c>
      <c r="E761" s="2" t="str">
        <f t="shared" si="69"/>
        <v>2020</v>
      </c>
      <c r="F761" s="3" t="s">
        <v>1476</v>
      </c>
      <c r="G761" s="3" t="str">
        <f>VLOOKUP(F762,'Customers (2)'!A:I,2,0)</f>
        <v>Arlana Ferrea</v>
      </c>
      <c r="H761" s="3" t="str">
        <f>VLOOKUP(F761,'Customers (2)'!A:I,3,0)</f>
        <v>dyarhaml3@moonfruit.com</v>
      </c>
      <c r="I761" s="3" t="str">
        <f>VLOOKUP(F761,'Customers (2)'!A:I,4,0)</f>
        <v>+1 (816) 213-5248</v>
      </c>
      <c r="J761" s="3" t="str">
        <f>VLOOKUP(F761,'Customers (2)'!A:I,6,0)</f>
        <v>Independence</v>
      </c>
      <c r="K761" s="3" t="str">
        <f>VLOOKUP(F761,'Customers (2)'!A:I,7,0)</f>
        <v>United States</v>
      </c>
      <c r="L761" s="3" t="str">
        <f>VLOOKUP(F761,'Customers (2)'!A:I,9,0)</f>
        <v>Yes</v>
      </c>
      <c r="M761" s="4" t="s">
        <v>109</v>
      </c>
      <c r="N761" s="4" t="str">
        <f>VLOOKUP(M761,'Products (2)'!A:G,2,0)</f>
        <v>Liberica</v>
      </c>
      <c r="O761" s="4" t="str">
        <f>VLOOKUP(M761,'Products (2)'!A:G,3,0)</f>
        <v>Dark</v>
      </c>
      <c r="P761" s="4">
        <f>VLOOKUP(M761,'Products (2)'!A:G,7,0)</f>
        <v>3.8720499999999998</v>
      </c>
      <c r="Q761" s="3">
        <v>1</v>
      </c>
      <c r="R761" s="5">
        <f>INDEX([1]products!$A$1:$G$49,MATCH([1]orders!$D761,[1]products!$A$1:$A$49,0),MATCH([1]orders!K$1,[1]products!$A$1:$G$1,0))</f>
        <v>2.5</v>
      </c>
      <c r="S761" s="6">
        <f>INDEX([1]products!$A$1:$G$49,MATCH([1]orders!$D761,[1]products!$A$1:$A$49,0),MATCH([1]orders!L$1,[1]products!$A$1:$G$1,0))</f>
        <v>29.784999999999997</v>
      </c>
      <c r="T761" s="6">
        <f t="shared" si="66"/>
        <v>29.784999999999997</v>
      </c>
      <c r="U761" s="22">
        <f t="shared" si="70"/>
        <v>3.8720499999999998</v>
      </c>
      <c r="V761" s="22">
        <f t="shared" si="71"/>
        <v>13</v>
      </c>
    </row>
    <row r="762" spans="1:22" x14ac:dyDescent="0.3">
      <c r="A762" s="1" t="s">
        <v>1477</v>
      </c>
      <c r="B762" s="2">
        <v>44189</v>
      </c>
      <c r="C762" s="2" t="str">
        <f t="shared" si="67"/>
        <v>Thursday</v>
      </c>
      <c r="D762" s="2" t="str">
        <f t="shared" si="68"/>
        <v>December</v>
      </c>
      <c r="E762" s="2" t="str">
        <f t="shared" si="69"/>
        <v>2020</v>
      </c>
      <c r="F762" s="3" t="s">
        <v>1478</v>
      </c>
      <c r="G762" s="3" t="str">
        <f>VLOOKUP(F763,'Customers (2)'!A:I,2,0)</f>
        <v>Chuck Kendrick</v>
      </c>
      <c r="H762" s="3" t="str">
        <f>VLOOKUP(F762,'Customers (2)'!A:I,3,0)</f>
        <v>aferreal4@wikia.com</v>
      </c>
      <c r="I762" s="3">
        <f>VLOOKUP(F762,'Customers (2)'!A:I,4,0)</f>
        <v>0</v>
      </c>
      <c r="J762" s="3" t="str">
        <f>VLOOKUP(F762,'Customers (2)'!A:I,6,0)</f>
        <v>Greensboro</v>
      </c>
      <c r="K762" s="3" t="str">
        <f>VLOOKUP(F762,'Customers (2)'!A:I,7,0)</f>
        <v>United States</v>
      </c>
      <c r="L762" s="3" t="str">
        <f>VLOOKUP(F762,'Customers (2)'!A:I,9,0)</f>
        <v>No</v>
      </c>
      <c r="M762" s="4" t="s">
        <v>176</v>
      </c>
      <c r="N762" s="4" t="str">
        <f>VLOOKUP(M762,'Products (2)'!A:G,2,0)</f>
        <v>Excelsa</v>
      </c>
      <c r="O762" s="4" t="str">
        <f>VLOOKUP(M762,'Products (2)'!A:G,3,0)</f>
        <v>Light</v>
      </c>
      <c r="P762" s="4">
        <f>VLOOKUP(M762,'Products (2)'!A:G,7,0)</f>
        <v>0.98009999999999997</v>
      </c>
      <c r="Q762" s="3">
        <v>5</v>
      </c>
      <c r="R762" s="5">
        <f>INDEX([1]products!$A$1:$G$49,MATCH([1]orders!$D762,[1]products!$A$1:$A$49,0),MATCH([1]orders!K$1,[1]products!$A$1:$G$1,0))</f>
        <v>0.5</v>
      </c>
      <c r="S762" s="6">
        <f>INDEX([1]products!$A$1:$G$49,MATCH([1]orders!$D762,[1]products!$A$1:$A$49,0),MATCH([1]orders!L$1,[1]products!$A$1:$G$1,0))</f>
        <v>8.91</v>
      </c>
      <c r="T762" s="6">
        <f t="shared" si="66"/>
        <v>44.55</v>
      </c>
      <c r="U762" s="22">
        <f t="shared" si="70"/>
        <v>4.9005000000000001</v>
      </c>
      <c r="V762" s="22">
        <f t="shared" si="71"/>
        <v>11.000000000000002</v>
      </c>
    </row>
    <row r="763" spans="1:22" x14ac:dyDescent="0.3">
      <c r="A763" s="1" t="s">
        <v>1479</v>
      </c>
      <c r="B763" s="2">
        <v>43714</v>
      </c>
      <c r="C763" s="2" t="str">
        <f t="shared" si="67"/>
        <v>Friday</v>
      </c>
      <c r="D763" s="2" t="str">
        <f t="shared" si="68"/>
        <v>September</v>
      </c>
      <c r="E763" s="2" t="str">
        <f t="shared" si="69"/>
        <v>2019</v>
      </c>
      <c r="F763" s="3" t="s">
        <v>1480</v>
      </c>
      <c r="G763" s="3" t="str">
        <f>VLOOKUP(F764,'Customers (2)'!A:I,2,0)</f>
        <v>Sharona Danilchik</v>
      </c>
      <c r="H763" s="3" t="str">
        <f>VLOOKUP(F763,'Customers (2)'!A:I,3,0)</f>
        <v>ckendrickl5@webnode.com</v>
      </c>
      <c r="I763" s="3">
        <f>VLOOKUP(F763,'Customers (2)'!A:I,4,0)</f>
        <v>0</v>
      </c>
      <c r="J763" s="3" t="str">
        <f>VLOOKUP(F763,'Customers (2)'!A:I,6,0)</f>
        <v>Monroe</v>
      </c>
      <c r="K763" s="3" t="str">
        <f>VLOOKUP(F763,'Customers (2)'!A:I,7,0)</f>
        <v>United States</v>
      </c>
      <c r="L763" s="3" t="str">
        <f>VLOOKUP(F763,'Customers (2)'!A:I,9,0)</f>
        <v>Yes</v>
      </c>
      <c r="M763" s="4" t="s">
        <v>137</v>
      </c>
      <c r="N763" s="4" t="str">
        <f>VLOOKUP(M763,'Products (2)'!A:G,2,0)</f>
        <v>Excelsa</v>
      </c>
      <c r="O763" s="4" t="str">
        <f>VLOOKUP(M763,'Products (2)'!A:G,3,0)</f>
        <v>Light</v>
      </c>
      <c r="P763" s="4">
        <f>VLOOKUP(M763,'Products (2)'!A:G,7,0)</f>
        <v>1.6335</v>
      </c>
      <c r="Q763" s="3">
        <v>6</v>
      </c>
      <c r="R763" s="5">
        <f>INDEX([1]products!$A$1:$G$49,MATCH([1]orders!$D763,[1]products!$A$1:$A$49,0),MATCH([1]orders!K$1,[1]products!$A$1:$G$1,0))</f>
        <v>1</v>
      </c>
      <c r="S763" s="6">
        <f>INDEX([1]products!$A$1:$G$49,MATCH([1]orders!$D763,[1]products!$A$1:$A$49,0),MATCH([1]orders!L$1,[1]products!$A$1:$G$1,0))</f>
        <v>14.85</v>
      </c>
      <c r="T763" s="6">
        <f t="shared" si="66"/>
        <v>89.1</v>
      </c>
      <c r="U763" s="22">
        <f t="shared" si="70"/>
        <v>9.8010000000000002</v>
      </c>
      <c r="V763" s="22">
        <f t="shared" si="71"/>
        <v>11.000000000000002</v>
      </c>
    </row>
    <row r="764" spans="1:22" x14ac:dyDescent="0.3">
      <c r="A764" s="1" t="s">
        <v>1481</v>
      </c>
      <c r="B764" s="2">
        <v>43563</v>
      </c>
      <c r="C764" s="2" t="str">
        <f t="shared" si="67"/>
        <v>Monday</v>
      </c>
      <c r="D764" s="2" t="str">
        <f t="shared" si="68"/>
        <v>April</v>
      </c>
      <c r="E764" s="2" t="str">
        <f t="shared" si="69"/>
        <v>2019</v>
      </c>
      <c r="F764" s="3" t="s">
        <v>1482</v>
      </c>
      <c r="G764" s="3" t="str">
        <f>VLOOKUP(F765,'Customers (2)'!A:I,2,0)</f>
        <v>Sarajane Potter</v>
      </c>
      <c r="H764" s="3" t="str">
        <f>VLOOKUP(F764,'Customers (2)'!A:I,3,0)</f>
        <v>sdanilchikl6@mit.edu</v>
      </c>
      <c r="I764" s="3" t="str">
        <f>VLOOKUP(F764,'Customers (2)'!A:I,4,0)</f>
        <v>+44 (292) 975-0144</v>
      </c>
      <c r="J764" s="3" t="str">
        <f>VLOOKUP(F764,'Customers (2)'!A:I,6,0)</f>
        <v>Halton</v>
      </c>
      <c r="K764" s="3" t="str">
        <f>VLOOKUP(F764,'Customers (2)'!A:I,7,0)</f>
        <v>United Kingdom</v>
      </c>
      <c r="L764" s="3" t="str">
        <f>VLOOKUP(F764,'Customers (2)'!A:I,9,0)</f>
        <v>No</v>
      </c>
      <c r="M764" s="4" t="s">
        <v>78</v>
      </c>
      <c r="N764" s="4" t="str">
        <f>VLOOKUP(M764,'Products (2)'!A:G,2,0)</f>
        <v>Liberica</v>
      </c>
      <c r="O764" s="4" t="str">
        <f>VLOOKUP(M764,'Products (2)'!A:G,3,0)</f>
        <v>Medium</v>
      </c>
      <c r="P764" s="4">
        <f>VLOOKUP(M764,'Products (2)'!A:G,7,0)</f>
        <v>1.1349</v>
      </c>
      <c r="Q764" s="3">
        <v>5</v>
      </c>
      <c r="R764" s="5">
        <f>INDEX([1]products!$A$1:$G$49,MATCH([1]orders!$D764,[1]products!$A$1:$A$49,0),MATCH([1]orders!K$1,[1]products!$A$1:$G$1,0))</f>
        <v>0.5</v>
      </c>
      <c r="S764" s="6">
        <f>INDEX([1]products!$A$1:$G$49,MATCH([1]orders!$D764,[1]products!$A$1:$A$49,0),MATCH([1]orders!L$1,[1]products!$A$1:$G$1,0))</f>
        <v>8.73</v>
      </c>
      <c r="T764" s="6">
        <f t="shared" si="66"/>
        <v>43.650000000000006</v>
      </c>
      <c r="U764" s="22">
        <f t="shared" si="70"/>
        <v>5.6745000000000001</v>
      </c>
      <c r="V764" s="22">
        <f t="shared" si="71"/>
        <v>12.999999999999998</v>
      </c>
    </row>
    <row r="765" spans="1:22" x14ac:dyDescent="0.3">
      <c r="A765" s="1" t="s">
        <v>1483</v>
      </c>
      <c r="B765" s="2">
        <v>44587</v>
      </c>
      <c r="C765" s="2" t="str">
        <f t="shared" si="67"/>
        <v>Wednesday</v>
      </c>
      <c r="D765" s="2" t="str">
        <f t="shared" si="68"/>
        <v>January</v>
      </c>
      <c r="E765" s="2" t="str">
        <f t="shared" si="69"/>
        <v>2022</v>
      </c>
      <c r="F765" s="3" t="s">
        <v>1484</v>
      </c>
      <c r="G765" s="3" t="str">
        <f>VLOOKUP(F766,'Customers (2)'!A:I,2,0)</f>
        <v>Bobby Folomkin</v>
      </c>
      <c r="H765" s="3">
        <f>VLOOKUP(F765,'Customers (2)'!A:I,3,0)</f>
        <v>0</v>
      </c>
      <c r="I765" s="3" t="str">
        <f>VLOOKUP(F765,'Customers (2)'!A:I,4,0)</f>
        <v>+1 (817) 389-2294</v>
      </c>
      <c r="J765" s="3" t="str">
        <f>VLOOKUP(F765,'Customers (2)'!A:I,6,0)</f>
        <v>Fort Worth</v>
      </c>
      <c r="K765" s="3" t="str">
        <f>VLOOKUP(F765,'Customers (2)'!A:I,7,0)</f>
        <v>United States</v>
      </c>
      <c r="L765" s="3" t="str">
        <f>VLOOKUP(F765,'Customers (2)'!A:I,9,0)</f>
        <v>No</v>
      </c>
      <c r="M765" s="4" t="s">
        <v>192</v>
      </c>
      <c r="N765" s="4" t="str">
        <f>VLOOKUP(M765,'Products (2)'!A:G,2,0)</f>
        <v>Arabica</v>
      </c>
      <c r="O765" s="4" t="str">
        <f>VLOOKUP(M765,'Products (2)'!A:G,3,0)</f>
        <v>Light</v>
      </c>
      <c r="P765" s="4">
        <f>VLOOKUP(M765,'Products (2)'!A:G,7,0)</f>
        <v>0.69929999999999992</v>
      </c>
      <c r="Q765" s="3">
        <v>3</v>
      </c>
      <c r="R765" s="5">
        <f>INDEX([1]products!$A$1:$G$49,MATCH([1]orders!$D765,[1]products!$A$1:$A$49,0),MATCH([1]orders!K$1,[1]products!$A$1:$G$1,0))</f>
        <v>0.5</v>
      </c>
      <c r="S765" s="6">
        <f>INDEX([1]products!$A$1:$G$49,MATCH([1]orders!$D765,[1]products!$A$1:$A$49,0),MATCH([1]orders!L$1,[1]products!$A$1:$G$1,0))</f>
        <v>7.77</v>
      </c>
      <c r="T765" s="6">
        <f t="shared" si="66"/>
        <v>23.31</v>
      </c>
      <c r="U765" s="22">
        <f t="shared" si="70"/>
        <v>2.0978999999999997</v>
      </c>
      <c r="V765" s="22">
        <f t="shared" si="71"/>
        <v>9</v>
      </c>
    </row>
    <row r="766" spans="1:22" x14ac:dyDescent="0.3">
      <c r="A766" s="1" t="s">
        <v>1485</v>
      </c>
      <c r="B766" s="2">
        <v>43797</v>
      </c>
      <c r="C766" s="2" t="str">
        <f t="shared" si="67"/>
        <v>Thursday</v>
      </c>
      <c r="D766" s="2" t="str">
        <f t="shared" si="68"/>
        <v>November</v>
      </c>
      <c r="E766" s="2" t="str">
        <f t="shared" si="69"/>
        <v>2019</v>
      </c>
      <c r="F766" s="3" t="s">
        <v>1486</v>
      </c>
      <c r="G766" s="3" t="str">
        <f>VLOOKUP(F767,'Customers (2)'!A:I,2,0)</f>
        <v>Rafferty Pursglove</v>
      </c>
      <c r="H766" s="3" t="str">
        <f>VLOOKUP(F766,'Customers (2)'!A:I,3,0)</f>
        <v>bfolomkinl8@yolasite.com</v>
      </c>
      <c r="I766" s="3" t="str">
        <f>VLOOKUP(F766,'Customers (2)'!A:I,4,0)</f>
        <v>+1 (701) 278-8412</v>
      </c>
      <c r="J766" s="3" t="str">
        <f>VLOOKUP(F766,'Customers (2)'!A:I,6,0)</f>
        <v>Fargo</v>
      </c>
      <c r="K766" s="3" t="str">
        <f>VLOOKUP(F766,'Customers (2)'!A:I,7,0)</f>
        <v>United States</v>
      </c>
      <c r="L766" s="3" t="str">
        <f>VLOOKUP(F766,'Customers (2)'!A:I,9,0)</f>
        <v>Yes</v>
      </c>
      <c r="M766" s="4" t="s">
        <v>204</v>
      </c>
      <c r="N766" s="4" t="str">
        <f>VLOOKUP(M766,'Products (2)'!A:G,2,0)</f>
        <v>Arabica</v>
      </c>
      <c r="O766" s="4" t="str">
        <f>VLOOKUP(M766,'Products (2)'!A:G,3,0)</f>
        <v>Light</v>
      </c>
      <c r="P766" s="4">
        <f>VLOOKUP(M766,'Products (2)'!A:G,7,0)</f>
        <v>2.6806499999999995</v>
      </c>
      <c r="Q766" s="3">
        <v>6</v>
      </c>
      <c r="R766" s="5">
        <f>INDEX([1]products!$A$1:$G$49,MATCH([1]orders!$D766,[1]products!$A$1:$A$49,0),MATCH([1]orders!K$1,[1]products!$A$1:$G$1,0))</f>
        <v>2.5</v>
      </c>
      <c r="S766" s="6">
        <f>INDEX([1]products!$A$1:$G$49,MATCH([1]orders!$D766,[1]products!$A$1:$A$49,0),MATCH([1]orders!L$1,[1]products!$A$1:$G$1,0))</f>
        <v>29.784999999999997</v>
      </c>
      <c r="T766" s="6">
        <f t="shared" si="66"/>
        <v>178.70999999999998</v>
      </c>
      <c r="U766" s="22">
        <f t="shared" si="70"/>
        <v>16.083899999999996</v>
      </c>
      <c r="V766" s="22">
        <f t="shared" si="71"/>
        <v>8.9999999999999982</v>
      </c>
    </row>
    <row r="767" spans="1:22" x14ac:dyDescent="0.3">
      <c r="A767" s="1" t="s">
        <v>1487</v>
      </c>
      <c r="B767" s="2">
        <v>43667</v>
      </c>
      <c r="C767" s="2" t="str">
        <f t="shared" si="67"/>
        <v>Sunday</v>
      </c>
      <c r="D767" s="2" t="str">
        <f t="shared" si="68"/>
        <v>July</v>
      </c>
      <c r="E767" s="2" t="str">
        <f t="shared" si="69"/>
        <v>2019</v>
      </c>
      <c r="F767" s="3" t="s">
        <v>1488</v>
      </c>
      <c r="G767" s="3" t="str">
        <f>VLOOKUP(F768,'Customers (2)'!A:I,2,0)</f>
        <v>Rafferty Pursglove</v>
      </c>
      <c r="H767" s="3" t="str">
        <f>VLOOKUP(F767,'Customers (2)'!A:I,3,0)</f>
        <v>rpursglovel9@biblegateway.com</v>
      </c>
      <c r="I767" s="3" t="str">
        <f>VLOOKUP(F767,'Customers (2)'!A:I,4,0)</f>
        <v>+1 (214) 813-8745</v>
      </c>
      <c r="J767" s="3" t="str">
        <f>VLOOKUP(F767,'Customers (2)'!A:I,6,0)</f>
        <v>Garland</v>
      </c>
      <c r="K767" s="3" t="str">
        <f>VLOOKUP(F767,'Customers (2)'!A:I,7,0)</f>
        <v>United States</v>
      </c>
      <c r="L767" s="3" t="str">
        <f>VLOOKUP(F767,'Customers (2)'!A:I,9,0)</f>
        <v>Yes</v>
      </c>
      <c r="M767" s="4" t="s">
        <v>2</v>
      </c>
      <c r="N767" s="4" t="str">
        <f>VLOOKUP(M767,'Products (2)'!A:G,2,0)</f>
        <v>Robusta</v>
      </c>
      <c r="O767" s="4" t="str">
        <f>VLOOKUP(M767,'Products (2)'!A:G,3,0)</f>
        <v>Medium</v>
      </c>
      <c r="P767" s="4">
        <f>VLOOKUP(M767,'Products (2)'!A:G,7,0)</f>
        <v>0.59699999999999998</v>
      </c>
      <c r="Q767" s="3">
        <v>6</v>
      </c>
      <c r="R767" s="5">
        <f>INDEX([1]products!$A$1:$G$49,MATCH([1]orders!$D767,[1]products!$A$1:$A$49,0),MATCH([1]orders!K$1,[1]products!$A$1:$G$1,0))</f>
        <v>1</v>
      </c>
      <c r="S767" s="6">
        <f>INDEX([1]products!$A$1:$G$49,MATCH([1]orders!$D767,[1]products!$A$1:$A$49,0),MATCH([1]orders!L$1,[1]products!$A$1:$G$1,0))</f>
        <v>9.9499999999999993</v>
      </c>
      <c r="T767" s="6">
        <f t="shared" si="66"/>
        <v>59.699999999999996</v>
      </c>
      <c r="U767" s="22">
        <f t="shared" si="70"/>
        <v>3.5819999999999999</v>
      </c>
      <c r="V767" s="22">
        <f t="shared" si="71"/>
        <v>6.0000000000000009</v>
      </c>
    </row>
    <row r="768" spans="1:22" x14ac:dyDescent="0.3">
      <c r="A768" s="1" t="s">
        <v>1487</v>
      </c>
      <c r="B768" s="2">
        <v>43667</v>
      </c>
      <c r="C768" s="2" t="str">
        <f t="shared" si="67"/>
        <v>Sunday</v>
      </c>
      <c r="D768" s="2" t="str">
        <f t="shared" si="68"/>
        <v>July</v>
      </c>
      <c r="E768" s="2" t="str">
        <f t="shared" si="69"/>
        <v>2019</v>
      </c>
      <c r="F768" s="3" t="s">
        <v>1488</v>
      </c>
      <c r="G768" s="3" t="str">
        <f>VLOOKUP(F769,'Customers (2)'!A:I,2,0)</f>
        <v>Foster Constance</v>
      </c>
      <c r="H768" s="3" t="str">
        <f>VLOOKUP(F768,'Customers (2)'!A:I,3,0)</f>
        <v>rpursglovel9@biblegateway.com</v>
      </c>
      <c r="I768" s="3" t="str">
        <f>VLOOKUP(F768,'Customers (2)'!A:I,4,0)</f>
        <v>+1 (214) 813-8745</v>
      </c>
      <c r="J768" s="3" t="str">
        <f>VLOOKUP(F768,'Customers (2)'!A:I,6,0)</f>
        <v>Garland</v>
      </c>
      <c r="K768" s="3" t="str">
        <f>VLOOKUP(F768,'Customers (2)'!A:I,7,0)</f>
        <v>United States</v>
      </c>
      <c r="L768" s="3" t="str">
        <f>VLOOKUP(F768,'Customers (2)'!A:I,9,0)</f>
        <v>Yes</v>
      </c>
      <c r="M768" s="4" t="s">
        <v>192</v>
      </c>
      <c r="N768" s="4" t="str">
        <f>VLOOKUP(M768,'Products (2)'!A:G,2,0)</f>
        <v>Arabica</v>
      </c>
      <c r="O768" s="4" t="str">
        <f>VLOOKUP(M768,'Products (2)'!A:G,3,0)</f>
        <v>Light</v>
      </c>
      <c r="P768" s="4">
        <f>VLOOKUP(M768,'Products (2)'!A:G,7,0)</f>
        <v>0.69929999999999992</v>
      </c>
      <c r="Q768" s="3">
        <v>2</v>
      </c>
      <c r="R768" s="5">
        <f>INDEX([1]products!$A$1:$G$49,MATCH([1]orders!$D768,[1]products!$A$1:$A$49,0),MATCH([1]orders!K$1,[1]products!$A$1:$G$1,0))</f>
        <v>0.5</v>
      </c>
      <c r="S768" s="6">
        <f>INDEX([1]products!$A$1:$G$49,MATCH([1]orders!$D768,[1]products!$A$1:$A$49,0),MATCH([1]orders!L$1,[1]products!$A$1:$G$1,0))</f>
        <v>7.77</v>
      </c>
      <c r="T768" s="6">
        <f t="shared" si="66"/>
        <v>15.54</v>
      </c>
      <c r="U768" s="22">
        <f t="shared" si="70"/>
        <v>1.3985999999999998</v>
      </c>
      <c r="V768" s="22">
        <f t="shared" si="71"/>
        <v>9</v>
      </c>
    </row>
    <row r="769" spans="1:22" x14ac:dyDescent="0.3">
      <c r="A769" s="1" t="s">
        <v>1489</v>
      </c>
      <c r="B769" s="2">
        <v>44267</v>
      </c>
      <c r="C769" s="2" t="str">
        <f t="shared" si="67"/>
        <v>Friday</v>
      </c>
      <c r="D769" s="2" t="str">
        <f t="shared" si="68"/>
        <v>March</v>
      </c>
      <c r="E769" s="2" t="str">
        <f t="shared" si="69"/>
        <v>2021</v>
      </c>
      <c r="F769" s="3" t="s">
        <v>1468</v>
      </c>
      <c r="G769" s="3" t="str">
        <f>VLOOKUP(F770,'Customers (2)'!A:I,2,0)</f>
        <v>Foster Constance</v>
      </c>
      <c r="H769" s="3" t="str">
        <f>VLOOKUP(F769,'Customers (2)'!A:I,3,0)</f>
        <v>fconstancekz@ifeng.com</v>
      </c>
      <c r="I769" s="3" t="str">
        <f>VLOOKUP(F769,'Customers (2)'!A:I,4,0)</f>
        <v>+1 (214) 388-6754</v>
      </c>
      <c r="J769" s="3" t="str">
        <f>VLOOKUP(F769,'Customers (2)'!A:I,6,0)</f>
        <v>Dallas</v>
      </c>
      <c r="K769" s="3" t="str">
        <f>VLOOKUP(F769,'Customers (2)'!A:I,7,0)</f>
        <v>United States</v>
      </c>
      <c r="L769" s="3" t="str">
        <f>VLOOKUP(F769,'Customers (2)'!A:I,9,0)</f>
        <v>No</v>
      </c>
      <c r="M769" s="4" t="s">
        <v>204</v>
      </c>
      <c r="N769" s="4" t="str">
        <f>VLOOKUP(M769,'Products (2)'!A:G,2,0)</f>
        <v>Arabica</v>
      </c>
      <c r="O769" s="4" t="str">
        <f>VLOOKUP(M769,'Products (2)'!A:G,3,0)</f>
        <v>Light</v>
      </c>
      <c r="P769" s="4">
        <f>VLOOKUP(M769,'Products (2)'!A:G,7,0)</f>
        <v>2.6806499999999995</v>
      </c>
      <c r="Q769" s="3">
        <v>3</v>
      </c>
      <c r="R769" s="5">
        <f>INDEX([1]products!$A$1:$G$49,MATCH([1]orders!$D769,[1]products!$A$1:$A$49,0),MATCH([1]orders!K$1,[1]products!$A$1:$G$1,0))</f>
        <v>2.5</v>
      </c>
      <c r="S769" s="6">
        <f>INDEX([1]products!$A$1:$G$49,MATCH([1]orders!$D769,[1]products!$A$1:$A$49,0),MATCH([1]orders!L$1,[1]products!$A$1:$G$1,0))</f>
        <v>29.784999999999997</v>
      </c>
      <c r="T769" s="6">
        <f t="shared" si="66"/>
        <v>89.35499999999999</v>
      </c>
      <c r="U769" s="22">
        <f t="shared" si="70"/>
        <v>8.0419499999999982</v>
      </c>
      <c r="V769" s="22">
        <f t="shared" si="71"/>
        <v>8.9999999999999982</v>
      </c>
    </row>
    <row r="770" spans="1:22" x14ac:dyDescent="0.3">
      <c r="A770" s="1" t="s">
        <v>1490</v>
      </c>
      <c r="B770" s="2">
        <v>44562</v>
      </c>
      <c r="C770" s="2" t="str">
        <f t="shared" si="67"/>
        <v>Saturday</v>
      </c>
      <c r="D770" s="2" t="str">
        <f t="shared" si="68"/>
        <v>January</v>
      </c>
      <c r="E770" s="2" t="str">
        <f t="shared" si="69"/>
        <v>2022</v>
      </c>
      <c r="F770" s="3" t="s">
        <v>1468</v>
      </c>
      <c r="G770" s="3" t="str">
        <f>VLOOKUP(F771,'Customers (2)'!A:I,2,0)</f>
        <v>Dalia Eburah</v>
      </c>
      <c r="H770" s="3" t="str">
        <f>VLOOKUP(F770,'Customers (2)'!A:I,3,0)</f>
        <v>fconstancekz@ifeng.com</v>
      </c>
      <c r="I770" s="3" t="str">
        <f>VLOOKUP(F770,'Customers (2)'!A:I,4,0)</f>
        <v>+1 (214) 388-6754</v>
      </c>
      <c r="J770" s="3" t="str">
        <f>VLOOKUP(F770,'Customers (2)'!A:I,6,0)</f>
        <v>Dallas</v>
      </c>
      <c r="K770" s="3" t="str">
        <f>VLOOKUP(F770,'Customers (2)'!A:I,7,0)</f>
        <v>United States</v>
      </c>
      <c r="L770" s="3" t="str">
        <f>VLOOKUP(F770,'Customers (2)'!A:I,9,0)</f>
        <v>No</v>
      </c>
      <c r="M770" s="4" t="s">
        <v>189</v>
      </c>
      <c r="N770" s="4" t="str">
        <f>VLOOKUP(M770,'Products (2)'!A:G,2,0)</f>
        <v>Robusta</v>
      </c>
      <c r="O770" s="4" t="str">
        <f>VLOOKUP(M770,'Products (2)'!A:G,3,0)</f>
        <v>Light</v>
      </c>
      <c r="P770" s="4">
        <f>VLOOKUP(M770,'Products (2)'!A:G,7,0)</f>
        <v>0.71699999999999997</v>
      </c>
      <c r="Q770" s="3">
        <v>2</v>
      </c>
      <c r="R770" s="5">
        <f>INDEX([1]products!$A$1:$G$49,MATCH([1]orders!$D770,[1]products!$A$1:$A$49,0),MATCH([1]orders!K$1,[1]products!$A$1:$G$1,0))</f>
        <v>1</v>
      </c>
      <c r="S770" s="6">
        <f>INDEX([1]products!$A$1:$G$49,MATCH([1]orders!$D770,[1]products!$A$1:$A$49,0),MATCH([1]orders!L$1,[1]products!$A$1:$G$1,0))</f>
        <v>11.95</v>
      </c>
      <c r="T770" s="6">
        <f t="shared" ref="T770:T833" si="72">Q770*S770</f>
        <v>23.9</v>
      </c>
      <c r="U770" s="22">
        <f t="shared" si="70"/>
        <v>1.4339999999999999</v>
      </c>
      <c r="V770" s="22">
        <f t="shared" si="71"/>
        <v>6</v>
      </c>
    </row>
    <row r="771" spans="1:22" x14ac:dyDescent="0.3">
      <c r="A771" s="1" t="s">
        <v>1491</v>
      </c>
      <c r="B771" s="2">
        <v>43912</v>
      </c>
      <c r="C771" s="2" t="str">
        <f t="shared" ref="C771:C834" si="73">TEXT(B771,"dddd")</f>
        <v>Sunday</v>
      </c>
      <c r="D771" s="2" t="str">
        <f t="shared" ref="D771:D834" si="74">TEXT(B771,"MMMM")</f>
        <v>March</v>
      </c>
      <c r="E771" s="2" t="str">
        <f t="shared" ref="E771:E834" si="75">TEXT(B771,"YYYY")</f>
        <v>2020</v>
      </c>
      <c r="F771" s="3" t="s">
        <v>1492</v>
      </c>
      <c r="G771" s="3" t="str">
        <f>VLOOKUP(F772,'Customers (2)'!A:I,2,0)</f>
        <v>Martie Brimilcombe</v>
      </c>
      <c r="H771" s="3" t="str">
        <f>VLOOKUP(F771,'Customers (2)'!A:I,3,0)</f>
        <v>deburahld@google.co.jp</v>
      </c>
      <c r="I771" s="3" t="str">
        <f>VLOOKUP(F771,'Customers (2)'!A:I,4,0)</f>
        <v>+44 (607) 596-3921</v>
      </c>
      <c r="J771" s="3" t="str">
        <f>VLOOKUP(F771,'Customers (2)'!A:I,6,0)</f>
        <v>Birmingham</v>
      </c>
      <c r="K771" s="3" t="str">
        <f>VLOOKUP(F771,'Customers (2)'!A:I,7,0)</f>
        <v>United Kingdom</v>
      </c>
      <c r="L771" s="3" t="str">
        <f>VLOOKUP(F771,'Customers (2)'!A:I,9,0)</f>
        <v>No</v>
      </c>
      <c r="M771" s="4" t="s">
        <v>41</v>
      </c>
      <c r="N771" s="4" t="str">
        <f>VLOOKUP(M771,'Products (2)'!A:G,2,0)</f>
        <v>Robusta</v>
      </c>
      <c r="O771" s="4" t="str">
        <f>VLOOKUP(M771,'Products (2)'!A:G,3,0)</f>
        <v>Medium</v>
      </c>
      <c r="P771" s="4">
        <f>VLOOKUP(M771,'Products (2)'!A:G,7,0)</f>
        <v>1.3730999999999998</v>
      </c>
      <c r="Q771" s="3">
        <v>6</v>
      </c>
      <c r="R771" s="5">
        <f>INDEX([1]products!$A$1:$G$49,MATCH([1]orders!$D771,[1]products!$A$1:$A$49,0),MATCH([1]orders!K$1,[1]products!$A$1:$G$1,0))</f>
        <v>2.5</v>
      </c>
      <c r="S771" s="6">
        <f>INDEX([1]products!$A$1:$G$49,MATCH([1]orders!$D771,[1]products!$A$1:$A$49,0),MATCH([1]orders!L$1,[1]products!$A$1:$G$1,0))</f>
        <v>22.884999999999998</v>
      </c>
      <c r="T771" s="6">
        <f t="shared" si="72"/>
        <v>137.31</v>
      </c>
      <c r="U771" s="22">
        <f t="shared" ref="U771:U834" si="76">Q771*P771</f>
        <v>8.2385999999999981</v>
      </c>
      <c r="V771" s="22">
        <f t="shared" ref="V771:V834" si="77">U771/T771*100</f>
        <v>5.9999999999999982</v>
      </c>
    </row>
    <row r="772" spans="1:22" x14ac:dyDescent="0.3">
      <c r="A772" s="1" t="s">
        <v>1493</v>
      </c>
      <c r="B772" s="2">
        <v>44092</v>
      </c>
      <c r="C772" s="2" t="str">
        <f t="shared" si="73"/>
        <v>Friday</v>
      </c>
      <c r="D772" s="2" t="str">
        <f t="shared" si="74"/>
        <v>September</v>
      </c>
      <c r="E772" s="2" t="str">
        <f t="shared" si="75"/>
        <v>2020</v>
      </c>
      <c r="F772" s="3" t="s">
        <v>1494</v>
      </c>
      <c r="G772" s="3" t="str">
        <f>VLOOKUP(F773,'Customers (2)'!A:I,2,0)</f>
        <v>Suzanna Bollam</v>
      </c>
      <c r="H772" s="3" t="str">
        <f>VLOOKUP(F772,'Customers (2)'!A:I,3,0)</f>
        <v>mbrimilcombele@cnn.com</v>
      </c>
      <c r="I772" s="3">
        <f>VLOOKUP(F772,'Customers (2)'!A:I,4,0)</f>
        <v>0</v>
      </c>
      <c r="J772" s="3" t="str">
        <f>VLOOKUP(F772,'Customers (2)'!A:I,6,0)</f>
        <v>Springfield</v>
      </c>
      <c r="K772" s="3" t="str">
        <f>VLOOKUP(F772,'Customers (2)'!A:I,7,0)</f>
        <v>United States</v>
      </c>
      <c r="L772" s="3" t="str">
        <f>VLOOKUP(F772,'Customers (2)'!A:I,9,0)</f>
        <v>No</v>
      </c>
      <c r="M772" s="4" t="s">
        <v>27</v>
      </c>
      <c r="N772" s="4" t="str">
        <f>VLOOKUP(M772,'Products (2)'!A:G,2,0)</f>
        <v>Arabica</v>
      </c>
      <c r="O772" s="4" t="str">
        <f>VLOOKUP(M772,'Products (2)'!A:G,3,0)</f>
        <v>Dark</v>
      </c>
      <c r="P772" s="4">
        <f>VLOOKUP(M772,'Products (2)'!A:G,7,0)</f>
        <v>0.89549999999999985</v>
      </c>
      <c r="Q772" s="3">
        <v>1</v>
      </c>
      <c r="R772" s="5">
        <f>INDEX([1]products!$A$1:$G$49,MATCH([1]orders!$D772,[1]products!$A$1:$A$49,0),MATCH([1]orders!K$1,[1]products!$A$1:$G$1,0))</f>
        <v>1</v>
      </c>
      <c r="S772" s="6">
        <f>INDEX([1]products!$A$1:$G$49,MATCH([1]orders!$D772,[1]products!$A$1:$A$49,0),MATCH([1]orders!L$1,[1]products!$A$1:$G$1,0))</f>
        <v>9.9499999999999993</v>
      </c>
      <c r="T772" s="6">
        <f t="shared" si="72"/>
        <v>9.9499999999999993</v>
      </c>
      <c r="U772" s="22">
        <f t="shared" si="76"/>
        <v>0.89549999999999985</v>
      </c>
      <c r="V772" s="22">
        <f t="shared" si="77"/>
        <v>9</v>
      </c>
    </row>
    <row r="773" spans="1:22" x14ac:dyDescent="0.3">
      <c r="A773" s="1" t="s">
        <v>1495</v>
      </c>
      <c r="B773" s="2">
        <v>43468</v>
      </c>
      <c r="C773" s="2" t="str">
        <f t="shared" si="73"/>
        <v>Thursday</v>
      </c>
      <c r="D773" s="2" t="str">
        <f t="shared" si="74"/>
        <v>January</v>
      </c>
      <c r="E773" s="2" t="str">
        <f t="shared" si="75"/>
        <v>2019</v>
      </c>
      <c r="F773" s="3" t="s">
        <v>1496</v>
      </c>
      <c r="G773" s="3" t="str">
        <f>VLOOKUP(F774,'Customers (2)'!A:I,2,0)</f>
        <v>Mellisa Mebes</v>
      </c>
      <c r="H773" s="3" t="str">
        <f>VLOOKUP(F773,'Customers (2)'!A:I,3,0)</f>
        <v>sbollamlf@list-manage.com</v>
      </c>
      <c r="I773" s="3" t="str">
        <f>VLOOKUP(F773,'Customers (2)'!A:I,4,0)</f>
        <v>+1 (303) 746-0415</v>
      </c>
      <c r="J773" s="3" t="str">
        <f>VLOOKUP(F773,'Customers (2)'!A:I,6,0)</f>
        <v>Littleton</v>
      </c>
      <c r="K773" s="3" t="str">
        <f>VLOOKUP(F773,'Customers (2)'!A:I,7,0)</f>
        <v>United States</v>
      </c>
      <c r="L773" s="3" t="str">
        <f>VLOOKUP(F773,'Customers (2)'!A:I,9,0)</f>
        <v>No</v>
      </c>
      <c r="M773" s="4" t="s">
        <v>157</v>
      </c>
      <c r="N773" s="4" t="str">
        <f>VLOOKUP(M773,'Products (2)'!A:G,2,0)</f>
        <v>Robusta</v>
      </c>
      <c r="O773" s="4" t="str">
        <f>VLOOKUP(M773,'Products (2)'!A:G,3,0)</f>
        <v>Light</v>
      </c>
      <c r="P773" s="4">
        <f>VLOOKUP(M773,'Products (2)'!A:G,7,0)</f>
        <v>0.43019999999999992</v>
      </c>
      <c r="Q773" s="3">
        <v>3</v>
      </c>
      <c r="R773" s="5">
        <f>INDEX([1]products!$A$1:$G$49,MATCH([1]orders!$D773,[1]products!$A$1:$A$49,0),MATCH([1]orders!K$1,[1]products!$A$1:$G$1,0))</f>
        <v>0.5</v>
      </c>
      <c r="S773" s="6">
        <f>INDEX([1]products!$A$1:$G$49,MATCH([1]orders!$D773,[1]products!$A$1:$A$49,0),MATCH([1]orders!L$1,[1]products!$A$1:$G$1,0))</f>
        <v>7.169999999999999</v>
      </c>
      <c r="T773" s="6">
        <f t="shared" si="72"/>
        <v>21.509999999999998</v>
      </c>
      <c r="U773" s="22">
        <f t="shared" si="76"/>
        <v>1.2905999999999997</v>
      </c>
      <c r="V773" s="22">
        <f t="shared" si="77"/>
        <v>5.9999999999999991</v>
      </c>
    </row>
    <row r="774" spans="1:22" x14ac:dyDescent="0.3">
      <c r="A774" s="1" t="s">
        <v>1497</v>
      </c>
      <c r="B774" s="2">
        <v>44468</v>
      </c>
      <c r="C774" s="2" t="str">
        <f t="shared" si="73"/>
        <v>Wednesday</v>
      </c>
      <c r="D774" s="2" t="str">
        <f t="shared" si="74"/>
        <v>September</v>
      </c>
      <c r="E774" s="2" t="str">
        <f t="shared" si="75"/>
        <v>2021</v>
      </c>
      <c r="F774" s="3" t="s">
        <v>1498</v>
      </c>
      <c r="G774" s="3" t="str">
        <f>VLOOKUP(F775,'Customers (2)'!A:I,2,0)</f>
        <v>Alva Filipczak</v>
      </c>
      <c r="H774" s="3">
        <f>VLOOKUP(F774,'Customers (2)'!A:I,3,0)</f>
        <v>0</v>
      </c>
      <c r="I774" s="3" t="str">
        <f>VLOOKUP(F774,'Customers (2)'!A:I,4,0)</f>
        <v>+1 (410) 273-2348</v>
      </c>
      <c r="J774" s="3" t="str">
        <f>VLOOKUP(F774,'Customers (2)'!A:I,6,0)</f>
        <v>Baltimore</v>
      </c>
      <c r="K774" s="3" t="str">
        <f>VLOOKUP(F774,'Customers (2)'!A:I,7,0)</f>
        <v>United States</v>
      </c>
      <c r="L774" s="3" t="str">
        <f>VLOOKUP(F774,'Customers (2)'!A:I,9,0)</f>
        <v>No</v>
      </c>
      <c r="M774" s="4" t="s">
        <v>9</v>
      </c>
      <c r="N774" s="4" t="str">
        <f>VLOOKUP(M774,'Products (2)'!A:G,2,0)</f>
        <v>Excelsa</v>
      </c>
      <c r="O774" s="4" t="str">
        <f>VLOOKUP(M774,'Products (2)'!A:G,3,0)</f>
        <v>Medium</v>
      </c>
      <c r="P774" s="4">
        <f>VLOOKUP(M774,'Products (2)'!A:G,7,0)</f>
        <v>1.5125</v>
      </c>
      <c r="Q774" s="3">
        <v>6</v>
      </c>
      <c r="R774" s="5">
        <f>INDEX([1]products!$A$1:$G$49,MATCH([1]orders!$D774,[1]products!$A$1:$A$49,0),MATCH([1]orders!K$1,[1]products!$A$1:$G$1,0))</f>
        <v>1</v>
      </c>
      <c r="S774" s="6">
        <f>INDEX([1]products!$A$1:$G$49,MATCH([1]orders!$D774,[1]products!$A$1:$A$49,0),MATCH([1]orders!L$1,[1]products!$A$1:$G$1,0))</f>
        <v>13.75</v>
      </c>
      <c r="T774" s="6">
        <f t="shared" si="72"/>
        <v>82.5</v>
      </c>
      <c r="U774" s="22">
        <f t="shared" si="76"/>
        <v>9.0749999999999993</v>
      </c>
      <c r="V774" s="22">
        <f t="shared" si="77"/>
        <v>10.999999999999998</v>
      </c>
    </row>
    <row r="775" spans="1:22" x14ac:dyDescent="0.3">
      <c r="A775" s="1" t="s">
        <v>1499</v>
      </c>
      <c r="B775" s="2">
        <v>44488</v>
      </c>
      <c r="C775" s="2" t="str">
        <f t="shared" si="73"/>
        <v>Tuesday</v>
      </c>
      <c r="D775" s="2" t="str">
        <f t="shared" si="74"/>
        <v>October</v>
      </c>
      <c r="E775" s="2" t="str">
        <f t="shared" si="75"/>
        <v>2021</v>
      </c>
      <c r="F775" s="3" t="s">
        <v>1500</v>
      </c>
      <c r="G775" s="3" t="str">
        <f>VLOOKUP(F776,'Customers (2)'!A:I,2,0)</f>
        <v>Dorette Hinemoor</v>
      </c>
      <c r="H775" s="3" t="str">
        <f>VLOOKUP(F775,'Customers (2)'!A:I,3,0)</f>
        <v>afilipczaklh@ning.com</v>
      </c>
      <c r="I775" s="3" t="str">
        <f>VLOOKUP(F775,'Customers (2)'!A:I,4,0)</f>
        <v>+353 (176) 447-3656</v>
      </c>
      <c r="J775" s="3" t="str">
        <f>VLOOKUP(F775,'Customers (2)'!A:I,6,0)</f>
        <v>Moycullen</v>
      </c>
      <c r="K775" s="3" t="str">
        <f>VLOOKUP(F775,'Customers (2)'!A:I,7,0)</f>
        <v>Ireland</v>
      </c>
      <c r="L775" s="3" t="str">
        <f>VLOOKUP(F775,'Customers (2)'!A:I,9,0)</f>
        <v>No</v>
      </c>
      <c r="M775" s="4" t="s">
        <v>77</v>
      </c>
      <c r="N775" s="4" t="str">
        <f>VLOOKUP(M775,'Products (2)'!A:G,2,0)</f>
        <v>Liberica</v>
      </c>
      <c r="O775" s="4" t="str">
        <f>VLOOKUP(M775,'Products (2)'!A:G,3,0)</f>
        <v>Medium</v>
      </c>
      <c r="P775" s="4">
        <f>VLOOKUP(M775,'Products (2)'!A:G,7,0)</f>
        <v>0.56745000000000001</v>
      </c>
      <c r="Q775" s="3">
        <v>2</v>
      </c>
      <c r="R775" s="5">
        <f>INDEX([1]products!$A$1:$G$49,MATCH([1]orders!$D775,[1]products!$A$1:$A$49,0),MATCH([1]orders!K$1,[1]products!$A$1:$G$1,0))</f>
        <v>0.2</v>
      </c>
      <c r="S775" s="6">
        <f>INDEX([1]products!$A$1:$G$49,MATCH([1]orders!$D775,[1]products!$A$1:$A$49,0),MATCH([1]orders!L$1,[1]products!$A$1:$G$1,0))</f>
        <v>4.3650000000000002</v>
      </c>
      <c r="T775" s="6">
        <f t="shared" si="72"/>
        <v>8.73</v>
      </c>
      <c r="U775" s="22">
        <f t="shared" si="76"/>
        <v>1.1349</v>
      </c>
      <c r="V775" s="22">
        <f t="shared" si="77"/>
        <v>13</v>
      </c>
    </row>
    <row r="776" spans="1:22" x14ac:dyDescent="0.3">
      <c r="A776" s="1" t="s">
        <v>1501</v>
      </c>
      <c r="B776" s="2">
        <v>44756</v>
      </c>
      <c r="C776" s="2" t="str">
        <f t="shared" si="73"/>
        <v>Thursday</v>
      </c>
      <c r="D776" s="2" t="str">
        <f t="shared" si="74"/>
        <v>July</v>
      </c>
      <c r="E776" s="2" t="str">
        <f t="shared" si="75"/>
        <v>2022</v>
      </c>
      <c r="F776" s="3" t="s">
        <v>1502</v>
      </c>
      <c r="G776" s="3" t="str">
        <f>VLOOKUP(F777,'Customers (2)'!A:I,2,0)</f>
        <v>Rhetta Elnaugh</v>
      </c>
      <c r="H776" s="3">
        <f>VLOOKUP(F776,'Customers (2)'!A:I,3,0)</f>
        <v>0</v>
      </c>
      <c r="I776" s="3" t="str">
        <f>VLOOKUP(F776,'Customers (2)'!A:I,4,0)</f>
        <v>+1 (754) 336-4224</v>
      </c>
      <c r="J776" s="3" t="str">
        <f>VLOOKUP(F776,'Customers (2)'!A:I,6,0)</f>
        <v>Fort Lauderdale</v>
      </c>
      <c r="K776" s="3" t="str">
        <f>VLOOKUP(F776,'Customers (2)'!A:I,7,0)</f>
        <v>United States</v>
      </c>
      <c r="L776" s="3" t="str">
        <f>VLOOKUP(F776,'Customers (2)'!A:I,9,0)</f>
        <v>Yes</v>
      </c>
      <c r="M776" s="4" t="s">
        <v>2</v>
      </c>
      <c r="N776" s="4" t="str">
        <f>VLOOKUP(M776,'Products (2)'!A:G,2,0)</f>
        <v>Robusta</v>
      </c>
      <c r="O776" s="4" t="str">
        <f>VLOOKUP(M776,'Products (2)'!A:G,3,0)</f>
        <v>Medium</v>
      </c>
      <c r="P776" s="4">
        <f>VLOOKUP(M776,'Products (2)'!A:G,7,0)</f>
        <v>0.59699999999999998</v>
      </c>
      <c r="Q776" s="3">
        <v>2</v>
      </c>
      <c r="R776" s="5">
        <f>INDEX([1]products!$A$1:$G$49,MATCH([1]orders!$D776,[1]products!$A$1:$A$49,0),MATCH([1]orders!K$1,[1]products!$A$1:$G$1,0))</f>
        <v>1</v>
      </c>
      <c r="S776" s="6">
        <f>INDEX([1]products!$A$1:$G$49,MATCH([1]orders!$D776,[1]products!$A$1:$A$49,0),MATCH([1]orders!L$1,[1]products!$A$1:$G$1,0))</f>
        <v>9.9499999999999993</v>
      </c>
      <c r="T776" s="6">
        <f t="shared" si="72"/>
        <v>19.899999999999999</v>
      </c>
      <c r="U776" s="22">
        <f t="shared" si="76"/>
        <v>1.194</v>
      </c>
      <c r="V776" s="22">
        <f t="shared" si="77"/>
        <v>6.0000000000000009</v>
      </c>
    </row>
    <row r="777" spans="1:22" x14ac:dyDescent="0.3">
      <c r="A777" s="1" t="s">
        <v>1503</v>
      </c>
      <c r="B777" s="2">
        <v>44396</v>
      </c>
      <c r="C777" s="2" t="str">
        <f t="shared" si="73"/>
        <v>Monday</v>
      </c>
      <c r="D777" s="2" t="str">
        <f t="shared" si="74"/>
        <v>July</v>
      </c>
      <c r="E777" s="2" t="str">
        <f t="shared" si="75"/>
        <v>2021</v>
      </c>
      <c r="F777" s="3" t="s">
        <v>1504</v>
      </c>
      <c r="G777" s="3" t="str">
        <f>VLOOKUP(F778,'Customers (2)'!A:I,2,0)</f>
        <v>Jule Deehan</v>
      </c>
      <c r="H777" s="3" t="str">
        <f>VLOOKUP(F777,'Customers (2)'!A:I,3,0)</f>
        <v>relnaughlj@comsenz.com</v>
      </c>
      <c r="I777" s="3" t="str">
        <f>VLOOKUP(F777,'Customers (2)'!A:I,4,0)</f>
        <v>+1 (619) 728-2474</v>
      </c>
      <c r="J777" s="3" t="str">
        <f>VLOOKUP(F777,'Customers (2)'!A:I,6,0)</f>
        <v>San Diego</v>
      </c>
      <c r="K777" s="3" t="str">
        <f>VLOOKUP(F777,'Customers (2)'!A:I,7,0)</f>
        <v>United States</v>
      </c>
      <c r="L777" s="3" t="str">
        <f>VLOOKUP(F777,'Customers (2)'!A:I,9,0)</f>
        <v>Yes</v>
      </c>
      <c r="M777" s="4" t="s">
        <v>176</v>
      </c>
      <c r="N777" s="4" t="str">
        <f>VLOOKUP(M777,'Products (2)'!A:G,2,0)</f>
        <v>Excelsa</v>
      </c>
      <c r="O777" s="4" t="str">
        <f>VLOOKUP(M777,'Products (2)'!A:G,3,0)</f>
        <v>Light</v>
      </c>
      <c r="P777" s="4">
        <f>VLOOKUP(M777,'Products (2)'!A:G,7,0)</f>
        <v>0.98009999999999997</v>
      </c>
      <c r="Q777" s="3">
        <v>2</v>
      </c>
      <c r="R777" s="5">
        <f>INDEX([1]products!$A$1:$G$49,MATCH([1]orders!$D777,[1]products!$A$1:$A$49,0),MATCH([1]orders!K$1,[1]products!$A$1:$G$1,0))</f>
        <v>0.5</v>
      </c>
      <c r="S777" s="6">
        <f>INDEX([1]products!$A$1:$G$49,MATCH([1]orders!$D777,[1]products!$A$1:$A$49,0),MATCH([1]orders!L$1,[1]products!$A$1:$G$1,0))</f>
        <v>8.91</v>
      </c>
      <c r="T777" s="6">
        <f t="shared" si="72"/>
        <v>17.82</v>
      </c>
      <c r="U777" s="22">
        <f t="shared" si="76"/>
        <v>1.9601999999999999</v>
      </c>
      <c r="V777" s="22">
        <f t="shared" si="77"/>
        <v>11</v>
      </c>
    </row>
    <row r="778" spans="1:22" x14ac:dyDescent="0.3">
      <c r="A778" s="1" t="s">
        <v>1505</v>
      </c>
      <c r="B778" s="2">
        <v>44540</v>
      </c>
      <c r="C778" s="2" t="str">
        <f t="shared" si="73"/>
        <v>Friday</v>
      </c>
      <c r="D778" s="2" t="str">
        <f t="shared" si="74"/>
        <v>December</v>
      </c>
      <c r="E778" s="2" t="str">
        <f t="shared" si="75"/>
        <v>2021</v>
      </c>
      <c r="F778" s="3" t="s">
        <v>1506</v>
      </c>
      <c r="G778" s="3" t="str">
        <f>VLOOKUP(F779,'Customers (2)'!A:I,2,0)</f>
        <v>Janella Eden</v>
      </c>
      <c r="H778" s="3" t="str">
        <f>VLOOKUP(F778,'Customers (2)'!A:I,3,0)</f>
        <v>jdeehanlk@about.me</v>
      </c>
      <c r="I778" s="3" t="str">
        <f>VLOOKUP(F778,'Customers (2)'!A:I,4,0)</f>
        <v>+1 (972) 327-1194</v>
      </c>
      <c r="J778" s="3" t="str">
        <f>VLOOKUP(F778,'Customers (2)'!A:I,6,0)</f>
        <v>Dallas</v>
      </c>
      <c r="K778" s="3" t="str">
        <f>VLOOKUP(F778,'Customers (2)'!A:I,7,0)</f>
        <v>United States</v>
      </c>
      <c r="L778" s="3" t="str">
        <f>VLOOKUP(F778,'Customers (2)'!A:I,9,0)</f>
        <v>No</v>
      </c>
      <c r="M778" s="4" t="s">
        <v>67</v>
      </c>
      <c r="N778" s="4" t="str">
        <f>VLOOKUP(M778,'Products (2)'!A:G,2,0)</f>
        <v>Arabica</v>
      </c>
      <c r="O778" s="4" t="str">
        <f>VLOOKUP(M778,'Products (2)'!A:G,3,0)</f>
        <v>Medium</v>
      </c>
      <c r="P778" s="4">
        <f>VLOOKUP(M778,'Products (2)'!A:G,7,0)</f>
        <v>0.60749999999999993</v>
      </c>
      <c r="Q778" s="3">
        <v>3</v>
      </c>
      <c r="R778" s="5">
        <f>INDEX([1]products!$A$1:$G$49,MATCH([1]orders!$D778,[1]products!$A$1:$A$49,0),MATCH([1]orders!K$1,[1]products!$A$1:$G$1,0))</f>
        <v>0.5</v>
      </c>
      <c r="S778" s="6">
        <f>INDEX([1]products!$A$1:$G$49,MATCH([1]orders!$D778,[1]products!$A$1:$A$49,0),MATCH([1]orders!L$1,[1]products!$A$1:$G$1,0))</f>
        <v>6.75</v>
      </c>
      <c r="T778" s="6">
        <f t="shared" si="72"/>
        <v>20.25</v>
      </c>
      <c r="U778" s="22">
        <f t="shared" si="76"/>
        <v>1.8224999999999998</v>
      </c>
      <c r="V778" s="22">
        <f t="shared" si="77"/>
        <v>8.9999999999999982</v>
      </c>
    </row>
    <row r="779" spans="1:22" x14ac:dyDescent="0.3">
      <c r="A779" s="1" t="s">
        <v>1507</v>
      </c>
      <c r="B779" s="2">
        <v>43541</v>
      </c>
      <c r="C779" s="2" t="str">
        <f t="shared" si="73"/>
        <v>Sunday</v>
      </c>
      <c r="D779" s="2" t="str">
        <f t="shared" si="74"/>
        <v>March</v>
      </c>
      <c r="E779" s="2" t="str">
        <f t="shared" si="75"/>
        <v>2019</v>
      </c>
      <c r="F779" s="3" t="s">
        <v>1508</v>
      </c>
      <c r="G779" s="3" t="str">
        <f>VLOOKUP(F780,'Customers (2)'!A:I,2,0)</f>
        <v>Cam Jewster</v>
      </c>
      <c r="H779" s="3" t="str">
        <f>VLOOKUP(F779,'Customers (2)'!A:I,3,0)</f>
        <v>jedenll@e-recht24.de</v>
      </c>
      <c r="I779" s="3">
        <f>VLOOKUP(F779,'Customers (2)'!A:I,4,0)</f>
        <v>0</v>
      </c>
      <c r="J779" s="3" t="str">
        <f>VLOOKUP(F779,'Customers (2)'!A:I,6,0)</f>
        <v>Joliet</v>
      </c>
      <c r="K779" s="3" t="str">
        <f>VLOOKUP(F779,'Customers (2)'!A:I,7,0)</f>
        <v>United States</v>
      </c>
      <c r="L779" s="3" t="str">
        <f>VLOOKUP(F779,'Customers (2)'!A:I,9,0)</f>
        <v>No</v>
      </c>
      <c r="M779" s="4" t="s">
        <v>204</v>
      </c>
      <c r="N779" s="4" t="str">
        <f>VLOOKUP(M779,'Products (2)'!A:G,2,0)</f>
        <v>Arabica</v>
      </c>
      <c r="O779" s="4" t="str">
        <f>VLOOKUP(M779,'Products (2)'!A:G,3,0)</f>
        <v>Light</v>
      </c>
      <c r="P779" s="4">
        <f>VLOOKUP(M779,'Products (2)'!A:G,7,0)</f>
        <v>2.6806499999999995</v>
      </c>
      <c r="Q779" s="3">
        <v>2</v>
      </c>
      <c r="R779" s="5">
        <f>INDEX([1]products!$A$1:$G$49,MATCH([1]orders!$D779,[1]products!$A$1:$A$49,0),MATCH([1]orders!K$1,[1]products!$A$1:$G$1,0))</f>
        <v>2.5</v>
      </c>
      <c r="S779" s="6">
        <f>INDEX([1]products!$A$1:$G$49,MATCH([1]orders!$D779,[1]products!$A$1:$A$49,0),MATCH([1]orders!L$1,[1]products!$A$1:$G$1,0))</f>
        <v>29.784999999999997</v>
      </c>
      <c r="T779" s="6">
        <f t="shared" si="72"/>
        <v>59.569999999999993</v>
      </c>
      <c r="U779" s="22">
        <f t="shared" si="76"/>
        <v>5.3612999999999991</v>
      </c>
      <c r="V779" s="22">
        <f t="shared" si="77"/>
        <v>9</v>
      </c>
    </row>
    <row r="780" spans="1:22" x14ac:dyDescent="0.3">
      <c r="A780" s="1" t="s">
        <v>1509</v>
      </c>
      <c r="B780" s="2">
        <v>43889</v>
      </c>
      <c r="C780" s="2" t="str">
        <f t="shared" si="73"/>
        <v>Friday</v>
      </c>
      <c r="D780" s="2" t="str">
        <f t="shared" si="74"/>
        <v>February</v>
      </c>
      <c r="E780" s="2" t="str">
        <f t="shared" si="75"/>
        <v>2020</v>
      </c>
      <c r="F780" s="3" t="s">
        <v>1510</v>
      </c>
      <c r="G780" s="3" t="str">
        <f>VLOOKUP(F781,'Customers (2)'!A:I,2,0)</f>
        <v>Ugo Southerden</v>
      </c>
      <c r="H780" s="3" t="str">
        <f>VLOOKUP(F780,'Customers (2)'!A:I,3,0)</f>
        <v>cjewsterlu@moonfruit.com</v>
      </c>
      <c r="I780" s="3" t="str">
        <f>VLOOKUP(F780,'Customers (2)'!A:I,4,0)</f>
        <v>+1 (937) 925-7390</v>
      </c>
      <c r="J780" s="3" t="str">
        <f>VLOOKUP(F780,'Customers (2)'!A:I,6,0)</f>
        <v>Dayton</v>
      </c>
      <c r="K780" s="3" t="str">
        <f>VLOOKUP(F780,'Customers (2)'!A:I,7,0)</f>
        <v>United States</v>
      </c>
      <c r="L780" s="3" t="str">
        <f>VLOOKUP(F780,'Customers (2)'!A:I,9,0)</f>
        <v>Yes</v>
      </c>
      <c r="M780" s="4" t="s">
        <v>83</v>
      </c>
      <c r="N780" s="4" t="str">
        <f>VLOOKUP(M780,'Products (2)'!A:G,2,0)</f>
        <v>Liberica</v>
      </c>
      <c r="O780" s="4" t="str">
        <f>VLOOKUP(M780,'Products (2)'!A:G,3,0)</f>
        <v>Light</v>
      </c>
      <c r="P780" s="4">
        <f>VLOOKUP(M780,'Products (2)'!A:G,7,0)</f>
        <v>1.2363</v>
      </c>
      <c r="Q780" s="3">
        <v>2</v>
      </c>
      <c r="R780" s="5">
        <f>INDEX([1]products!$A$1:$G$49,MATCH([1]orders!$D780,[1]products!$A$1:$A$49,0),MATCH([1]orders!K$1,[1]products!$A$1:$G$1,0))</f>
        <v>0.5</v>
      </c>
      <c r="S780" s="6">
        <f>INDEX([1]products!$A$1:$G$49,MATCH([1]orders!$D780,[1]products!$A$1:$A$49,0),MATCH([1]orders!L$1,[1]products!$A$1:$G$1,0))</f>
        <v>9.51</v>
      </c>
      <c r="T780" s="6">
        <f t="shared" si="72"/>
        <v>19.02</v>
      </c>
      <c r="U780" s="22">
        <f t="shared" si="76"/>
        <v>2.4725999999999999</v>
      </c>
      <c r="V780" s="22">
        <f t="shared" si="77"/>
        <v>13</v>
      </c>
    </row>
    <row r="781" spans="1:22" x14ac:dyDescent="0.3">
      <c r="A781" s="1" t="s">
        <v>1511</v>
      </c>
      <c r="B781" s="2">
        <v>43985</v>
      </c>
      <c r="C781" s="2" t="str">
        <f t="shared" si="73"/>
        <v>Wednesday</v>
      </c>
      <c r="D781" s="2" t="str">
        <f t="shared" si="74"/>
        <v>June</v>
      </c>
      <c r="E781" s="2" t="str">
        <f t="shared" si="75"/>
        <v>2020</v>
      </c>
      <c r="F781" s="3" t="s">
        <v>1512</v>
      </c>
      <c r="G781" s="3" t="str">
        <f>VLOOKUP(F782,'Customers (2)'!A:I,2,0)</f>
        <v>Verne Dunkerley</v>
      </c>
      <c r="H781" s="3" t="str">
        <f>VLOOKUP(F781,'Customers (2)'!A:I,3,0)</f>
        <v>usoutherdenln@hao123.com</v>
      </c>
      <c r="I781" s="3" t="str">
        <f>VLOOKUP(F781,'Customers (2)'!A:I,4,0)</f>
        <v>+1 (786) 490-0037</v>
      </c>
      <c r="J781" s="3" t="str">
        <f>VLOOKUP(F781,'Customers (2)'!A:I,6,0)</f>
        <v>Clearwater</v>
      </c>
      <c r="K781" s="3" t="str">
        <f>VLOOKUP(F781,'Customers (2)'!A:I,7,0)</f>
        <v>United States</v>
      </c>
      <c r="L781" s="3" t="str">
        <f>VLOOKUP(F781,'Customers (2)'!A:I,9,0)</f>
        <v>Yes</v>
      </c>
      <c r="M781" s="4" t="s">
        <v>13</v>
      </c>
      <c r="N781" s="4" t="str">
        <f>VLOOKUP(M781,'Products (2)'!A:G,2,0)</f>
        <v>Liberica</v>
      </c>
      <c r="O781" s="4" t="str">
        <f>VLOOKUP(M781,'Products (2)'!A:G,3,0)</f>
        <v>Dark</v>
      </c>
      <c r="P781" s="4">
        <f>VLOOKUP(M781,'Products (2)'!A:G,7,0)</f>
        <v>1.6835</v>
      </c>
      <c r="Q781" s="3">
        <v>6</v>
      </c>
      <c r="R781" s="5">
        <f>INDEX([1]products!$A$1:$G$49,MATCH([1]orders!$D781,[1]products!$A$1:$A$49,0),MATCH([1]orders!K$1,[1]products!$A$1:$G$1,0))</f>
        <v>1</v>
      </c>
      <c r="S781" s="6">
        <f>INDEX([1]products!$A$1:$G$49,MATCH([1]orders!$D781,[1]products!$A$1:$A$49,0),MATCH([1]orders!L$1,[1]products!$A$1:$G$1,0))</f>
        <v>12.95</v>
      </c>
      <c r="T781" s="6">
        <f t="shared" si="72"/>
        <v>77.699999999999989</v>
      </c>
      <c r="U781" s="22">
        <f t="shared" si="76"/>
        <v>10.100999999999999</v>
      </c>
      <c r="V781" s="22">
        <f t="shared" si="77"/>
        <v>13</v>
      </c>
    </row>
    <row r="782" spans="1:22" x14ac:dyDescent="0.3">
      <c r="A782" s="1" t="s">
        <v>1513</v>
      </c>
      <c r="B782" s="2">
        <v>43883</v>
      </c>
      <c r="C782" s="2" t="str">
        <f t="shared" si="73"/>
        <v>Saturday</v>
      </c>
      <c r="D782" s="2" t="str">
        <f t="shared" si="74"/>
        <v>February</v>
      </c>
      <c r="E782" s="2" t="str">
        <f t="shared" si="75"/>
        <v>2020</v>
      </c>
      <c r="F782" s="3" t="s">
        <v>1514</v>
      </c>
      <c r="G782" s="3" t="str">
        <f>VLOOKUP(F783,'Customers (2)'!A:I,2,0)</f>
        <v>Lacee Burtenshaw</v>
      </c>
      <c r="H782" s="3">
        <f>VLOOKUP(F782,'Customers (2)'!A:I,3,0)</f>
        <v>0</v>
      </c>
      <c r="I782" s="3" t="str">
        <f>VLOOKUP(F782,'Customers (2)'!A:I,4,0)</f>
        <v>+1 (763) 806-0186</v>
      </c>
      <c r="J782" s="3" t="str">
        <f>VLOOKUP(F782,'Customers (2)'!A:I,6,0)</f>
        <v>Minneapolis</v>
      </c>
      <c r="K782" s="3" t="str">
        <f>VLOOKUP(F782,'Customers (2)'!A:I,7,0)</f>
        <v>United States</v>
      </c>
      <c r="L782" s="3" t="str">
        <f>VLOOKUP(F782,'Customers (2)'!A:I,9,0)</f>
        <v>No</v>
      </c>
      <c r="M782" s="4" t="s">
        <v>9</v>
      </c>
      <c r="N782" s="4" t="str">
        <f>VLOOKUP(M782,'Products (2)'!A:G,2,0)</f>
        <v>Excelsa</v>
      </c>
      <c r="O782" s="4" t="str">
        <f>VLOOKUP(M782,'Products (2)'!A:G,3,0)</f>
        <v>Medium</v>
      </c>
      <c r="P782" s="4">
        <f>VLOOKUP(M782,'Products (2)'!A:G,7,0)</f>
        <v>1.5125</v>
      </c>
      <c r="Q782" s="3">
        <v>3</v>
      </c>
      <c r="R782" s="5">
        <f>INDEX([1]products!$A$1:$G$49,MATCH([1]orders!$D782,[1]products!$A$1:$A$49,0),MATCH([1]orders!K$1,[1]products!$A$1:$G$1,0))</f>
        <v>1</v>
      </c>
      <c r="S782" s="6">
        <f>INDEX([1]products!$A$1:$G$49,MATCH([1]orders!$D782,[1]products!$A$1:$A$49,0),MATCH([1]orders!L$1,[1]products!$A$1:$G$1,0))</f>
        <v>13.75</v>
      </c>
      <c r="T782" s="6">
        <f t="shared" si="72"/>
        <v>41.25</v>
      </c>
      <c r="U782" s="22">
        <f t="shared" si="76"/>
        <v>4.5374999999999996</v>
      </c>
      <c r="V782" s="22">
        <f t="shared" si="77"/>
        <v>10.999999999999998</v>
      </c>
    </row>
    <row r="783" spans="1:22" x14ac:dyDescent="0.3">
      <c r="A783" s="1" t="s">
        <v>1515</v>
      </c>
      <c r="B783" s="2">
        <v>43778</v>
      </c>
      <c r="C783" s="2" t="str">
        <f t="shared" si="73"/>
        <v>Saturday</v>
      </c>
      <c r="D783" s="2" t="str">
        <f t="shared" si="74"/>
        <v>November</v>
      </c>
      <c r="E783" s="2" t="str">
        <f t="shared" si="75"/>
        <v>2019</v>
      </c>
      <c r="F783" s="3" t="s">
        <v>1516</v>
      </c>
      <c r="G783" s="3" t="str">
        <f>VLOOKUP(F784,'Customers (2)'!A:I,2,0)</f>
        <v>Adorne Gregoratti</v>
      </c>
      <c r="H783" s="3" t="str">
        <f>VLOOKUP(F783,'Customers (2)'!A:I,3,0)</f>
        <v>lburtenshawlp@shinystat.com</v>
      </c>
      <c r="I783" s="3" t="str">
        <f>VLOOKUP(F783,'Customers (2)'!A:I,4,0)</f>
        <v>+1 (678) 536-4251</v>
      </c>
      <c r="J783" s="3" t="str">
        <f>VLOOKUP(F783,'Customers (2)'!A:I,6,0)</f>
        <v>Lawrenceville</v>
      </c>
      <c r="K783" s="3" t="str">
        <f>VLOOKUP(F783,'Customers (2)'!A:I,7,0)</f>
        <v>United States</v>
      </c>
      <c r="L783" s="3" t="str">
        <f>VLOOKUP(F783,'Customers (2)'!A:I,9,0)</f>
        <v>No</v>
      </c>
      <c r="M783" s="4" t="s">
        <v>104</v>
      </c>
      <c r="N783" s="4" t="str">
        <f>VLOOKUP(M783,'Products (2)'!A:G,2,0)</f>
        <v>Liberica</v>
      </c>
      <c r="O783" s="4" t="str">
        <f>VLOOKUP(M783,'Products (2)'!A:G,3,0)</f>
        <v>Light</v>
      </c>
      <c r="P783" s="4">
        <f>VLOOKUP(M783,'Products (2)'!A:G,7,0)</f>
        <v>4.7391499999999995</v>
      </c>
      <c r="Q783" s="3">
        <v>4</v>
      </c>
      <c r="R783" s="5">
        <f>INDEX([1]products!$A$1:$G$49,MATCH([1]orders!$D783,[1]products!$A$1:$A$49,0),MATCH([1]orders!K$1,[1]products!$A$1:$G$1,0))</f>
        <v>2.5</v>
      </c>
      <c r="S783" s="6">
        <f>INDEX([1]products!$A$1:$G$49,MATCH([1]orders!$D783,[1]products!$A$1:$A$49,0),MATCH([1]orders!L$1,[1]products!$A$1:$G$1,0))</f>
        <v>36.454999999999998</v>
      </c>
      <c r="T783" s="6">
        <f t="shared" si="72"/>
        <v>145.82</v>
      </c>
      <c r="U783" s="22">
        <f t="shared" si="76"/>
        <v>18.956599999999998</v>
      </c>
      <c r="V783" s="22">
        <f t="shared" si="77"/>
        <v>13</v>
      </c>
    </row>
    <row r="784" spans="1:22" x14ac:dyDescent="0.3">
      <c r="A784" s="1" t="s">
        <v>1517</v>
      </c>
      <c r="B784" s="2">
        <v>43897</v>
      </c>
      <c r="C784" s="2" t="str">
        <f t="shared" si="73"/>
        <v>Saturday</v>
      </c>
      <c r="D784" s="2" t="str">
        <f t="shared" si="74"/>
        <v>March</v>
      </c>
      <c r="E784" s="2" t="str">
        <f t="shared" si="75"/>
        <v>2020</v>
      </c>
      <c r="F784" s="3" t="s">
        <v>1518</v>
      </c>
      <c r="G784" s="3" t="str">
        <f>VLOOKUP(F785,'Customers (2)'!A:I,2,0)</f>
        <v>Chris Croster</v>
      </c>
      <c r="H784" s="3" t="str">
        <f>VLOOKUP(F784,'Customers (2)'!A:I,3,0)</f>
        <v>agregorattilq@vistaprint.com</v>
      </c>
      <c r="I784" s="3" t="str">
        <f>VLOOKUP(F784,'Customers (2)'!A:I,4,0)</f>
        <v>+353 (773) 508-6581</v>
      </c>
      <c r="J784" s="3" t="str">
        <f>VLOOKUP(F784,'Customers (2)'!A:I,6,0)</f>
        <v>Malahide</v>
      </c>
      <c r="K784" s="3" t="str">
        <f>VLOOKUP(F784,'Customers (2)'!A:I,7,0)</f>
        <v>Ireland</v>
      </c>
      <c r="L784" s="3" t="str">
        <f>VLOOKUP(F784,'Customers (2)'!A:I,9,0)</f>
        <v>No</v>
      </c>
      <c r="M784" s="4" t="s">
        <v>254</v>
      </c>
      <c r="N784" s="4" t="str">
        <f>VLOOKUP(M784,'Products (2)'!A:G,2,0)</f>
        <v>Excelsa</v>
      </c>
      <c r="O784" s="4" t="str">
        <f>VLOOKUP(M784,'Products (2)'!A:G,3,0)</f>
        <v>Light</v>
      </c>
      <c r="P784" s="4">
        <f>VLOOKUP(M784,'Products (2)'!A:G,7,0)</f>
        <v>0.49004999999999999</v>
      </c>
      <c r="Q784" s="3">
        <v>6</v>
      </c>
      <c r="R784" s="5">
        <f>INDEX([1]products!$A$1:$G$49,MATCH([1]orders!$D784,[1]products!$A$1:$A$49,0),MATCH([1]orders!K$1,[1]products!$A$1:$G$1,0))</f>
        <v>0.2</v>
      </c>
      <c r="S784" s="6">
        <f>INDEX([1]products!$A$1:$G$49,MATCH([1]orders!$D784,[1]products!$A$1:$A$49,0),MATCH([1]orders!L$1,[1]products!$A$1:$G$1,0))</f>
        <v>4.4550000000000001</v>
      </c>
      <c r="T784" s="6">
        <f t="shared" si="72"/>
        <v>26.73</v>
      </c>
      <c r="U784" s="22">
        <f t="shared" si="76"/>
        <v>2.9402999999999997</v>
      </c>
      <c r="V784" s="22">
        <f t="shared" si="77"/>
        <v>10.999999999999998</v>
      </c>
    </row>
    <row r="785" spans="1:22" x14ac:dyDescent="0.3">
      <c r="A785" s="1" t="s">
        <v>1519</v>
      </c>
      <c r="B785" s="2">
        <v>44312</v>
      </c>
      <c r="C785" s="2" t="str">
        <f t="shared" si="73"/>
        <v>Monday</v>
      </c>
      <c r="D785" s="2" t="str">
        <f t="shared" si="74"/>
        <v>April</v>
      </c>
      <c r="E785" s="2" t="str">
        <f t="shared" si="75"/>
        <v>2021</v>
      </c>
      <c r="F785" s="3" t="s">
        <v>1520</v>
      </c>
      <c r="G785" s="3" t="str">
        <f>VLOOKUP(F786,'Customers (2)'!A:I,2,0)</f>
        <v>Graeme Whitehead</v>
      </c>
      <c r="H785" s="3" t="str">
        <f>VLOOKUP(F785,'Customers (2)'!A:I,3,0)</f>
        <v>ccrosterlr@gov.uk</v>
      </c>
      <c r="I785" s="3" t="str">
        <f>VLOOKUP(F785,'Customers (2)'!A:I,4,0)</f>
        <v>+1 (813) 621-3097</v>
      </c>
      <c r="J785" s="3" t="str">
        <f>VLOOKUP(F785,'Customers (2)'!A:I,6,0)</f>
        <v>Tampa</v>
      </c>
      <c r="K785" s="3" t="str">
        <f>VLOOKUP(F785,'Customers (2)'!A:I,7,0)</f>
        <v>United States</v>
      </c>
      <c r="L785" s="3" t="str">
        <f>VLOOKUP(F785,'Customers (2)'!A:I,9,0)</f>
        <v>Yes</v>
      </c>
      <c r="M785" s="4" t="s">
        <v>78</v>
      </c>
      <c r="N785" s="4" t="str">
        <f>VLOOKUP(M785,'Products (2)'!A:G,2,0)</f>
        <v>Liberica</v>
      </c>
      <c r="O785" s="4" t="str">
        <f>VLOOKUP(M785,'Products (2)'!A:G,3,0)</f>
        <v>Medium</v>
      </c>
      <c r="P785" s="4">
        <f>VLOOKUP(M785,'Products (2)'!A:G,7,0)</f>
        <v>1.1349</v>
      </c>
      <c r="Q785" s="3">
        <v>5</v>
      </c>
      <c r="R785" s="5">
        <f>INDEX([1]products!$A$1:$G$49,MATCH([1]orders!$D785,[1]products!$A$1:$A$49,0),MATCH([1]orders!K$1,[1]products!$A$1:$G$1,0))</f>
        <v>0.5</v>
      </c>
      <c r="S785" s="6">
        <f>INDEX([1]products!$A$1:$G$49,MATCH([1]orders!$D785,[1]products!$A$1:$A$49,0),MATCH([1]orders!L$1,[1]products!$A$1:$G$1,0))</f>
        <v>8.73</v>
      </c>
      <c r="T785" s="6">
        <f t="shared" si="72"/>
        <v>43.650000000000006</v>
      </c>
      <c r="U785" s="22">
        <f t="shared" si="76"/>
        <v>5.6745000000000001</v>
      </c>
      <c r="V785" s="22">
        <f t="shared" si="77"/>
        <v>12.999999999999998</v>
      </c>
    </row>
    <row r="786" spans="1:22" x14ac:dyDescent="0.3">
      <c r="A786" s="1" t="s">
        <v>1521</v>
      </c>
      <c r="B786" s="2">
        <v>44511</v>
      </c>
      <c r="C786" s="2" t="str">
        <f t="shared" si="73"/>
        <v>Thursday</v>
      </c>
      <c r="D786" s="2" t="str">
        <f t="shared" si="74"/>
        <v>November</v>
      </c>
      <c r="E786" s="2" t="str">
        <f t="shared" si="75"/>
        <v>2021</v>
      </c>
      <c r="F786" s="3" t="s">
        <v>1522</v>
      </c>
      <c r="G786" s="3" t="str">
        <f>VLOOKUP(F787,'Customers (2)'!A:I,2,0)</f>
        <v>Haslett Jodrelle</v>
      </c>
      <c r="H786" s="3" t="str">
        <f>VLOOKUP(F786,'Customers (2)'!A:I,3,0)</f>
        <v>gwhiteheadls@hp.com</v>
      </c>
      <c r="I786" s="3">
        <f>VLOOKUP(F786,'Customers (2)'!A:I,4,0)</f>
        <v>0</v>
      </c>
      <c r="J786" s="3" t="str">
        <f>VLOOKUP(F786,'Customers (2)'!A:I,6,0)</f>
        <v>Nashville</v>
      </c>
      <c r="K786" s="3" t="str">
        <f>VLOOKUP(F786,'Customers (2)'!A:I,7,0)</f>
        <v>United States</v>
      </c>
      <c r="L786" s="3" t="str">
        <f>VLOOKUP(F786,'Customers (2)'!A:I,9,0)</f>
        <v>No</v>
      </c>
      <c r="M786" s="4" t="s">
        <v>132</v>
      </c>
      <c r="N786" s="4" t="str">
        <f>VLOOKUP(M786,'Products (2)'!A:G,2,0)</f>
        <v>Liberica</v>
      </c>
      <c r="O786" s="4" t="str">
        <f>VLOOKUP(M786,'Products (2)'!A:G,3,0)</f>
        <v>Light</v>
      </c>
      <c r="P786" s="4">
        <f>VLOOKUP(M786,'Products (2)'!A:G,7,0)</f>
        <v>2.0605000000000002</v>
      </c>
      <c r="Q786" s="3">
        <v>2</v>
      </c>
      <c r="R786" s="5">
        <f>INDEX([1]products!$A$1:$G$49,MATCH([1]orders!$D786,[1]products!$A$1:$A$49,0),MATCH([1]orders!K$1,[1]products!$A$1:$G$1,0))</f>
        <v>1</v>
      </c>
      <c r="S786" s="6">
        <f>INDEX([1]products!$A$1:$G$49,MATCH([1]orders!$D786,[1]products!$A$1:$A$49,0),MATCH([1]orders!L$1,[1]products!$A$1:$G$1,0))</f>
        <v>15.85</v>
      </c>
      <c r="T786" s="6">
        <f t="shared" si="72"/>
        <v>31.7</v>
      </c>
      <c r="U786" s="22">
        <f t="shared" si="76"/>
        <v>4.1210000000000004</v>
      </c>
      <c r="V786" s="22">
        <f t="shared" si="77"/>
        <v>13</v>
      </c>
    </row>
    <row r="787" spans="1:22" x14ac:dyDescent="0.3">
      <c r="A787" s="1" t="s">
        <v>1523</v>
      </c>
      <c r="B787" s="2">
        <v>44362</v>
      </c>
      <c r="C787" s="2" t="str">
        <f t="shared" si="73"/>
        <v>Tuesday</v>
      </c>
      <c r="D787" s="2" t="str">
        <f t="shared" si="74"/>
        <v>June</v>
      </c>
      <c r="E787" s="2" t="str">
        <f t="shared" si="75"/>
        <v>2021</v>
      </c>
      <c r="F787" s="3" t="s">
        <v>1524</v>
      </c>
      <c r="G787" s="3" t="str">
        <f>VLOOKUP(F788,'Customers (2)'!A:I,2,0)</f>
        <v>Cam Jewster</v>
      </c>
      <c r="H787" s="3" t="str">
        <f>VLOOKUP(F787,'Customers (2)'!A:I,3,0)</f>
        <v>hjodrellelt@samsung.com</v>
      </c>
      <c r="I787" s="3" t="str">
        <f>VLOOKUP(F787,'Customers (2)'!A:I,4,0)</f>
        <v>+1 (305) 334-0992</v>
      </c>
      <c r="J787" s="3" t="str">
        <f>VLOOKUP(F787,'Customers (2)'!A:I,6,0)</f>
        <v>Miami</v>
      </c>
      <c r="K787" s="3" t="str">
        <f>VLOOKUP(F787,'Customers (2)'!A:I,7,0)</f>
        <v>United States</v>
      </c>
      <c r="L787" s="3" t="str">
        <f>VLOOKUP(F787,'Customers (2)'!A:I,9,0)</f>
        <v>No</v>
      </c>
      <c r="M787" s="4" t="s">
        <v>118</v>
      </c>
      <c r="N787" s="4" t="str">
        <f>VLOOKUP(M787,'Products (2)'!A:G,2,0)</f>
        <v>Arabica</v>
      </c>
      <c r="O787" s="4" t="str">
        <f>VLOOKUP(M787,'Products (2)'!A:G,3,0)</f>
        <v>Dark</v>
      </c>
      <c r="P787" s="4">
        <f>VLOOKUP(M787,'Products (2)'!A:G,7,0)</f>
        <v>2.0596499999999995</v>
      </c>
      <c r="Q787" s="3">
        <v>1</v>
      </c>
      <c r="R787" s="5">
        <f>INDEX([1]products!$A$1:$G$49,MATCH([1]orders!$D787,[1]products!$A$1:$A$49,0),MATCH([1]orders!K$1,[1]products!$A$1:$G$1,0))</f>
        <v>2.5</v>
      </c>
      <c r="S787" s="6">
        <f>INDEX([1]products!$A$1:$G$49,MATCH([1]orders!$D787,[1]products!$A$1:$A$49,0),MATCH([1]orders!L$1,[1]products!$A$1:$G$1,0))</f>
        <v>22.884999999999998</v>
      </c>
      <c r="T787" s="6">
        <f t="shared" si="72"/>
        <v>22.884999999999998</v>
      </c>
      <c r="U787" s="22">
        <f t="shared" si="76"/>
        <v>2.0596499999999995</v>
      </c>
      <c r="V787" s="22">
        <f t="shared" si="77"/>
        <v>8.9999999999999982</v>
      </c>
    </row>
    <row r="788" spans="1:22" x14ac:dyDescent="0.3">
      <c r="A788" s="1" t="s">
        <v>1525</v>
      </c>
      <c r="B788" s="2">
        <v>43888</v>
      </c>
      <c r="C788" s="2" t="str">
        <f t="shared" si="73"/>
        <v>Thursday</v>
      </c>
      <c r="D788" s="2" t="str">
        <f t="shared" si="74"/>
        <v>February</v>
      </c>
      <c r="E788" s="2" t="str">
        <f t="shared" si="75"/>
        <v>2020</v>
      </c>
      <c r="F788" s="3" t="s">
        <v>1510</v>
      </c>
      <c r="G788" s="3" t="str">
        <f>VLOOKUP(F789,'Customers (2)'!A:I,2,0)</f>
        <v>Beryl Osborn</v>
      </c>
      <c r="H788" s="3" t="str">
        <f>VLOOKUP(F788,'Customers (2)'!A:I,3,0)</f>
        <v>cjewsterlu@moonfruit.com</v>
      </c>
      <c r="I788" s="3" t="str">
        <f>VLOOKUP(F788,'Customers (2)'!A:I,4,0)</f>
        <v>+1 (937) 925-7390</v>
      </c>
      <c r="J788" s="3" t="str">
        <f>VLOOKUP(F788,'Customers (2)'!A:I,6,0)</f>
        <v>Dayton</v>
      </c>
      <c r="K788" s="3" t="str">
        <f>VLOOKUP(F788,'Customers (2)'!A:I,7,0)</f>
        <v>United States</v>
      </c>
      <c r="L788" s="3" t="str">
        <f>VLOOKUP(F788,'Customers (2)'!A:I,9,0)</f>
        <v>Yes</v>
      </c>
      <c r="M788" s="4" t="s">
        <v>530</v>
      </c>
      <c r="N788" s="4" t="str">
        <f>VLOOKUP(M788,'Products (2)'!A:G,2,0)</f>
        <v>Excelsa</v>
      </c>
      <c r="O788" s="4" t="str">
        <f>VLOOKUP(M788,'Products (2)'!A:G,3,0)</f>
        <v>Dark</v>
      </c>
      <c r="P788" s="4">
        <f>VLOOKUP(M788,'Products (2)'!A:G,7,0)</f>
        <v>3.07395</v>
      </c>
      <c r="Q788" s="3">
        <v>1</v>
      </c>
      <c r="R788" s="5">
        <f>INDEX([1]products!$A$1:$G$49,MATCH([1]orders!$D788,[1]products!$A$1:$A$49,0),MATCH([1]orders!K$1,[1]products!$A$1:$G$1,0))</f>
        <v>2.5</v>
      </c>
      <c r="S788" s="6">
        <f>INDEX([1]products!$A$1:$G$49,MATCH([1]orders!$D788,[1]products!$A$1:$A$49,0),MATCH([1]orders!L$1,[1]products!$A$1:$G$1,0))</f>
        <v>27.945</v>
      </c>
      <c r="T788" s="6">
        <f t="shared" si="72"/>
        <v>27.945</v>
      </c>
      <c r="U788" s="22">
        <f t="shared" si="76"/>
        <v>3.07395</v>
      </c>
      <c r="V788" s="22">
        <f t="shared" si="77"/>
        <v>11</v>
      </c>
    </row>
    <row r="789" spans="1:22" x14ac:dyDescent="0.3">
      <c r="A789" s="1" t="s">
        <v>1526</v>
      </c>
      <c r="B789" s="2">
        <v>44305</v>
      </c>
      <c r="C789" s="2" t="str">
        <f t="shared" si="73"/>
        <v>Monday</v>
      </c>
      <c r="D789" s="2" t="str">
        <f t="shared" si="74"/>
        <v>April</v>
      </c>
      <c r="E789" s="2" t="str">
        <f t="shared" si="75"/>
        <v>2021</v>
      </c>
      <c r="F789" s="3" t="s">
        <v>1527</v>
      </c>
      <c r="G789" s="3" t="str">
        <f>VLOOKUP(F790,'Customers (2)'!A:I,2,0)</f>
        <v>Kaela Nottram</v>
      </c>
      <c r="H789" s="3">
        <f>VLOOKUP(F789,'Customers (2)'!A:I,3,0)</f>
        <v>0</v>
      </c>
      <c r="I789" s="3" t="str">
        <f>VLOOKUP(F789,'Customers (2)'!A:I,4,0)</f>
        <v>+1 (312) 648-4940</v>
      </c>
      <c r="J789" s="3" t="str">
        <f>VLOOKUP(F789,'Customers (2)'!A:I,6,0)</f>
        <v>Chicago</v>
      </c>
      <c r="K789" s="3" t="str">
        <f>VLOOKUP(F789,'Customers (2)'!A:I,7,0)</f>
        <v>United States</v>
      </c>
      <c r="L789" s="3" t="str">
        <f>VLOOKUP(F789,'Customers (2)'!A:I,9,0)</f>
        <v>Yes</v>
      </c>
      <c r="M789" s="4" t="s">
        <v>9</v>
      </c>
      <c r="N789" s="4" t="str">
        <f>VLOOKUP(M789,'Products (2)'!A:G,2,0)</f>
        <v>Excelsa</v>
      </c>
      <c r="O789" s="4" t="str">
        <f>VLOOKUP(M789,'Products (2)'!A:G,3,0)</f>
        <v>Medium</v>
      </c>
      <c r="P789" s="4">
        <f>VLOOKUP(M789,'Products (2)'!A:G,7,0)</f>
        <v>1.5125</v>
      </c>
      <c r="Q789" s="3">
        <v>6</v>
      </c>
      <c r="R789" s="5">
        <f>INDEX([1]products!$A$1:$G$49,MATCH([1]orders!$D789,[1]products!$A$1:$A$49,0),MATCH([1]orders!K$1,[1]products!$A$1:$G$1,0))</f>
        <v>1</v>
      </c>
      <c r="S789" s="6">
        <f>INDEX([1]products!$A$1:$G$49,MATCH([1]orders!$D789,[1]products!$A$1:$A$49,0),MATCH([1]orders!L$1,[1]products!$A$1:$G$1,0))</f>
        <v>13.75</v>
      </c>
      <c r="T789" s="6">
        <f t="shared" si="72"/>
        <v>82.5</v>
      </c>
      <c r="U789" s="22">
        <f t="shared" si="76"/>
        <v>9.0749999999999993</v>
      </c>
      <c r="V789" s="22">
        <f t="shared" si="77"/>
        <v>10.999999999999998</v>
      </c>
    </row>
    <row r="790" spans="1:22" x14ac:dyDescent="0.3">
      <c r="A790" s="1" t="s">
        <v>1528</v>
      </c>
      <c r="B790" s="2">
        <v>44771</v>
      </c>
      <c r="C790" s="2" t="str">
        <f t="shared" si="73"/>
        <v>Friday</v>
      </c>
      <c r="D790" s="2" t="str">
        <f t="shared" si="74"/>
        <v>July</v>
      </c>
      <c r="E790" s="2" t="str">
        <f t="shared" si="75"/>
        <v>2022</v>
      </c>
      <c r="F790" s="3" t="s">
        <v>1529</v>
      </c>
      <c r="G790" s="3" t="str">
        <f>VLOOKUP(F791,'Customers (2)'!A:I,2,0)</f>
        <v>Nobe Buney</v>
      </c>
      <c r="H790" s="3" t="str">
        <f>VLOOKUP(F790,'Customers (2)'!A:I,3,0)</f>
        <v>knottramlw@odnoklassniki.ru</v>
      </c>
      <c r="I790" s="3" t="str">
        <f>VLOOKUP(F790,'Customers (2)'!A:I,4,0)</f>
        <v>+353 (549) 358-7019</v>
      </c>
      <c r="J790" s="3" t="str">
        <f>VLOOKUP(F790,'Customers (2)'!A:I,6,0)</f>
        <v>Arklow</v>
      </c>
      <c r="K790" s="3" t="str">
        <f>VLOOKUP(F790,'Customers (2)'!A:I,7,0)</f>
        <v>Ireland</v>
      </c>
      <c r="L790" s="3" t="str">
        <f>VLOOKUP(F790,'Customers (2)'!A:I,9,0)</f>
        <v>Yes</v>
      </c>
      <c r="M790" s="4" t="s">
        <v>41</v>
      </c>
      <c r="N790" s="4" t="str">
        <f>VLOOKUP(M790,'Products (2)'!A:G,2,0)</f>
        <v>Robusta</v>
      </c>
      <c r="O790" s="4" t="str">
        <f>VLOOKUP(M790,'Products (2)'!A:G,3,0)</f>
        <v>Medium</v>
      </c>
      <c r="P790" s="4">
        <f>VLOOKUP(M790,'Products (2)'!A:G,7,0)</f>
        <v>1.3730999999999998</v>
      </c>
      <c r="Q790" s="3">
        <v>2</v>
      </c>
      <c r="R790" s="5">
        <f>INDEX([1]products!$A$1:$G$49,MATCH([1]orders!$D790,[1]products!$A$1:$A$49,0),MATCH([1]orders!K$1,[1]products!$A$1:$G$1,0))</f>
        <v>2.5</v>
      </c>
      <c r="S790" s="6">
        <f>INDEX([1]products!$A$1:$G$49,MATCH([1]orders!$D790,[1]products!$A$1:$A$49,0),MATCH([1]orders!L$1,[1]products!$A$1:$G$1,0))</f>
        <v>22.884999999999998</v>
      </c>
      <c r="T790" s="6">
        <f t="shared" si="72"/>
        <v>45.769999999999996</v>
      </c>
      <c r="U790" s="22">
        <f t="shared" si="76"/>
        <v>2.7461999999999995</v>
      </c>
      <c r="V790" s="22">
        <f t="shared" si="77"/>
        <v>6</v>
      </c>
    </row>
    <row r="791" spans="1:22" x14ac:dyDescent="0.3">
      <c r="A791" s="1" t="s">
        <v>1530</v>
      </c>
      <c r="B791" s="2">
        <v>43485</v>
      </c>
      <c r="C791" s="2" t="str">
        <f t="shared" si="73"/>
        <v>Sunday</v>
      </c>
      <c r="D791" s="2" t="str">
        <f t="shared" si="74"/>
        <v>January</v>
      </c>
      <c r="E791" s="2" t="str">
        <f t="shared" si="75"/>
        <v>2019</v>
      </c>
      <c r="F791" s="3" t="s">
        <v>1531</v>
      </c>
      <c r="G791" s="3" t="str">
        <f>VLOOKUP(F792,'Customers (2)'!A:I,2,0)</f>
        <v>Silvan McShea</v>
      </c>
      <c r="H791" s="3" t="str">
        <f>VLOOKUP(F791,'Customers (2)'!A:I,3,0)</f>
        <v>nbuneylx@jugem.jp</v>
      </c>
      <c r="I791" s="3" t="str">
        <f>VLOOKUP(F791,'Customers (2)'!A:I,4,0)</f>
        <v>+1 (510) 973-7084</v>
      </c>
      <c r="J791" s="3" t="str">
        <f>VLOOKUP(F791,'Customers (2)'!A:I,6,0)</f>
        <v>Richmond</v>
      </c>
      <c r="K791" s="3" t="str">
        <f>VLOOKUP(F791,'Customers (2)'!A:I,7,0)</f>
        <v>United States</v>
      </c>
      <c r="L791" s="3" t="str">
        <f>VLOOKUP(F791,'Customers (2)'!A:I,9,0)</f>
        <v>No</v>
      </c>
      <c r="M791" s="4" t="s">
        <v>6</v>
      </c>
      <c r="N791" s="4" t="str">
        <f>VLOOKUP(M791,'Products (2)'!A:G,2,0)</f>
        <v>Arabica</v>
      </c>
      <c r="O791" s="4" t="str">
        <f>VLOOKUP(M791,'Products (2)'!A:G,3,0)</f>
        <v>Light</v>
      </c>
      <c r="P791" s="4">
        <f>VLOOKUP(M791,'Products (2)'!A:G,7,0)</f>
        <v>1.1655</v>
      </c>
      <c r="Q791" s="3">
        <v>6</v>
      </c>
      <c r="R791" s="5">
        <f>INDEX([1]products!$A$1:$G$49,MATCH([1]orders!$D791,[1]products!$A$1:$A$49,0),MATCH([1]orders!K$1,[1]products!$A$1:$G$1,0))</f>
        <v>1</v>
      </c>
      <c r="S791" s="6">
        <f>INDEX([1]products!$A$1:$G$49,MATCH([1]orders!$D791,[1]products!$A$1:$A$49,0),MATCH([1]orders!L$1,[1]products!$A$1:$G$1,0))</f>
        <v>12.95</v>
      </c>
      <c r="T791" s="6">
        <f t="shared" si="72"/>
        <v>77.699999999999989</v>
      </c>
      <c r="U791" s="22">
        <f t="shared" si="76"/>
        <v>6.9930000000000003</v>
      </c>
      <c r="V791" s="22">
        <f t="shared" si="77"/>
        <v>9.0000000000000018</v>
      </c>
    </row>
    <row r="792" spans="1:22" x14ac:dyDescent="0.3">
      <c r="A792" s="1" t="s">
        <v>1532</v>
      </c>
      <c r="B792" s="2">
        <v>44613</v>
      </c>
      <c r="C792" s="2" t="str">
        <f t="shared" si="73"/>
        <v>Monday</v>
      </c>
      <c r="D792" s="2" t="str">
        <f t="shared" si="74"/>
        <v>February</v>
      </c>
      <c r="E792" s="2" t="str">
        <f t="shared" si="75"/>
        <v>2022</v>
      </c>
      <c r="F792" s="3" t="s">
        <v>1533</v>
      </c>
      <c r="G792" s="3" t="str">
        <f>VLOOKUP(F793,'Customers (2)'!A:I,2,0)</f>
        <v>Karylin Huddart</v>
      </c>
      <c r="H792" s="3" t="str">
        <f>VLOOKUP(F792,'Customers (2)'!A:I,3,0)</f>
        <v>smcshealy@photobucket.com</v>
      </c>
      <c r="I792" s="3" t="str">
        <f>VLOOKUP(F792,'Customers (2)'!A:I,4,0)</f>
        <v>+1 (360) 578-2262</v>
      </c>
      <c r="J792" s="3" t="str">
        <f>VLOOKUP(F792,'Customers (2)'!A:I,6,0)</f>
        <v>Olympia</v>
      </c>
      <c r="K792" s="3" t="str">
        <f>VLOOKUP(F792,'Customers (2)'!A:I,7,0)</f>
        <v>United States</v>
      </c>
      <c r="L792" s="3" t="str">
        <f>VLOOKUP(F792,'Customers (2)'!A:I,9,0)</f>
        <v>No</v>
      </c>
      <c r="M792" s="4" t="s">
        <v>192</v>
      </c>
      <c r="N792" s="4" t="str">
        <f>VLOOKUP(M792,'Products (2)'!A:G,2,0)</f>
        <v>Arabica</v>
      </c>
      <c r="O792" s="4" t="str">
        <f>VLOOKUP(M792,'Products (2)'!A:G,3,0)</f>
        <v>Light</v>
      </c>
      <c r="P792" s="4">
        <f>VLOOKUP(M792,'Products (2)'!A:G,7,0)</f>
        <v>0.69929999999999992</v>
      </c>
      <c r="Q792" s="3">
        <v>3</v>
      </c>
      <c r="R792" s="5">
        <f>INDEX([1]products!$A$1:$G$49,MATCH([1]orders!$D792,[1]products!$A$1:$A$49,0),MATCH([1]orders!K$1,[1]products!$A$1:$G$1,0))</f>
        <v>0.5</v>
      </c>
      <c r="S792" s="6">
        <f>INDEX([1]products!$A$1:$G$49,MATCH([1]orders!$D792,[1]products!$A$1:$A$49,0),MATCH([1]orders!L$1,[1]products!$A$1:$G$1,0))</f>
        <v>7.77</v>
      </c>
      <c r="T792" s="6">
        <f t="shared" si="72"/>
        <v>23.31</v>
      </c>
      <c r="U792" s="22">
        <f t="shared" si="76"/>
        <v>2.0978999999999997</v>
      </c>
      <c r="V792" s="22">
        <f t="shared" si="77"/>
        <v>9</v>
      </c>
    </row>
    <row r="793" spans="1:22" x14ac:dyDescent="0.3">
      <c r="A793" s="1" t="s">
        <v>1534</v>
      </c>
      <c r="B793" s="2">
        <v>43954</v>
      </c>
      <c r="C793" s="2" t="str">
        <f t="shared" si="73"/>
        <v>Sunday</v>
      </c>
      <c r="D793" s="2" t="str">
        <f t="shared" si="74"/>
        <v>May</v>
      </c>
      <c r="E793" s="2" t="str">
        <f t="shared" si="75"/>
        <v>2020</v>
      </c>
      <c r="F793" s="3" t="s">
        <v>1535</v>
      </c>
      <c r="G793" s="3" t="str">
        <f>VLOOKUP(F794,'Customers (2)'!A:I,2,0)</f>
        <v>Jereme Gippes</v>
      </c>
      <c r="H793" s="3" t="str">
        <f>VLOOKUP(F793,'Customers (2)'!A:I,3,0)</f>
        <v>khuddartlz@about.com</v>
      </c>
      <c r="I793" s="3" t="str">
        <f>VLOOKUP(F793,'Customers (2)'!A:I,4,0)</f>
        <v>+1 (214) 931-4518</v>
      </c>
      <c r="J793" s="3" t="str">
        <f>VLOOKUP(F793,'Customers (2)'!A:I,6,0)</f>
        <v>Arlington</v>
      </c>
      <c r="K793" s="3" t="str">
        <f>VLOOKUP(F793,'Customers (2)'!A:I,7,0)</f>
        <v>United States</v>
      </c>
      <c r="L793" s="3" t="str">
        <f>VLOOKUP(F793,'Customers (2)'!A:I,9,0)</f>
        <v>Yes</v>
      </c>
      <c r="M793" s="4" t="s">
        <v>19</v>
      </c>
      <c r="N793" s="4" t="str">
        <f>VLOOKUP(M793,'Products (2)'!A:G,2,0)</f>
        <v>Liberica</v>
      </c>
      <c r="O793" s="4" t="str">
        <f>VLOOKUP(M793,'Products (2)'!A:G,3,0)</f>
        <v>Light</v>
      </c>
      <c r="P793" s="4">
        <f>VLOOKUP(M793,'Products (2)'!A:G,7,0)</f>
        <v>0.61814999999999998</v>
      </c>
      <c r="Q793" s="3">
        <v>5</v>
      </c>
      <c r="R793" s="5">
        <f>INDEX([1]products!$A$1:$G$49,MATCH([1]orders!$D793,[1]products!$A$1:$A$49,0),MATCH([1]orders!K$1,[1]products!$A$1:$G$1,0))</f>
        <v>0.2</v>
      </c>
      <c r="S793" s="6">
        <f>INDEX([1]products!$A$1:$G$49,MATCH([1]orders!$D793,[1]products!$A$1:$A$49,0),MATCH([1]orders!L$1,[1]products!$A$1:$G$1,0))</f>
        <v>4.7549999999999999</v>
      </c>
      <c r="T793" s="6">
        <f t="shared" si="72"/>
        <v>23.774999999999999</v>
      </c>
      <c r="U793" s="22">
        <f t="shared" si="76"/>
        <v>3.0907499999999999</v>
      </c>
      <c r="V793" s="22">
        <f t="shared" si="77"/>
        <v>13</v>
      </c>
    </row>
    <row r="794" spans="1:22" x14ac:dyDescent="0.3">
      <c r="A794" s="1" t="s">
        <v>1536</v>
      </c>
      <c r="B794" s="2">
        <v>43545</v>
      </c>
      <c r="C794" s="2" t="str">
        <f t="shared" si="73"/>
        <v>Thursday</v>
      </c>
      <c r="D794" s="2" t="str">
        <f t="shared" si="74"/>
        <v>March</v>
      </c>
      <c r="E794" s="2" t="str">
        <f t="shared" si="75"/>
        <v>2019</v>
      </c>
      <c r="F794" s="3" t="s">
        <v>1537</v>
      </c>
      <c r="G794" s="3" t="str">
        <f>VLOOKUP(F795,'Customers (2)'!A:I,2,0)</f>
        <v>Lukas Whittlesee</v>
      </c>
      <c r="H794" s="3" t="str">
        <f>VLOOKUP(F794,'Customers (2)'!A:I,3,0)</f>
        <v>jgippesm0@cloudflare.com</v>
      </c>
      <c r="I794" s="3" t="str">
        <f>VLOOKUP(F794,'Customers (2)'!A:I,4,0)</f>
        <v>+44 (185) 319-5850</v>
      </c>
      <c r="J794" s="3" t="str">
        <f>VLOOKUP(F794,'Customers (2)'!A:I,6,0)</f>
        <v>Twyford</v>
      </c>
      <c r="K794" s="3" t="str">
        <f>VLOOKUP(F794,'Customers (2)'!A:I,7,0)</f>
        <v>United Kingdom</v>
      </c>
      <c r="L794" s="3" t="str">
        <f>VLOOKUP(F794,'Customers (2)'!A:I,9,0)</f>
        <v>Yes</v>
      </c>
      <c r="M794" s="4" t="s">
        <v>78</v>
      </c>
      <c r="N794" s="4" t="str">
        <f>VLOOKUP(M794,'Products (2)'!A:G,2,0)</f>
        <v>Liberica</v>
      </c>
      <c r="O794" s="4" t="str">
        <f>VLOOKUP(M794,'Products (2)'!A:G,3,0)</f>
        <v>Medium</v>
      </c>
      <c r="P794" s="4">
        <f>VLOOKUP(M794,'Products (2)'!A:G,7,0)</f>
        <v>1.1349</v>
      </c>
      <c r="Q794" s="3">
        <v>6</v>
      </c>
      <c r="R794" s="5">
        <f>INDEX([1]products!$A$1:$G$49,MATCH([1]orders!$D794,[1]products!$A$1:$A$49,0),MATCH([1]orders!K$1,[1]products!$A$1:$G$1,0))</f>
        <v>0.5</v>
      </c>
      <c r="S794" s="6">
        <f>INDEX([1]products!$A$1:$G$49,MATCH([1]orders!$D794,[1]products!$A$1:$A$49,0),MATCH([1]orders!L$1,[1]products!$A$1:$G$1,0))</f>
        <v>8.73</v>
      </c>
      <c r="T794" s="6">
        <f t="shared" si="72"/>
        <v>52.38</v>
      </c>
      <c r="U794" s="22">
        <f t="shared" si="76"/>
        <v>6.8094000000000001</v>
      </c>
      <c r="V794" s="22">
        <f t="shared" si="77"/>
        <v>13</v>
      </c>
    </row>
    <row r="795" spans="1:22" x14ac:dyDescent="0.3">
      <c r="A795" s="1" t="s">
        <v>1538</v>
      </c>
      <c r="B795" s="2">
        <v>43629</v>
      </c>
      <c r="C795" s="2" t="str">
        <f t="shared" si="73"/>
        <v>Thursday</v>
      </c>
      <c r="D795" s="2" t="str">
        <f t="shared" si="74"/>
        <v>June</v>
      </c>
      <c r="E795" s="2" t="str">
        <f t="shared" si="75"/>
        <v>2019</v>
      </c>
      <c r="F795" s="3" t="s">
        <v>1539</v>
      </c>
      <c r="G795" s="3" t="str">
        <f>VLOOKUP(F796,'Customers (2)'!A:I,2,0)</f>
        <v>Gregorius Trengrove</v>
      </c>
      <c r="H795" s="3" t="str">
        <f>VLOOKUP(F795,'Customers (2)'!A:I,3,0)</f>
        <v>lwhittleseem1@e-recht24.de</v>
      </c>
      <c r="I795" s="3" t="str">
        <f>VLOOKUP(F795,'Customers (2)'!A:I,4,0)</f>
        <v>+1 (540) 413-9605</v>
      </c>
      <c r="J795" s="3" t="str">
        <f>VLOOKUP(F795,'Customers (2)'!A:I,6,0)</f>
        <v>Roanoke</v>
      </c>
      <c r="K795" s="3" t="str">
        <f>VLOOKUP(F795,'Customers (2)'!A:I,7,0)</f>
        <v>United States</v>
      </c>
      <c r="L795" s="3" t="str">
        <f>VLOOKUP(F795,'Customers (2)'!A:I,9,0)</f>
        <v>No</v>
      </c>
      <c r="M795" s="4" t="s">
        <v>182</v>
      </c>
      <c r="N795" s="4" t="str">
        <f>VLOOKUP(M795,'Products (2)'!A:G,2,0)</f>
        <v>Robusta</v>
      </c>
      <c r="O795" s="4" t="str">
        <f>VLOOKUP(M795,'Products (2)'!A:G,3,0)</f>
        <v>Light</v>
      </c>
      <c r="P795" s="4">
        <f>VLOOKUP(M795,'Products (2)'!A:G,7,0)</f>
        <v>0.21509999999999996</v>
      </c>
      <c r="Q795" s="3">
        <v>5</v>
      </c>
      <c r="R795" s="5">
        <f>INDEX([1]products!$A$1:$G$49,MATCH([1]orders!$D795,[1]products!$A$1:$A$49,0),MATCH([1]orders!K$1,[1]products!$A$1:$G$1,0))</f>
        <v>0.2</v>
      </c>
      <c r="S795" s="6">
        <f>INDEX([1]products!$A$1:$G$49,MATCH([1]orders!$D795,[1]products!$A$1:$A$49,0),MATCH([1]orders!L$1,[1]products!$A$1:$G$1,0))</f>
        <v>3.5849999999999995</v>
      </c>
      <c r="T795" s="6">
        <f t="shared" si="72"/>
        <v>17.924999999999997</v>
      </c>
      <c r="U795" s="22">
        <f t="shared" si="76"/>
        <v>1.0754999999999999</v>
      </c>
      <c r="V795" s="22">
        <f t="shared" si="77"/>
        <v>6.0000000000000009</v>
      </c>
    </row>
    <row r="796" spans="1:22" x14ac:dyDescent="0.3">
      <c r="A796" s="1" t="s">
        <v>1540</v>
      </c>
      <c r="B796" s="2">
        <v>43987</v>
      </c>
      <c r="C796" s="2" t="str">
        <f t="shared" si="73"/>
        <v>Friday</v>
      </c>
      <c r="D796" s="2" t="str">
        <f t="shared" si="74"/>
        <v>June</v>
      </c>
      <c r="E796" s="2" t="str">
        <f t="shared" si="75"/>
        <v>2020</v>
      </c>
      <c r="F796" s="3" t="s">
        <v>1541</v>
      </c>
      <c r="G796" s="3" t="str">
        <f>VLOOKUP(F797,'Customers (2)'!A:I,2,0)</f>
        <v>Wright Caldero</v>
      </c>
      <c r="H796" s="3" t="str">
        <f>VLOOKUP(F796,'Customers (2)'!A:I,3,0)</f>
        <v>gtrengrovem2@elpais.com</v>
      </c>
      <c r="I796" s="3" t="str">
        <f>VLOOKUP(F796,'Customers (2)'!A:I,4,0)</f>
        <v>+1 (516) 513-7620</v>
      </c>
      <c r="J796" s="3" t="str">
        <f>VLOOKUP(F796,'Customers (2)'!A:I,6,0)</f>
        <v>New Hyde Park</v>
      </c>
      <c r="K796" s="3" t="str">
        <f>VLOOKUP(F796,'Customers (2)'!A:I,7,0)</f>
        <v>United States</v>
      </c>
      <c r="L796" s="3" t="str">
        <f>VLOOKUP(F796,'Customers (2)'!A:I,9,0)</f>
        <v>No</v>
      </c>
      <c r="M796" s="4" t="s">
        <v>204</v>
      </c>
      <c r="N796" s="4" t="str">
        <f>VLOOKUP(M796,'Products (2)'!A:G,2,0)</f>
        <v>Arabica</v>
      </c>
      <c r="O796" s="4" t="str">
        <f>VLOOKUP(M796,'Products (2)'!A:G,3,0)</f>
        <v>Light</v>
      </c>
      <c r="P796" s="4">
        <f>VLOOKUP(M796,'Products (2)'!A:G,7,0)</f>
        <v>2.6806499999999995</v>
      </c>
      <c r="Q796" s="3">
        <v>5</v>
      </c>
      <c r="R796" s="5">
        <f>INDEX([1]products!$A$1:$G$49,MATCH([1]orders!$D796,[1]products!$A$1:$A$49,0),MATCH([1]orders!K$1,[1]products!$A$1:$G$1,0))</f>
        <v>2.5</v>
      </c>
      <c r="S796" s="6">
        <f>INDEX([1]products!$A$1:$G$49,MATCH([1]orders!$D796,[1]products!$A$1:$A$49,0),MATCH([1]orders!L$1,[1]products!$A$1:$G$1,0))</f>
        <v>29.784999999999997</v>
      </c>
      <c r="T796" s="6">
        <f t="shared" si="72"/>
        <v>148.92499999999998</v>
      </c>
      <c r="U796" s="22">
        <f t="shared" si="76"/>
        <v>13.403249999999998</v>
      </c>
      <c r="V796" s="22">
        <f t="shared" si="77"/>
        <v>9</v>
      </c>
    </row>
    <row r="797" spans="1:22" x14ac:dyDescent="0.3">
      <c r="A797" s="1" t="s">
        <v>1542</v>
      </c>
      <c r="B797" s="2">
        <v>43540</v>
      </c>
      <c r="C797" s="2" t="str">
        <f t="shared" si="73"/>
        <v>Saturday</v>
      </c>
      <c r="D797" s="2" t="str">
        <f t="shared" si="74"/>
        <v>March</v>
      </c>
      <c r="E797" s="2" t="str">
        <f t="shared" si="75"/>
        <v>2019</v>
      </c>
      <c r="F797" s="3" t="s">
        <v>1543</v>
      </c>
      <c r="G797" s="3" t="str">
        <f>VLOOKUP(F798,'Customers (2)'!A:I,2,0)</f>
        <v>Merell Zanazzi</v>
      </c>
      <c r="H797" s="3" t="str">
        <f>VLOOKUP(F797,'Customers (2)'!A:I,3,0)</f>
        <v>wcalderom3@stumbleupon.com</v>
      </c>
      <c r="I797" s="3" t="str">
        <f>VLOOKUP(F797,'Customers (2)'!A:I,4,0)</f>
        <v>+1 (714) 117-5483</v>
      </c>
      <c r="J797" s="3" t="str">
        <f>VLOOKUP(F797,'Customers (2)'!A:I,6,0)</f>
        <v>Anaheim</v>
      </c>
      <c r="K797" s="3" t="str">
        <f>VLOOKUP(F797,'Customers (2)'!A:I,7,0)</f>
        <v>United States</v>
      </c>
      <c r="L797" s="3" t="str">
        <f>VLOOKUP(F797,'Customers (2)'!A:I,9,0)</f>
        <v>No</v>
      </c>
      <c r="M797" s="4" t="s">
        <v>157</v>
      </c>
      <c r="N797" s="4" t="str">
        <f>VLOOKUP(M797,'Products (2)'!A:G,2,0)</f>
        <v>Robusta</v>
      </c>
      <c r="O797" s="4" t="str">
        <f>VLOOKUP(M797,'Products (2)'!A:G,3,0)</f>
        <v>Light</v>
      </c>
      <c r="P797" s="4">
        <f>VLOOKUP(M797,'Products (2)'!A:G,7,0)</f>
        <v>0.43019999999999992</v>
      </c>
      <c r="Q797" s="3">
        <v>4</v>
      </c>
      <c r="R797" s="5">
        <f>INDEX([1]products!$A$1:$G$49,MATCH([1]orders!$D797,[1]products!$A$1:$A$49,0),MATCH([1]orders!K$1,[1]products!$A$1:$G$1,0))</f>
        <v>0.5</v>
      </c>
      <c r="S797" s="6">
        <f>INDEX([1]products!$A$1:$G$49,MATCH([1]orders!$D797,[1]products!$A$1:$A$49,0),MATCH([1]orders!L$1,[1]products!$A$1:$G$1,0))</f>
        <v>7.169999999999999</v>
      </c>
      <c r="T797" s="6">
        <f t="shared" si="72"/>
        <v>28.679999999999996</v>
      </c>
      <c r="U797" s="22">
        <f t="shared" si="76"/>
        <v>1.7207999999999997</v>
      </c>
      <c r="V797" s="22">
        <f t="shared" si="77"/>
        <v>6</v>
      </c>
    </row>
    <row r="798" spans="1:22" x14ac:dyDescent="0.3">
      <c r="A798" s="1" t="s">
        <v>1544</v>
      </c>
      <c r="B798" s="2">
        <v>44533</v>
      </c>
      <c r="C798" s="2" t="str">
        <f t="shared" si="73"/>
        <v>Friday</v>
      </c>
      <c r="D798" s="2" t="str">
        <f t="shared" si="74"/>
        <v>December</v>
      </c>
      <c r="E798" s="2" t="str">
        <f t="shared" si="75"/>
        <v>2021</v>
      </c>
      <c r="F798" s="3" t="s">
        <v>1545</v>
      </c>
      <c r="G798" s="3" t="str">
        <f>VLOOKUP(F799,'Customers (2)'!A:I,2,0)</f>
        <v>Jed Kennicott</v>
      </c>
      <c r="H798" s="3">
        <f>VLOOKUP(F798,'Customers (2)'!A:I,3,0)</f>
        <v>0</v>
      </c>
      <c r="I798" s="3" t="str">
        <f>VLOOKUP(F798,'Customers (2)'!A:I,4,0)</f>
        <v>+1 (606) 824-3445</v>
      </c>
      <c r="J798" s="3" t="str">
        <f>VLOOKUP(F798,'Customers (2)'!A:I,6,0)</f>
        <v>Lexington</v>
      </c>
      <c r="K798" s="3" t="str">
        <f>VLOOKUP(F798,'Customers (2)'!A:I,7,0)</f>
        <v>United States</v>
      </c>
      <c r="L798" s="3" t="str">
        <f>VLOOKUP(F798,'Customers (2)'!A:I,9,0)</f>
        <v>No</v>
      </c>
      <c r="M798" s="4" t="s">
        <v>83</v>
      </c>
      <c r="N798" s="4" t="str">
        <f>VLOOKUP(M798,'Products (2)'!A:G,2,0)</f>
        <v>Liberica</v>
      </c>
      <c r="O798" s="4" t="str">
        <f>VLOOKUP(M798,'Products (2)'!A:G,3,0)</f>
        <v>Light</v>
      </c>
      <c r="P798" s="4">
        <f>VLOOKUP(M798,'Products (2)'!A:G,7,0)</f>
        <v>1.2363</v>
      </c>
      <c r="Q798" s="3">
        <v>1</v>
      </c>
      <c r="R798" s="5">
        <f>INDEX([1]products!$A$1:$G$49,MATCH([1]orders!$D798,[1]products!$A$1:$A$49,0),MATCH([1]orders!K$1,[1]products!$A$1:$G$1,0))</f>
        <v>0.5</v>
      </c>
      <c r="S798" s="6">
        <f>INDEX([1]products!$A$1:$G$49,MATCH([1]orders!$D798,[1]products!$A$1:$A$49,0),MATCH([1]orders!L$1,[1]products!$A$1:$G$1,0))</f>
        <v>9.51</v>
      </c>
      <c r="T798" s="6">
        <f t="shared" si="72"/>
        <v>9.51</v>
      </c>
      <c r="U798" s="22">
        <f t="shared" si="76"/>
        <v>1.2363</v>
      </c>
      <c r="V798" s="22">
        <f t="shared" si="77"/>
        <v>13</v>
      </c>
    </row>
    <row r="799" spans="1:22" x14ac:dyDescent="0.3">
      <c r="A799" s="1" t="s">
        <v>1546</v>
      </c>
      <c r="B799" s="2">
        <v>44751</v>
      </c>
      <c r="C799" s="2" t="str">
        <f t="shared" si="73"/>
        <v>Saturday</v>
      </c>
      <c r="D799" s="2" t="str">
        <f t="shared" si="74"/>
        <v>July</v>
      </c>
      <c r="E799" s="2" t="str">
        <f t="shared" si="75"/>
        <v>2022</v>
      </c>
      <c r="F799" s="3" t="s">
        <v>1547</v>
      </c>
      <c r="G799" s="3" t="str">
        <f>VLOOKUP(F800,'Customers (2)'!A:I,2,0)</f>
        <v>Guenevere Ruggen</v>
      </c>
      <c r="H799" s="3" t="str">
        <f>VLOOKUP(F799,'Customers (2)'!A:I,3,0)</f>
        <v>jkennicottm5@yahoo.co.jp</v>
      </c>
      <c r="I799" s="3" t="str">
        <f>VLOOKUP(F799,'Customers (2)'!A:I,4,0)</f>
        <v>+1 (813) 579-8389</v>
      </c>
      <c r="J799" s="3" t="str">
        <f>VLOOKUP(F799,'Customers (2)'!A:I,6,0)</f>
        <v>Tampa</v>
      </c>
      <c r="K799" s="3" t="str">
        <f>VLOOKUP(F799,'Customers (2)'!A:I,7,0)</f>
        <v>United States</v>
      </c>
      <c r="L799" s="3" t="str">
        <f>VLOOKUP(F799,'Customers (2)'!A:I,9,0)</f>
        <v>No</v>
      </c>
      <c r="M799" s="4" t="s">
        <v>192</v>
      </c>
      <c r="N799" s="4" t="str">
        <f>VLOOKUP(M799,'Products (2)'!A:G,2,0)</f>
        <v>Arabica</v>
      </c>
      <c r="O799" s="4" t="str">
        <f>VLOOKUP(M799,'Products (2)'!A:G,3,0)</f>
        <v>Light</v>
      </c>
      <c r="P799" s="4">
        <f>VLOOKUP(M799,'Products (2)'!A:G,7,0)</f>
        <v>0.69929999999999992</v>
      </c>
      <c r="Q799" s="3">
        <v>4</v>
      </c>
      <c r="R799" s="5">
        <f>INDEX([1]products!$A$1:$G$49,MATCH([1]orders!$D799,[1]products!$A$1:$A$49,0),MATCH([1]orders!K$1,[1]products!$A$1:$G$1,0))</f>
        <v>0.5</v>
      </c>
      <c r="S799" s="6">
        <f>INDEX([1]products!$A$1:$G$49,MATCH([1]orders!$D799,[1]products!$A$1:$A$49,0),MATCH([1]orders!L$1,[1]products!$A$1:$G$1,0))</f>
        <v>7.77</v>
      </c>
      <c r="T799" s="6">
        <f t="shared" si="72"/>
        <v>31.08</v>
      </c>
      <c r="U799" s="22">
        <f t="shared" si="76"/>
        <v>2.7971999999999997</v>
      </c>
      <c r="V799" s="22">
        <f t="shared" si="77"/>
        <v>9</v>
      </c>
    </row>
    <row r="800" spans="1:22" x14ac:dyDescent="0.3">
      <c r="A800" s="1" t="s">
        <v>1548</v>
      </c>
      <c r="B800" s="2">
        <v>43950</v>
      </c>
      <c r="C800" s="2" t="str">
        <f t="shared" si="73"/>
        <v>Wednesday</v>
      </c>
      <c r="D800" s="2" t="str">
        <f t="shared" si="74"/>
        <v>April</v>
      </c>
      <c r="E800" s="2" t="str">
        <f t="shared" si="75"/>
        <v>2020</v>
      </c>
      <c r="F800" s="3" t="s">
        <v>1549</v>
      </c>
      <c r="G800" s="3" t="str">
        <f>VLOOKUP(F801,'Customers (2)'!A:I,2,0)</f>
        <v>Gonzales Cicculi</v>
      </c>
      <c r="H800" s="3" t="str">
        <f>VLOOKUP(F800,'Customers (2)'!A:I,3,0)</f>
        <v>gruggenm6@nymag.com</v>
      </c>
      <c r="I800" s="3" t="str">
        <f>VLOOKUP(F800,'Customers (2)'!A:I,4,0)</f>
        <v>+1 (408) 211-2306</v>
      </c>
      <c r="J800" s="3" t="str">
        <f>VLOOKUP(F800,'Customers (2)'!A:I,6,0)</f>
        <v>San Jose</v>
      </c>
      <c r="K800" s="3" t="str">
        <f>VLOOKUP(F800,'Customers (2)'!A:I,7,0)</f>
        <v>United States</v>
      </c>
      <c r="L800" s="3" t="str">
        <f>VLOOKUP(F800,'Customers (2)'!A:I,9,0)</f>
        <v>Yes</v>
      </c>
      <c r="M800" s="4" t="s">
        <v>101</v>
      </c>
      <c r="N800" s="4" t="str">
        <f>VLOOKUP(M800,'Products (2)'!A:G,2,0)</f>
        <v>Robusta</v>
      </c>
      <c r="O800" s="4" t="str">
        <f>VLOOKUP(M800,'Products (2)'!A:G,3,0)</f>
        <v>Dark</v>
      </c>
      <c r="P800" s="4">
        <f>VLOOKUP(M800,'Products (2)'!A:G,7,0)</f>
        <v>0.16109999999999997</v>
      </c>
      <c r="Q800" s="3">
        <v>3</v>
      </c>
      <c r="R800" s="5">
        <f>INDEX([1]products!$A$1:$G$49,MATCH([1]orders!$D800,[1]products!$A$1:$A$49,0),MATCH([1]orders!K$1,[1]products!$A$1:$G$1,0))</f>
        <v>0.2</v>
      </c>
      <c r="S800" s="6">
        <f>INDEX([1]products!$A$1:$G$49,MATCH([1]orders!$D800,[1]products!$A$1:$A$49,0),MATCH([1]orders!L$1,[1]products!$A$1:$G$1,0))</f>
        <v>2.6849999999999996</v>
      </c>
      <c r="T800" s="6">
        <f t="shared" si="72"/>
        <v>8.0549999999999997</v>
      </c>
      <c r="U800" s="22">
        <f t="shared" si="76"/>
        <v>0.4832999999999999</v>
      </c>
      <c r="V800" s="22">
        <f t="shared" si="77"/>
        <v>5.9999999999999991</v>
      </c>
    </row>
    <row r="801" spans="1:22" x14ac:dyDescent="0.3">
      <c r="A801" s="1" t="s">
        <v>1550</v>
      </c>
      <c r="B801" s="2">
        <v>44588</v>
      </c>
      <c r="C801" s="2" t="str">
        <f t="shared" si="73"/>
        <v>Thursday</v>
      </c>
      <c r="D801" s="2" t="str">
        <f t="shared" si="74"/>
        <v>January</v>
      </c>
      <c r="E801" s="2" t="str">
        <f t="shared" si="75"/>
        <v>2022</v>
      </c>
      <c r="F801" s="3" t="s">
        <v>1551</v>
      </c>
      <c r="G801" s="3" t="str">
        <f>VLOOKUP(F802,'Customers (2)'!A:I,2,0)</f>
        <v>Man Fright</v>
      </c>
      <c r="H801" s="3">
        <f>VLOOKUP(F801,'Customers (2)'!A:I,3,0)</f>
        <v>0</v>
      </c>
      <c r="I801" s="3">
        <f>VLOOKUP(F801,'Customers (2)'!A:I,4,0)</f>
        <v>0</v>
      </c>
      <c r="J801" s="3" t="str">
        <f>VLOOKUP(F801,'Customers (2)'!A:I,6,0)</f>
        <v>Washington</v>
      </c>
      <c r="K801" s="3" t="str">
        <f>VLOOKUP(F801,'Customers (2)'!A:I,7,0)</f>
        <v>United States</v>
      </c>
      <c r="L801" s="3" t="str">
        <f>VLOOKUP(F801,'Customers (2)'!A:I,9,0)</f>
        <v>Yes</v>
      </c>
      <c r="M801" s="4" t="s">
        <v>245</v>
      </c>
      <c r="N801" s="4" t="str">
        <f>VLOOKUP(M801,'Products (2)'!A:G,2,0)</f>
        <v>Excelsa</v>
      </c>
      <c r="O801" s="4" t="str">
        <f>VLOOKUP(M801,'Products (2)'!A:G,3,0)</f>
        <v>Dark</v>
      </c>
      <c r="P801" s="4">
        <f>VLOOKUP(M801,'Products (2)'!A:G,7,0)</f>
        <v>1.3365</v>
      </c>
      <c r="Q801" s="3">
        <v>3</v>
      </c>
      <c r="R801" s="5">
        <f>INDEX([1]products!$A$1:$G$49,MATCH([1]orders!$D801,[1]products!$A$1:$A$49,0),MATCH([1]orders!K$1,[1]products!$A$1:$G$1,0))</f>
        <v>1</v>
      </c>
      <c r="S801" s="6">
        <f>INDEX([1]products!$A$1:$G$49,MATCH([1]orders!$D801,[1]products!$A$1:$A$49,0),MATCH([1]orders!L$1,[1]products!$A$1:$G$1,0))</f>
        <v>12.15</v>
      </c>
      <c r="T801" s="6">
        <f t="shared" si="72"/>
        <v>36.450000000000003</v>
      </c>
      <c r="U801" s="22">
        <f t="shared" si="76"/>
        <v>4.0095000000000001</v>
      </c>
      <c r="V801" s="22">
        <f t="shared" si="77"/>
        <v>10.999999999999998</v>
      </c>
    </row>
    <row r="802" spans="1:22" x14ac:dyDescent="0.3">
      <c r="A802" s="1" t="s">
        <v>1552</v>
      </c>
      <c r="B802" s="2">
        <v>44240</v>
      </c>
      <c r="C802" s="2" t="str">
        <f t="shared" si="73"/>
        <v>Saturday</v>
      </c>
      <c r="D802" s="2" t="str">
        <f t="shared" si="74"/>
        <v>February</v>
      </c>
      <c r="E802" s="2" t="str">
        <f t="shared" si="75"/>
        <v>2021</v>
      </c>
      <c r="F802" s="3" t="s">
        <v>1553</v>
      </c>
      <c r="G802" s="3" t="str">
        <f>VLOOKUP(F803,'Customers (2)'!A:I,2,0)</f>
        <v>Boyce Tarte</v>
      </c>
      <c r="H802" s="3" t="str">
        <f>VLOOKUP(F802,'Customers (2)'!A:I,3,0)</f>
        <v>mfrightm8@harvard.edu</v>
      </c>
      <c r="I802" s="3" t="str">
        <f>VLOOKUP(F802,'Customers (2)'!A:I,4,0)</f>
        <v>+353 (955) 108-0675</v>
      </c>
      <c r="J802" s="3" t="str">
        <f>VLOOKUP(F802,'Customers (2)'!A:I,6,0)</f>
        <v>Daingean</v>
      </c>
      <c r="K802" s="3" t="str">
        <f>VLOOKUP(F802,'Customers (2)'!A:I,7,0)</f>
        <v>Ireland</v>
      </c>
      <c r="L802" s="3" t="str">
        <f>VLOOKUP(F802,'Customers (2)'!A:I,9,0)</f>
        <v>No</v>
      </c>
      <c r="M802" s="4" t="s">
        <v>101</v>
      </c>
      <c r="N802" s="4" t="str">
        <f>VLOOKUP(M802,'Products (2)'!A:G,2,0)</f>
        <v>Robusta</v>
      </c>
      <c r="O802" s="4" t="str">
        <f>VLOOKUP(M802,'Products (2)'!A:G,3,0)</f>
        <v>Dark</v>
      </c>
      <c r="P802" s="4">
        <f>VLOOKUP(M802,'Products (2)'!A:G,7,0)</f>
        <v>0.16109999999999997</v>
      </c>
      <c r="Q802" s="3">
        <v>6</v>
      </c>
      <c r="R802" s="5">
        <f>INDEX([1]products!$A$1:$G$49,MATCH([1]orders!$D802,[1]products!$A$1:$A$49,0),MATCH([1]orders!K$1,[1]products!$A$1:$G$1,0))</f>
        <v>0.2</v>
      </c>
      <c r="S802" s="6">
        <f>INDEX([1]products!$A$1:$G$49,MATCH([1]orders!$D802,[1]products!$A$1:$A$49,0),MATCH([1]orders!L$1,[1]products!$A$1:$G$1,0))</f>
        <v>2.6849999999999996</v>
      </c>
      <c r="T802" s="6">
        <f t="shared" si="72"/>
        <v>16.11</v>
      </c>
      <c r="U802" s="22">
        <f t="shared" si="76"/>
        <v>0.96659999999999979</v>
      </c>
      <c r="V802" s="22">
        <f t="shared" si="77"/>
        <v>5.9999999999999991</v>
      </c>
    </row>
    <row r="803" spans="1:22" x14ac:dyDescent="0.3">
      <c r="A803" s="1" t="s">
        <v>1554</v>
      </c>
      <c r="B803" s="2">
        <v>44025</v>
      </c>
      <c r="C803" s="2" t="str">
        <f t="shared" si="73"/>
        <v>Monday</v>
      </c>
      <c r="D803" s="2" t="str">
        <f t="shared" si="74"/>
        <v>July</v>
      </c>
      <c r="E803" s="2" t="str">
        <f t="shared" si="75"/>
        <v>2020</v>
      </c>
      <c r="F803" s="3" t="s">
        <v>1555</v>
      </c>
      <c r="G803" s="3" t="str">
        <f>VLOOKUP(F804,'Customers (2)'!A:I,2,0)</f>
        <v>Caddric Krzysztofiak</v>
      </c>
      <c r="H803" s="3" t="str">
        <f>VLOOKUP(F803,'Customers (2)'!A:I,3,0)</f>
        <v>btartem9@aol.com</v>
      </c>
      <c r="I803" s="3" t="str">
        <f>VLOOKUP(F803,'Customers (2)'!A:I,4,0)</f>
        <v>+1 (360) 927-6561</v>
      </c>
      <c r="J803" s="3" t="str">
        <f>VLOOKUP(F803,'Customers (2)'!A:I,6,0)</f>
        <v>Olympia</v>
      </c>
      <c r="K803" s="3" t="str">
        <f>VLOOKUP(F803,'Customers (2)'!A:I,7,0)</f>
        <v>United States</v>
      </c>
      <c r="L803" s="3" t="str">
        <f>VLOOKUP(F803,'Customers (2)'!A:I,9,0)</f>
        <v>Yes</v>
      </c>
      <c r="M803" s="4" t="s">
        <v>35</v>
      </c>
      <c r="N803" s="4" t="str">
        <f>VLOOKUP(M803,'Products (2)'!A:G,2,0)</f>
        <v>Robusta</v>
      </c>
      <c r="O803" s="4" t="str">
        <f>VLOOKUP(M803,'Products (2)'!A:G,3,0)</f>
        <v>Dark</v>
      </c>
      <c r="P803" s="4">
        <f>VLOOKUP(M803,'Products (2)'!A:G,7,0)</f>
        <v>1.2350999999999999</v>
      </c>
      <c r="Q803" s="3">
        <v>2</v>
      </c>
      <c r="R803" s="5">
        <f>INDEX([1]products!$A$1:$G$49,MATCH([1]orders!$D803,[1]products!$A$1:$A$49,0),MATCH([1]orders!K$1,[1]products!$A$1:$G$1,0))</f>
        <v>2.5</v>
      </c>
      <c r="S803" s="6">
        <f>INDEX([1]products!$A$1:$G$49,MATCH([1]orders!$D803,[1]products!$A$1:$A$49,0),MATCH([1]orders!L$1,[1]products!$A$1:$G$1,0))</f>
        <v>20.584999999999997</v>
      </c>
      <c r="T803" s="6">
        <f t="shared" si="72"/>
        <v>41.169999999999995</v>
      </c>
      <c r="U803" s="22">
        <f t="shared" si="76"/>
        <v>2.4701999999999997</v>
      </c>
      <c r="V803" s="22">
        <f t="shared" si="77"/>
        <v>6.0000000000000009</v>
      </c>
    </row>
    <row r="804" spans="1:22" x14ac:dyDescent="0.3">
      <c r="A804" s="1" t="s">
        <v>1556</v>
      </c>
      <c r="B804" s="2">
        <v>43902</v>
      </c>
      <c r="C804" s="2" t="str">
        <f t="shared" si="73"/>
        <v>Thursday</v>
      </c>
      <c r="D804" s="2" t="str">
        <f t="shared" si="74"/>
        <v>March</v>
      </c>
      <c r="E804" s="2" t="str">
        <f t="shared" si="75"/>
        <v>2020</v>
      </c>
      <c r="F804" s="3" t="s">
        <v>1557</v>
      </c>
      <c r="G804" s="3" t="str">
        <f>VLOOKUP(F805,'Customers (2)'!A:I,2,0)</f>
        <v>Darn Penquet</v>
      </c>
      <c r="H804" s="3" t="str">
        <f>VLOOKUP(F804,'Customers (2)'!A:I,3,0)</f>
        <v>ckrzysztofiakma@skyrock.com</v>
      </c>
      <c r="I804" s="3" t="str">
        <f>VLOOKUP(F804,'Customers (2)'!A:I,4,0)</f>
        <v>+1 (972) 782-4187</v>
      </c>
      <c r="J804" s="3" t="str">
        <f>VLOOKUP(F804,'Customers (2)'!A:I,6,0)</f>
        <v>Mesquite</v>
      </c>
      <c r="K804" s="3" t="str">
        <f>VLOOKUP(F804,'Customers (2)'!A:I,7,0)</f>
        <v>United States</v>
      </c>
      <c r="L804" s="3" t="str">
        <f>VLOOKUP(F804,'Customers (2)'!A:I,9,0)</f>
        <v>No</v>
      </c>
      <c r="M804" s="4" t="s">
        <v>101</v>
      </c>
      <c r="N804" s="4" t="str">
        <f>VLOOKUP(M804,'Products (2)'!A:G,2,0)</f>
        <v>Robusta</v>
      </c>
      <c r="O804" s="4" t="str">
        <f>VLOOKUP(M804,'Products (2)'!A:G,3,0)</f>
        <v>Dark</v>
      </c>
      <c r="P804" s="4">
        <f>VLOOKUP(M804,'Products (2)'!A:G,7,0)</f>
        <v>0.16109999999999997</v>
      </c>
      <c r="Q804" s="3">
        <v>4</v>
      </c>
      <c r="R804" s="5">
        <f>INDEX([1]products!$A$1:$G$49,MATCH([1]orders!$D804,[1]products!$A$1:$A$49,0),MATCH([1]orders!K$1,[1]products!$A$1:$G$1,0))</f>
        <v>0.2</v>
      </c>
      <c r="S804" s="6">
        <f>INDEX([1]products!$A$1:$G$49,MATCH([1]orders!$D804,[1]products!$A$1:$A$49,0),MATCH([1]orders!L$1,[1]products!$A$1:$G$1,0))</f>
        <v>2.6849999999999996</v>
      </c>
      <c r="T804" s="6">
        <f t="shared" si="72"/>
        <v>10.739999999999998</v>
      </c>
      <c r="U804" s="22">
        <f t="shared" si="76"/>
        <v>0.64439999999999986</v>
      </c>
      <c r="V804" s="22">
        <f t="shared" si="77"/>
        <v>6</v>
      </c>
    </row>
    <row r="805" spans="1:22" x14ac:dyDescent="0.3">
      <c r="A805" s="1" t="s">
        <v>1558</v>
      </c>
      <c r="B805" s="2">
        <v>43955</v>
      </c>
      <c r="C805" s="2" t="str">
        <f t="shared" si="73"/>
        <v>Monday</v>
      </c>
      <c r="D805" s="2" t="str">
        <f t="shared" si="74"/>
        <v>May</v>
      </c>
      <c r="E805" s="2" t="str">
        <f t="shared" si="75"/>
        <v>2020</v>
      </c>
      <c r="F805" s="3" t="s">
        <v>1559</v>
      </c>
      <c r="G805" s="3" t="str">
        <f>VLOOKUP(F806,'Customers (2)'!A:I,2,0)</f>
        <v>Jammie Cloke</v>
      </c>
      <c r="H805" s="3" t="str">
        <f>VLOOKUP(F805,'Customers (2)'!A:I,3,0)</f>
        <v>dpenquetmb@diigo.com</v>
      </c>
      <c r="I805" s="3">
        <f>VLOOKUP(F805,'Customers (2)'!A:I,4,0)</f>
        <v>0</v>
      </c>
      <c r="J805" s="3" t="str">
        <f>VLOOKUP(F805,'Customers (2)'!A:I,6,0)</f>
        <v>Sacramento</v>
      </c>
      <c r="K805" s="3" t="str">
        <f>VLOOKUP(F805,'Customers (2)'!A:I,7,0)</f>
        <v>United States</v>
      </c>
      <c r="L805" s="3" t="str">
        <f>VLOOKUP(F805,'Customers (2)'!A:I,9,0)</f>
        <v>No</v>
      </c>
      <c r="M805" s="4" t="s">
        <v>112</v>
      </c>
      <c r="N805" s="4" t="str">
        <f>VLOOKUP(M805,'Products (2)'!A:G,2,0)</f>
        <v>Excelsa</v>
      </c>
      <c r="O805" s="4" t="str">
        <f>VLOOKUP(M805,'Products (2)'!A:G,3,0)</f>
        <v>Medium</v>
      </c>
      <c r="P805" s="4">
        <f>VLOOKUP(M805,'Products (2)'!A:G,7,0)</f>
        <v>3.4787499999999998</v>
      </c>
      <c r="Q805" s="3">
        <v>4</v>
      </c>
      <c r="R805" s="5">
        <f>INDEX([1]products!$A$1:$G$49,MATCH([1]orders!$D805,[1]products!$A$1:$A$49,0),MATCH([1]orders!K$1,[1]products!$A$1:$G$1,0))</f>
        <v>2.5</v>
      </c>
      <c r="S805" s="6">
        <f>INDEX([1]products!$A$1:$G$49,MATCH([1]orders!$D805,[1]products!$A$1:$A$49,0),MATCH([1]orders!L$1,[1]products!$A$1:$G$1,0))</f>
        <v>31.624999999999996</v>
      </c>
      <c r="T805" s="6">
        <f t="shared" si="72"/>
        <v>126.49999999999999</v>
      </c>
      <c r="U805" s="22">
        <f t="shared" si="76"/>
        <v>13.914999999999999</v>
      </c>
      <c r="V805" s="22">
        <f t="shared" si="77"/>
        <v>11</v>
      </c>
    </row>
    <row r="806" spans="1:22" x14ac:dyDescent="0.3">
      <c r="A806" s="1" t="s">
        <v>1560</v>
      </c>
      <c r="B806" s="2">
        <v>44289</v>
      </c>
      <c r="C806" s="2" t="str">
        <f t="shared" si="73"/>
        <v>Saturday</v>
      </c>
      <c r="D806" s="2" t="str">
        <f t="shared" si="74"/>
        <v>April</v>
      </c>
      <c r="E806" s="2" t="str">
        <f t="shared" si="75"/>
        <v>2021</v>
      </c>
      <c r="F806" s="3" t="s">
        <v>1561</v>
      </c>
      <c r="G806" s="3" t="str">
        <f>VLOOKUP(F807,'Customers (2)'!A:I,2,0)</f>
        <v>Chester Clowton</v>
      </c>
      <c r="H806" s="3">
        <f>VLOOKUP(F806,'Customers (2)'!A:I,3,0)</f>
        <v>0</v>
      </c>
      <c r="I806" s="3" t="str">
        <f>VLOOKUP(F806,'Customers (2)'!A:I,4,0)</f>
        <v>+44 (540) 353-5754</v>
      </c>
      <c r="J806" s="3" t="str">
        <f>VLOOKUP(F806,'Customers (2)'!A:I,6,0)</f>
        <v>Newton</v>
      </c>
      <c r="K806" s="3" t="str">
        <f>VLOOKUP(F806,'Customers (2)'!A:I,7,0)</f>
        <v>United Kingdom</v>
      </c>
      <c r="L806" s="3" t="str">
        <f>VLOOKUP(F806,'Customers (2)'!A:I,9,0)</f>
        <v>No</v>
      </c>
      <c r="M806" s="4" t="s">
        <v>189</v>
      </c>
      <c r="N806" s="4" t="str">
        <f>VLOOKUP(M806,'Products (2)'!A:G,2,0)</f>
        <v>Robusta</v>
      </c>
      <c r="O806" s="4" t="str">
        <f>VLOOKUP(M806,'Products (2)'!A:G,3,0)</f>
        <v>Light</v>
      </c>
      <c r="P806" s="4">
        <f>VLOOKUP(M806,'Products (2)'!A:G,7,0)</f>
        <v>0.71699999999999997</v>
      </c>
      <c r="Q806" s="3">
        <v>2</v>
      </c>
      <c r="R806" s="5">
        <f>INDEX([1]products!$A$1:$G$49,MATCH([1]orders!$D806,[1]products!$A$1:$A$49,0),MATCH([1]orders!K$1,[1]products!$A$1:$G$1,0))</f>
        <v>1</v>
      </c>
      <c r="S806" s="6">
        <f>INDEX([1]products!$A$1:$G$49,MATCH([1]orders!$D806,[1]products!$A$1:$A$49,0),MATCH([1]orders!L$1,[1]products!$A$1:$G$1,0))</f>
        <v>11.95</v>
      </c>
      <c r="T806" s="6">
        <f t="shared" si="72"/>
        <v>23.9</v>
      </c>
      <c r="U806" s="22">
        <f t="shared" si="76"/>
        <v>1.4339999999999999</v>
      </c>
      <c r="V806" s="22">
        <f t="shared" si="77"/>
        <v>6</v>
      </c>
    </row>
    <row r="807" spans="1:22" x14ac:dyDescent="0.3">
      <c r="A807" s="1" t="s">
        <v>1562</v>
      </c>
      <c r="B807" s="2">
        <v>44713</v>
      </c>
      <c r="C807" s="2" t="str">
        <f t="shared" si="73"/>
        <v>Wednesday</v>
      </c>
      <c r="D807" s="2" t="str">
        <f t="shared" si="74"/>
        <v>June</v>
      </c>
      <c r="E807" s="2" t="str">
        <f t="shared" si="75"/>
        <v>2022</v>
      </c>
      <c r="F807" s="3" t="s">
        <v>1563</v>
      </c>
      <c r="G807" s="3" t="str">
        <f>VLOOKUP(F808,'Customers (2)'!A:I,2,0)</f>
        <v>Kathleen Diable</v>
      </c>
      <c r="H807" s="3">
        <f>VLOOKUP(F807,'Customers (2)'!A:I,3,0)</f>
        <v>0</v>
      </c>
      <c r="I807" s="3" t="str">
        <f>VLOOKUP(F807,'Customers (2)'!A:I,4,0)</f>
        <v>+1 (763) 691-6777</v>
      </c>
      <c r="J807" s="3" t="str">
        <f>VLOOKUP(F807,'Customers (2)'!A:I,6,0)</f>
        <v>Monticello</v>
      </c>
      <c r="K807" s="3" t="str">
        <f>VLOOKUP(F807,'Customers (2)'!A:I,7,0)</f>
        <v>United States</v>
      </c>
      <c r="L807" s="3" t="str">
        <f>VLOOKUP(F807,'Customers (2)'!A:I,9,0)</f>
        <v>No</v>
      </c>
      <c r="M807" s="4" t="s">
        <v>22</v>
      </c>
      <c r="N807" s="4" t="str">
        <f>VLOOKUP(M807,'Products (2)'!A:G,2,0)</f>
        <v>Robusta</v>
      </c>
      <c r="O807" s="4" t="str">
        <f>VLOOKUP(M807,'Products (2)'!A:G,3,0)</f>
        <v>Medium</v>
      </c>
      <c r="P807" s="4">
        <f>VLOOKUP(M807,'Products (2)'!A:G,7,0)</f>
        <v>0.35819999999999996</v>
      </c>
      <c r="Q807" s="3">
        <v>1</v>
      </c>
      <c r="R807" s="5">
        <f>INDEX([1]products!$A$1:$G$49,MATCH([1]orders!$D807,[1]products!$A$1:$A$49,0),MATCH([1]orders!K$1,[1]products!$A$1:$G$1,0))</f>
        <v>0.5</v>
      </c>
      <c r="S807" s="6">
        <f>INDEX([1]products!$A$1:$G$49,MATCH([1]orders!$D807,[1]products!$A$1:$A$49,0),MATCH([1]orders!L$1,[1]products!$A$1:$G$1,0))</f>
        <v>5.97</v>
      </c>
      <c r="T807" s="6">
        <f t="shared" si="72"/>
        <v>5.97</v>
      </c>
      <c r="U807" s="22">
        <f t="shared" si="76"/>
        <v>0.35819999999999996</v>
      </c>
      <c r="V807" s="22">
        <f t="shared" si="77"/>
        <v>6</v>
      </c>
    </row>
    <row r="808" spans="1:22" x14ac:dyDescent="0.3">
      <c r="A808" s="1" t="s">
        <v>1564</v>
      </c>
      <c r="B808" s="2">
        <v>44241</v>
      </c>
      <c r="C808" s="2" t="str">
        <f t="shared" si="73"/>
        <v>Sunday</v>
      </c>
      <c r="D808" s="2" t="str">
        <f t="shared" si="74"/>
        <v>February</v>
      </c>
      <c r="E808" s="2" t="str">
        <f t="shared" si="75"/>
        <v>2021</v>
      </c>
      <c r="F808" s="3" t="s">
        <v>1565</v>
      </c>
      <c r="G808" s="3" t="str">
        <f>VLOOKUP(F809,'Customers (2)'!A:I,2,0)</f>
        <v>Koren Ferretti</v>
      </c>
      <c r="H808" s="3">
        <f>VLOOKUP(F808,'Customers (2)'!A:I,3,0)</f>
        <v>0</v>
      </c>
      <c r="I808" s="3">
        <f>VLOOKUP(F808,'Customers (2)'!A:I,4,0)</f>
        <v>0</v>
      </c>
      <c r="J808" s="3" t="str">
        <f>VLOOKUP(F808,'Customers (2)'!A:I,6,0)</f>
        <v>Kinloch</v>
      </c>
      <c r="K808" s="3" t="str">
        <f>VLOOKUP(F808,'Customers (2)'!A:I,7,0)</f>
        <v>United Kingdom</v>
      </c>
      <c r="L808" s="3" t="str">
        <f>VLOOKUP(F808,'Customers (2)'!A:I,9,0)</f>
        <v>Yes</v>
      </c>
      <c r="M808" s="4" t="s">
        <v>38</v>
      </c>
      <c r="N808" s="4" t="str">
        <f>VLOOKUP(M808,'Products (2)'!A:G,2,0)</f>
        <v>Liberica</v>
      </c>
      <c r="O808" s="4" t="str">
        <f>VLOOKUP(M808,'Products (2)'!A:G,3,0)</f>
        <v>Dark</v>
      </c>
      <c r="P808" s="4">
        <f>VLOOKUP(M808,'Products (2)'!A:G,7,0)</f>
        <v>0.50505</v>
      </c>
      <c r="Q808" s="3">
        <v>2</v>
      </c>
      <c r="R808" s="5">
        <f>INDEX([1]products!$A$1:$G$49,MATCH([1]orders!$D808,[1]products!$A$1:$A$49,0),MATCH([1]orders!K$1,[1]products!$A$1:$G$1,0))</f>
        <v>0.2</v>
      </c>
      <c r="S808" s="6">
        <f>INDEX([1]products!$A$1:$G$49,MATCH([1]orders!$D808,[1]products!$A$1:$A$49,0),MATCH([1]orders!L$1,[1]products!$A$1:$G$1,0))</f>
        <v>3.8849999999999998</v>
      </c>
      <c r="T808" s="6">
        <f t="shared" si="72"/>
        <v>7.77</v>
      </c>
      <c r="U808" s="22">
        <f t="shared" si="76"/>
        <v>1.0101</v>
      </c>
      <c r="V808" s="22">
        <f t="shared" si="77"/>
        <v>13</v>
      </c>
    </row>
    <row r="809" spans="1:22" x14ac:dyDescent="0.3">
      <c r="A809" s="1" t="s">
        <v>1566</v>
      </c>
      <c r="B809" s="2">
        <v>44543</v>
      </c>
      <c r="C809" s="2" t="str">
        <f t="shared" si="73"/>
        <v>Monday</v>
      </c>
      <c r="D809" s="2" t="str">
        <f t="shared" si="74"/>
        <v>December</v>
      </c>
      <c r="E809" s="2" t="str">
        <f t="shared" si="75"/>
        <v>2021</v>
      </c>
      <c r="F809" s="3" t="s">
        <v>1567</v>
      </c>
      <c r="G809" s="3" t="str">
        <f>VLOOKUP(F810,'Customers (2)'!A:I,2,0)</f>
        <v>Allis Wilmore</v>
      </c>
      <c r="H809" s="3" t="str">
        <f>VLOOKUP(F809,'Customers (2)'!A:I,3,0)</f>
        <v>kferrettimf@huffingtonpost.com</v>
      </c>
      <c r="I809" s="3" t="str">
        <f>VLOOKUP(F809,'Customers (2)'!A:I,4,0)</f>
        <v>+353 (526) 215-2582</v>
      </c>
      <c r="J809" s="3" t="str">
        <f>VLOOKUP(F809,'Customers (2)'!A:I,6,0)</f>
        <v>Balrothery</v>
      </c>
      <c r="K809" s="3" t="str">
        <f>VLOOKUP(F809,'Customers (2)'!A:I,7,0)</f>
        <v>Ireland</v>
      </c>
      <c r="L809" s="3" t="str">
        <f>VLOOKUP(F809,'Customers (2)'!A:I,9,0)</f>
        <v>No</v>
      </c>
      <c r="M809" s="4" t="s">
        <v>123</v>
      </c>
      <c r="N809" s="4" t="str">
        <f>VLOOKUP(M809,'Products (2)'!A:G,2,0)</f>
        <v>Liberica</v>
      </c>
      <c r="O809" s="4" t="str">
        <f>VLOOKUP(M809,'Products (2)'!A:G,3,0)</f>
        <v>Dark</v>
      </c>
      <c r="P809" s="4">
        <f>VLOOKUP(M809,'Products (2)'!A:G,7,0)</f>
        <v>1.0101</v>
      </c>
      <c r="Q809" s="3">
        <v>3</v>
      </c>
      <c r="R809" s="5">
        <f>INDEX([1]products!$A$1:$G$49,MATCH([1]orders!$D809,[1]products!$A$1:$A$49,0),MATCH([1]orders!K$1,[1]products!$A$1:$G$1,0))</f>
        <v>0.5</v>
      </c>
      <c r="S809" s="6">
        <f>INDEX([1]products!$A$1:$G$49,MATCH([1]orders!$D809,[1]products!$A$1:$A$49,0),MATCH([1]orders!L$1,[1]products!$A$1:$G$1,0))</f>
        <v>7.77</v>
      </c>
      <c r="T809" s="6">
        <f t="shared" si="72"/>
        <v>23.31</v>
      </c>
      <c r="U809" s="22">
        <f t="shared" si="76"/>
        <v>3.0303</v>
      </c>
      <c r="V809" s="22">
        <f t="shared" si="77"/>
        <v>13</v>
      </c>
    </row>
    <row r="810" spans="1:22" x14ac:dyDescent="0.3">
      <c r="A810" s="1" t="s">
        <v>1568</v>
      </c>
      <c r="B810" s="2">
        <v>43868</v>
      </c>
      <c r="C810" s="2" t="str">
        <f t="shared" si="73"/>
        <v>Friday</v>
      </c>
      <c r="D810" s="2" t="str">
        <f t="shared" si="74"/>
        <v>February</v>
      </c>
      <c r="E810" s="2" t="str">
        <f t="shared" si="75"/>
        <v>2020</v>
      </c>
      <c r="F810" s="3" t="s">
        <v>1569</v>
      </c>
      <c r="G810" s="3" t="str">
        <f>VLOOKUP(F811,'Customers (2)'!A:I,2,0)</f>
        <v>Chaddie Bennie</v>
      </c>
      <c r="H810" s="3">
        <f>VLOOKUP(F810,'Customers (2)'!A:I,3,0)</f>
        <v>0</v>
      </c>
      <c r="I810" s="3" t="str">
        <f>VLOOKUP(F810,'Customers (2)'!A:I,4,0)</f>
        <v>+1 (713) 984-5207</v>
      </c>
      <c r="J810" s="3" t="str">
        <f>VLOOKUP(F810,'Customers (2)'!A:I,6,0)</f>
        <v>Houston</v>
      </c>
      <c r="K810" s="3" t="str">
        <f>VLOOKUP(F810,'Customers (2)'!A:I,7,0)</f>
        <v>United States</v>
      </c>
      <c r="L810" s="3" t="str">
        <f>VLOOKUP(F810,'Customers (2)'!A:I,9,0)</f>
        <v>No</v>
      </c>
      <c r="M810" s="4" t="s">
        <v>10</v>
      </c>
      <c r="N810" s="4" t="str">
        <f>VLOOKUP(M810,'Products (2)'!A:G,2,0)</f>
        <v>Robusta</v>
      </c>
      <c r="O810" s="4" t="str">
        <f>VLOOKUP(M810,'Products (2)'!A:G,3,0)</f>
        <v>Light</v>
      </c>
      <c r="P810" s="4">
        <f>VLOOKUP(M810,'Products (2)'!A:G,7,0)</f>
        <v>1.6490999999999998</v>
      </c>
      <c r="Q810" s="3">
        <v>5</v>
      </c>
      <c r="R810" s="5">
        <f>INDEX([1]products!$A$1:$G$49,MATCH([1]orders!$D810,[1]products!$A$1:$A$49,0),MATCH([1]orders!K$1,[1]products!$A$1:$G$1,0))</f>
        <v>2.5</v>
      </c>
      <c r="S810" s="6">
        <f>INDEX([1]products!$A$1:$G$49,MATCH([1]orders!$D810,[1]products!$A$1:$A$49,0),MATCH([1]orders!L$1,[1]products!$A$1:$G$1,0))</f>
        <v>27.484999999999996</v>
      </c>
      <c r="T810" s="6">
        <f t="shared" si="72"/>
        <v>137.42499999999998</v>
      </c>
      <c r="U810" s="22">
        <f t="shared" si="76"/>
        <v>8.2454999999999998</v>
      </c>
      <c r="V810" s="22">
        <f t="shared" si="77"/>
        <v>6.0000000000000009</v>
      </c>
    </row>
    <row r="811" spans="1:22" x14ac:dyDescent="0.3">
      <c r="A811" s="1" t="s">
        <v>1570</v>
      </c>
      <c r="B811" s="2">
        <v>44235</v>
      </c>
      <c r="C811" s="2" t="str">
        <f t="shared" si="73"/>
        <v>Monday</v>
      </c>
      <c r="D811" s="2" t="str">
        <f t="shared" si="74"/>
        <v>February</v>
      </c>
      <c r="E811" s="2" t="str">
        <f t="shared" si="75"/>
        <v>2021</v>
      </c>
      <c r="F811" s="3" t="s">
        <v>1571</v>
      </c>
      <c r="G811" s="3" t="str">
        <f>VLOOKUP(F812,'Customers (2)'!A:I,2,0)</f>
        <v>Alberta Balsdone</v>
      </c>
      <c r="H811" s="3">
        <f>VLOOKUP(F811,'Customers (2)'!A:I,3,0)</f>
        <v>0</v>
      </c>
      <c r="I811" s="3" t="str">
        <f>VLOOKUP(F811,'Customers (2)'!A:I,4,0)</f>
        <v>+1 (915) 204-2588</v>
      </c>
      <c r="J811" s="3" t="str">
        <f>VLOOKUP(F811,'Customers (2)'!A:I,6,0)</f>
        <v>El Paso</v>
      </c>
      <c r="K811" s="3" t="str">
        <f>VLOOKUP(F811,'Customers (2)'!A:I,7,0)</f>
        <v>United States</v>
      </c>
      <c r="L811" s="3" t="str">
        <f>VLOOKUP(F811,'Customers (2)'!A:I,9,0)</f>
        <v>Yes</v>
      </c>
      <c r="M811" s="4" t="s">
        <v>101</v>
      </c>
      <c r="N811" s="4" t="str">
        <f>VLOOKUP(M811,'Products (2)'!A:G,2,0)</f>
        <v>Robusta</v>
      </c>
      <c r="O811" s="4" t="str">
        <f>VLOOKUP(M811,'Products (2)'!A:G,3,0)</f>
        <v>Dark</v>
      </c>
      <c r="P811" s="4">
        <f>VLOOKUP(M811,'Products (2)'!A:G,7,0)</f>
        <v>0.16109999999999997</v>
      </c>
      <c r="Q811" s="3">
        <v>3</v>
      </c>
      <c r="R811" s="5">
        <f>INDEX([1]products!$A$1:$G$49,MATCH([1]orders!$D811,[1]products!$A$1:$A$49,0),MATCH([1]orders!K$1,[1]products!$A$1:$G$1,0))</f>
        <v>0.2</v>
      </c>
      <c r="S811" s="6">
        <f>INDEX([1]products!$A$1:$G$49,MATCH([1]orders!$D811,[1]products!$A$1:$A$49,0),MATCH([1]orders!L$1,[1]products!$A$1:$G$1,0))</f>
        <v>2.6849999999999996</v>
      </c>
      <c r="T811" s="6">
        <f t="shared" si="72"/>
        <v>8.0549999999999997</v>
      </c>
      <c r="U811" s="22">
        <f t="shared" si="76"/>
        <v>0.4832999999999999</v>
      </c>
      <c r="V811" s="22">
        <f t="shared" si="77"/>
        <v>5.9999999999999991</v>
      </c>
    </row>
    <row r="812" spans="1:22" x14ac:dyDescent="0.3">
      <c r="A812" s="1" t="s">
        <v>1572</v>
      </c>
      <c r="B812" s="2">
        <v>44054</v>
      </c>
      <c r="C812" s="2" t="str">
        <f t="shared" si="73"/>
        <v>Tuesday</v>
      </c>
      <c r="D812" s="2" t="str">
        <f t="shared" si="74"/>
        <v>August</v>
      </c>
      <c r="E812" s="2" t="str">
        <f t="shared" si="75"/>
        <v>2020</v>
      </c>
      <c r="F812" s="3" t="s">
        <v>1573</v>
      </c>
      <c r="G812" s="3" t="str">
        <f>VLOOKUP(F813,'Customers (2)'!A:I,2,0)</f>
        <v>Brice Romera</v>
      </c>
      <c r="H812" s="3" t="str">
        <f>VLOOKUP(F812,'Customers (2)'!A:I,3,0)</f>
        <v>abalsdonemi@toplist.cz</v>
      </c>
      <c r="I812" s="3" t="str">
        <f>VLOOKUP(F812,'Customers (2)'!A:I,4,0)</f>
        <v>+1 (863) 490-5370</v>
      </c>
      <c r="J812" s="3" t="str">
        <f>VLOOKUP(F812,'Customers (2)'!A:I,6,0)</f>
        <v>Largo</v>
      </c>
      <c r="K812" s="3" t="str">
        <f>VLOOKUP(F812,'Customers (2)'!A:I,7,0)</f>
        <v>United States</v>
      </c>
      <c r="L812" s="3" t="str">
        <f>VLOOKUP(F812,'Customers (2)'!A:I,9,0)</f>
        <v>No</v>
      </c>
      <c r="M812" s="4" t="s">
        <v>83</v>
      </c>
      <c r="N812" s="4" t="str">
        <f>VLOOKUP(M812,'Products (2)'!A:G,2,0)</f>
        <v>Liberica</v>
      </c>
      <c r="O812" s="4" t="str">
        <f>VLOOKUP(M812,'Products (2)'!A:G,3,0)</f>
        <v>Light</v>
      </c>
      <c r="P812" s="4">
        <f>VLOOKUP(M812,'Products (2)'!A:G,7,0)</f>
        <v>1.2363</v>
      </c>
      <c r="Q812" s="3">
        <v>3</v>
      </c>
      <c r="R812" s="5">
        <f>INDEX([1]products!$A$1:$G$49,MATCH([1]orders!$D812,[1]products!$A$1:$A$49,0),MATCH([1]orders!K$1,[1]products!$A$1:$G$1,0))</f>
        <v>0.5</v>
      </c>
      <c r="S812" s="6">
        <f>INDEX([1]products!$A$1:$G$49,MATCH([1]orders!$D812,[1]products!$A$1:$A$49,0),MATCH([1]orders!L$1,[1]products!$A$1:$G$1,0))</f>
        <v>9.51</v>
      </c>
      <c r="T812" s="6">
        <f t="shared" si="72"/>
        <v>28.53</v>
      </c>
      <c r="U812" s="22">
        <f t="shared" si="76"/>
        <v>3.7088999999999999</v>
      </c>
      <c r="V812" s="22">
        <f t="shared" si="77"/>
        <v>12.999999999999998</v>
      </c>
    </row>
    <row r="813" spans="1:22" x14ac:dyDescent="0.3">
      <c r="A813" s="1" t="s">
        <v>1574</v>
      </c>
      <c r="B813" s="2">
        <v>44114</v>
      </c>
      <c r="C813" s="2" t="str">
        <f t="shared" si="73"/>
        <v>Saturday</v>
      </c>
      <c r="D813" s="2" t="str">
        <f t="shared" si="74"/>
        <v>October</v>
      </c>
      <c r="E813" s="2" t="str">
        <f t="shared" si="75"/>
        <v>2020</v>
      </c>
      <c r="F813" s="3" t="s">
        <v>1575</v>
      </c>
      <c r="G813" s="3" t="str">
        <f>VLOOKUP(F814,'Customers (2)'!A:I,2,0)</f>
        <v>Brice Romera</v>
      </c>
      <c r="H813" s="3" t="str">
        <f>VLOOKUP(F813,'Customers (2)'!A:I,3,0)</f>
        <v>bromeramj@list-manage.com</v>
      </c>
      <c r="I813" s="3" t="str">
        <f>VLOOKUP(F813,'Customers (2)'!A:I,4,0)</f>
        <v>+353 (640) 110-9801</v>
      </c>
      <c r="J813" s="3" t="str">
        <f>VLOOKUP(F813,'Customers (2)'!A:I,6,0)</f>
        <v>Foxrock</v>
      </c>
      <c r="K813" s="3" t="str">
        <f>VLOOKUP(F813,'Customers (2)'!A:I,7,0)</f>
        <v>Ireland</v>
      </c>
      <c r="L813" s="3" t="str">
        <f>VLOOKUP(F813,'Customers (2)'!A:I,9,0)</f>
        <v>Yes</v>
      </c>
      <c r="M813" s="4" t="s">
        <v>61</v>
      </c>
      <c r="N813" s="4" t="str">
        <f>VLOOKUP(M813,'Products (2)'!A:G,2,0)</f>
        <v>Arabica</v>
      </c>
      <c r="O813" s="4" t="str">
        <f>VLOOKUP(M813,'Products (2)'!A:G,3,0)</f>
        <v>Medium</v>
      </c>
      <c r="P813" s="4">
        <f>VLOOKUP(M813,'Products (2)'!A:G,7,0)</f>
        <v>1.0125</v>
      </c>
      <c r="Q813" s="3">
        <v>6</v>
      </c>
      <c r="R813" s="5">
        <f>INDEX([1]products!$A$1:$G$49,MATCH([1]orders!$D813,[1]products!$A$1:$A$49,0),MATCH([1]orders!K$1,[1]products!$A$1:$G$1,0))</f>
        <v>1</v>
      </c>
      <c r="S813" s="6">
        <f>INDEX([1]products!$A$1:$G$49,MATCH([1]orders!$D813,[1]products!$A$1:$A$49,0),MATCH([1]orders!L$1,[1]products!$A$1:$G$1,0))</f>
        <v>11.25</v>
      </c>
      <c r="T813" s="6">
        <f t="shared" si="72"/>
        <v>67.5</v>
      </c>
      <c r="U813" s="22">
        <f t="shared" si="76"/>
        <v>6.0749999999999993</v>
      </c>
      <c r="V813" s="22">
        <f t="shared" si="77"/>
        <v>8.9999999999999982</v>
      </c>
    </row>
    <row r="814" spans="1:22" x14ac:dyDescent="0.3">
      <c r="A814" s="1" t="s">
        <v>1574</v>
      </c>
      <c r="B814" s="2">
        <v>44114</v>
      </c>
      <c r="C814" s="2" t="str">
        <f t="shared" si="73"/>
        <v>Saturday</v>
      </c>
      <c r="D814" s="2" t="str">
        <f t="shared" si="74"/>
        <v>October</v>
      </c>
      <c r="E814" s="2" t="str">
        <f t="shared" si="75"/>
        <v>2020</v>
      </c>
      <c r="F814" s="3" t="s">
        <v>1575</v>
      </c>
      <c r="G814" s="3" t="str">
        <f>VLOOKUP(F815,'Customers (2)'!A:I,2,0)</f>
        <v>Conchita Bryde</v>
      </c>
      <c r="H814" s="3" t="str">
        <f>VLOOKUP(F814,'Customers (2)'!A:I,3,0)</f>
        <v>bromeramj@list-manage.com</v>
      </c>
      <c r="I814" s="3" t="str">
        <f>VLOOKUP(F814,'Customers (2)'!A:I,4,0)</f>
        <v>+353 (640) 110-9801</v>
      </c>
      <c r="J814" s="3" t="str">
        <f>VLOOKUP(F814,'Customers (2)'!A:I,6,0)</f>
        <v>Foxrock</v>
      </c>
      <c r="K814" s="3" t="str">
        <f>VLOOKUP(F814,'Customers (2)'!A:I,7,0)</f>
        <v>Ireland</v>
      </c>
      <c r="L814" s="3" t="str">
        <f>VLOOKUP(F814,'Customers (2)'!A:I,9,0)</f>
        <v>Yes</v>
      </c>
      <c r="M814" s="4" t="s">
        <v>109</v>
      </c>
      <c r="N814" s="4" t="str">
        <f>VLOOKUP(M814,'Products (2)'!A:G,2,0)</f>
        <v>Liberica</v>
      </c>
      <c r="O814" s="4" t="str">
        <f>VLOOKUP(M814,'Products (2)'!A:G,3,0)</f>
        <v>Dark</v>
      </c>
      <c r="P814" s="4">
        <f>VLOOKUP(M814,'Products (2)'!A:G,7,0)</f>
        <v>3.8720499999999998</v>
      </c>
      <c r="Q814" s="3">
        <v>6</v>
      </c>
      <c r="R814" s="5">
        <f>INDEX([1]products!$A$1:$G$49,MATCH([1]orders!$D814,[1]products!$A$1:$A$49,0),MATCH([1]orders!K$1,[1]products!$A$1:$G$1,0))</f>
        <v>2.5</v>
      </c>
      <c r="S814" s="6">
        <f>INDEX([1]products!$A$1:$G$49,MATCH([1]orders!$D814,[1]products!$A$1:$A$49,0),MATCH([1]orders!L$1,[1]products!$A$1:$G$1,0))</f>
        <v>29.784999999999997</v>
      </c>
      <c r="T814" s="6">
        <f t="shared" si="72"/>
        <v>178.70999999999998</v>
      </c>
      <c r="U814" s="22">
        <f t="shared" si="76"/>
        <v>23.232299999999999</v>
      </c>
      <c r="V814" s="22">
        <f t="shared" si="77"/>
        <v>13</v>
      </c>
    </row>
    <row r="815" spans="1:22" x14ac:dyDescent="0.3">
      <c r="A815" s="1" t="s">
        <v>1576</v>
      </c>
      <c r="B815" s="2">
        <v>44173</v>
      </c>
      <c r="C815" s="2" t="str">
        <f t="shared" si="73"/>
        <v>Tuesday</v>
      </c>
      <c r="D815" s="2" t="str">
        <f t="shared" si="74"/>
        <v>December</v>
      </c>
      <c r="E815" s="2" t="str">
        <f t="shared" si="75"/>
        <v>2020</v>
      </c>
      <c r="F815" s="3" t="s">
        <v>1577</v>
      </c>
      <c r="G815" s="3" t="str">
        <f>VLOOKUP(F816,'Customers (2)'!A:I,2,0)</f>
        <v>Silvanus Enefer</v>
      </c>
      <c r="H815" s="3" t="str">
        <f>VLOOKUP(F815,'Customers (2)'!A:I,3,0)</f>
        <v>cbrydeml@tuttocitta.it</v>
      </c>
      <c r="I815" s="3" t="str">
        <f>VLOOKUP(F815,'Customers (2)'!A:I,4,0)</f>
        <v>+1 (405) 497-2199</v>
      </c>
      <c r="J815" s="3" t="str">
        <f>VLOOKUP(F815,'Customers (2)'!A:I,6,0)</f>
        <v>Oklahoma City</v>
      </c>
      <c r="K815" s="3" t="str">
        <f>VLOOKUP(F815,'Customers (2)'!A:I,7,0)</f>
        <v>United States</v>
      </c>
      <c r="L815" s="3" t="str">
        <f>VLOOKUP(F815,'Customers (2)'!A:I,9,0)</f>
        <v>Yes</v>
      </c>
      <c r="M815" s="4" t="s">
        <v>112</v>
      </c>
      <c r="N815" s="4" t="str">
        <f>VLOOKUP(M815,'Products (2)'!A:G,2,0)</f>
        <v>Excelsa</v>
      </c>
      <c r="O815" s="4" t="str">
        <f>VLOOKUP(M815,'Products (2)'!A:G,3,0)</f>
        <v>Medium</v>
      </c>
      <c r="P815" s="4">
        <f>VLOOKUP(M815,'Products (2)'!A:G,7,0)</f>
        <v>3.4787499999999998</v>
      </c>
      <c r="Q815" s="3">
        <v>1</v>
      </c>
      <c r="R815" s="5">
        <f>INDEX([1]products!$A$1:$G$49,MATCH([1]orders!$D815,[1]products!$A$1:$A$49,0),MATCH([1]orders!K$1,[1]products!$A$1:$G$1,0))</f>
        <v>2.5</v>
      </c>
      <c r="S815" s="6">
        <f>INDEX([1]products!$A$1:$G$49,MATCH([1]orders!$D815,[1]products!$A$1:$A$49,0),MATCH([1]orders!L$1,[1]products!$A$1:$G$1,0))</f>
        <v>31.624999999999996</v>
      </c>
      <c r="T815" s="6">
        <f t="shared" si="72"/>
        <v>31.624999999999996</v>
      </c>
      <c r="U815" s="22">
        <f t="shared" si="76"/>
        <v>3.4787499999999998</v>
      </c>
      <c r="V815" s="22">
        <f t="shared" si="77"/>
        <v>11</v>
      </c>
    </row>
    <row r="816" spans="1:22" x14ac:dyDescent="0.3">
      <c r="A816" s="1" t="s">
        <v>1578</v>
      </c>
      <c r="B816" s="2">
        <v>43573</v>
      </c>
      <c r="C816" s="2" t="str">
        <f t="shared" si="73"/>
        <v>Thursday</v>
      </c>
      <c r="D816" s="2" t="str">
        <f t="shared" si="74"/>
        <v>April</v>
      </c>
      <c r="E816" s="2" t="str">
        <f t="shared" si="75"/>
        <v>2019</v>
      </c>
      <c r="F816" s="3" t="s">
        <v>1579</v>
      </c>
      <c r="G816" s="3" t="str">
        <f>VLOOKUP(F817,'Customers (2)'!A:I,2,0)</f>
        <v>Lenci Haggerstone</v>
      </c>
      <c r="H816" s="3" t="str">
        <f>VLOOKUP(F816,'Customers (2)'!A:I,3,0)</f>
        <v>senefermm@blog.com</v>
      </c>
      <c r="I816" s="3" t="str">
        <f>VLOOKUP(F816,'Customers (2)'!A:I,4,0)</f>
        <v>+1 (202) 877-3473</v>
      </c>
      <c r="J816" s="3" t="str">
        <f>VLOOKUP(F816,'Customers (2)'!A:I,6,0)</f>
        <v>Washington</v>
      </c>
      <c r="K816" s="3" t="str">
        <f>VLOOKUP(F816,'Customers (2)'!A:I,7,0)</f>
        <v>United States</v>
      </c>
      <c r="L816" s="3" t="str">
        <f>VLOOKUP(F816,'Customers (2)'!A:I,9,0)</f>
        <v>No</v>
      </c>
      <c r="M816" s="4" t="s">
        <v>254</v>
      </c>
      <c r="N816" s="4" t="str">
        <f>VLOOKUP(M816,'Products (2)'!A:G,2,0)</f>
        <v>Excelsa</v>
      </c>
      <c r="O816" s="4" t="str">
        <f>VLOOKUP(M816,'Products (2)'!A:G,3,0)</f>
        <v>Light</v>
      </c>
      <c r="P816" s="4">
        <f>VLOOKUP(M816,'Products (2)'!A:G,7,0)</f>
        <v>0.49004999999999999</v>
      </c>
      <c r="Q816" s="3">
        <v>2</v>
      </c>
      <c r="R816" s="5">
        <f>INDEX([1]products!$A$1:$G$49,MATCH([1]orders!$D816,[1]products!$A$1:$A$49,0),MATCH([1]orders!K$1,[1]products!$A$1:$G$1,0))</f>
        <v>0.2</v>
      </c>
      <c r="S816" s="6">
        <f>INDEX([1]products!$A$1:$G$49,MATCH([1]orders!$D816,[1]products!$A$1:$A$49,0),MATCH([1]orders!L$1,[1]products!$A$1:$G$1,0))</f>
        <v>4.4550000000000001</v>
      </c>
      <c r="T816" s="6">
        <f t="shared" si="72"/>
        <v>8.91</v>
      </c>
      <c r="U816" s="22">
        <f t="shared" si="76"/>
        <v>0.98009999999999997</v>
      </c>
      <c r="V816" s="22">
        <f t="shared" si="77"/>
        <v>11</v>
      </c>
    </row>
    <row r="817" spans="1:22" x14ac:dyDescent="0.3">
      <c r="A817" s="1" t="s">
        <v>1580</v>
      </c>
      <c r="B817" s="2">
        <v>44200</v>
      </c>
      <c r="C817" s="2" t="str">
        <f t="shared" si="73"/>
        <v>Monday</v>
      </c>
      <c r="D817" s="2" t="str">
        <f t="shared" si="74"/>
        <v>January</v>
      </c>
      <c r="E817" s="2" t="str">
        <f t="shared" si="75"/>
        <v>2021</v>
      </c>
      <c r="F817" s="3" t="s">
        <v>1581</v>
      </c>
      <c r="G817" s="3" t="str">
        <f>VLOOKUP(F818,'Customers (2)'!A:I,2,0)</f>
        <v>Marvin Gundry</v>
      </c>
      <c r="H817" s="3" t="str">
        <f>VLOOKUP(F817,'Customers (2)'!A:I,3,0)</f>
        <v>lhaggerstonemn@independent.co.uk</v>
      </c>
      <c r="I817" s="3" t="str">
        <f>VLOOKUP(F817,'Customers (2)'!A:I,4,0)</f>
        <v>+1 (770) 779-0007</v>
      </c>
      <c r="J817" s="3" t="str">
        <f>VLOOKUP(F817,'Customers (2)'!A:I,6,0)</f>
        <v>Atlanta</v>
      </c>
      <c r="K817" s="3" t="str">
        <f>VLOOKUP(F817,'Customers (2)'!A:I,7,0)</f>
        <v>United States</v>
      </c>
      <c r="L817" s="3" t="str">
        <f>VLOOKUP(F817,'Customers (2)'!A:I,9,0)</f>
        <v>No</v>
      </c>
      <c r="M817" s="4" t="s">
        <v>22</v>
      </c>
      <c r="N817" s="4" t="str">
        <f>VLOOKUP(M817,'Products (2)'!A:G,2,0)</f>
        <v>Robusta</v>
      </c>
      <c r="O817" s="4" t="str">
        <f>VLOOKUP(M817,'Products (2)'!A:G,3,0)</f>
        <v>Medium</v>
      </c>
      <c r="P817" s="4">
        <f>VLOOKUP(M817,'Products (2)'!A:G,7,0)</f>
        <v>0.35819999999999996</v>
      </c>
      <c r="Q817" s="3">
        <v>6</v>
      </c>
      <c r="R817" s="5">
        <f>INDEX([1]products!$A$1:$G$49,MATCH([1]orders!$D817,[1]products!$A$1:$A$49,0),MATCH([1]orders!K$1,[1]products!$A$1:$G$1,0))</f>
        <v>0.5</v>
      </c>
      <c r="S817" s="6">
        <f>INDEX([1]products!$A$1:$G$49,MATCH([1]orders!$D817,[1]products!$A$1:$A$49,0),MATCH([1]orders!L$1,[1]products!$A$1:$G$1,0))</f>
        <v>5.97</v>
      </c>
      <c r="T817" s="6">
        <f t="shared" si="72"/>
        <v>35.82</v>
      </c>
      <c r="U817" s="22">
        <f t="shared" si="76"/>
        <v>2.1491999999999996</v>
      </c>
      <c r="V817" s="22">
        <f t="shared" si="77"/>
        <v>5.9999999999999982</v>
      </c>
    </row>
    <row r="818" spans="1:22" x14ac:dyDescent="0.3">
      <c r="A818" s="1" t="s">
        <v>1582</v>
      </c>
      <c r="B818" s="2">
        <v>43534</v>
      </c>
      <c r="C818" s="2" t="str">
        <f t="shared" si="73"/>
        <v>Sunday</v>
      </c>
      <c r="D818" s="2" t="str">
        <f t="shared" si="74"/>
        <v>March</v>
      </c>
      <c r="E818" s="2" t="str">
        <f t="shared" si="75"/>
        <v>2019</v>
      </c>
      <c r="F818" s="3" t="s">
        <v>1583</v>
      </c>
      <c r="G818" s="3" t="str">
        <f>VLOOKUP(F819,'Customers (2)'!A:I,2,0)</f>
        <v>Bayard Wellan</v>
      </c>
      <c r="H818" s="3" t="str">
        <f>VLOOKUP(F818,'Customers (2)'!A:I,3,0)</f>
        <v>mgundrymo@omniture.com</v>
      </c>
      <c r="I818" s="3" t="str">
        <f>VLOOKUP(F818,'Customers (2)'!A:I,4,0)</f>
        <v>+353 (500) 164-9392</v>
      </c>
      <c r="J818" s="3" t="str">
        <f>VLOOKUP(F818,'Customers (2)'!A:I,6,0)</f>
        <v>Castlebridge</v>
      </c>
      <c r="K818" s="3" t="str">
        <f>VLOOKUP(F818,'Customers (2)'!A:I,7,0)</f>
        <v>Ireland</v>
      </c>
      <c r="L818" s="3" t="str">
        <f>VLOOKUP(F818,'Customers (2)'!A:I,9,0)</f>
        <v>No</v>
      </c>
      <c r="M818" s="4" t="s">
        <v>83</v>
      </c>
      <c r="N818" s="4" t="str">
        <f>VLOOKUP(M818,'Products (2)'!A:G,2,0)</f>
        <v>Liberica</v>
      </c>
      <c r="O818" s="4" t="str">
        <f>VLOOKUP(M818,'Products (2)'!A:G,3,0)</f>
        <v>Light</v>
      </c>
      <c r="P818" s="4">
        <f>VLOOKUP(M818,'Products (2)'!A:G,7,0)</f>
        <v>1.2363</v>
      </c>
      <c r="Q818" s="3">
        <v>4</v>
      </c>
      <c r="R818" s="5">
        <f>INDEX([1]products!$A$1:$G$49,MATCH([1]orders!$D818,[1]products!$A$1:$A$49,0),MATCH([1]orders!K$1,[1]products!$A$1:$G$1,0))</f>
        <v>0.5</v>
      </c>
      <c r="S818" s="6">
        <f>INDEX([1]products!$A$1:$G$49,MATCH([1]orders!$D818,[1]products!$A$1:$A$49,0),MATCH([1]orders!L$1,[1]products!$A$1:$G$1,0))</f>
        <v>9.51</v>
      </c>
      <c r="T818" s="6">
        <f t="shared" si="72"/>
        <v>38.04</v>
      </c>
      <c r="U818" s="22">
        <f t="shared" si="76"/>
        <v>4.9451999999999998</v>
      </c>
      <c r="V818" s="22">
        <f t="shared" si="77"/>
        <v>13</v>
      </c>
    </row>
    <row r="819" spans="1:22" x14ac:dyDescent="0.3">
      <c r="A819" s="1" t="s">
        <v>1584</v>
      </c>
      <c r="B819" s="2">
        <v>43798</v>
      </c>
      <c r="C819" s="2" t="str">
        <f t="shared" si="73"/>
        <v>Friday</v>
      </c>
      <c r="D819" s="2" t="str">
        <f t="shared" si="74"/>
        <v>November</v>
      </c>
      <c r="E819" s="2" t="str">
        <f t="shared" si="75"/>
        <v>2019</v>
      </c>
      <c r="F819" s="3" t="s">
        <v>1585</v>
      </c>
      <c r="G819" s="3" t="str">
        <f>VLOOKUP(F820,'Customers (2)'!A:I,2,0)</f>
        <v>Allis Wilmore</v>
      </c>
      <c r="H819" s="3" t="str">
        <f>VLOOKUP(F819,'Customers (2)'!A:I,3,0)</f>
        <v>bwellanmp@cafepress.com</v>
      </c>
      <c r="I819" s="3">
        <f>VLOOKUP(F819,'Customers (2)'!A:I,4,0)</f>
        <v>0</v>
      </c>
      <c r="J819" s="3" t="str">
        <f>VLOOKUP(F819,'Customers (2)'!A:I,6,0)</f>
        <v>Buffalo</v>
      </c>
      <c r="K819" s="3" t="str">
        <f>VLOOKUP(F819,'Customers (2)'!A:I,7,0)</f>
        <v>United States</v>
      </c>
      <c r="L819" s="3" t="str">
        <f>VLOOKUP(F819,'Customers (2)'!A:I,9,0)</f>
        <v>No</v>
      </c>
      <c r="M819" s="4" t="s">
        <v>123</v>
      </c>
      <c r="N819" s="4" t="str">
        <f>VLOOKUP(M819,'Products (2)'!A:G,2,0)</f>
        <v>Liberica</v>
      </c>
      <c r="O819" s="4" t="str">
        <f>VLOOKUP(M819,'Products (2)'!A:G,3,0)</f>
        <v>Dark</v>
      </c>
      <c r="P819" s="4">
        <f>VLOOKUP(M819,'Products (2)'!A:G,7,0)</f>
        <v>1.0101</v>
      </c>
      <c r="Q819" s="3">
        <v>2</v>
      </c>
      <c r="R819" s="5">
        <f>INDEX([1]products!$A$1:$G$49,MATCH([1]orders!$D819,[1]products!$A$1:$A$49,0),MATCH([1]orders!K$1,[1]products!$A$1:$G$1,0))</f>
        <v>0.5</v>
      </c>
      <c r="S819" s="6">
        <f>INDEX([1]products!$A$1:$G$49,MATCH([1]orders!$D819,[1]products!$A$1:$A$49,0),MATCH([1]orders!L$1,[1]products!$A$1:$G$1,0))</f>
        <v>7.77</v>
      </c>
      <c r="T819" s="6">
        <f t="shared" si="72"/>
        <v>15.54</v>
      </c>
      <c r="U819" s="22">
        <f t="shared" si="76"/>
        <v>2.0202</v>
      </c>
      <c r="V819" s="22">
        <f t="shared" si="77"/>
        <v>13</v>
      </c>
    </row>
    <row r="820" spans="1:22" x14ac:dyDescent="0.3">
      <c r="A820" s="1" t="s">
        <v>1586</v>
      </c>
      <c r="B820" s="2">
        <v>44761</v>
      </c>
      <c r="C820" s="2" t="str">
        <f t="shared" si="73"/>
        <v>Tuesday</v>
      </c>
      <c r="D820" s="2" t="str">
        <f t="shared" si="74"/>
        <v>July</v>
      </c>
      <c r="E820" s="2" t="str">
        <f t="shared" si="75"/>
        <v>2022</v>
      </c>
      <c r="F820" s="3" t="s">
        <v>1569</v>
      </c>
      <c r="G820" s="3" t="str">
        <f>VLOOKUP(F821,'Customers (2)'!A:I,2,0)</f>
        <v>Caddric Atcheson</v>
      </c>
      <c r="H820" s="3">
        <f>VLOOKUP(F820,'Customers (2)'!A:I,3,0)</f>
        <v>0</v>
      </c>
      <c r="I820" s="3" t="str">
        <f>VLOOKUP(F820,'Customers (2)'!A:I,4,0)</f>
        <v>+1 (713) 984-5207</v>
      </c>
      <c r="J820" s="3" t="str">
        <f>VLOOKUP(F820,'Customers (2)'!A:I,6,0)</f>
        <v>Houston</v>
      </c>
      <c r="K820" s="3" t="str">
        <f>VLOOKUP(F820,'Customers (2)'!A:I,7,0)</f>
        <v>United States</v>
      </c>
      <c r="L820" s="3" t="str">
        <f>VLOOKUP(F820,'Customers (2)'!A:I,9,0)</f>
        <v>No</v>
      </c>
      <c r="M820" s="4" t="s">
        <v>132</v>
      </c>
      <c r="N820" s="4" t="str">
        <f>VLOOKUP(M820,'Products (2)'!A:G,2,0)</f>
        <v>Liberica</v>
      </c>
      <c r="O820" s="4" t="str">
        <f>VLOOKUP(M820,'Products (2)'!A:G,3,0)</f>
        <v>Light</v>
      </c>
      <c r="P820" s="4">
        <f>VLOOKUP(M820,'Products (2)'!A:G,7,0)</f>
        <v>2.0605000000000002</v>
      </c>
      <c r="Q820" s="3">
        <v>5</v>
      </c>
      <c r="R820" s="5">
        <f>INDEX([1]products!$A$1:$G$49,MATCH([1]orders!$D820,[1]products!$A$1:$A$49,0),MATCH([1]orders!K$1,[1]products!$A$1:$G$1,0))</f>
        <v>1</v>
      </c>
      <c r="S820" s="6">
        <f>INDEX([1]products!$A$1:$G$49,MATCH([1]orders!$D820,[1]products!$A$1:$A$49,0),MATCH([1]orders!L$1,[1]products!$A$1:$G$1,0))</f>
        <v>15.85</v>
      </c>
      <c r="T820" s="6">
        <f t="shared" si="72"/>
        <v>79.25</v>
      </c>
      <c r="U820" s="22">
        <f t="shared" si="76"/>
        <v>10.302500000000002</v>
      </c>
      <c r="V820" s="22">
        <f t="shared" si="77"/>
        <v>13.000000000000004</v>
      </c>
    </row>
    <row r="821" spans="1:22" x14ac:dyDescent="0.3">
      <c r="A821" s="1" t="s">
        <v>1587</v>
      </c>
      <c r="B821" s="2">
        <v>44008</v>
      </c>
      <c r="C821" s="2" t="str">
        <f t="shared" si="73"/>
        <v>Friday</v>
      </c>
      <c r="D821" s="2" t="str">
        <f t="shared" si="74"/>
        <v>June</v>
      </c>
      <c r="E821" s="2" t="str">
        <f t="shared" si="75"/>
        <v>2020</v>
      </c>
      <c r="F821" s="3" t="s">
        <v>1588</v>
      </c>
      <c r="G821" s="3" t="str">
        <f>VLOOKUP(F822,'Customers (2)'!A:I,2,0)</f>
        <v>Eustace Stenton</v>
      </c>
      <c r="H821" s="3" t="str">
        <f>VLOOKUP(F821,'Customers (2)'!A:I,3,0)</f>
        <v>catchesonmr@xinhuanet.com</v>
      </c>
      <c r="I821" s="3" t="str">
        <f>VLOOKUP(F821,'Customers (2)'!A:I,4,0)</f>
        <v>+1 (202) 975-7723</v>
      </c>
      <c r="J821" s="3" t="str">
        <f>VLOOKUP(F821,'Customers (2)'!A:I,6,0)</f>
        <v>Washington</v>
      </c>
      <c r="K821" s="3" t="str">
        <f>VLOOKUP(F821,'Customers (2)'!A:I,7,0)</f>
        <v>United States</v>
      </c>
      <c r="L821" s="3" t="str">
        <f>VLOOKUP(F821,'Customers (2)'!A:I,9,0)</f>
        <v>Yes</v>
      </c>
      <c r="M821" s="4" t="s">
        <v>19</v>
      </c>
      <c r="N821" s="4" t="str">
        <f>VLOOKUP(M821,'Products (2)'!A:G,2,0)</f>
        <v>Liberica</v>
      </c>
      <c r="O821" s="4" t="str">
        <f>VLOOKUP(M821,'Products (2)'!A:G,3,0)</f>
        <v>Light</v>
      </c>
      <c r="P821" s="4">
        <f>VLOOKUP(M821,'Products (2)'!A:G,7,0)</f>
        <v>0.61814999999999998</v>
      </c>
      <c r="Q821" s="3">
        <v>1</v>
      </c>
      <c r="R821" s="5">
        <f>INDEX([1]products!$A$1:$G$49,MATCH([1]orders!$D821,[1]products!$A$1:$A$49,0),MATCH([1]orders!K$1,[1]products!$A$1:$G$1,0))</f>
        <v>0.2</v>
      </c>
      <c r="S821" s="6">
        <f>INDEX([1]products!$A$1:$G$49,MATCH([1]orders!$D821,[1]products!$A$1:$A$49,0),MATCH([1]orders!L$1,[1]products!$A$1:$G$1,0))</f>
        <v>4.7549999999999999</v>
      </c>
      <c r="T821" s="6">
        <f t="shared" si="72"/>
        <v>4.7549999999999999</v>
      </c>
      <c r="U821" s="22">
        <f t="shared" si="76"/>
        <v>0.61814999999999998</v>
      </c>
      <c r="V821" s="22">
        <f t="shared" si="77"/>
        <v>13</v>
      </c>
    </row>
    <row r="822" spans="1:22" x14ac:dyDescent="0.3">
      <c r="A822" s="1" t="s">
        <v>1589</v>
      </c>
      <c r="B822" s="2">
        <v>43510</v>
      </c>
      <c r="C822" s="2" t="str">
        <f t="shared" si="73"/>
        <v>Thursday</v>
      </c>
      <c r="D822" s="2" t="str">
        <f t="shared" si="74"/>
        <v>February</v>
      </c>
      <c r="E822" s="2" t="str">
        <f t="shared" si="75"/>
        <v>2019</v>
      </c>
      <c r="F822" s="3" t="s">
        <v>1590</v>
      </c>
      <c r="G822" s="3" t="str">
        <f>VLOOKUP(F823,'Customers (2)'!A:I,2,0)</f>
        <v>Ericka Tripp</v>
      </c>
      <c r="H822" s="3" t="str">
        <f>VLOOKUP(F822,'Customers (2)'!A:I,3,0)</f>
        <v>estentonms@google.it</v>
      </c>
      <c r="I822" s="3" t="str">
        <f>VLOOKUP(F822,'Customers (2)'!A:I,4,0)</f>
        <v>+1 (512) 819-1430</v>
      </c>
      <c r="J822" s="3" t="str">
        <f>VLOOKUP(F822,'Customers (2)'!A:I,6,0)</f>
        <v>Austin</v>
      </c>
      <c r="K822" s="3" t="str">
        <f>VLOOKUP(F822,'Customers (2)'!A:I,7,0)</f>
        <v>United States</v>
      </c>
      <c r="L822" s="3" t="str">
        <f>VLOOKUP(F822,'Customers (2)'!A:I,9,0)</f>
        <v>Yes</v>
      </c>
      <c r="M822" s="4" t="s">
        <v>9</v>
      </c>
      <c r="N822" s="4" t="str">
        <f>VLOOKUP(M822,'Products (2)'!A:G,2,0)</f>
        <v>Excelsa</v>
      </c>
      <c r="O822" s="4" t="str">
        <f>VLOOKUP(M822,'Products (2)'!A:G,3,0)</f>
        <v>Medium</v>
      </c>
      <c r="P822" s="4">
        <f>VLOOKUP(M822,'Products (2)'!A:G,7,0)</f>
        <v>1.5125</v>
      </c>
      <c r="Q822" s="3">
        <v>4</v>
      </c>
      <c r="R822" s="5">
        <f>INDEX([1]products!$A$1:$G$49,MATCH([1]orders!$D822,[1]products!$A$1:$A$49,0),MATCH([1]orders!K$1,[1]products!$A$1:$G$1,0))</f>
        <v>1</v>
      </c>
      <c r="S822" s="6">
        <f>INDEX([1]products!$A$1:$G$49,MATCH([1]orders!$D822,[1]products!$A$1:$A$49,0),MATCH([1]orders!L$1,[1]products!$A$1:$G$1,0))</f>
        <v>13.75</v>
      </c>
      <c r="T822" s="6">
        <f t="shared" si="72"/>
        <v>55</v>
      </c>
      <c r="U822" s="22">
        <f t="shared" si="76"/>
        <v>6.05</v>
      </c>
      <c r="V822" s="22">
        <f t="shared" si="77"/>
        <v>11</v>
      </c>
    </row>
    <row r="823" spans="1:22" x14ac:dyDescent="0.3">
      <c r="A823" s="1" t="s">
        <v>1591</v>
      </c>
      <c r="B823" s="2">
        <v>44144</v>
      </c>
      <c r="C823" s="2" t="str">
        <f t="shared" si="73"/>
        <v>Monday</v>
      </c>
      <c r="D823" s="2" t="str">
        <f t="shared" si="74"/>
        <v>November</v>
      </c>
      <c r="E823" s="2" t="str">
        <f t="shared" si="75"/>
        <v>2020</v>
      </c>
      <c r="F823" s="3" t="s">
        <v>1592</v>
      </c>
      <c r="G823" s="3" t="str">
        <f>VLOOKUP(F824,'Customers (2)'!A:I,2,0)</f>
        <v>Lyndsey MacManus</v>
      </c>
      <c r="H823" s="3" t="str">
        <f>VLOOKUP(F823,'Customers (2)'!A:I,3,0)</f>
        <v>etrippmt@wp.com</v>
      </c>
      <c r="I823" s="3" t="str">
        <f>VLOOKUP(F823,'Customers (2)'!A:I,4,0)</f>
        <v>+1 (602) 971-9708</v>
      </c>
      <c r="J823" s="3" t="str">
        <f>VLOOKUP(F823,'Customers (2)'!A:I,6,0)</f>
        <v>Mesa</v>
      </c>
      <c r="K823" s="3" t="str">
        <f>VLOOKUP(F823,'Customers (2)'!A:I,7,0)</f>
        <v>United States</v>
      </c>
      <c r="L823" s="3" t="str">
        <f>VLOOKUP(F823,'Customers (2)'!A:I,9,0)</f>
        <v>No</v>
      </c>
      <c r="M823" s="4" t="s">
        <v>146</v>
      </c>
      <c r="N823" s="4" t="str">
        <f>VLOOKUP(M823,'Products (2)'!A:G,2,0)</f>
        <v>Robusta</v>
      </c>
      <c r="O823" s="4" t="str">
        <f>VLOOKUP(M823,'Products (2)'!A:G,3,0)</f>
        <v>Dark</v>
      </c>
      <c r="P823" s="4">
        <f>VLOOKUP(M823,'Products (2)'!A:G,7,0)</f>
        <v>0.32219999999999993</v>
      </c>
      <c r="Q823" s="3">
        <v>5</v>
      </c>
      <c r="R823" s="5">
        <f>INDEX([1]products!$A$1:$G$49,MATCH([1]orders!$D823,[1]products!$A$1:$A$49,0),MATCH([1]orders!K$1,[1]products!$A$1:$G$1,0))</f>
        <v>0.5</v>
      </c>
      <c r="S823" s="6">
        <f>INDEX([1]products!$A$1:$G$49,MATCH([1]orders!$D823,[1]products!$A$1:$A$49,0),MATCH([1]orders!L$1,[1]products!$A$1:$G$1,0))</f>
        <v>5.3699999999999992</v>
      </c>
      <c r="T823" s="6">
        <f t="shared" si="72"/>
        <v>26.849999999999994</v>
      </c>
      <c r="U823" s="22">
        <f t="shared" si="76"/>
        <v>1.6109999999999998</v>
      </c>
      <c r="V823" s="22">
        <f t="shared" si="77"/>
        <v>6.0000000000000009</v>
      </c>
    </row>
    <row r="824" spans="1:22" x14ac:dyDescent="0.3">
      <c r="A824" s="1" t="s">
        <v>1593</v>
      </c>
      <c r="B824" s="2">
        <v>43585</v>
      </c>
      <c r="C824" s="2" t="str">
        <f t="shared" si="73"/>
        <v>Tuesday</v>
      </c>
      <c r="D824" s="2" t="str">
        <f t="shared" si="74"/>
        <v>April</v>
      </c>
      <c r="E824" s="2" t="str">
        <f t="shared" si="75"/>
        <v>2019</v>
      </c>
      <c r="F824" s="3" t="s">
        <v>1594</v>
      </c>
      <c r="G824" s="3" t="str">
        <f>VLOOKUP(F825,'Customers (2)'!A:I,2,0)</f>
        <v>Tess Benediktovich</v>
      </c>
      <c r="H824" s="3" t="str">
        <f>VLOOKUP(F824,'Customers (2)'!A:I,3,0)</f>
        <v>lmacmanusmu@imdb.com</v>
      </c>
      <c r="I824" s="3" t="str">
        <f>VLOOKUP(F824,'Customers (2)'!A:I,4,0)</f>
        <v>+1 (912) 191-6620</v>
      </c>
      <c r="J824" s="3" t="str">
        <f>VLOOKUP(F824,'Customers (2)'!A:I,6,0)</f>
        <v>Savannah</v>
      </c>
      <c r="K824" s="3" t="str">
        <f>VLOOKUP(F824,'Customers (2)'!A:I,7,0)</f>
        <v>United States</v>
      </c>
      <c r="L824" s="3" t="str">
        <f>VLOOKUP(F824,'Customers (2)'!A:I,9,0)</f>
        <v>No</v>
      </c>
      <c r="M824" s="4" t="s">
        <v>30</v>
      </c>
      <c r="N824" s="4" t="str">
        <f>VLOOKUP(M824,'Products (2)'!A:G,2,0)</f>
        <v>Excelsa</v>
      </c>
      <c r="O824" s="4" t="str">
        <f>VLOOKUP(M824,'Products (2)'!A:G,3,0)</f>
        <v>Light</v>
      </c>
      <c r="P824" s="4">
        <f>VLOOKUP(M824,'Products (2)'!A:G,7,0)</f>
        <v>3.7570499999999996</v>
      </c>
      <c r="Q824" s="3">
        <v>4</v>
      </c>
      <c r="R824" s="5">
        <f>INDEX([1]products!$A$1:$G$49,MATCH([1]orders!$D824,[1]products!$A$1:$A$49,0),MATCH([1]orders!K$1,[1]products!$A$1:$G$1,0))</f>
        <v>2.5</v>
      </c>
      <c r="S824" s="6">
        <f>INDEX([1]products!$A$1:$G$49,MATCH([1]orders!$D824,[1]products!$A$1:$A$49,0),MATCH([1]orders!L$1,[1]products!$A$1:$G$1,0))</f>
        <v>34.154999999999994</v>
      </c>
      <c r="T824" s="6">
        <f t="shared" si="72"/>
        <v>136.61999999999998</v>
      </c>
      <c r="U824" s="22">
        <f t="shared" si="76"/>
        <v>15.028199999999998</v>
      </c>
      <c r="V824" s="22">
        <f t="shared" si="77"/>
        <v>11</v>
      </c>
    </row>
    <row r="825" spans="1:22" x14ac:dyDescent="0.3">
      <c r="A825" s="1" t="s">
        <v>1595</v>
      </c>
      <c r="B825" s="2">
        <v>44134</v>
      </c>
      <c r="C825" s="2" t="str">
        <f t="shared" si="73"/>
        <v>Friday</v>
      </c>
      <c r="D825" s="2" t="str">
        <f t="shared" si="74"/>
        <v>October</v>
      </c>
      <c r="E825" s="2" t="str">
        <f t="shared" si="75"/>
        <v>2020</v>
      </c>
      <c r="F825" s="3" t="s">
        <v>1596</v>
      </c>
      <c r="G825" s="3" t="str">
        <f>VLOOKUP(F826,'Customers (2)'!A:I,2,0)</f>
        <v>Correy Bourner</v>
      </c>
      <c r="H825" s="3" t="str">
        <f>VLOOKUP(F825,'Customers (2)'!A:I,3,0)</f>
        <v>tbenediktovichmv@ebay.com</v>
      </c>
      <c r="I825" s="3" t="str">
        <f>VLOOKUP(F825,'Customers (2)'!A:I,4,0)</f>
        <v>+1 (505) 523-8113</v>
      </c>
      <c r="J825" s="3" t="str">
        <f>VLOOKUP(F825,'Customers (2)'!A:I,6,0)</f>
        <v>Albuquerque</v>
      </c>
      <c r="K825" s="3" t="str">
        <f>VLOOKUP(F825,'Customers (2)'!A:I,7,0)</f>
        <v>United States</v>
      </c>
      <c r="L825" s="3" t="str">
        <f>VLOOKUP(F825,'Customers (2)'!A:I,9,0)</f>
        <v>Yes</v>
      </c>
      <c r="M825" s="4" t="s">
        <v>132</v>
      </c>
      <c r="N825" s="4" t="str">
        <f>VLOOKUP(M825,'Products (2)'!A:G,2,0)</f>
        <v>Liberica</v>
      </c>
      <c r="O825" s="4" t="str">
        <f>VLOOKUP(M825,'Products (2)'!A:G,3,0)</f>
        <v>Light</v>
      </c>
      <c r="P825" s="4">
        <f>VLOOKUP(M825,'Products (2)'!A:G,7,0)</f>
        <v>2.0605000000000002</v>
      </c>
      <c r="Q825" s="3">
        <v>3</v>
      </c>
      <c r="R825" s="5">
        <f>INDEX([1]products!$A$1:$G$49,MATCH([1]orders!$D825,[1]products!$A$1:$A$49,0),MATCH([1]orders!K$1,[1]products!$A$1:$G$1,0))</f>
        <v>1</v>
      </c>
      <c r="S825" s="6">
        <f>INDEX([1]products!$A$1:$G$49,MATCH([1]orders!$D825,[1]products!$A$1:$A$49,0),MATCH([1]orders!L$1,[1]products!$A$1:$G$1,0))</f>
        <v>15.85</v>
      </c>
      <c r="T825" s="6">
        <f t="shared" si="72"/>
        <v>47.55</v>
      </c>
      <c r="U825" s="22">
        <f t="shared" si="76"/>
        <v>6.1815000000000007</v>
      </c>
      <c r="V825" s="22">
        <f t="shared" si="77"/>
        <v>13.000000000000004</v>
      </c>
    </row>
    <row r="826" spans="1:22" x14ac:dyDescent="0.3">
      <c r="A826" s="1" t="s">
        <v>1597</v>
      </c>
      <c r="B826" s="2">
        <v>43781</v>
      </c>
      <c r="C826" s="2" t="str">
        <f t="shared" si="73"/>
        <v>Tuesday</v>
      </c>
      <c r="D826" s="2" t="str">
        <f t="shared" si="74"/>
        <v>November</v>
      </c>
      <c r="E826" s="2" t="str">
        <f t="shared" si="75"/>
        <v>2019</v>
      </c>
      <c r="F826" s="3" t="s">
        <v>1598</v>
      </c>
      <c r="G826" s="3" t="str">
        <f>VLOOKUP(F827,'Customers (2)'!A:I,2,0)</f>
        <v>Odelia Skerme</v>
      </c>
      <c r="H826" s="3" t="str">
        <f>VLOOKUP(F826,'Customers (2)'!A:I,3,0)</f>
        <v>cbournermw@chronoengine.com</v>
      </c>
      <c r="I826" s="3">
        <f>VLOOKUP(F826,'Customers (2)'!A:I,4,0)</f>
        <v>0</v>
      </c>
      <c r="J826" s="3" t="str">
        <f>VLOOKUP(F826,'Customers (2)'!A:I,6,0)</f>
        <v>Charlotte</v>
      </c>
      <c r="K826" s="3" t="str">
        <f>VLOOKUP(F826,'Customers (2)'!A:I,7,0)</f>
        <v>United States</v>
      </c>
      <c r="L826" s="3" t="str">
        <f>VLOOKUP(F826,'Customers (2)'!A:I,9,0)</f>
        <v>Yes</v>
      </c>
      <c r="M826" s="4" t="s">
        <v>44</v>
      </c>
      <c r="N826" s="4" t="str">
        <f>VLOOKUP(M826,'Products (2)'!A:G,2,0)</f>
        <v>Arabica</v>
      </c>
      <c r="O826" s="4" t="str">
        <f>VLOOKUP(M826,'Products (2)'!A:G,3,0)</f>
        <v>Medium</v>
      </c>
      <c r="P826" s="4">
        <f>VLOOKUP(M826,'Products (2)'!A:G,7,0)</f>
        <v>0.30374999999999996</v>
      </c>
      <c r="Q826" s="3">
        <v>5</v>
      </c>
      <c r="R826" s="5">
        <f>INDEX([1]products!$A$1:$G$49,MATCH([1]orders!$D826,[1]products!$A$1:$A$49,0),MATCH([1]orders!K$1,[1]products!$A$1:$G$1,0))</f>
        <v>0.2</v>
      </c>
      <c r="S826" s="6">
        <f>INDEX([1]products!$A$1:$G$49,MATCH([1]orders!$D826,[1]products!$A$1:$A$49,0),MATCH([1]orders!L$1,[1]products!$A$1:$G$1,0))</f>
        <v>3.375</v>
      </c>
      <c r="T826" s="6">
        <f t="shared" si="72"/>
        <v>16.875</v>
      </c>
      <c r="U826" s="22">
        <f t="shared" si="76"/>
        <v>1.5187499999999998</v>
      </c>
      <c r="V826" s="22">
        <f t="shared" si="77"/>
        <v>8.9999999999999982</v>
      </c>
    </row>
    <row r="827" spans="1:22" x14ac:dyDescent="0.3">
      <c r="A827" s="1" t="s">
        <v>1599</v>
      </c>
      <c r="B827" s="2">
        <v>44603</v>
      </c>
      <c r="C827" s="2" t="str">
        <f t="shared" si="73"/>
        <v>Friday</v>
      </c>
      <c r="D827" s="2" t="str">
        <f t="shared" si="74"/>
        <v>February</v>
      </c>
      <c r="E827" s="2" t="str">
        <f t="shared" si="75"/>
        <v>2022</v>
      </c>
      <c r="F827" s="3" t="s">
        <v>1600</v>
      </c>
      <c r="G827" s="3" t="str">
        <f>VLOOKUP(F828,'Customers (2)'!A:I,2,0)</f>
        <v>Kandy Heddan</v>
      </c>
      <c r="H827" s="3" t="str">
        <f>VLOOKUP(F827,'Customers (2)'!A:I,3,0)</f>
        <v>oskermen3@hatena.ne.jp</v>
      </c>
      <c r="I827" s="3" t="str">
        <f>VLOOKUP(F827,'Customers (2)'!A:I,4,0)</f>
        <v>+1 (405) 615-0298</v>
      </c>
      <c r="J827" s="3" t="str">
        <f>VLOOKUP(F827,'Customers (2)'!A:I,6,0)</f>
        <v>Oklahoma City</v>
      </c>
      <c r="K827" s="3" t="str">
        <f>VLOOKUP(F827,'Customers (2)'!A:I,7,0)</f>
        <v>United States</v>
      </c>
      <c r="L827" s="3" t="str">
        <f>VLOOKUP(F827,'Customers (2)'!A:I,9,0)</f>
        <v>Yes</v>
      </c>
      <c r="M827" s="4" t="s">
        <v>27</v>
      </c>
      <c r="N827" s="4" t="str">
        <f>VLOOKUP(M827,'Products (2)'!A:G,2,0)</f>
        <v>Arabica</v>
      </c>
      <c r="O827" s="4" t="str">
        <f>VLOOKUP(M827,'Products (2)'!A:G,3,0)</f>
        <v>Dark</v>
      </c>
      <c r="P827" s="4">
        <f>VLOOKUP(M827,'Products (2)'!A:G,7,0)</f>
        <v>0.89549999999999985</v>
      </c>
      <c r="Q827" s="3">
        <v>3</v>
      </c>
      <c r="R827" s="5">
        <f>INDEX([1]products!$A$1:$G$49,MATCH([1]orders!$D827,[1]products!$A$1:$A$49,0),MATCH([1]orders!K$1,[1]products!$A$1:$G$1,0))</f>
        <v>1</v>
      </c>
      <c r="S827" s="6">
        <f>INDEX([1]products!$A$1:$G$49,MATCH([1]orders!$D827,[1]products!$A$1:$A$49,0),MATCH([1]orders!L$1,[1]products!$A$1:$G$1,0))</f>
        <v>9.9499999999999993</v>
      </c>
      <c r="T827" s="6">
        <f t="shared" si="72"/>
        <v>29.849999999999998</v>
      </c>
      <c r="U827" s="22">
        <f t="shared" si="76"/>
        <v>2.6864999999999997</v>
      </c>
      <c r="V827" s="22">
        <f t="shared" si="77"/>
        <v>9</v>
      </c>
    </row>
    <row r="828" spans="1:22" x14ac:dyDescent="0.3">
      <c r="A828" s="1" t="s">
        <v>1601</v>
      </c>
      <c r="B828" s="2">
        <v>44283</v>
      </c>
      <c r="C828" s="2" t="str">
        <f t="shared" si="73"/>
        <v>Sunday</v>
      </c>
      <c r="D828" s="2" t="str">
        <f t="shared" si="74"/>
        <v>March</v>
      </c>
      <c r="E828" s="2" t="str">
        <f t="shared" si="75"/>
        <v>2021</v>
      </c>
      <c r="F828" s="3" t="s">
        <v>1602</v>
      </c>
      <c r="G828" s="3" t="str">
        <f>VLOOKUP(F829,'Customers (2)'!A:I,2,0)</f>
        <v>Ibby Charters</v>
      </c>
      <c r="H828" s="3" t="str">
        <f>VLOOKUP(F828,'Customers (2)'!A:I,3,0)</f>
        <v>kheddanmy@icq.com</v>
      </c>
      <c r="I828" s="3" t="str">
        <f>VLOOKUP(F828,'Customers (2)'!A:I,4,0)</f>
        <v>+1 (850) 796-6812</v>
      </c>
      <c r="J828" s="3" t="str">
        <f>VLOOKUP(F828,'Customers (2)'!A:I,6,0)</f>
        <v>Pensacola</v>
      </c>
      <c r="K828" s="3" t="str">
        <f>VLOOKUP(F828,'Customers (2)'!A:I,7,0)</f>
        <v>United States</v>
      </c>
      <c r="L828" s="3" t="str">
        <f>VLOOKUP(F828,'Customers (2)'!A:I,9,0)</f>
        <v>Yes</v>
      </c>
      <c r="M828" s="4" t="s">
        <v>3</v>
      </c>
      <c r="N828" s="4" t="str">
        <f>VLOOKUP(M828,'Products (2)'!A:G,2,0)</f>
        <v>Excelsa</v>
      </c>
      <c r="O828" s="4" t="str">
        <f>VLOOKUP(M828,'Products (2)'!A:G,3,0)</f>
        <v>Medium</v>
      </c>
      <c r="P828" s="4">
        <f>VLOOKUP(M828,'Products (2)'!A:G,7,0)</f>
        <v>0.90749999999999997</v>
      </c>
      <c r="Q828" s="3">
        <v>5</v>
      </c>
      <c r="R828" s="5">
        <f>INDEX([1]products!$A$1:$G$49,MATCH([1]orders!$D828,[1]products!$A$1:$A$49,0),MATCH([1]orders!K$1,[1]products!$A$1:$G$1,0))</f>
        <v>0.5</v>
      </c>
      <c r="S828" s="6">
        <f>INDEX([1]products!$A$1:$G$49,MATCH([1]orders!$D828,[1]products!$A$1:$A$49,0),MATCH([1]orders!L$1,[1]products!$A$1:$G$1,0))</f>
        <v>8.25</v>
      </c>
      <c r="T828" s="6">
        <f t="shared" si="72"/>
        <v>41.25</v>
      </c>
      <c r="U828" s="22">
        <f t="shared" si="76"/>
        <v>4.5374999999999996</v>
      </c>
      <c r="V828" s="22">
        <f t="shared" si="77"/>
        <v>10.999999999999998</v>
      </c>
    </row>
    <row r="829" spans="1:22" x14ac:dyDescent="0.3">
      <c r="A829" s="1" t="s">
        <v>1603</v>
      </c>
      <c r="B829" s="2">
        <v>44540</v>
      </c>
      <c r="C829" s="2" t="str">
        <f t="shared" si="73"/>
        <v>Friday</v>
      </c>
      <c r="D829" s="2" t="str">
        <f t="shared" si="74"/>
        <v>December</v>
      </c>
      <c r="E829" s="2" t="str">
        <f t="shared" si="75"/>
        <v>2021</v>
      </c>
      <c r="F829" s="3" t="s">
        <v>1604</v>
      </c>
      <c r="G829" s="3" t="str">
        <f>VLOOKUP(F830,'Customers (2)'!A:I,2,0)</f>
        <v>Adora Roubert</v>
      </c>
      <c r="H829" s="3" t="str">
        <f>VLOOKUP(F829,'Customers (2)'!A:I,3,0)</f>
        <v>ichartersmz@abc.net.au</v>
      </c>
      <c r="I829" s="3" t="str">
        <f>VLOOKUP(F829,'Customers (2)'!A:I,4,0)</f>
        <v>+1 (202) 710-9776</v>
      </c>
      <c r="J829" s="3" t="str">
        <f>VLOOKUP(F829,'Customers (2)'!A:I,6,0)</f>
        <v>Washington</v>
      </c>
      <c r="K829" s="3" t="str">
        <f>VLOOKUP(F829,'Customers (2)'!A:I,7,0)</f>
        <v>United States</v>
      </c>
      <c r="L829" s="3" t="str">
        <f>VLOOKUP(F829,'Customers (2)'!A:I,9,0)</f>
        <v>No</v>
      </c>
      <c r="M829" s="4" t="s">
        <v>64</v>
      </c>
      <c r="N829" s="4" t="str">
        <f>VLOOKUP(M829,'Products (2)'!A:G,2,0)</f>
        <v>Excelsa</v>
      </c>
      <c r="O829" s="4" t="str">
        <f>VLOOKUP(M829,'Products (2)'!A:G,3,0)</f>
        <v>Medium</v>
      </c>
      <c r="P829" s="4">
        <f>VLOOKUP(M829,'Products (2)'!A:G,7,0)</f>
        <v>0.45374999999999999</v>
      </c>
      <c r="Q829" s="3">
        <v>5</v>
      </c>
      <c r="R829" s="5">
        <f>INDEX([1]products!$A$1:$G$49,MATCH([1]orders!$D829,[1]products!$A$1:$A$49,0),MATCH([1]orders!K$1,[1]products!$A$1:$G$1,0))</f>
        <v>0.2</v>
      </c>
      <c r="S829" s="6">
        <f>INDEX([1]products!$A$1:$G$49,MATCH([1]orders!$D829,[1]products!$A$1:$A$49,0),MATCH([1]orders!L$1,[1]products!$A$1:$G$1,0))</f>
        <v>4.125</v>
      </c>
      <c r="T829" s="6">
        <f t="shared" si="72"/>
        <v>20.625</v>
      </c>
      <c r="U829" s="22">
        <f t="shared" si="76"/>
        <v>2.2687499999999998</v>
      </c>
      <c r="V829" s="22">
        <f t="shared" si="77"/>
        <v>10.999999999999998</v>
      </c>
    </row>
    <row r="830" spans="1:22" x14ac:dyDescent="0.3">
      <c r="A830" s="1" t="s">
        <v>1605</v>
      </c>
      <c r="B830" s="2">
        <v>44505</v>
      </c>
      <c r="C830" s="2" t="str">
        <f t="shared" si="73"/>
        <v>Friday</v>
      </c>
      <c r="D830" s="2" t="str">
        <f t="shared" si="74"/>
        <v>November</v>
      </c>
      <c r="E830" s="2" t="str">
        <f t="shared" si="75"/>
        <v>2021</v>
      </c>
      <c r="F830" s="3" t="s">
        <v>1606</v>
      </c>
      <c r="G830" s="3" t="str">
        <f>VLOOKUP(F831,'Customers (2)'!A:I,2,0)</f>
        <v>Hillel Mairs</v>
      </c>
      <c r="H830" s="3" t="str">
        <f>VLOOKUP(F830,'Customers (2)'!A:I,3,0)</f>
        <v>aroubertn0@tmall.com</v>
      </c>
      <c r="I830" s="3" t="str">
        <f>VLOOKUP(F830,'Customers (2)'!A:I,4,0)</f>
        <v>+1 (772) 366-6549</v>
      </c>
      <c r="J830" s="3" t="str">
        <f>VLOOKUP(F830,'Customers (2)'!A:I,6,0)</f>
        <v>Port Saint Lucie</v>
      </c>
      <c r="K830" s="3" t="str">
        <f>VLOOKUP(F830,'Customers (2)'!A:I,7,0)</f>
        <v>United States</v>
      </c>
      <c r="L830" s="3" t="str">
        <f>VLOOKUP(F830,'Customers (2)'!A:I,9,0)</f>
        <v>Yes</v>
      </c>
      <c r="M830" s="4" t="s">
        <v>118</v>
      </c>
      <c r="N830" s="4" t="str">
        <f>VLOOKUP(M830,'Products (2)'!A:G,2,0)</f>
        <v>Arabica</v>
      </c>
      <c r="O830" s="4" t="str">
        <f>VLOOKUP(M830,'Products (2)'!A:G,3,0)</f>
        <v>Dark</v>
      </c>
      <c r="P830" s="4">
        <f>VLOOKUP(M830,'Products (2)'!A:G,7,0)</f>
        <v>2.0596499999999995</v>
      </c>
      <c r="Q830" s="3">
        <v>6</v>
      </c>
      <c r="R830" s="5">
        <f>INDEX([1]products!$A$1:$G$49,MATCH([1]orders!$D830,[1]products!$A$1:$A$49,0),MATCH([1]orders!K$1,[1]products!$A$1:$G$1,0))</f>
        <v>2.5</v>
      </c>
      <c r="S830" s="6">
        <f>INDEX([1]products!$A$1:$G$49,MATCH([1]orders!$D830,[1]products!$A$1:$A$49,0),MATCH([1]orders!L$1,[1]products!$A$1:$G$1,0))</f>
        <v>22.884999999999998</v>
      </c>
      <c r="T830" s="6">
        <f t="shared" si="72"/>
        <v>137.31</v>
      </c>
      <c r="U830" s="22">
        <f t="shared" si="76"/>
        <v>12.357899999999997</v>
      </c>
      <c r="V830" s="22">
        <f t="shared" si="77"/>
        <v>8.9999999999999982</v>
      </c>
    </row>
    <row r="831" spans="1:22" x14ac:dyDescent="0.3">
      <c r="A831" s="1" t="s">
        <v>1607</v>
      </c>
      <c r="B831" s="2">
        <v>43890</v>
      </c>
      <c r="C831" s="2" t="str">
        <f t="shared" si="73"/>
        <v>Saturday</v>
      </c>
      <c r="D831" s="2" t="str">
        <f t="shared" si="74"/>
        <v>February</v>
      </c>
      <c r="E831" s="2" t="str">
        <f t="shared" si="75"/>
        <v>2020</v>
      </c>
      <c r="F831" s="3" t="s">
        <v>1608</v>
      </c>
      <c r="G831" s="3" t="str">
        <f>VLOOKUP(F832,'Customers (2)'!A:I,2,0)</f>
        <v>Helaina Rainforth</v>
      </c>
      <c r="H831" s="3" t="str">
        <f>VLOOKUP(F831,'Customers (2)'!A:I,3,0)</f>
        <v>hmairsn1@so-net.ne.jp</v>
      </c>
      <c r="I831" s="3" t="str">
        <f>VLOOKUP(F831,'Customers (2)'!A:I,4,0)</f>
        <v>+1 (304) 834-9665</v>
      </c>
      <c r="J831" s="3" t="str">
        <f>VLOOKUP(F831,'Customers (2)'!A:I,6,0)</f>
        <v>Huntington</v>
      </c>
      <c r="K831" s="3" t="str">
        <f>VLOOKUP(F831,'Customers (2)'!A:I,7,0)</f>
        <v>United States</v>
      </c>
      <c r="L831" s="3" t="str">
        <f>VLOOKUP(F831,'Customers (2)'!A:I,9,0)</f>
        <v>No</v>
      </c>
      <c r="M831" s="4" t="s">
        <v>54</v>
      </c>
      <c r="N831" s="4" t="str">
        <f>VLOOKUP(M831,'Products (2)'!A:G,2,0)</f>
        <v>Arabica</v>
      </c>
      <c r="O831" s="4" t="str">
        <f>VLOOKUP(M831,'Products (2)'!A:G,3,0)</f>
        <v>Dark</v>
      </c>
      <c r="P831" s="4">
        <f>VLOOKUP(M831,'Products (2)'!A:G,7,0)</f>
        <v>0.26865</v>
      </c>
      <c r="Q831" s="3">
        <v>1</v>
      </c>
      <c r="R831" s="5">
        <f>INDEX([1]products!$A$1:$G$49,MATCH([1]orders!$D831,[1]products!$A$1:$A$49,0),MATCH([1]orders!K$1,[1]products!$A$1:$G$1,0))</f>
        <v>0.2</v>
      </c>
      <c r="S831" s="6">
        <f>INDEX([1]products!$A$1:$G$49,MATCH([1]orders!$D831,[1]products!$A$1:$A$49,0),MATCH([1]orders!L$1,[1]products!$A$1:$G$1,0))</f>
        <v>2.9849999999999999</v>
      </c>
      <c r="T831" s="6">
        <f t="shared" si="72"/>
        <v>2.9849999999999999</v>
      </c>
      <c r="U831" s="22">
        <f t="shared" si="76"/>
        <v>0.26865</v>
      </c>
      <c r="V831" s="22">
        <f t="shared" si="77"/>
        <v>9.0000000000000018</v>
      </c>
    </row>
    <row r="832" spans="1:22" x14ac:dyDescent="0.3">
      <c r="A832" s="1" t="s">
        <v>1609</v>
      </c>
      <c r="B832" s="2">
        <v>44414</v>
      </c>
      <c r="C832" s="2" t="str">
        <f t="shared" si="73"/>
        <v>Friday</v>
      </c>
      <c r="D832" s="2" t="str">
        <f t="shared" si="74"/>
        <v>August</v>
      </c>
      <c r="E832" s="2" t="str">
        <f t="shared" si="75"/>
        <v>2021</v>
      </c>
      <c r="F832" s="3" t="s">
        <v>1610</v>
      </c>
      <c r="G832" s="3" t="str">
        <f>VLOOKUP(F833,'Customers (2)'!A:I,2,0)</f>
        <v>Helaina Rainforth</v>
      </c>
      <c r="H832" s="3" t="str">
        <f>VLOOKUP(F832,'Customers (2)'!A:I,3,0)</f>
        <v>hrainforthn2@blog.com</v>
      </c>
      <c r="I832" s="3" t="str">
        <f>VLOOKUP(F832,'Customers (2)'!A:I,4,0)</f>
        <v>+1 (215) 607-9440</v>
      </c>
      <c r="J832" s="3" t="str">
        <f>VLOOKUP(F832,'Customers (2)'!A:I,6,0)</f>
        <v>Philadelphia</v>
      </c>
      <c r="K832" s="3" t="str">
        <f>VLOOKUP(F832,'Customers (2)'!A:I,7,0)</f>
        <v>United States</v>
      </c>
      <c r="L832" s="3" t="str">
        <f>VLOOKUP(F832,'Customers (2)'!A:I,9,0)</f>
        <v>No</v>
      </c>
      <c r="M832" s="4" t="s">
        <v>9</v>
      </c>
      <c r="N832" s="4" t="str">
        <f>VLOOKUP(M832,'Products (2)'!A:G,2,0)</f>
        <v>Excelsa</v>
      </c>
      <c r="O832" s="4" t="str">
        <f>VLOOKUP(M832,'Products (2)'!A:G,3,0)</f>
        <v>Medium</v>
      </c>
      <c r="P832" s="4">
        <f>VLOOKUP(M832,'Products (2)'!A:G,7,0)</f>
        <v>1.5125</v>
      </c>
      <c r="Q832" s="3">
        <v>2</v>
      </c>
      <c r="R832" s="5">
        <f>INDEX([1]products!$A$1:$G$49,MATCH([1]orders!$D832,[1]products!$A$1:$A$49,0),MATCH([1]orders!K$1,[1]products!$A$1:$G$1,0))</f>
        <v>1</v>
      </c>
      <c r="S832" s="6">
        <f>INDEX([1]products!$A$1:$G$49,MATCH([1]orders!$D832,[1]products!$A$1:$A$49,0),MATCH([1]orders!L$1,[1]products!$A$1:$G$1,0))</f>
        <v>13.75</v>
      </c>
      <c r="T832" s="6">
        <f t="shared" si="72"/>
        <v>27.5</v>
      </c>
      <c r="U832" s="22">
        <f t="shared" si="76"/>
        <v>3.0249999999999999</v>
      </c>
      <c r="V832" s="22">
        <f t="shared" si="77"/>
        <v>11</v>
      </c>
    </row>
    <row r="833" spans="1:22" x14ac:dyDescent="0.3">
      <c r="A833" s="1" t="s">
        <v>1609</v>
      </c>
      <c r="B833" s="2">
        <v>44414</v>
      </c>
      <c r="C833" s="2" t="str">
        <f t="shared" si="73"/>
        <v>Friday</v>
      </c>
      <c r="D833" s="2" t="str">
        <f t="shared" si="74"/>
        <v>August</v>
      </c>
      <c r="E833" s="2" t="str">
        <f t="shared" si="75"/>
        <v>2021</v>
      </c>
      <c r="F833" s="3" t="s">
        <v>1610</v>
      </c>
      <c r="G833" s="3" t="str">
        <f>VLOOKUP(F834,'Customers (2)'!A:I,2,0)</f>
        <v>Isac Jesper</v>
      </c>
      <c r="H833" s="3" t="str">
        <f>VLOOKUP(F833,'Customers (2)'!A:I,3,0)</f>
        <v>hrainforthn2@blog.com</v>
      </c>
      <c r="I833" s="3" t="str">
        <f>VLOOKUP(F833,'Customers (2)'!A:I,4,0)</f>
        <v>+1 (215) 607-9440</v>
      </c>
      <c r="J833" s="3" t="str">
        <f>VLOOKUP(F833,'Customers (2)'!A:I,6,0)</f>
        <v>Philadelphia</v>
      </c>
      <c r="K833" s="3" t="str">
        <f>VLOOKUP(F833,'Customers (2)'!A:I,7,0)</f>
        <v>United States</v>
      </c>
      <c r="L833" s="3" t="str">
        <f>VLOOKUP(F833,'Customers (2)'!A:I,9,0)</f>
        <v>No</v>
      </c>
      <c r="M833" s="4" t="s">
        <v>54</v>
      </c>
      <c r="N833" s="4" t="str">
        <f>VLOOKUP(M833,'Products (2)'!A:G,2,0)</f>
        <v>Arabica</v>
      </c>
      <c r="O833" s="4" t="str">
        <f>VLOOKUP(M833,'Products (2)'!A:G,3,0)</f>
        <v>Dark</v>
      </c>
      <c r="P833" s="4">
        <f>VLOOKUP(M833,'Products (2)'!A:G,7,0)</f>
        <v>0.26865</v>
      </c>
      <c r="Q833" s="3">
        <v>2</v>
      </c>
      <c r="R833" s="5">
        <f>INDEX([1]products!$A$1:$G$49,MATCH([1]orders!$D833,[1]products!$A$1:$A$49,0),MATCH([1]orders!K$1,[1]products!$A$1:$G$1,0))</f>
        <v>0.2</v>
      </c>
      <c r="S833" s="6">
        <f>INDEX([1]products!$A$1:$G$49,MATCH([1]orders!$D833,[1]products!$A$1:$A$49,0),MATCH([1]orders!L$1,[1]products!$A$1:$G$1,0))</f>
        <v>2.9849999999999999</v>
      </c>
      <c r="T833" s="6">
        <f t="shared" si="72"/>
        <v>5.97</v>
      </c>
      <c r="U833" s="22">
        <f t="shared" si="76"/>
        <v>0.5373</v>
      </c>
      <c r="V833" s="22">
        <f t="shared" si="77"/>
        <v>9.0000000000000018</v>
      </c>
    </row>
    <row r="834" spans="1:22" x14ac:dyDescent="0.3">
      <c r="A834" s="1" t="s">
        <v>1611</v>
      </c>
      <c r="B834" s="2">
        <v>44274</v>
      </c>
      <c r="C834" s="2" t="str">
        <f t="shared" si="73"/>
        <v>Friday</v>
      </c>
      <c r="D834" s="2" t="str">
        <f t="shared" si="74"/>
        <v>March</v>
      </c>
      <c r="E834" s="2" t="str">
        <f t="shared" si="75"/>
        <v>2021</v>
      </c>
      <c r="F834" s="3" t="s">
        <v>1612</v>
      </c>
      <c r="G834" s="3" t="str">
        <f>VLOOKUP(F835,'Customers (2)'!A:I,2,0)</f>
        <v>Lenette Dwerryhouse</v>
      </c>
      <c r="H834" s="3" t="str">
        <f>VLOOKUP(F834,'Customers (2)'!A:I,3,0)</f>
        <v>ijespern4@theglobeandmail.com</v>
      </c>
      <c r="I834" s="3" t="str">
        <f>VLOOKUP(F834,'Customers (2)'!A:I,4,0)</f>
        <v>+1 (239) 918-0943</v>
      </c>
      <c r="J834" s="3" t="str">
        <f>VLOOKUP(F834,'Customers (2)'!A:I,6,0)</f>
        <v>Naples</v>
      </c>
      <c r="K834" s="3" t="str">
        <f>VLOOKUP(F834,'Customers (2)'!A:I,7,0)</f>
        <v>United States</v>
      </c>
      <c r="L834" s="3" t="str">
        <f>VLOOKUP(F834,'Customers (2)'!A:I,9,0)</f>
        <v>No</v>
      </c>
      <c r="M834" s="4" t="s">
        <v>2</v>
      </c>
      <c r="N834" s="4" t="str">
        <f>VLOOKUP(M834,'Products (2)'!A:G,2,0)</f>
        <v>Robusta</v>
      </c>
      <c r="O834" s="4" t="str">
        <f>VLOOKUP(M834,'Products (2)'!A:G,3,0)</f>
        <v>Medium</v>
      </c>
      <c r="P834" s="4">
        <f>VLOOKUP(M834,'Products (2)'!A:G,7,0)</f>
        <v>0.59699999999999998</v>
      </c>
      <c r="Q834" s="3">
        <v>6</v>
      </c>
      <c r="R834" s="5">
        <f>INDEX([1]products!$A$1:$G$49,MATCH([1]orders!$D834,[1]products!$A$1:$A$49,0),MATCH([1]orders!K$1,[1]products!$A$1:$G$1,0))</f>
        <v>1</v>
      </c>
      <c r="S834" s="6">
        <f>INDEX([1]products!$A$1:$G$49,MATCH([1]orders!$D834,[1]products!$A$1:$A$49,0),MATCH([1]orders!L$1,[1]products!$A$1:$G$1,0))</f>
        <v>9.9499999999999993</v>
      </c>
      <c r="T834" s="6">
        <f t="shared" ref="T834:T897" si="78">Q834*S834</f>
        <v>59.699999999999996</v>
      </c>
      <c r="U834" s="22">
        <f t="shared" si="76"/>
        <v>3.5819999999999999</v>
      </c>
      <c r="V834" s="22">
        <f t="shared" si="77"/>
        <v>6.0000000000000009</v>
      </c>
    </row>
    <row r="835" spans="1:22" x14ac:dyDescent="0.3">
      <c r="A835" s="1" t="s">
        <v>1613</v>
      </c>
      <c r="B835" s="2">
        <v>44302</v>
      </c>
      <c r="C835" s="2" t="str">
        <f t="shared" ref="C835:C898" si="79">TEXT(B835,"dddd")</f>
        <v>Friday</v>
      </c>
      <c r="D835" s="2" t="str">
        <f t="shared" ref="D835:D898" si="80">TEXT(B835,"MMMM")</f>
        <v>April</v>
      </c>
      <c r="E835" s="2" t="str">
        <f t="shared" ref="E835:E898" si="81">TEXT(B835,"YYYY")</f>
        <v>2021</v>
      </c>
      <c r="F835" s="3" t="s">
        <v>1614</v>
      </c>
      <c r="G835" s="3" t="str">
        <f>VLOOKUP(F836,'Customers (2)'!A:I,2,0)</f>
        <v>Nadeen Broomer</v>
      </c>
      <c r="H835" s="3" t="str">
        <f>VLOOKUP(F835,'Customers (2)'!A:I,3,0)</f>
        <v>ldwerryhousen5@gravatar.com</v>
      </c>
      <c r="I835" s="3" t="str">
        <f>VLOOKUP(F835,'Customers (2)'!A:I,4,0)</f>
        <v>+1 (682) 812-1698</v>
      </c>
      <c r="J835" s="3" t="str">
        <f>VLOOKUP(F835,'Customers (2)'!A:I,6,0)</f>
        <v>Fort Worth</v>
      </c>
      <c r="K835" s="3" t="str">
        <f>VLOOKUP(F835,'Customers (2)'!A:I,7,0)</f>
        <v>United States</v>
      </c>
      <c r="L835" s="3" t="str">
        <f>VLOOKUP(F835,'Customers (2)'!A:I,9,0)</f>
        <v>Yes</v>
      </c>
      <c r="M835" s="4" t="s">
        <v>35</v>
      </c>
      <c r="N835" s="4" t="str">
        <f>VLOOKUP(M835,'Products (2)'!A:G,2,0)</f>
        <v>Robusta</v>
      </c>
      <c r="O835" s="4" t="str">
        <f>VLOOKUP(M835,'Products (2)'!A:G,3,0)</f>
        <v>Dark</v>
      </c>
      <c r="P835" s="4">
        <f>VLOOKUP(M835,'Products (2)'!A:G,7,0)</f>
        <v>1.2350999999999999</v>
      </c>
      <c r="Q835" s="3">
        <v>4</v>
      </c>
      <c r="R835" s="5">
        <f>INDEX([1]products!$A$1:$G$49,MATCH([1]orders!$D835,[1]products!$A$1:$A$49,0),MATCH([1]orders!K$1,[1]products!$A$1:$G$1,0))</f>
        <v>2.5</v>
      </c>
      <c r="S835" s="6">
        <f>INDEX([1]products!$A$1:$G$49,MATCH([1]orders!$D835,[1]products!$A$1:$A$49,0),MATCH([1]orders!L$1,[1]products!$A$1:$G$1,0))</f>
        <v>20.584999999999997</v>
      </c>
      <c r="T835" s="6">
        <f t="shared" si="78"/>
        <v>82.339999999999989</v>
      </c>
      <c r="U835" s="22">
        <f t="shared" ref="U835:U898" si="82">Q835*P835</f>
        <v>4.9403999999999995</v>
      </c>
      <c r="V835" s="22">
        <f t="shared" ref="V835:V898" si="83">U835/T835*100</f>
        <v>6.0000000000000009</v>
      </c>
    </row>
    <row r="836" spans="1:22" x14ac:dyDescent="0.3">
      <c r="A836" s="1" t="s">
        <v>1615</v>
      </c>
      <c r="B836" s="2">
        <v>44141</v>
      </c>
      <c r="C836" s="2" t="str">
        <f t="shared" si="79"/>
        <v>Friday</v>
      </c>
      <c r="D836" s="2" t="str">
        <f t="shared" si="80"/>
        <v>November</v>
      </c>
      <c r="E836" s="2" t="str">
        <f t="shared" si="81"/>
        <v>2020</v>
      </c>
      <c r="F836" s="3" t="s">
        <v>1616</v>
      </c>
      <c r="G836" s="3" t="str">
        <f>VLOOKUP(F837,'Customers (2)'!A:I,2,0)</f>
        <v>Konstantine Thoumasson</v>
      </c>
      <c r="H836" s="3" t="str">
        <f>VLOOKUP(F836,'Customers (2)'!A:I,3,0)</f>
        <v>nbroomern6@examiner.com</v>
      </c>
      <c r="I836" s="3" t="str">
        <f>VLOOKUP(F836,'Customers (2)'!A:I,4,0)</f>
        <v>+1 (402) 219-2018</v>
      </c>
      <c r="J836" s="3" t="str">
        <f>VLOOKUP(F836,'Customers (2)'!A:I,6,0)</f>
        <v>Omaha</v>
      </c>
      <c r="K836" s="3" t="str">
        <f>VLOOKUP(F836,'Customers (2)'!A:I,7,0)</f>
        <v>United States</v>
      </c>
      <c r="L836" s="3" t="str">
        <f>VLOOKUP(F836,'Customers (2)'!A:I,9,0)</f>
        <v>No</v>
      </c>
      <c r="M836" s="4" t="s">
        <v>118</v>
      </c>
      <c r="N836" s="4" t="str">
        <f>VLOOKUP(M836,'Products (2)'!A:G,2,0)</f>
        <v>Arabica</v>
      </c>
      <c r="O836" s="4" t="str">
        <f>VLOOKUP(M836,'Products (2)'!A:G,3,0)</f>
        <v>Dark</v>
      </c>
      <c r="P836" s="4">
        <f>VLOOKUP(M836,'Products (2)'!A:G,7,0)</f>
        <v>2.0596499999999995</v>
      </c>
      <c r="Q836" s="3">
        <v>1</v>
      </c>
      <c r="R836" s="5">
        <f>INDEX([1]products!$A$1:$G$49,MATCH([1]orders!$D836,[1]products!$A$1:$A$49,0),MATCH([1]orders!K$1,[1]products!$A$1:$G$1,0))</f>
        <v>2.5</v>
      </c>
      <c r="S836" s="6">
        <f>INDEX([1]products!$A$1:$G$49,MATCH([1]orders!$D836,[1]products!$A$1:$A$49,0),MATCH([1]orders!L$1,[1]products!$A$1:$G$1,0))</f>
        <v>22.884999999999998</v>
      </c>
      <c r="T836" s="6">
        <f t="shared" si="78"/>
        <v>22.884999999999998</v>
      </c>
      <c r="U836" s="22">
        <f t="shared" si="82"/>
        <v>2.0596499999999995</v>
      </c>
      <c r="V836" s="22">
        <f t="shared" si="83"/>
        <v>8.9999999999999982</v>
      </c>
    </row>
    <row r="837" spans="1:22" x14ac:dyDescent="0.3">
      <c r="A837" s="1" t="s">
        <v>1617</v>
      </c>
      <c r="B837" s="2">
        <v>44270</v>
      </c>
      <c r="C837" s="2" t="str">
        <f t="shared" si="79"/>
        <v>Monday</v>
      </c>
      <c r="D837" s="2" t="str">
        <f t="shared" si="80"/>
        <v>March</v>
      </c>
      <c r="E837" s="2" t="str">
        <f t="shared" si="81"/>
        <v>2021</v>
      </c>
      <c r="F837" s="3" t="s">
        <v>1618</v>
      </c>
      <c r="G837" s="3" t="str">
        <f>VLOOKUP(F838,'Customers (2)'!A:I,2,0)</f>
        <v>Frans Habbergham</v>
      </c>
      <c r="H837" s="3" t="str">
        <f>VLOOKUP(F837,'Customers (2)'!A:I,3,0)</f>
        <v>kthoumassonn7@bloglovin.com</v>
      </c>
      <c r="I837" s="3">
        <f>VLOOKUP(F837,'Customers (2)'!A:I,4,0)</f>
        <v>0</v>
      </c>
      <c r="J837" s="3" t="str">
        <f>VLOOKUP(F837,'Customers (2)'!A:I,6,0)</f>
        <v>Tucson</v>
      </c>
      <c r="K837" s="3" t="str">
        <f>VLOOKUP(F837,'Customers (2)'!A:I,7,0)</f>
        <v>United States</v>
      </c>
      <c r="L837" s="3" t="str">
        <f>VLOOKUP(F837,'Customers (2)'!A:I,9,0)</f>
        <v>Yes</v>
      </c>
      <c r="M837" s="4" t="s">
        <v>176</v>
      </c>
      <c r="N837" s="4" t="str">
        <f>VLOOKUP(M837,'Products (2)'!A:G,2,0)</f>
        <v>Excelsa</v>
      </c>
      <c r="O837" s="4" t="str">
        <f>VLOOKUP(M837,'Products (2)'!A:G,3,0)</f>
        <v>Light</v>
      </c>
      <c r="P837" s="4">
        <f>VLOOKUP(M837,'Products (2)'!A:G,7,0)</f>
        <v>0.98009999999999997</v>
      </c>
      <c r="Q837" s="3">
        <v>1</v>
      </c>
      <c r="R837" s="5">
        <f>INDEX([1]products!$A$1:$G$49,MATCH([1]orders!$D837,[1]products!$A$1:$A$49,0),MATCH([1]orders!K$1,[1]products!$A$1:$G$1,0))</f>
        <v>0.5</v>
      </c>
      <c r="S837" s="6">
        <f>INDEX([1]products!$A$1:$G$49,MATCH([1]orders!$D837,[1]products!$A$1:$A$49,0),MATCH([1]orders!L$1,[1]products!$A$1:$G$1,0))</f>
        <v>8.91</v>
      </c>
      <c r="T837" s="6">
        <f t="shared" si="78"/>
        <v>8.91</v>
      </c>
      <c r="U837" s="22">
        <f t="shared" si="82"/>
        <v>0.98009999999999997</v>
      </c>
      <c r="V837" s="22">
        <f t="shared" si="83"/>
        <v>11</v>
      </c>
    </row>
    <row r="838" spans="1:22" x14ac:dyDescent="0.3">
      <c r="A838" s="1" t="s">
        <v>1619</v>
      </c>
      <c r="B838" s="2">
        <v>44486</v>
      </c>
      <c r="C838" s="2" t="str">
        <f t="shared" si="79"/>
        <v>Sunday</v>
      </c>
      <c r="D838" s="2" t="str">
        <f t="shared" si="80"/>
        <v>October</v>
      </c>
      <c r="E838" s="2" t="str">
        <f t="shared" si="81"/>
        <v>2021</v>
      </c>
      <c r="F838" s="3" t="s">
        <v>1620</v>
      </c>
      <c r="G838" s="3" t="str">
        <f>VLOOKUP(F839,'Customers (2)'!A:I,2,0)</f>
        <v>Allis Wilmore</v>
      </c>
      <c r="H838" s="3" t="str">
        <f>VLOOKUP(F838,'Customers (2)'!A:I,3,0)</f>
        <v>fhabberghamn8@discovery.com</v>
      </c>
      <c r="I838" s="3" t="str">
        <f>VLOOKUP(F838,'Customers (2)'!A:I,4,0)</f>
        <v>+1 (775) 814-9362</v>
      </c>
      <c r="J838" s="3" t="str">
        <f>VLOOKUP(F838,'Customers (2)'!A:I,6,0)</f>
        <v>Sparks</v>
      </c>
      <c r="K838" s="3" t="str">
        <f>VLOOKUP(F838,'Customers (2)'!A:I,7,0)</f>
        <v>United States</v>
      </c>
      <c r="L838" s="3" t="str">
        <f>VLOOKUP(F838,'Customers (2)'!A:I,9,0)</f>
        <v>No</v>
      </c>
      <c r="M838" s="4" t="s">
        <v>54</v>
      </c>
      <c r="N838" s="4" t="str">
        <f>VLOOKUP(M838,'Products (2)'!A:G,2,0)</f>
        <v>Arabica</v>
      </c>
      <c r="O838" s="4" t="str">
        <f>VLOOKUP(M838,'Products (2)'!A:G,3,0)</f>
        <v>Dark</v>
      </c>
      <c r="P838" s="4">
        <f>VLOOKUP(M838,'Products (2)'!A:G,7,0)</f>
        <v>0.26865</v>
      </c>
      <c r="Q838" s="3">
        <v>4</v>
      </c>
      <c r="R838" s="5">
        <f>INDEX([1]products!$A$1:$G$49,MATCH([1]orders!$D838,[1]products!$A$1:$A$49,0),MATCH([1]orders!K$1,[1]products!$A$1:$G$1,0))</f>
        <v>0.2</v>
      </c>
      <c r="S838" s="6">
        <f>INDEX([1]products!$A$1:$G$49,MATCH([1]orders!$D838,[1]products!$A$1:$A$49,0),MATCH([1]orders!L$1,[1]products!$A$1:$G$1,0))</f>
        <v>2.9849999999999999</v>
      </c>
      <c r="T838" s="6">
        <f t="shared" si="78"/>
        <v>11.94</v>
      </c>
      <c r="U838" s="22">
        <f t="shared" si="82"/>
        <v>1.0746</v>
      </c>
      <c r="V838" s="22">
        <f t="shared" si="83"/>
        <v>9.0000000000000018</v>
      </c>
    </row>
    <row r="839" spans="1:22" x14ac:dyDescent="0.3">
      <c r="A839" s="1" t="s">
        <v>1621</v>
      </c>
      <c r="B839" s="2">
        <v>43715</v>
      </c>
      <c r="C839" s="2" t="str">
        <f t="shared" si="79"/>
        <v>Saturday</v>
      </c>
      <c r="D839" s="2" t="str">
        <f t="shared" si="80"/>
        <v>September</v>
      </c>
      <c r="E839" s="2" t="str">
        <f t="shared" si="81"/>
        <v>2019</v>
      </c>
      <c r="F839" s="3" t="s">
        <v>1569</v>
      </c>
      <c r="G839" s="3" t="str">
        <f>VLOOKUP(F840,'Customers (2)'!A:I,2,0)</f>
        <v>Romain Avrashin</v>
      </c>
      <c r="H839" s="3">
        <f>VLOOKUP(F839,'Customers (2)'!A:I,3,0)</f>
        <v>0</v>
      </c>
      <c r="I839" s="3" t="str">
        <f>VLOOKUP(F839,'Customers (2)'!A:I,4,0)</f>
        <v>+1 (713) 984-5207</v>
      </c>
      <c r="J839" s="3" t="str">
        <f>VLOOKUP(F839,'Customers (2)'!A:I,6,0)</f>
        <v>Houston</v>
      </c>
      <c r="K839" s="3" t="str">
        <f>VLOOKUP(F839,'Customers (2)'!A:I,7,0)</f>
        <v>United States</v>
      </c>
      <c r="L839" s="3" t="str">
        <f>VLOOKUP(F839,'Customers (2)'!A:I,9,0)</f>
        <v>No</v>
      </c>
      <c r="M839" s="4" t="s">
        <v>197</v>
      </c>
      <c r="N839" s="4" t="str">
        <f>VLOOKUP(M839,'Products (2)'!A:G,2,0)</f>
        <v>Liberica</v>
      </c>
      <c r="O839" s="4" t="str">
        <f>VLOOKUP(M839,'Products (2)'!A:G,3,0)</f>
        <v>Medium</v>
      </c>
      <c r="P839" s="4">
        <f>VLOOKUP(M839,'Products (2)'!A:G,7,0)</f>
        <v>4.3504499999999995</v>
      </c>
      <c r="Q839" s="3">
        <v>3</v>
      </c>
      <c r="R839" s="5">
        <f>INDEX([1]products!$A$1:$G$49,MATCH([1]orders!$D839,[1]products!$A$1:$A$49,0),MATCH([1]orders!K$1,[1]products!$A$1:$G$1,0))</f>
        <v>2.5</v>
      </c>
      <c r="S839" s="6">
        <f>INDEX([1]products!$A$1:$G$49,MATCH([1]orders!$D839,[1]products!$A$1:$A$49,0),MATCH([1]orders!L$1,[1]products!$A$1:$G$1,0))</f>
        <v>33.464999999999996</v>
      </c>
      <c r="T839" s="6">
        <f t="shared" si="78"/>
        <v>100.39499999999998</v>
      </c>
      <c r="U839" s="22">
        <f t="shared" si="82"/>
        <v>13.051349999999999</v>
      </c>
      <c r="V839" s="22">
        <f t="shared" si="83"/>
        <v>13</v>
      </c>
    </row>
    <row r="840" spans="1:22" x14ac:dyDescent="0.3">
      <c r="A840" s="1" t="s">
        <v>1622</v>
      </c>
      <c r="B840" s="2">
        <v>44755</v>
      </c>
      <c r="C840" s="2" t="str">
        <f t="shared" si="79"/>
        <v>Wednesday</v>
      </c>
      <c r="D840" s="2" t="str">
        <f t="shared" si="80"/>
        <v>July</v>
      </c>
      <c r="E840" s="2" t="str">
        <f t="shared" si="81"/>
        <v>2022</v>
      </c>
      <c r="F840" s="3" t="s">
        <v>1623</v>
      </c>
      <c r="G840" s="3" t="str">
        <f>VLOOKUP(F841,'Customers (2)'!A:I,2,0)</f>
        <v>Miran Doidge</v>
      </c>
      <c r="H840" s="3" t="str">
        <f>VLOOKUP(F840,'Customers (2)'!A:I,3,0)</f>
        <v>ravrashinna@tamu.edu</v>
      </c>
      <c r="I840" s="3" t="str">
        <f>VLOOKUP(F840,'Customers (2)'!A:I,4,0)</f>
        <v>+1 (202) 973-9890</v>
      </c>
      <c r="J840" s="3" t="str">
        <f>VLOOKUP(F840,'Customers (2)'!A:I,6,0)</f>
        <v>Washington</v>
      </c>
      <c r="K840" s="3" t="str">
        <f>VLOOKUP(F840,'Customers (2)'!A:I,7,0)</f>
        <v>United States</v>
      </c>
      <c r="L840" s="3" t="str">
        <f>VLOOKUP(F840,'Customers (2)'!A:I,9,0)</f>
        <v>No</v>
      </c>
      <c r="M840" s="4" t="s">
        <v>118</v>
      </c>
      <c r="N840" s="4" t="str">
        <f>VLOOKUP(M840,'Products (2)'!A:G,2,0)</f>
        <v>Arabica</v>
      </c>
      <c r="O840" s="4" t="str">
        <f>VLOOKUP(M840,'Products (2)'!A:G,3,0)</f>
        <v>Dark</v>
      </c>
      <c r="P840" s="4">
        <f>VLOOKUP(M840,'Products (2)'!A:G,7,0)</f>
        <v>2.0596499999999995</v>
      </c>
      <c r="Q840" s="3">
        <v>5</v>
      </c>
      <c r="R840" s="5">
        <f>INDEX([1]products!$A$1:$G$49,MATCH([1]orders!$D840,[1]products!$A$1:$A$49,0),MATCH([1]orders!K$1,[1]products!$A$1:$G$1,0))</f>
        <v>2.5</v>
      </c>
      <c r="S840" s="6">
        <f>INDEX([1]products!$A$1:$G$49,MATCH([1]orders!$D840,[1]products!$A$1:$A$49,0),MATCH([1]orders!L$1,[1]products!$A$1:$G$1,0))</f>
        <v>22.884999999999998</v>
      </c>
      <c r="T840" s="6">
        <f t="shared" si="78"/>
        <v>114.42499999999998</v>
      </c>
      <c r="U840" s="22">
        <f t="shared" si="82"/>
        <v>10.298249999999998</v>
      </c>
      <c r="V840" s="22">
        <f t="shared" si="83"/>
        <v>9</v>
      </c>
    </row>
    <row r="841" spans="1:22" x14ac:dyDescent="0.3">
      <c r="A841" s="1" t="s">
        <v>1624</v>
      </c>
      <c r="B841" s="2">
        <v>44521</v>
      </c>
      <c r="C841" s="2" t="str">
        <f t="shared" si="79"/>
        <v>Sunday</v>
      </c>
      <c r="D841" s="2" t="str">
        <f t="shared" si="80"/>
        <v>November</v>
      </c>
      <c r="E841" s="2" t="str">
        <f t="shared" si="81"/>
        <v>2021</v>
      </c>
      <c r="F841" s="3" t="s">
        <v>1625</v>
      </c>
      <c r="G841" s="3" t="str">
        <f>VLOOKUP(F842,'Customers (2)'!A:I,2,0)</f>
        <v>Janeva Edinboro</v>
      </c>
      <c r="H841" s="3" t="str">
        <f>VLOOKUP(F841,'Customers (2)'!A:I,3,0)</f>
        <v>mdoidgenb@etsy.com</v>
      </c>
      <c r="I841" s="3" t="str">
        <f>VLOOKUP(F841,'Customers (2)'!A:I,4,0)</f>
        <v>+1 (831) 955-4716</v>
      </c>
      <c r="J841" s="3" t="str">
        <f>VLOOKUP(F841,'Customers (2)'!A:I,6,0)</f>
        <v>Salinas</v>
      </c>
      <c r="K841" s="3" t="str">
        <f>VLOOKUP(F841,'Customers (2)'!A:I,7,0)</f>
        <v>United States</v>
      </c>
      <c r="L841" s="3" t="str">
        <f>VLOOKUP(F841,'Customers (2)'!A:I,9,0)</f>
        <v>No</v>
      </c>
      <c r="M841" s="4" t="s">
        <v>3</v>
      </c>
      <c r="N841" s="4" t="str">
        <f>VLOOKUP(M841,'Products (2)'!A:G,2,0)</f>
        <v>Excelsa</v>
      </c>
      <c r="O841" s="4" t="str">
        <f>VLOOKUP(M841,'Products (2)'!A:G,3,0)</f>
        <v>Medium</v>
      </c>
      <c r="P841" s="4">
        <f>VLOOKUP(M841,'Products (2)'!A:G,7,0)</f>
        <v>0.90749999999999997</v>
      </c>
      <c r="Q841" s="3">
        <v>5</v>
      </c>
      <c r="R841" s="5">
        <f>INDEX([1]products!$A$1:$G$49,MATCH([1]orders!$D841,[1]products!$A$1:$A$49,0),MATCH([1]orders!K$1,[1]products!$A$1:$G$1,0))</f>
        <v>0.5</v>
      </c>
      <c r="S841" s="6">
        <f>INDEX([1]products!$A$1:$G$49,MATCH([1]orders!$D841,[1]products!$A$1:$A$49,0),MATCH([1]orders!L$1,[1]products!$A$1:$G$1,0))</f>
        <v>8.25</v>
      </c>
      <c r="T841" s="6">
        <f t="shared" si="78"/>
        <v>41.25</v>
      </c>
      <c r="U841" s="22">
        <f t="shared" si="82"/>
        <v>4.5374999999999996</v>
      </c>
      <c r="V841" s="22">
        <f t="shared" si="83"/>
        <v>10.999999999999998</v>
      </c>
    </row>
    <row r="842" spans="1:22" x14ac:dyDescent="0.3">
      <c r="A842" s="1" t="s">
        <v>1626</v>
      </c>
      <c r="B842" s="2">
        <v>44574</v>
      </c>
      <c r="C842" s="2" t="str">
        <f t="shared" si="79"/>
        <v>Thursday</v>
      </c>
      <c r="D842" s="2" t="str">
        <f t="shared" si="80"/>
        <v>January</v>
      </c>
      <c r="E842" s="2" t="str">
        <f t="shared" si="81"/>
        <v>2022</v>
      </c>
      <c r="F842" s="3" t="s">
        <v>1627</v>
      </c>
      <c r="G842" s="3" t="str">
        <f>VLOOKUP(F843,'Customers (2)'!A:I,2,0)</f>
        <v>Trumaine Tewelson</v>
      </c>
      <c r="H842" s="3" t="str">
        <f>VLOOKUP(F842,'Customers (2)'!A:I,3,0)</f>
        <v>jedinboronc@reverbnation.com</v>
      </c>
      <c r="I842" s="3" t="str">
        <f>VLOOKUP(F842,'Customers (2)'!A:I,4,0)</f>
        <v>+1 (754) 219-4187</v>
      </c>
      <c r="J842" s="3" t="str">
        <f>VLOOKUP(F842,'Customers (2)'!A:I,6,0)</f>
        <v>Fort Lauderdale</v>
      </c>
      <c r="K842" s="3" t="str">
        <f>VLOOKUP(F842,'Customers (2)'!A:I,7,0)</f>
        <v>United States</v>
      </c>
      <c r="L842" s="3" t="str">
        <f>VLOOKUP(F842,'Customers (2)'!A:I,9,0)</f>
        <v>Yes</v>
      </c>
      <c r="M842" s="4" t="s">
        <v>157</v>
      </c>
      <c r="N842" s="4" t="str">
        <f>VLOOKUP(M842,'Products (2)'!A:G,2,0)</f>
        <v>Robusta</v>
      </c>
      <c r="O842" s="4" t="str">
        <f>VLOOKUP(M842,'Products (2)'!A:G,3,0)</f>
        <v>Light</v>
      </c>
      <c r="P842" s="4">
        <f>VLOOKUP(M842,'Products (2)'!A:G,7,0)</f>
        <v>0.43019999999999992</v>
      </c>
      <c r="Q842" s="3">
        <v>4</v>
      </c>
      <c r="R842" s="5">
        <f>INDEX([1]products!$A$1:$G$49,MATCH([1]orders!$D842,[1]products!$A$1:$A$49,0),MATCH([1]orders!K$1,[1]products!$A$1:$G$1,0))</f>
        <v>0.5</v>
      </c>
      <c r="S842" s="6">
        <f>INDEX([1]products!$A$1:$G$49,MATCH([1]orders!$D842,[1]products!$A$1:$A$49,0),MATCH([1]orders!L$1,[1]products!$A$1:$G$1,0))</f>
        <v>7.169999999999999</v>
      </c>
      <c r="T842" s="6">
        <f t="shared" si="78"/>
        <v>28.679999999999996</v>
      </c>
      <c r="U842" s="22">
        <f t="shared" si="82"/>
        <v>1.7207999999999997</v>
      </c>
      <c r="V842" s="22">
        <f t="shared" si="83"/>
        <v>6</v>
      </c>
    </row>
    <row r="843" spans="1:22" x14ac:dyDescent="0.3">
      <c r="A843" s="1" t="s">
        <v>1628</v>
      </c>
      <c r="B843" s="2">
        <v>44755</v>
      </c>
      <c r="C843" s="2" t="str">
        <f t="shared" si="79"/>
        <v>Wednesday</v>
      </c>
      <c r="D843" s="2" t="str">
        <f t="shared" si="80"/>
        <v>July</v>
      </c>
      <c r="E843" s="2" t="str">
        <f t="shared" si="81"/>
        <v>2022</v>
      </c>
      <c r="F843" s="3" t="s">
        <v>1629</v>
      </c>
      <c r="G843" s="3" t="str">
        <f>VLOOKUP(F844,'Customers (2)'!A:I,2,0)</f>
        <v>Odelia Skerme</v>
      </c>
      <c r="H843" s="3" t="str">
        <f>VLOOKUP(F843,'Customers (2)'!A:I,3,0)</f>
        <v>ttewelsonnd@cdbaby.com</v>
      </c>
      <c r="I843" s="3">
        <f>VLOOKUP(F843,'Customers (2)'!A:I,4,0)</f>
        <v>0</v>
      </c>
      <c r="J843" s="3" t="str">
        <f>VLOOKUP(F843,'Customers (2)'!A:I,6,0)</f>
        <v>El Paso</v>
      </c>
      <c r="K843" s="3" t="str">
        <f>VLOOKUP(F843,'Customers (2)'!A:I,7,0)</f>
        <v>United States</v>
      </c>
      <c r="L843" s="3" t="str">
        <f>VLOOKUP(F843,'Customers (2)'!A:I,9,0)</f>
        <v>No</v>
      </c>
      <c r="M843" s="4" t="s">
        <v>77</v>
      </c>
      <c r="N843" s="4" t="str">
        <f>VLOOKUP(M843,'Products (2)'!A:G,2,0)</f>
        <v>Liberica</v>
      </c>
      <c r="O843" s="4" t="str">
        <f>VLOOKUP(M843,'Products (2)'!A:G,3,0)</f>
        <v>Medium</v>
      </c>
      <c r="P843" s="4">
        <f>VLOOKUP(M843,'Products (2)'!A:G,7,0)</f>
        <v>0.56745000000000001</v>
      </c>
      <c r="Q843" s="3">
        <v>1</v>
      </c>
      <c r="R843" s="5">
        <f>INDEX([1]products!$A$1:$G$49,MATCH([1]orders!$D843,[1]products!$A$1:$A$49,0),MATCH([1]orders!K$1,[1]products!$A$1:$G$1,0))</f>
        <v>0.2</v>
      </c>
      <c r="S843" s="6">
        <f>INDEX([1]products!$A$1:$G$49,MATCH([1]orders!$D843,[1]products!$A$1:$A$49,0),MATCH([1]orders!L$1,[1]products!$A$1:$G$1,0))</f>
        <v>4.3650000000000002</v>
      </c>
      <c r="T843" s="6">
        <f t="shared" si="78"/>
        <v>4.3650000000000002</v>
      </c>
      <c r="U843" s="22">
        <f t="shared" si="82"/>
        <v>0.56745000000000001</v>
      </c>
      <c r="V843" s="22">
        <f t="shared" si="83"/>
        <v>13</v>
      </c>
    </row>
    <row r="844" spans="1:22" x14ac:dyDescent="0.3">
      <c r="A844" s="1" t="s">
        <v>1630</v>
      </c>
      <c r="B844" s="2">
        <v>44502</v>
      </c>
      <c r="C844" s="2" t="str">
        <f t="shared" si="79"/>
        <v>Tuesday</v>
      </c>
      <c r="D844" s="2" t="str">
        <f t="shared" si="80"/>
        <v>November</v>
      </c>
      <c r="E844" s="2" t="str">
        <f t="shared" si="81"/>
        <v>2021</v>
      </c>
      <c r="F844" s="3" t="s">
        <v>1600</v>
      </c>
      <c r="G844" s="3" t="str">
        <f>VLOOKUP(F845,'Customers (2)'!A:I,2,0)</f>
        <v>De Drewitt</v>
      </c>
      <c r="H844" s="3" t="str">
        <f>VLOOKUP(F844,'Customers (2)'!A:I,3,0)</f>
        <v>oskermen3@hatena.ne.jp</v>
      </c>
      <c r="I844" s="3" t="str">
        <f>VLOOKUP(F844,'Customers (2)'!A:I,4,0)</f>
        <v>+1 (405) 615-0298</v>
      </c>
      <c r="J844" s="3" t="str">
        <f>VLOOKUP(F844,'Customers (2)'!A:I,6,0)</f>
        <v>Oklahoma City</v>
      </c>
      <c r="K844" s="3" t="str">
        <f>VLOOKUP(F844,'Customers (2)'!A:I,7,0)</f>
        <v>United States</v>
      </c>
      <c r="L844" s="3" t="str">
        <f>VLOOKUP(F844,'Customers (2)'!A:I,9,0)</f>
        <v>Yes</v>
      </c>
      <c r="M844" s="4" t="s">
        <v>64</v>
      </c>
      <c r="N844" s="4" t="str">
        <f>VLOOKUP(M844,'Products (2)'!A:G,2,0)</f>
        <v>Excelsa</v>
      </c>
      <c r="O844" s="4" t="str">
        <f>VLOOKUP(M844,'Products (2)'!A:G,3,0)</f>
        <v>Medium</v>
      </c>
      <c r="P844" s="4">
        <f>VLOOKUP(M844,'Products (2)'!A:G,7,0)</f>
        <v>0.45374999999999999</v>
      </c>
      <c r="Q844" s="3">
        <v>2</v>
      </c>
      <c r="R844" s="5">
        <f>INDEX([1]products!$A$1:$G$49,MATCH([1]orders!$D844,[1]products!$A$1:$A$49,0),MATCH([1]orders!K$1,[1]products!$A$1:$G$1,0))</f>
        <v>0.2</v>
      </c>
      <c r="S844" s="6">
        <f>INDEX([1]products!$A$1:$G$49,MATCH([1]orders!$D844,[1]products!$A$1:$A$49,0),MATCH([1]orders!L$1,[1]products!$A$1:$G$1,0))</f>
        <v>4.125</v>
      </c>
      <c r="T844" s="6">
        <f t="shared" si="78"/>
        <v>8.25</v>
      </c>
      <c r="U844" s="22">
        <f t="shared" si="82"/>
        <v>0.90749999999999997</v>
      </c>
      <c r="V844" s="22">
        <f t="shared" si="83"/>
        <v>11</v>
      </c>
    </row>
    <row r="845" spans="1:22" x14ac:dyDescent="0.3">
      <c r="A845" s="1" t="s">
        <v>1631</v>
      </c>
      <c r="B845" s="2">
        <v>44387</v>
      </c>
      <c r="C845" s="2" t="str">
        <f t="shared" si="79"/>
        <v>Saturday</v>
      </c>
      <c r="D845" s="2" t="str">
        <f t="shared" si="80"/>
        <v>July</v>
      </c>
      <c r="E845" s="2" t="str">
        <f t="shared" si="81"/>
        <v>2021</v>
      </c>
      <c r="F845" s="3" t="s">
        <v>1632</v>
      </c>
      <c r="G845" s="3" t="str">
        <f>VLOOKUP(F846,'Customers (2)'!A:I,2,0)</f>
        <v>Adelheid Gladhill</v>
      </c>
      <c r="H845" s="3" t="str">
        <f>VLOOKUP(F845,'Customers (2)'!A:I,3,0)</f>
        <v>ddrewittnf@mapquest.com</v>
      </c>
      <c r="I845" s="3" t="str">
        <f>VLOOKUP(F845,'Customers (2)'!A:I,4,0)</f>
        <v>+1 (571) 504-1175</v>
      </c>
      <c r="J845" s="3" t="str">
        <f>VLOOKUP(F845,'Customers (2)'!A:I,6,0)</f>
        <v>Alexandria</v>
      </c>
      <c r="K845" s="3" t="str">
        <f>VLOOKUP(F845,'Customers (2)'!A:I,7,0)</f>
        <v>United States</v>
      </c>
      <c r="L845" s="3" t="str">
        <f>VLOOKUP(F845,'Customers (2)'!A:I,9,0)</f>
        <v>Yes</v>
      </c>
      <c r="M845" s="4" t="s">
        <v>64</v>
      </c>
      <c r="N845" s="4" t="str">
        <f>VLOOKUP(M845,'Products (2)'!A:G,2,0)</f>
        <v>Excelsa</v>
      </c>
      <c r="O845" s="4" t="str">
        <f>VLOOKUP(M845,'Products (2)'!A:G,3,0)</f>
        <v>Medium</v>
      </c>
      <c r="P845" s="4">
        <f>VLOOKUP(M845,'Products (2)'!A:G,7,0)</f>
        <v>0.45374999999999999</v>
      </c>
      <c r="Q845" s="3">
        <v>2</v>
      </c>
      <c r="R845" s="5">
        <f>INDEX([1]products!$A$1:$G$49,MATCH([1]orders!$D845,[1]products!$A$1:$A$49,0),MATCH([1]orders!K$1,[1]products!$A$1:$G$1,0))</f>
        <v>0.2</v>
      </c>
      <c r="S845" s="6">
        <f>INDEX([1]products!$A$1:$G$49,MATCH([1]orders!$D845,[1]products!$A$1:$A$49,0),MATCH([1]orders!L$1,[1]products!$A$1:$G$1,0))</f>
        <v>4.125</v>
      </c>
      <c r="T845" s="6">
        <f t="shared" si="78"/>
        <v>8.25</v>
      </c>
      <c r="U845" s="22">
        <f t="shared" si="82"/>
        <v>0.90749999999999997</v>
      </c>
      <c r="V845" s="22">
        <f t="shared" si="83"/>
        <v>11</v>
      </c>
    </row>
    <row r="846" spans="1:22" x14ac:dyDescent="0.3">
      <c r="A846" s="1" t="s">
        <v>1633</v>
      </c>
      <c r="B846" s="2">
        <v>44476</v>
      </c>
      <c r="C846" s="2" t="str">
        <f t="shared" si="79"/>
        <v>Thursday</v>
      </c>
      <c r="D846" s="2" t="str">
        <f t="shared" si="80"/>
        <v>October</v>
      </c>
      <c r="E846" s="2" t="str">
        <f t="shared" si="81"/>
        <v>2021</v>
      </c>
      <c r="F846" s="3" t="s">
        <v>1634</v>
      </c>
      <c r="G846" s="3" t="str">
        <f>VLOOKUP(F847,'Customers (2)'!A:I,2,0)</f>
        <v>Murielle Lorinez</v>
      </c>
      <c r="H846" s="3" t="str">
        <f>VLOOKUP(F846,'Customers (2)'!A:I,3,0)</f>
        <v>agladhillng@stanford.edu</v>
      </c>
      <c r="I846" s="3" t="str">
        <f>VLOOKUP(F846,'Customers (2)'!A:I,4,0)</f>
        <v>+1 (410) 991-5601</v>
      </c>
      <c r="J846" s="3" t="str">
        <f>VLOOKUP(F846,'Customers (2)'!A:I,6,0)</f>
        <v>Baltimore</v>
      </c>
      <c r="K846" s="3" t="str">
        <f>VLOOKUP(F846,'Customers (2)'!A:I,7,0)</f>
        <v>United States</v>
      </c>
      <c r="L846" s="3" t="str">
        <f>VLOOKUP(F846,'Customers (2)'!A:I,9,0)</f>
        <v>Yes</v>
      </c>
      <c r="M846" s="4" t="s">
        <v>72</v>
      </c>
      <c r="N846" s="4" t="str">
        <f>VLOOKUP(M846,'Products (2)'!A:G,2,0)</f>
        <v>Arabica</v>
      </c>
      <c r="O846" s="4" t="str">
        <f>VLOOKUP(M846,'Products (2)'!A:G,3,0)</f>
        <v>Dark</v>
      </c>
      <c r="P846" s="4">
        <f>VLOOKUP(M846,'Products (2)'!A:G,7,0)</f>
        <v>0.5373</v>
      </c>
      <c r="Q846" s="3">
        <v>6</v>
      </c>
      <c r="R846" s="5">
        <f>INDEX([1]products!$A$1:$G$49,MATCH([1]orders!$D846,[1]products!$A$1:$A$49,0),MATCH([1]orders!K$1,[1]products!$A$1:$G$1,0))</f>
        <v>0.5</v>
      </c>
      <c r="S846" s="6">
        <f>INDEX([1]products!$A$1:$G$49,MATCH([1]orders!$D846,[1]products!$A$1:$A$49,0),MATCH([1]orders!L$1,[1]products!$A$1:$G$1,0))</f>
        <v>5.97</v>
      </c>
      <c r="T846" s="6">
        <f t="shared" si="78"/>
        <v>35.82</v>
      </c>
      <c r="U846" s="22">
        <f t="shared" si="82"/>
        <v>3.2237999999999998</v>
      </c>
      <c r="V846" s="22">
        <f t="shared" si="83"/>
        <v>9</v>
      </c>
    </row>
    <row r="847" spans="1:22" x14ac:dyDescent="0.3">
      <c r="A847" s="1" t="s">
        <v>1635</v>
      </c>
      <c r="B847" s="2">
        <v>43889</v>
      </c>
      <c r="C847" s="2" t="str">
        <f t="shared" si="79"/>
        <v>Friday</v>
      </c>
      <c r="D847" s="2" t="str">
        <f t="shared" si="80"/>
        <v>February</v>
      </c>
      <c r="E847" s="2" t="str">
        <f t="shared" si="81"/>
        <v>2020</v>
      </c>
      <c r="F847" s="3" t="s">
        <v>1636</v>
      </c>
      <c r="G847" s="3" t="str">
        <f>VLOOKUP(F848,'Customers (2)'!A:I,2,0)</f>
        <v>Edin Mathe</v>
      </c>
      <c r="H847" s="3" t="str">
        <f>VLOOKUP(F847,'Customers (2)'!A:I,3,0)</f>
        <v>mlorineznh@whitehouse.gov</v>
      </c>
      <c r="I847" s="3">
        <f>VLOOKUP(F847,'Customers (2)'!A:I,4,0)</f>
        <v>0</v>
      </c>
      <c r="J847" s="3" t="str">
        <f>VLOOKUP(F847,'Customers (2)'!A:I,6,0)</f>
        <v>Evansville</v>
      </c>
      <c r="K847" s="3" t="str">
        <f>VLOOKUP(F847,'Customers (2)'!A:I,7,0)</f>
        <v>United States</v>
      </c>
      <c r="L847" s="3" t="str">
        <f>VLOOKUP(F847,'Customers (2)'!A:I,9,0)</f>
        <v>No</v>
      </c>
      <c r="M847" s="4" t="s">
        <v>530</v>
      </c>
      <c r="N847" s="4" t="str">
        <f>VLOOKUP(M847,'Products (2)'!A:G,2,0)</f>
        <v>Excelsa</v>
      </c>
      <c r="O847" s="4" t="str">
        <f>VLOOKUP(M847,'Products (2)'!A:G,3,0)</f>
        <v>Dark</v>
      </c>
      <c r="P847" s="4">
        <f>VLOOKUP(M847,'Products (2)'!A:G,7,0)</f>
        <v>3.07395</v>
      </c>
      <c r="Q847" s="3">
        <v>6</v>
      </c>
      <c r="R847" s="5">
        <f>INDEX([1]products!$A$1:$G$49,MATCH([1]orders!$D847,[1]products!$A$1:$A$49,0),MATCH([1]orders!K$1,[1]products!$A$1:$G$1,0))</f>
        <v>2.5</v>
      </c>
      <c r="S847" s="6">
        <f>INDEX([1]products!$A$1:$G$49,MATCH([1]orders!$D847,[1]products!$A$1:$A$49,0),MATCH([1]orders!L$1,[1]products!$A$1:$G$1,0))</f>
        <v>27.945</v>
      </c>
      <c r="T847" s="6">
        <f t="shared" si="78"/>
        <v>167.67000000000002</v>
      </c>
      <c r="U847" s="22">
        <f t="shared" si="82"/>
        <v>18.4437</v>
      </c>
      <c r="V847" s="22">
        <f t="shared" si="83"/>
        <v>10.999999999999998</v>
      </c>
    </row>
    <row r="848" spans="1:22" x14ac:dyDescent="0.3">
      <c r="A848" s="1" t="s">
        <v>1637</v>
      </c>
      <c r="B848" s="2">
        <v>44747</v>
      </c>
      <c r="C848" s="2" t="str">
        <f t="shared" si="79"/>
        <v>Tuesday</v>
      </c>
      <c r="D848" s="2" t="str">
        <f t="shared" si="80"/>
        <v>July</v>
      </c>
      <c r="E848" s="2" t="str">
        <f t="shared" si="81"/>
        <v>2022</v>
      </c>
      <c r="F848" s="3" t="s">
        <v>1638</v>
      </c>
      <c r="G848" s="3" t="str">
        <f>VLOOKUP(F849,'Customers (2)'!A:I,2,0)</f>
        <v>Mordy Van Der Vlies</v>
      </c>
      <c r="H848" s="3">
        <f>VLOOKUP(F848,'Customers (2)'!A:I,3,0)</f>
        <v>0</v>
      </c>
      <c r="I848" s="3" t="str">
        <f>VLOOKUP(F848,'Customers (2)'!A:I,4,0)</f>
        <v>+1 (404) 514-8311</v>
      </c>
      <c r="J848" s="3" t="str">
        <f>VLOOKUP(F848,'Customers (2)'!A:I,6,0)</f>
        <v>Lawrenceville</v>
      </c>
      <c r="K848" s="3" t="str">
        <f>VLOOKUP(F848,'Customers (2)'!A:I,7,0)</f>
        <v>United States</v>
      </c>
      <c r="L848" s="3" t="str">
        <f>VLOOKUP(F848,'Customers (2)'!A:I,9,0)</f>
        <v>Yes</v>
      </c>
      <c r="M848" s="4" t="s">
        <v>171</v>
      </c>
      <c r="N848" s="4" t="str">
        <f>VLOOKUP(M848,'Products (2)'!A:G,2,0)</f>
        <v>Arabica</v>
      </c>
      <c r="O848" s="4" t="str">
        <f>VLOOKUP(M848,'Products (2)'!A:G,3,0)</f>
        <v>Medium</v>
      </c>
      <c r="P848" s="4">
        <f>VLOOKUP(M848,'Products (2)'!A:G,7,0)</f>
        <v>2.3287499999999994</v>
      </c>
      <c r="Q848" s="3">
        <v>2</v>
      </c>
      <c r="R848" s="5">
        <f>INDEX([1]products!$A$1:$G$49,MATCH([1]orders!$D848,[1]products!$A$1:$A$49,0),MATCH([1]orders!K$1,[1]products!$A$1:$G$1,0))</f>
        <v>2.5</v>
      </c>
      <c r="S848" s="6">
        <f>INDEX([1]products!$A$1:$G$49,MATCH([1]orders!$D848,[1]products!$A$1:$A$49,0),MATCH([1]orders!L$1,[1]products!$A$1:$G$1,0))</f>
        <v>25.874999999999996</v>
      </c>
      <c r="T848" s="6">
        <f t="shared" si="78"/>
        <v>51.749999999999993</v>
      </c>
      <c r="U848" s="22">
        <f t="shared" si="82"/>
        <v>4.6574999999999989</v>
      </c>
      <c r="V848" s="22">
        <f t="shared" si="83"/>
        <v>9</v>
      </c>
    </row>
    <row r="849" spans="1:22" x14ac:dyDescent="0.3">
      <c r="A849" s="1" t="s">
        <v>1639</v>
      </c>
      <c r="B849" s="2">
        <v>44460</v>
      </c>
      <c r="C849" s="2" t="str">
        <f t="shared" si="79"/>
        <v>Tuesday</v>
      </c>
      <c r="D849" s="2" t="str">
        <f t="shared" si="80"/>
        <v>September</v>
      </c>
      <c r="E849" s="2" t="str">
        <f t="shared" si="81"/>
        <v>2021</v>
      </c>
      <c r="F849" s="3" t="s">
        <v>1640</v>
      </c>
      <c r="G849" s="3" t="str">
        <f>VLOOKUP(F850,'Customers (2)'!A:I,2,0)</f>
        <v>Spencer Wastell</v>
      </c>
      <c r="H849" s="3" t="str">
        <f>VLOOKUP(F849,'Customers (2)'!A:I,3,0)</f>
        <v>mvannj@wikipedia.org</v>
      </c>
      <c r="I849" s="3">
        <f>VLOOKUP(F849,'Customers (2)'!A:I,4,0)</f>
        <v>0</v>
      </c>
      <c r="J849" s="3" t="str">
        <f>VLOOKUP(F849,'Customers (2)'!A:I,6,0)</f>
        <v>Mobile</v>
      </c>
      <c r="K849" s="3" t="str">
        <f>VLOOKUP(F849,'Customers (2)'!A:I,7,0)</f>
        <v>United States</v>
      </c>
      <c r="L849" s="3" t="str">
        <f>VLOOKUP(F849,'Customers (2)'!A:I,9,0)</f>
        <v>Yes</v>
      </c>
      <c r="M849" s="4" t="s">
        <v>54</v>
      </c>
      <c r="N849" s="4" t="str">
        <f>VLOOKUP(M849,'Products (2)'!A:G,2,0)</f>
        <v>Arabica</v>
      </c>
      <c r="O849" s="4" t="str">
        <f>VLOOKUP(M849,'Products (2)'!A:G,3,0)</f>
        <v>Dark</v>
      </c>
      <c r="P849" s="4">
        <f>VLOOKUP(M849,'Products (2)'!A:G,7,0)</f>
        <v>0.26865</v>
      </c>
      <c r="Q849" s="3">
        <v>3</v>
      </c>
      <c r="R849" s="5">
        <f>INDEX([1]products!$A$1:$G$49,MATCH([1]orders!$D849,[1]products!$A$1:$A$49,0),MATCH([1]orders!K$1,[1]products!$A$1:$G$1,0))</f>
        <v>0.2</v>
      </c>
      <c r="S849" s="6">
        <f>INDEX([1]products!$A$1:$G$49,MATCH([1]orders!$D849,[1]products!$A$1:$A$49,0),MATCH([1]orders!L$1,[1]products!$A$1:$G$1,0))</f>
        <v>2.9849999999999999</v>
      </c>
      <c r="T849" s="6">
        <f t="shared" si="78"/>
        <v>8.9550000000000001</v>
      </c>
      <c r="U849" s="22">
        <f t="shared" si="82"/>
        <v>0.80594999999999994</v>
      </c>
      <c r="V849" s="22">
        <f t="shared" si="83"/>
        <v>9</v>
      </c>
    </row>
    <row r="850" spans="1:22" x14ac:dyDescent="0.3">
      <c r="A850" s="1" t="s">
        <v>1641</v>
      </c>
      <c r="B850" s="2">
        <v>43468</v>
      </c>
      <c r="C850" s="2" t="str">
        <f t="shared" si="79"/>
        <v>Thursday</v>
      </c>
      <c r="D850" s="2" t="str">
        <f t="shared" si="80"/>
        <v>January</v>
      </c>
      <c r="E850" s="2" t="str">
        <f t="shared" si="81"/>
        <v>2019</v>
      </c>
      <c r="F850" s="3" t="s">
        <v>1642</v>
      </c>
      <c r="G850" s="3" t="str">
        <f>VLOOKUP(F851,'Customers (2)'!A:I,2,0)</f>
        <v>Jemimah Ethelston</v>
      </c>
      <c r="H850" s="3">
        <f>VLOOKUP(F850,'Customers (2)'!A:I,3,0)</f>
        <v>0</v>
      </c>
      <c r="I850" s="3" t="str">
        <f>VLOOKUP(F850,'Customers (2)'!A:I,4,0)</f>
        <v>+1 (432) 765-8747</v>
      </c>
      <c r="J850" s="3" t="str">
        <f>VLOOKUP(F850,'Customers (2)'!A:I,6,0)</f>
        <v>Midland</v>
      </c>
      <c r="K850" s="3" t="str">
        <f>VLOOKUP(F850,'Customers (2)'!A:I,7,0)</f>
        <v>United States</v>
      </c>
      <c r="L850" s="3" t="str">
        <f>VLOOKUP(F850,'Customers (2)'!A:I,9,0)</f>
        <v>No</v>
      </c>
      <c r="M850" s="4" t="s">
        <v>176</v>
      </c>
      <c r="N850" s="4" t="str">
        <f>VLOOKUP(M850,'Products (2)'!A:G,2,0)</f>
        <v>Excelsa</v>
      </c>
      <c r="O850" s="4" t="str">
        <f>VLOOKUP(M850,'Products (2)'!A:G,3,0)</f>
        <v>Light</v>
      </c>
      <c r="P850" s="4">
        <f>VLOOKUP(M850,'Products (2)'!A:G,7,0)</f>
        <v>0.98009999999999997</v>
      </c>
      <c r="Q850" s="3">
        <v>6</v>
      </c>
      <c r="R850" s="5">
        <f>INDEX([1]products!$A$1:$G$49,MATCH([1]orders!$D850,[1]products!$A$1:$A$49,0),MATCH([1]orders!K$1,[1]products!$A$1:$G$1,0))</f>
        <v>0.5</v>
      </c>
      <c r="S850" s="6">
        <f>INDEX([1]products!$A$1:$G$49,MATCH([1]orders!$D850,[1]products!$A$1:$A$49,0),MATCH([1]orders!L$1,[1]products!$A$1:$G$1,0))</f>
        <v>8.91</v>
      </c>
      <c r="T850" s="6">
        <f t="shared" si="78"/>
        <v>53.46</v>
      </c>
      <c r="U850" s="22">
        <f t="shared" si="82"/>
        <v>5.8805999999999994</v>
      </c>
      <c r="V850" s="22">
        <f t="shared" si="83"/>
        <v>10.999999999999998</v>
      </c>
    </row>
    <row r="851" spans="1:22" x14ac:dyDescent="0.3">
      <c r="A851" s="1" t="s">
        <v>1643</v>
      </c>
      <c r="B851" s="2">
        <v>44628</v>
      </c>
      <c r="C851" s="2" t="str">
        <f t="shared" si="79"/>
        <v>Tuesday</v>
      </c>
      <c r="D851" s="2" t="str">
        <f t="shared" si="80"/>
        <v>March</v>
      </c>
      <c r="E851" s="2" t="str">
        <f t="shared" si="81"/>
        <v>2022</v>
      </c>
      <c r="F851" s="3" t="s">
        <v>1644</v>
      </c>
      <c r="G851" s="3" t="str">
        <f>VLOOKUP(F852,'Customers (2)'!A:I,2,0)</f>
        <v>Jemimah Ethelston</v>
      </c>
      <c r="H851" s="3" t="str">
        <f>VLOOKUP(F851,'Customers (2)'!A:I,3,0)</f>
        <v>jethelstonnl@creativecommons.org</v>
      </c>
      <c r="I851" s="3" t="str">
        <f>VLOOKUP(F851,'Customers (2)'!A:I,4,0)</f>
        <v>+1 (954) 385-3551</v>
      </c>
      <c r="J851" s="3" t="str">
        <f>VLOOKUP(F851,'Customers (2)'!A:I,6,0)</f>
        <v>Hollywood</v>
      </c>
      <c r="K851" s="3" t="str">
        <f>VLOOKUP(F851,'Customers (2)'!A:I,7,0)</f>
        <v>United States</v>
      </c>
      <c r="L851" s="3" t="str">
        <f>VLOOKUP(F851,'Customers (2)'!A:I,9,0)</f>
        <v>Yes</v>
      </c>
      <c r="M851" s="4" t="s">
        <v>115</v>
      </c>
      <c r="N851" s="4" t="str">
        <f>VLOOKUP(M851,'Products (2)'!A:G,2,0)</f>
        <v>Arabica</v>
      </c>
      <c r="O851" s="4" t="str">
        <f>VLOOKUP(M851,'Products (2)'!A:G,3,0)</f>
        <v>Light</v>
      </c>
      <c r="P851" s="4">
        <f>VLOOKUP(M851,'Products (2)'!A:G,7,0)</f>
        <v>0.34964999999999996</v>
      </c>
      <c r="Q851" s="3">
        <v>6</v>
      </c>
      <c r="R851" s="5">
        <f>INDEX([1]products!$A$1:$G$49,MATCH([1]orders!$D851,[1]products!$A$1:$A$49,0),MATCH([1]orders!K$1,[1]products!$A$1:$G$1,0))</f>
        <v>0.2</v>
      </c>
      <c r="S851" s="6">
        <f>INDEX([1]products!$A$1:$G$49,MATCH([1]orders!$D851,[1]products!$A$1:$A$49,0),MATCH([1]orders!L$1,[1]products!$A$1:$G$1,0))</f>
        <v>3.8849999999999998</v>
      </c>
      <c r="T851" s="6">
        <f t="shared" si="78"/>
        <v>23.31</v>
      </c>
      <c r="U851" s="22">
        <f t="shared" si="82"/>
        <v>2.0978999999999997</v>
      </c>
      <c r="V851" s="22">
        <f t="shared" si="83"/>
        <v>9</v>
      </c>
    </row>
    <row r="852" spans="1:22" x14ac:dyDescent="0.3">
      <c r="A852" s="1" t="s">
        <v>1643</v>
      </c>
      <c r="B852" s="2">
        <v>44628</v>
      </c>
      <c r="C852" s="2" t="str">
        <f t="shared" si="79"/>
        <v>Tuesday</v>
      </c>
      <c r="D852" s="2" t="str">
        <f t="shared" si="80"/>
        <v>March</v>
      </c>
      <c r="E852" s="2" t="str">
        <f t="shared" si="81"/>
        <v>2022</v>
      </c>
      <c r="F852" s="3" t="s">
        <v>1644</v>
      </c>
      <c r="G852" s="3" t="str">
        <f>VLOOKUP(F853,'Customers (2)'!A:I,2,0)</f>
        <v>Perice Eberz</v>
      </c>
      <c r="H852" s="3" t="str">
        <f>VLOOKUP(F852,'Customers (2)'!A:I,3,0)</f>
        <v>jethelstonnl@creativecommons.org</v>
      </c>
      <c r="I852" s="3" t="str">
        <f>VLOOKUP(F852,'Customers (2)'!A:I,4,0)</f>
        <v>+1 (954) 385-3551</v>
      </c>
      <c r="J852" s="3" t="str">
        <f>VLOOKUP(F852,'Customers (2)'!A:I,6,0)</f>
        <v>Hollywood</v>
      </c>
      <c r="K852" s="3" t="str">
        <f>VLOOKUP(F852,'Customers (2)'!A:I,7,0)</f>
        <v>United States</v>
      </c>
      <c r="L852" s="3" t="str">
        <f>VLOOKUP(F852,'Customers (2)'!A:I,9,0)</f>
        <v>Yes</v>
      </c>
      <c r="M852" s="4" t="s">
        <v>44</v>
      </c>
      <c r="N852" s="4" t="str">
        <f>VLOOKUP(M852,'Products (2)'!A:G,2,0)</f>
        <v>Arabica</v>
      </c>
      <c r="O852" s="4" t="str">
        <f>VLOOKUP(M852,'Products (2)'!A:G,3,0)</f>
        <v>Medium</v>
      </c>
      <c r="P852" s="4">
        <f>VLOOKUP(M852,'Products (2)'!A:G,7,0)</f>
        <v>0.30374999999999996</v>
      </c>
      <c r="Q852" s="3">
        <v>2</v>
      </c>
      <c r="R852" s="5">
        <f>INDEX([1]products!$A$1:$G$49,MATCH([1]orders!$D852,[1]products!$A$1:$A$49,0),MATCH([1]orders!K$1,[1]products!$A$1:$G$1,0))</f>
        <v>0.2</v>
      </c>
      <c r="S852" s="6">
        <f>INDEX([1]products!$A$1:$G$49,MATCH([1]orders!$D852,[1]products!$A$1:$A$49,0),MATCH([1]orders!L$1,[1]products!$A$1:$G$1,0))</f>
        <v>3.375</v>
      </c>
      <c r="T852" s="6">
        <f t="shared" si="78"/>
        <v>6.75</v>
      </c>
      <c r="U852" s="22">
        <f t="shared" si="82"/>
        <v>0.60749999999999993</v>
      </c>
      <c r="V852" s="22">
        <f t="shared" si="83"/>
        <v>8.9999999999999982</v>
      </c>
    </row>
    <row r="853" spans="1:22" x14ac:dyDescent="0.3">
      <c r="A853" s="1" t="s">
        <v>1645</v>
      </c>
      <c r="B853" s="2">
        <v>43900</v>
      </c>
      <c r="C853" s="2" t="str">
        <f t="shared" si="79"/>
        <v>Tuesday</v>
      </c>
      <c r="D853" s="2" t="str">
        <f t="shared" si="80"/>
        <v>March</v>
      </c>
      <c r="E853" s="2" t="str">
        <f t="shared" si="81"/>
        <v>2020</v>
      </c>
      <c r="F853" s="3" t="s">
        <v>1646</v>
      </c>
      <c r="G853" s="3" t="str">
        <f>VLOOKUP(F854,'Customers (2)'!A:I,2,0)</f>
        <v>Bear Gaish</v>
      </c>
      <c r="H853" s="3" t="str">
        <f>VLOOKUP(F853,'Customers (2)'!A:I,3,0)</f>
        <v>peberznn@woothemes.com</v>
      </c>
      <c r="I853" s="3" t="str">
        <f>VLOOKUP(F853,'Customers (2)'!A:I,4,0)</f>
        <v>+1 (530) 938-1204</v>
      </c>
      <c r="J853" s="3" t="str">
        <f>VLOOKUP(F853,'Customers (2)'!A:I,6,0)</f>
        <v>Chico</v>
      </c>
      <c r="K853" s="3" t="str">
        <f>VLOOKUP(F853,'Customers (2)'!A:I,7,0)</f>
        <v>United States</v>
      </c>
      <c r="L853" s="3" t="str">
        <f>VLOOKUP(F853,'Customers (2)'!A:I,9,0)</f>
        <v>Yes</v>
      </c>
      <c r="M853" s="4" t="s">
        <v>123</v>
      </c>
      <c r="N853" s="4" t="str">
        <f>VLOOKUP(M853,'Products (2)'!A:G,2,0)</f>
        <v>Liberica</v>
      </c>
      <c r="O853" s="4" t="str">
        <f>VLOOKUP(M853,'Products (2)'!A:G,3,0)</f>
        <v>Dark</v>
      </c>
      <c r="P853" s="4">
        <f>VLOOKUP(M853,'Products (2)'!A:G,7,0)</f>
        <v>1.0101</v>
      </c>
      <c r="Q853" s="3">
        <v>1</v>
      </c>
      <c r="R853" s="5">
        <f>INDEX([1]products!$A$1:$G$49,MATCH([1]orders!$D853,[1]products!$A$1:$A$49,0),MATCH([1]orders!K$1,[1]products!$A$1:$G$1,0))</f>
        <v>0.5</v>
      </c>
      <c r="S853" s="6">
        <f>INDEX([1]products!$A$1:$G$49,MATCH([1]orders!$D853,[1]products!$A$1:$A$49,0),MATCH([1]orders!L$1,[1]products!$A$1:$G$1,0))</f>
        <v>7.77</v>
      </c>
      <c r="T853" s="6">
        <f t="shared" si="78"/>
        <v>7.77</v>
      </c>
      <c r="U853" s="22">
        <f t="shared" si="82"/>
        <v>1.0101</v>
      </c>
      <c r="V853" s="22">
        <f t="shared" si="83"/>
        <v>13</v>
      </c>
    </row>
    <row r="854" spans="1:22" x14ac:dyDescent="0.3">
      <c r="A854" s="1" t="s">
        <v>1647</v>
      </c>
      <c r="B854" s="2">
        <v>44527</v>
      </c>
      <c r="C854" s="2" t="str">
        <f t="shared" si="79"/>
        <v>Saturday</v>
      </c>
      <c r="D854" s="2" t="str">
        <f t="shared" si="80"/>
        <v>November</v>
      </c>
      <c r="E854" s="2" t="str">
        <f t="shared" si="81"/>
        <v>2021</v>
      </c>
      <c r="F854" s="3" t="s">
        <v>1648</v>
      </c>
      <c r="G854" s="3" t="str">
        <f>VLOOKUP(F855,'Customers (2)'!A:I,2,0)</f>
        <v>Lynnea Danton</v>
      </c>
      <c r="H854" s="3" t="str">
        <f>VLOOKUP(F854,'Customers (2)'!A:I,3,0)</f>
        <v>bgaishno@altervista.org</v>
      </c>
      <c r="I854" s="3">
        <f>VLOOKUP(F854,'Customers (2)'!A:I,4,0)</f>
        <v>0</v>
      </c>
      <c r="J854" s="3" t="str">
        <f>VLOOKUP(F854,'Customers (2)'!A:I,6,0)</f>
        <v>Austin</v>
      </c>
      <c r="K854" s="3" t="str">
        <f>VLOOKUP(F854,'Customers (2)'!A:I,7,0)</f>
        <v>United States</v>
      </c>
      <c r="L854" s="3" t="str">
        <f>VLOOKUP(F854,'Customers (2)'!A:I,9,0)</f>
        <v>Yes</v>
      </c>
      <c r="M854" s="4" t="s">
        <v>109</v>
      </c>
      <c r="N854" s="4" t="str">
        <f>VLOOKUP(M854,'Products (2)'!A:G,2,0)</f>
        <v>Liberica</v>
      </c>
      <c r="O854" s="4" t="str">
        <f>VLOOKUP(M854,'Products (2)'!A:G,3,0)</f>
        <v>Dark</v>
      </c>
      <c r="P854" s="4">
        <f>VLOOKUP(M854,'Products (2)'!A:G,7,0)</f>
        <v>3.8720499999999998</v>
      </c>
      <c r="Q854" s="3">
        <v>4</v>
      </c>
      <c r="R854" s="5">
        <f>INDEX([1]products!$A$1:$G$49,MATCH([1]orders!$D854,[1]products!$A$1:$A$49,0),MATCH([1]orders!K$1,[1]products!$A$1:$G$1,0))</f>
        <v>2.5</v>
      </c>
      <c r="S854" s="6">
        <f>INDEX([1]products!$A$1:$G$49,MATCH([1]orders!$D854,[1]products!$A$1:$A$49,0),MATCH([1]orders!L$1,[1]products!$A$1:$G$1,0))</f>
        <v>29.784999999999997</v>
      </c>
      <c r="T854" s="6">
        <f t="shared" si="78"/>
        <v>119.13999999999999</v>
      </c>
      <c r="U854" s="22">
        <f t="shared" si="82"/>
        <v>15.488199999999999</v>
      </c>
      <c r="V854" s="22">
        <f t="shared" si="83"/>
        <v>13</v>
      </c>
    </row>
    <row r="855" spans="1:22" x14ac:dyDescent="0.3">
      <c r="A855" s="1" t="s">
        <v>1649</v>
      </c>
      <c r="B855" s="2">
        <v>44259</v>
      </c>
      <c r="C855" s="2" t="str">
        <f t="shared" si="79"/>
        <v>Thursday</v>
      </c>
      <c r="D855" s="2" t="str">
        <f t="shared" si="80"/>
        <v>March</v>
      </c>
      <c r="E855" s="2" t="str">
        <f t="shared" si="81"/>
        <v>2021</v>
      </c>
      <c r="F855" s="3" t="s">
        <v>1650</v>
      </c>
      <c r="G855" s="3" t="str">
        <f>VLOOKUP(F856,'Customers (2)'!A:I,2,0)</f>
        <v>Skipton Morrall</v>
      </c>
      <c r="H855" s="3" t="str">
        <f>VLOOKUP(F855,'Customers (2)'!A:I,3,0)</f>
        <v>ldantonnp@miitbeian.gov.cn</v>
      </c>
      <c r="I855" s="3">
        <f>VLOOKUP(F855,'Customers (2)'!A:I,4,0)</f>
        <v>0</v>
      </c>
      <c r="J855" s="3" t="str">
        <f>VLOOKUP(F855,'Customers (2)'!A:I,6,0)</f>
        <v>El Paso</v>
      </c>
      <c r="K855" s="3" t="str">
        <f>VLOOKUP(F855,'Customers (2)'!A:I,7,0)</f>
        <v>United States</v>
      </c>
      <c r="L855" s="3" t="str">
        <f>VLOOKUP(F855,'Customers (2)'!A:I,9,0)</f>
        <v>No</v>
      </c>
      <c r="M855" s="4" t="s">
        <v>27</v>
      </c>
      <c r="N855" s="4" t="str">
        <f>VLOOKUP(M855,'Products (2)'!A:G,2,0)</f>
        <v>Arabica</v>
      </c>
      <c r="O855" s="4" t="str">
        <f>VLOOKUP(M855,'Products (2)'!A:G,3,0)</f>
        <v>Dark</v>
      </c>
      <c r="P855" s="4">
        <f>VLOOKUP(M855,'Products (2)'!A:G,7,0)</f>
        <v>0.89549999999999985</v>
      </c>
      <c r="Q855" s="3">
        <v>2</v>
      </c>
      <c r="R855" s="5">
        <f>INDEX([1]products!$A$1:$G$49,MATCH([1]orders!$D855,[1]products!$A$1:$A$49,0),MATCH([1]orders!K$1,[1]products!$A$1:$G$1,0))</f>
        <v>1</v>
      </c>
      <c r="S855" s="6">
        <f>INDEX([1]products!$A$1:$G$49,MATCH([1]orders!$D855,[1]products!$A$1:$A$49,0),MATCH([1]orders!L$1,[1]products!$A$1:$G$1,0))</f>
        <v>9.9499999999999993</v>
      </c>
      <c r="T855" s="6">
        <f t="shared" si="78"/>
        <v>19.899999999999999</v>
      </c>
      <c r="U855" s="22">
        <f t="shared" si="82"/>
        <v>1.7909999999999997</v>
      </c>
      <c r="V855" s="22">
        <f t="shared" si="83"/>
        <v>9</v>
      </c>
    </row>
    <row r="856" spans="1:22" x14ac:dyDescent="0.3">
      <c r="A856" s="1" t="s">
        <v>1651</v>
      </c>
      <c r="B856" s="2">
        <v>44516</v>
      </c>
      <c r="C856" s="2" t="str">
        <f t="shared" si="79"/>
        <v>Tuesday</v>
      </c>
      <c r="D856" s="2" t="str">
        <f t="shared" si="80"/>
        <v>November</v>
      </c>
      <c r="E856" s="2" t="str">
        <f t="shared" si="81"/>
        <v>2021</v>
      </c>
      <c r="F856" s="3" t="s">
        <v>1652</v>
      </c>
      <c r="G856" s="3" t="str">
        <f>VLOOKUP(F857,'Customers (2)'!A:I,2,0)</f>
        <v>Devan Crownshaw</v>
      </c>
      <c r="H856" s="3" t="str">
        <f>VLOOKUP(F856,'Customers (2)'!A:I,3,0)</f>
        <v>smorrallnq@answers.com</v>
      </c>
      <c r="I856" s="3" t="str">
        <f>VLOOKUP(F856,'Customers (2)'!A:I,4,0)</f>
        <v>+1 (304) 897-5422</v>
      </c>
      <c r="J856" s="3" t="str">
        <f>VLOOKUP(F856,'Customers (2)'!A:I,6,0)</f>
        <v>Charleston</v>
      </c>
      <c r="K856" s="3" t="str">
        <f>VLOOKUP(F856,'Customers (2)'!A:I,7,0)</f>
        <v>United States</v>
      </c>
      <c r="L856" s="3" t="str">
        <f>VLOOKUP(F856,'Customers (2)'!A:I,9,0)</f>
        <v>Yes</v>
      </c>
      <c r="M856" s="4" t="s">
        <v>157</v>
      </c>
      <c r="N856" s="4" t="str">
        <f>VLOOKUP(M856,'Products (2)'!A:G,2,0)</f>
        <v>Robusta</v>
      </c>
      <c r="O856" s="4" t="str">
        <f>VLOOKUP(M856,'Products (2)'!A:G,3,0)</f>
        <v>Light</v>
      </c>
      <c r="P856" s="4">
        <f>VLOOKUP(M856,'Products (2)'!A:G,7,0)</f>
        <v>0.43019999999999992</v>
      </c>
      <c r="Q856" s="3">
        <v>5</v>
      </c>
      <c r="R856" s="5">
        <f>INDEX([1]products!$A$1:$G$49,MATCH([1]orders!$D856,[1]products!$A$1:$A$49,0),MATCH([1]orders!K$1,[1]products!$A$1:$G$1,0))</f>
        <v>0.5</v>
      </c>
      <c r="S856" s="6">
        <f>INDEX([1]products!$A$1:$G$49,MATCH([1]orders!$D856,[1]products!$A$1:$A$49,0),MATCH([1]orders!L$1,[1]products!$A$1:$G$1,0))</f>
        <v>7.169999999999999</v>
      </c>
      <c r="T856" s="6">
        <f t="shared" si="78"/>
        <v>35.849999999999994</v>
      </c>
      <c r="U856" s="22">
        <f t="shared" si="82"/>
        <v>2.1509999999999998</v>
      </c>
      <c r="V856" s="22">
        <f t="shared" si="83"/>
        <v>6.0000000000000009</v>
      </c>
    </row>
    <row r="857" spans="1:22" x14ac:dyDescent="0.3">
      <c r="A857" s="1" t="s">
        <v>1653</v>
      </c>
      <c r="B857" s="2">
        <v>43632</v>
      </c>
      <c r="C857" s="2" t="str">
        <f t="shared" si="79"/>
        <v>Sunday</v>
      </c>
      <c r="D857" s="2" t="str">
        <f t="shared" si="80"/>
        <v>June</v>
      </c>
      <c r="E857" s="2" t="str">
        <f t="shared" si="81"/>
        <v>2019</v>
      </c>
      <c r="F857" s="3" t="s">
        <v>1654</v>
      </c>
      <c r="G857" s="3" t="str">
        <f>VLOOKUP(F858,'Customers (2)'!A:I,2,0)</f>
        <v>Odelia Skerme</v>
      </c>
      <c r="H857" s="3" t="str">
        <f>VLOOKUP(F857,'Customers (2)'!A:I,3,0)</f>
        <v>dcrownshawnr@photobucket.com</v>
      </c>
      <c r="I857" s="3" t="str">
        <f>VLOOKUP(F857,'Customers (2)'!A:I,4,0)</f>
        <v>+1 (610) 576-4733</v>
      </c>
      <c r="J857" s="3" t="str">
        <f>VLOOKUP(F857,'Customers (2)'!A:I,6,0)</f>
        <v>Allentown</v>
      </c>
      <c r="K857" s="3" t="str">
        <f>VLOOKUP(F857,'Customers (2)'!A:I,7,0)</f>
        <v>United States</v>
      </c>
      <c r="L857" s="3" t="str">
        <f>VLOOKUP(F857,'Customers (2)'!A:I,9,0)</f>
        <v>No</v>
      </c>
      <c r="M857" s="4" t="s">
        <v>109</v>
      </c>
      <c r="N857" s="4" t="str">
        <f>VLOOKUP(M857,'Products (2)'!A:G,2,0)</f>
        <v>Liberica</v>
      </c>
      <c r="O857" s="4" t="str">
        <f>VLOOKUP(M857,'Products (2)'!A:G,3,0)</f>
        <v>Dark</v>
      </c>
      <c r="P857" s="4">
        <f>VLOOKUP(M857,'Products (2)'!A:G,7,0)</f>
        <v>3.8720499999999998</v>
      </c>
      <c r="Q857" s="3">
        <v>3</v>
      </c>
      <c r="R857" s="5">
        <f>INDEX([1]products!$A$1:$G$49,MATCH([1]orders!$D857,[1]products!$A$1:$A$49,0),MATCH([1]orders!K$1,[1]products!$A$1:$G$1,0))</f>
        <v>2.5</v>
      </c>
      <c r="S857" s="6">
        <f>INDEX([1]products!$A$1:$G$49,MATCH([1]orders!$D857,[1]products!$A$1:$A$49,0),MATCH([1]orders!L$1,[1]products!$A$1:$G$1,0))</f>
        <v>29.784999999999997</v>
      </c>
      <c r="T857" s="6">
        <f t="shared" si="78"/>
        <v>89.35499999999999</v>
      </c>
      <c r="U857" s="22">
        <f t="shared" si="82"/>
        <v>11.616149999999999</v>
      </c>
      <c r="V857" s="22">
        <f t="shared" si="83"/>
        <v>13</v>
      </c>
    </row>
    <row r="858" spans="1:22" x14ac:dyDescent="0.3">
      <c r="A858" s="1" t="s">
        <v>1655</v>
      </c>
      <c r="B858" s="2">
        <v>44031</v>
      </c>
      <c r="C858" s="2" t="str">
        <f t="shared" si="79"/>
        <v>Sunday</v>
      </c>
      <c r="D858" s="2" t="str">
        <f t="shared" si="80"/>
        <v>July</v>
      </c>
      <c r="E858" s="2" t="str">
        <f t="shared" si="81"/>
        <v>2020</v>
      </c>
      <c r="F858" s="3" t="s">
        <v>1600</v>
      </c>
      <c r="G858" s="3" t="str">
        <f>VLOOKUP(F859,'Customers (2)'!A:I,2,0)</f>
        <v>Joceline Reddoch</v>
      </c>
      <c r="H858" s="3" t="str">
        <f>VLOOKUP(F858,'Customers (2)'!A:I,3,0)</f>
        <v>oskermen3@hatena.ne.jp</v>
      </c>
      <c r="I858" s="3" t="str">
        <f>VLOOKUP(F858,'Customers (2)'!A:I,4,0)</f>
        <v>+1 (405) 615-0298</v>
      </c>
      <c r="J858" s="3" t="str">
        <f>VLOOKUP(F858,'Customers (2)'!A:I,6,0)</f>
        <v>Oklahoma City</v>
      </c>
      <c r="K858" s="3" t="str">
        <f>VLOOKUP(F858,'Customers (2)'!A:I,7,0)</f>
        <v>United States</v>
      </c>
      <c r="L858" s="3" t="str">
        <f>VLOOKUP(F858,'Customers (2)'!A:I,9,0)</f>
        <v>Yes</v>
      </c>
      <c r="M858" s="4" t="s">
        <v>77</v>
      </c>
      <c r="N858" s="4" t="str">
        <f>VLOOKUP(M858,'Products (2)'!A:G,2,0)</f>
        <v>Liberica</v>
      </c>
      <c r="O858" s="4" t="str">
        <f>VLOOKUP(M858,'Products (2)'!A:G,3,0)</f>
        <v>Medium</v>
      </c>
      <c r="P858" s="4">
        <f>VLOOKUP(M858,'Products (2)'!A:G,7,0)</f>
        <v>0.56745000000000001</v>
      </c>
      <c r="Q858" s="3">
        <v>2</v>
      </c>
      <c r="R858" s="5">
        <f>INDEX([1]products!$A$1:$G$49,MATCH([1]orders!$D858,[1]products!$A$1:$A$49,0),MATCH([1]orders!K$1,[1]products!$A$1:$G$1,0))</f>
        <v>0.2</v>
      </c>
      <c r="S858" s="6">
        <f>INDEX([1]products!$A$1:$G$49,MATCH([1]orders!$D858,[1]products!$A$1:$A$49,0),MATCH([1]orders!L$1,[1]products!$A$1:$G$1,0))</f>
        <v>4.3650000000000002</v>
      </c>
      <c r="T858" s="6">
        <f t="shared" si="78"/>
        <v>8.73</v>
      </c>
      <c r="U858" s="22">
        <f t="shared" si="82"/>
        <v>1.1349</v>
      </c>
      <c r="V858" s="22">
        <f t="shared" si="83"/>
        <v>13</v>
      </c>
    </row>
    <row r="859" spans="1:22" x14ac:dyDescent="0.3">
      <c r="A859" s="1" t="s">
        <v>1656</v>
      </c>
      <c r="B859" s="2">
        <v>43889</v>
      </c>
      <c r="C859" s="2" t="str">
        <f t="shared" si="79"/>
        <v>Friday</v>
      </c>
      <c r="D859" s="2" t="str">
        <f t="shared" si="80"/>
        <v>February</v>
      </c>
      <c r="E859" s="2" t="str">
        <f t="shared" si="81"/>
        <v>2020</v>
      </c>
      <c r="F859" s="3" t="s">
        <v>1657</v>
      </c>
      <c r="G859" s="3" t="str">
        <f>VLOOKUP(F860,'Customers (2)'!A:I,2,0)</f>
        <v>Shelley Titley</v>
      </c>
      <c r="H859" s="3" t="str">
        <f>VLOOKUP(F859,'Customers (2)'!A:I,3,0)</f>
        <v>jreddochnt@sun.com</v>
      </c>
      <c r="I859" s="3" t="str">
        <f>VLOOKUP(F859,'Customers (2)'!A:I,4,0)</f>
        <v>+1 (863) 742-5292</v>
      </c>
      <c r="J859" s="3" t="str">
        <f>VLOOKUP(F859,'Customers (2)'!A:I,6,0)</f>
        <v>Largo</v>
      </c>
      <c r="K859" s="3" t="str">
        <f>VLOOKUP(F859,'Customers (2)'!A:I,7,0)</f>
        <v>United States</v>
      </c>
      <c r="L859" s="3" t="str">
        <f>VLOOKUP(F859,'Customers (2)'!A:I,9,0)</f>
        <v>No</v>
      </c>
      <c r="M859" s="4" t="s">
        <v>10</v>
      </c>
      <c r="N859" s="4" t="str">
        <f>VLOOKUP(M859,'Products (2)'!A:G,2,0)</f>
        <v>Robusta</v>
      </c>
      <c r="O859" s="4" t="str">
        <f>VLOOKUP(M859,'Products (2)'!A:G,3,0)</f>
        <v>Light</v>
      </c>
      <c r="P859" s="4">
        <f>VLOOKUP(M859,'Products (2)'!A:G,7,0)</f>
        <v>1.6490999999999998</v>
      </c>
      <c r="Q859" s="3">
        <v>5</v>
      </c>
      <c r="R859" s="5">
        <f>INDEX([1]products!$A$1:$G$49,MATCH([1]orders!$D859,[1]products!$A$1:$A$49,0),MATCH([1]orders!K$1,[1]products!$A$1:$G$1,0))</f>
        <v>2.5</v>
      </c>
      <c r="S859" s="6">
        <f>INDEX([1]products!$A$1:$G$49,MATCH([1]orders!$D859,[1]products!$A$1:$A$49,0),MATCH([1]orders!L$1,[1]products!$A$1:$G$1,0))</f>
        <v>27.484999999999996</v>
      </c>
      <c r="T859" s="6">
        <f t="shared" si="78"/>
        <v>137.42499999999998</v>
      </c>
      <c r="U859" s="22">
        <f t="shared" si="82"/>
        <v>8.2454999999999998</v>
      </c>
      <c r="V859" s="22">
        <f t="shared" si="83"/>
        <v>6.0000000000000009</v>
      </c>
    </row>
    <row r="860" spans="1:22" x14ac:dyDescent="0.3">
      <c r="A860" s="1" t="s">
        <v>1658</v>
      </c>
      <c r="B860" s="2">
        <v>43638</v>
      </c>
      <c r="C860" s="2" t="str">
        <f t="shared" si="79"/>
        <v>Saturday</v>
      </c>
      <c r="D860" s="2" t="str">
        <f t="shared" si="80"/>
        <v>June</v>
      </c>
      <c r="E860" s="2" t="str">
        <f t="shared" si="81"/>
        <v>2019</v>
      </c>
      <c r="F860" s="3" t="s">
        <v>1659</v>
      </c>
      <c r="G860" s="3" t="str">
        <f>VLOOKUP(F861,'Customers (2)'!A:I,2,0)</f>
        <v>Redd Simao</v>
      </c>
      <c r="H860" s="3" t="str">
        <f>VLOOKUP(F860,'Customers (2)'!A:I,3,0)</f>
        <v>stitleynu@whitehouse.gov</v>
      </c>
      <c r="I860" s="3" t="str">
        <f>VLOOKUP(F860,'Customers (2)'!A:I,4,0)</f>
        <v>+1 (701) 350-6149</v>
      </c>
      <c r="J860" s="3" t="str">
        <f>VLOOKUP(F860,'Customers (2)'!A:I,6,0)</f>
        <v>Fargo</v>
      </c>
      <c r="K860" s="3" t="str">
        <f>VLOOKUP(F860,'Customers (2)'!A:I,7,0)</f>
        <v>United States</v>
      </c>
      <c r="L860" s="3" t="str">
        <f>VLOOKUP(F860,'Customers (2)'!A:I,9,0)</f>
        <v>No</v>
      </c>
      <c r="M860" s="4" t="s">
        <v>78</v>
      </c>
      <c r="N860" s="4" t="str">
        <f>VLOOKUP(M860,'Products (2)'!A:G,2,0)</f>
        <v>Liberica</v>
      </c>
      <c r="O860" s="4" t="str">
        <f>VLOOKUP(M860,'Products (2)'!A:G,3,0)</f>
        <v>Medium</v>
      </c>
      <c r="P860" s="4">
        <f>VLOOKUP(M860,'Products (2)'!A:G,7,0)</f>
        <v>1.1349</v>
      </c>
      <c r="Q860" s="3">
        <v>4</v>
      </c>
      <c r="R860" s="5">
        <f>INDEX([1]products!$A$1:$G$49,MATCH([1]orders!$D860,[1]products!$A$1:$A$49,0),MATCH([1]orders!K$1,[1]products!$A$1:$G$1,0))</f>
        <v>0.5</v>
      </c>
      <c r="S860" s="6">
        <f>INDEX([1]products!$A$1:$G$49,MATCH([1]orders!$D860,[1]products!$A$1:$A$49,0),MATCH([1]orders!L$1,[1]products!$A$1:$G$1,0))</f>
        <v>8.73</v>
      </c>
      <c r="T860" s="6">
        <f t="shared" si="78"/>
        <v>34.92</v>
      </c>
      <c r="U860" s="22">
        <f t="shared" si="82"/>
        <v>4.5396000000000001</v>
      </c>
      <c r="V860" s="22">
        <f t="shared" si="83"/>
        <v>13</v>
      </c>
    </row>
    <row r="861" spans="1:22" x14ac:dyDescent="0.3">
      <c r="A861" s="1" t="s">
        <v>1660</v>
      </c>
      <c r="B861" s="2">
        <v>43716</v>
      </c>
      <c r="C861" s="2" t="str">
        <f t="shared" si="79"/>
        <v>Sunday</v>
      </c>
      <c r="D861" s="2" t="str">
        <f t="shared" si="80"/>
        <v>September</v>
      </c>
      <c r="E861" s="2" t="str">
        <f t="shared" si="81"/>
        <v>2019</v>
      </c>
      <c r="F861" s="3" t="s">
        <v>1661</v>
      </c>
      <c r="G861" s="3" t="str">
        <f>VLOOKUP(F862,'Customers (2)'!A:I,2,0)</f>
        <v>Cece Inker</v>
      </c>
      <c r="H861" s="3" t="str">
        <f>VLOOKUP(F861,'Customers (2)'!A:I,3,0)</f>
        <v>rsimaonv@simplemachines.org</v>
      </c>
      <c r="I861" s="3" t="str">
        <f>VLOOKUP(F861,'Customers (2)'!A:I,4,0)</f>
        <v>+1 (479) 898-5090</v>
      </c>
      <c r="J861" s="3" t="str">
        <f>VLOOKUP(F861,'Customers (2)'!A:I,6,0)</f>
        <v>Fort Smith</v>
      </c>
      <c r="K861" s="3" t="str">
        <f>VLOOKUP(F861,'Customers (2)'!A:I,7,0)</f>
        <v>United States</v>
      </c>
      <c r="L861" s="3" t="str">
        <f>VLOOKUP(F861,'Customers (2)'!A:I,9,0)</f>
        <v>No</v>
      </c>
      <c r="M861" s="4" t="s">
        <v>204</v>
      </c>
      <c r="N861" s="4" t="str">
        <f>VLOOKUP(M861,'Products (2)'!A:G,2,0)</f>
        <v>Arabica</v>
      </c>
      <c r="O861" s="4" t="str">
        <f>VLOOKUP(M861,'Products (2)'!A:G,3,0)</f>
        <v>Light</v>
      </c>
      <c r="P861" s="4">
        <f>VLOOKUP(M861,'Products (2)'!A:G,7,0)</f>
        <v>2.6806499999999995</v>
      </c>
      <c r="Q861" s="3">
        <v>6</v>
      </c>
      <c r="R861" s="5">
        <f>INDEX([1]products!$A$1:$G$49,MATCH([1]orders!$D861,[1]products!$A$1:$A$49,0),MATCH([1]orders!K$1,[1]products!$A$1:$G$1,0))</f>
        <v>2.5</v>
      </c>
      <c r="S861" s="6">
        <f>INDEX([1]products!$A$1:$G$49,MATCH([1]orders!$D861,[1]products!$A$1:$A$49,0),MATCH([1]orders!L$1,[1]products!$A$1:$G$1,0))</f>
        <v>29.784999999999997</v>
      </c>
      <c r="T861" s="6">
        <f t="shared" si="78"/>
        <v>178.70999999999998</v>
      </c>
      <c r="U861" s="22">
        <f t="shared" si="82"/>
        <v>16.083899999999996</v>
      </c>
      <c r="V861" s="22">
        <f t="shared" si="83"/>
        <v>8.9999999999999982</v>
      </c>
    </row>
    <row r="862" spans="1:22" x14ac:dyDescent="0.3">
      <c r="A862" s="1" t="s">
        <v>1662</v>
      </c>
      <c r="B862" s="2">
        <v>44707</v>
      </c>
      <c r="C862" s="2" t="str">
        <f t="shared" si="79"/>
        <v>Thursday</v>
      </c>
      <c r="D862" s="2" t="str">
        <f t="shared" si="80"/>
        <v>May</v>
      </c>
      <c r="E862" s="2" t="str">
        <f t="shared" si="81"/>
        <v>2022</v>
      </c>
      <c r="F862" s="3" t="s">
        <v>1663</v>
      </c>
      <c r="G862" s="3" t="str">
        <f>VLOOKUP(F863,'Customers (2)'!A:I,2,0)</f>
        <v>Noel Chisholm</v>
      </c>
      <c r="H862" s="3">
        <f>VLOOKUP(F862,'Customers (2)'!A:I,3,0)</f>
        <v>0</v>
      </c>
      <c r="I862" s="3" t="str">
        <f>VLOOKUP(F862,'Customers (2)'!A:I,4,0)</f>
        <v>+1 (863) 977-9033</v>
      </c>
      <c r="J862" s="3" t="str">
        <f>VLOOKUP(F862,'Customers (2)'!A:I,6,0)</f>
        <v>Lakeland</v>
      </c>
      <c r="K862" s="3" t="str">
        <f>VLOOKUP(F862,'Customers (2)'!A:I,7,0)</f>
        <v>United States</v>
      </c>
      <c r="L862" s="3" t="str">
        <f>VLOOKUP(F862,'Customers (2)'!A:I,9,0)</f>
        <v>No</v>
      </c>
      <c r="M862" s="4" t="s">
        <v>171</v>
      </c>
      <c r="N862" s="4" t="str">
        <f>VLOOKUP(M862,'Products (2)'!A:G,2,0)</f>
        <v>Arabica</v>
      </c>
      <c r="O862" s="4" t="str">
        <f>VLOOKUP(M862,'Products (2)'!A:G,3,0)</f>
        <v>Medium</v>
      </c>
      <c r="P862" s="4">
        <f>VLOOKUP(M862,'Products (2)'!A:G,7,0)</f>
        <v>2.3287499999999994</v>
      </c>
      <c r="Q862" s="3">
        <v>1</v>
      </c>
      <c r="R862" s="5">
        <f>INDEX([1]products!$A$1:$G$49,MATCH([1]orders!$D862,[1]products!$A$1:$A$49,0),MATCH([1]orders!K$1,[1]products!$A$1:$G$1,0))</f>
        <v>2.5</v>
      </c>
      <c r="S862" s="6">
        <f>INDEX([1]products!$A$1:$G$49,MATCH([1]orders!$D862,[1]products!$A$1:$A$49,0),MATCH([1]orders!L$1,[1]products!$A$1:$G$1,0))</f>
        <v>25.874999999999996</v>
      </c>
      <c r="T862" s="6">
        <f t="shared" si="78"/>
        <v>25.874999999999996</v>
      </c>
      <c r="U862" s="22">
        <f t="shared" si="82"/>
        <v>2.3287499999999994</v>
      </c>
      <c r="V862" s="22">
        <f t="shared" si="83"/>
        <v>9</v>
      </c>
    </row>
    <row r="863" spans="1:22" x14ac:dyDescent="0.3">
      <c r="A863" s="1" t="s">
        <v>1664</v>
      </c>
      <c r="B863" s="2">
        <v>43802</v>
      </c>
      <c r="C863" s="2" t="str">
        <f t="shared" si="79"/>
        <v>Tuesday</v>
      </c>
      <c r="D863" s="2" t="str">
        <f t="shared" si="80"/>
        <v>December</v>
      </c>
      <c r="E863" s="2" t="str">
        <f t="shared" si="81"/>
        <v>2019</v>
      </c>
      <c r="F863" s="3" t="s">
        <v>1665</v>
      </c>
      <c r="G863" s="3" t="str">
        <f>VLOOKUP(F864,'Customers (2)'!A:I,2,0)</f>
        <v>Grazia Oats</v>
      </c>
      <c r="H863" s="3" t="str">
        <f>VLOOKUP(F863,'Customers (2)'!A:I,3,0)</f>
        <v>nchisholmnx@example.com</v>
      </c>
      <c r="I863" s="3" t="str">
        <f>VLOOKUP(F863,'Customers (2)'!A:I,4,0)</f>
        <v>+1 (865) 228-1100</v>
      </c>
      <c r="J863" s="3" t="str">
        <f>VLOOKUP(F863,'Customers (2)'!A:I,6,0)</f>
        <v>Knoxville</v>
      </c>
      <c r="K863" s="3" t="str">
        <f>VLOOKUP(F863,'Customers (2)'!A:I,7,0)</f>
        <v>United States</v>
      </c>
      <c r="L863" s="3" t="str">
        <f>VLOOKUP(F863,'Customers (2)'!A:I,9,0)</f>
        <v>Yes</v>
      </c>
      <c r="M863" s="4" t="s">
        <v>13</v>
      </c>
      <c r="N863" s="4" t="str">
        <f>VLOOKUP(M863,'Products (2)'!A:G,2,0)</f>
        <v>Liberica</v>
      </c>
      <c r="O863" s="4" t="str">
        <f>VLOOKUP(M863,'Products (2)'!A:G,3,0)</f>
        <v>Dark</v>
      </c>
      <c r="P863" s="4">
        <f>VLOOKUP(M863,'Products (2)'!A:G,7,0)</f>
        <v>1.6835</v>
      </c>
      <c r="Q863" s="3">
        <v>6</v>
      </c>
      <c r="R863" s="5">
        <f>INDEX([1]products!$A$1:$G$49,MATCH([1]orders!$D863,[1]products!$A$1:$A$49,0),MATCH([1]orders!K$1,[1]products!$A$1:$G$1,0))</f>
        <v>1</v>
      </c>
      <c r="S863" s="6">
        <f>INDEX([1]products!$A$1:$G$49,MATCH([1]orders!$D863,[1]products!$A$1:$A$49,0),MATCH([1]orders!L$1,[1]products!$A$1:$G$1,0))</f>
        <v>12.95</v>
      </c>
      <c r="T863" s="6">
        <f t="shared" si="78"/>
        <v>77.699999999999989</v>
      </c>
      <c r="U863" s="22">
        <f t="shared" si="82"/>
        <v>10.100999999999999</v>
      </c>
      <c r="V863" s="22">
        <f t="shared" si="83"/>
        <v>13</v>
      </c>
    </row>
    <row r="864" spans="1:22" x14ac:dyDescent="0.3">
      <c r="A864" s="1" t="s">
        <v>1666</v>
      </c>
      <c r="B864" s="2">
        <v>43725</v>
      </c>
      <c r="C864" s="2" t="str">
        <f t="shared" si="79"/>
        <v>Tuesday</v>
      </c>
      <c r="D864" s="2" t="str">
        <f t="shared" si="80"/>
        <v>September</v>
      </c>
      <c r="E864" s="2" t="str">
        <f t="shared" si="81"/>
        <v>2019</v>
      </c>
      <c r="F864" s="3" t="s">
        <v>1667</v>
      </c>
      <c r="G864" s="3" t="str">
        <f>VLOOKUP(F865,'Customers (2)'!A:I,2,0)</f>
        <v>Meade Birkin</v>
      </c>
      <c r="H864" s="3" t="str">
        <f>VLOOKUP(F864,'Customers (2)'!A:I,3,0)</f>
        <v>goatsny@live.com</v>
      </c>
      <c r="I864" s="3" t="str">
        <f>VLOOKUP(F864,'Customers (2)'!A:I,4,0)</f>
        <v>+1 (213) 813-1072</v>
      </c>
      <c r="J864" s="3" t="str">
        <f>VLOOKUP(F864,'Customers (2)'!A:I,6,0)</f>
        <v>Los Angeles</v>
      </c>
      <c r="K864" s="3" t="str">
        <f>VLOOKUP(F864,'Customers (2)'!A:I,7,0)</f>
        <v>United States</v>
      </c>
      <c r="L864" s="3" t="str">
        <f>VLOOKUP(F864,'Customers (2)'!A:I,9,0)</f>
        <v>Yes</v>
      </c>
      <c r="M864" s="4" t="s">
        <v>2</v>
      </c>
      <c r="N864" s="4" t="str">
        <f>VLOOKUP(M864,'Products (2)'!A:G,2,0)</f>
        <v>Robusta</v>
      </c>
      <c r="O864" s="4" t="str">
        <f>VLOOKUP(M864,'Products (2)'!A:G,3,0)</f>
        <v>Medium</v>
      </c>
      <c r="P864" s="4">
        <f>VLOOKUP(M864,'Products (2)'!A:G,7,0)</f>
        <v>0.59699999999999998</v>
      </c>
      <c r="Q864" s="3">
        <v>1</v>
      </c>
      <c r="R864" s="5">
        <f>INDEX([1]products!$A$1:$G$49,MATCH([1]orders!$D864,[1]products!$A$1:$A$49,0),MATCH([1]orders!K$1,[1]products!$A$1:$G$1,0))</f>
        <v>1</v>
      </c>
      <c r="S864" s="6">
        <f>INDEX([1]products!$A$1:$G$49,MATCH([1]orders!$D864,[1]products!$A$1:$A$49,0),MATCH([1]orders!L$1,[1]products!$A$1:$G$1,0))</f>
        <v>9.9499999999999993</v>
      </c>
      <c r="T864" s="6">
        <f t="shared" si="78"/>
        <v>9.9499999999999993</v>
      </c>
      <c r="U864" s="22">
        <f t="shared" si="82"/>
        <v>0.59699999999999998</v>
      </c>
      <c r="V864" s="22">
        <f t="shared" si="83"/>
        <v>6.0000000000000009</v>
      </c>
    </row>
    <row r="865" spans="1:22" x14ac:dyDescent="0.3">
      <c r="A865" s="1" t="s">
        <v>1668</v>
      </c>
      <c r="B865" s="2">
        <v>44712</v>
      </c>
      <c r="C865" s="2" t="str">
        <f t="shared" si="79"/>
        <v>Tuesday</v>
      </c>
      <c r="D865" s="2" t="str">
        <f t="shared" si="80"/>
        <v>May</v>
      </c>
      <c r="E865" s="2" t="str">
        <f t="shared" si="81"/>
        <v>2022</v>
      </c>
      <c r="F865" s="3" t="s">
        <v>1669</v>
      </c>
      <c r="G865" s="3" t="str">
        <f>VLOOKUP(F866,'Customers (2)'!A:I,2,0)</f>
        <v>Ronda Pyson</v>
      </c>
      <c r="H865" s="3" t="str">
        <f>VLOOKUP(F865,'Customers (2)'!A:I,3,0)</f>
        <v>mbirkinnz@java.com</v>
      </c>
      <c r="I865" s="3" t="str">
        <f>VLOOKUP(F865,'Customers (2)'!A:I,4,0)</f>
        <v>+1 (954) 431-7206</v>
      </c>
      <c r="J865" s="3" t="str">
        <f>VLOOKUP(F865,'Customers (2)'!A:I,6,0)</f>
        <v>Miami</v>
      </c>
      <c r="K865" s="3" t="str">
        <f>VLOOKUP(F865,'Customers (2)'!A:I,7,0)</f>
        <v>United States</v>
      </c>
      <c r="L865" s="3" t="str">
        <f>VLOOKUP(F865,'Customers (2)'!A:I,9,0)</f>
        <v>Yes</v>
      </c>
      <c r="M865" s="4" t="s">
        <v>96</v>
      </c>
      <c r="N865" s="4" t="str">
        <f>VLOOKUP(M865,'Products (2)'!A:G,2,0)</f>
        <v>Liberica</v>
      </c>
      <c r="O865" s="4" t="str">
        <f>VLOOKUP(M865,'Products (2)'!A:G,3,0)</f>
        <v>Medium</v>
      </c>
      <c r="P865" s="4">
        <f>VLOOKUP(M865,'Products (2)'!A:G,7,0)</f>
        <v>1.8915000000000002</v>
      </c>
      <c r="Q865" s="3">
        <v>2</v>
      </c>
      <c r="R865" s="5">
        <f>INDEX([1]products!$A$1:$G$49,MATCH([1]orders!$D865,[1]products!$A$1:$A$49,0),MATCH([1]orders!K$1,[1]products!$A$1:$G$1,0))</f>
        <v>1</v>
      </c>
      <c r="S865" s="6">
        <f>INDEX([1]products!$A$1:$G$49,MATCH([1]orders!$D865,[1]products!$A$1:$A$49,0),MATCH([1]orders!L$1,[1]products!$A$1:$G$1,0))</f>
        <v>14.55</v>
      </c>
      <c r="T865" s="6">
        <f t="shared" si="78"/>
        <v>29.1</v>
      </c>
      <c r="U865" s="22">
        <f t="shared" si="82"/>
        <v>3.7830000000000004</v>
      </c>
      <c r="V865" s="22">
        <f t="shared" si="83"/>
        <v>13</v>
      </c>
    </row>
    <row r="866" spans="1:22" x14ac:dyDescent="0.3">
      <c r="A866" s="1" t="s">
        <v>1670</v>
      </c>
      <c r="B866" s="2">
        <v>43759</v>
      </c>
      <c r="C866" s="2" t="str">
        <f t="shared" si="79"/>
        <v>Monday</v>
      </c>
      <c r="D866" s="2" t="str">
        <f t="shared" si="80"/>
        <v>October</v>
      </c>
      <c r="E866" s="2" t="str">
        <f t="shared" si="81"/>
        <v>2019</v>
      </c>
      <c r="F866" s="3" t="s">
        <v>1671</v>
      </c>
      <c r="G866" s="3" t="str">
        <f>VLOOKUP(F867,'Customers (2)'!A:I,2,0)</f>
        <v>Modesty MacConnechie</v>
      </c>
      <c r="H866" s="3" t="str">
        <f>VLOOKUP(F866,'Customers (2)'!A:I,3,0)</f>
        <v>rpysono0@constantcontact.com</v>
      </c>
      <c r="I866" s="3" t="str">
        <f>VLOOKUP(F866,'Customers (2)'!A:I,4,0)</f>
        <v>+353 (836) 436-1472</v>
      </c>
      <c r="J866" s="3" t="str">
        <f>VLOOKUP(F866,'Customers (2)'!A:I,6,0)</f>
        <v>Clones</v>
      </c>
      <c r="K866" s="3" t="str">
        <f>VLOOKUP(F866,'Customers (2)'!A:I,7,0)</f>
        <v>Ireland</v>
      </c>
      <c r="L866" s="3" t="str">
        <f>VLOOKUP(F866,'Customers (2)'!A:I,9,0)</f>
        <v>No</v>
      </c>
      <c r="M866" s="4" t="s">
        <v>182</v>
      </c>
      <c r="N866" s="4" t="str">
        <f>VLOOKUP(M866,'Products (2)'!A:G,2,0)</f>
        <v>Robusta</v>
      </c>
      <c r="O866" s="4" t="str">
        <f>VLOOKUP(M866,'Products (2)'!A:G,3,0)</f>
        <v>Light</v>
      </c>
      <c r="P866" s="4">
        <f>VLOOKUP(M866,'Products (2)'!A:G,7,0)</f>
        <v>0.21509999999999996</v>
      </c>
      <c r="Q866" s="3">
        <v>6</v>
      </c>
      <c r="R866" s="5">
        <f>INDEX([1]products!$A$1:$G$49,MATCH([1]orders!$D866,[1]products!$A$1:$A$49,0),MATCH([1]orders!K$1,[1]products!$A$1:$G$1,0))</f>
        <v>0.2</v>
      </c>
      <c r="S866" s="6">
        <f>INDEX([1]products!$A$1:$G$49,MATCH([1]orders!$D866,[1]products!$A$1:$A$49,0),MATCH([1]orders!L$1,[1]products!$A$1:$G$1,0))</f>
        <v>3.5849999999999995</v>
      </c>
      <c r="T866" s="6">
        <f t="shared" si="78"/>
        <v>21.509999999999998</v>
      </c>
      <c r="U866" s="22">
        <f t="shared" si="82"/>
        <v>1.2905999999999997</v>
      </c>
      <c r="V866" s="22">
        <f t="shared" si="83"/>
        <v>5.9999999999999991</v>
      </c>
    </row>
    <row r="867" spans="1:22" x14ac:dyDescent="0.3">
      <c r="A867" s="1" t="s">
        <v>1672</v>
      </c>
      <c r="B867" s="2">
        <v>44675</v>
      </c>
      <c r="C867" s="2" t="str">
        <f t="shared" si="79"/>
        <v>Sunday</v>
      </c>
      <c r="D867" s="2" t="str">
        <f t="shared" si="80"/>
        <v>April</v>
      </c>
      <c r="E867" s="2" t="str">
        <f t="shared" si="81"/>
        <v>2022</v>
      </c>
      <c r="F867" s="3" t="s">
        <v>1673</v>
      </c>
      <c r="G867" s="3" t="str">
        <f>VLOOKUP(F868,'Customers (2)'!A:I,2,0)</f>
        <v>Rafaela Treacher</v>
      </c>
      <c r="H867" s="3" t="str">
        <f>VLOOKUP(F867,'Customers (2)'!A:I,3,0)</f>
        <v>mmacconnechieo9@reuters.com</v>
      </c>
      <c r="I867" s="3" t="str">
        <f>VLOOKUP(F867,'Customers (2)'!A:I,4,0)</f>
        <v>+1 (304) 620-6008</v>
      </c>
      <c r="J867" s="3" t="str">
        <f>VLOOKUP(F867,'Customers (2)'!A:I,6,0)</f>
        <v>Charleston</v>
      </c>
      <c r="K867" s="3" t="str">
        <f>VLOOKUP(F867,'Customers (2)'!A:I,7,0)</f>
        <v>United States</v>
      </c>
      <c r="L867" s="3" t="str">
        <f>VLOOKUP(F867,'Customers (2)'!A:I,9,0)</f>
        <v>Yes</v>
      </c>
      <c r="M867" s="4" t="s">
        <v>67</v>
      </c>
      <c r="N867" s="4" t="str">
        <f>VLOOKUP(M867,'Products (2)'!A:G,2,0)</f>
        <v>Arabica</v>
      </c>
      <c r="O867" s="4" t="str">
        <f>VLOOKUP(M867,'Products (2)'!A:G,3,0)</f>
        <v>Medium</v>
      </c>
      <c r="P867" s="4">
        <f>VLOOKUP(M867,'Products (2)'!A:G,7,0)</f>
        <v>0.60749999999999993</v>
      </c>
      <c r="Q867" s="3">
        <v>1</v>
      </c>
      <c r="R867" s="5">
        <f>INDEX([1]products!$A$1:$G$49,MATCH([1]orders!$D867,[1]products!$A$1:$A$49,0),MATCH([1]orders!K$1,[1]products!$A$1:$G$1,0))</f>
        <v>0.5</v>
      </c>
      <c r="S867" s="6">
        <f>INDEX([1]products!$A$1:$G$49,MATCH([1]orders!$D867,[1]products!$A$1:$A$49,0),MATCH([1]orders!L$1,[1]products!$A$1:$G$1,0))</f>
        <v>6.75</v>
      </c>
      <c r="T867" s="6">
        <f t="shared" si="78"/>
        <v>6.75</v>
      </c>
      <c r="U867" s="22">
        <f t="shared" si="82"/>
        <v>0.60749999999999993</v>
      </c>
      <c r="V867" s="22">
        <f t="shared" si="83"/>
        <v>8.9999999999999982</v>
      </c>
    </row>
    <row r="868" spans="1:22" x14ac:dyDescent="0.3">
      <c r="A868" s="1" t="s">
        <v>1674</v>
      </c>
      <c r="B868" s="2">
        <v>44209</v>
      </c>
      <c r="C868" s="2" t="str">
        <f t="shared" si="79"/>
        <v>Wednesday</v>
      </c>
      <c r="D868" s="2" t="str">
        <f t="shared" si="80"/>
        <v>January</v>
      </c>
      <c r="E868" s="2" t="str">
        <f t="shared" si="81"/>
        <v>2021</v>
      </c>
      <c r="F868" s="3" t="s">
        <v>1675</v>
      </c>
      <c r="G868" s="3" t="str">
        <f>VLOOKUP(F869,'Customers (2)'!A:I,2,0)</f>
        <v>Bee Fattorini</v>
      </c>
      <c r="H868" s="3" t="str">
        <f>VLOOKUP(F868,'Customers (2)'!A:I,3,0)</f>
        <v>rtreachero2@usa.gov</v>
      </c>
      <c r="I868" s="3" t="str">
        <f>VLOOKUP(F868,'Customers (2)'!A:I,4,0)</f>
        <v>+353 (552) 867-2244</v>
      </c>
      <c r="J868" s="3" t="str">
        <f>VLOOKUP(F868,'Customers (2)'!A:I,6,0)</f>
        <v>Greystones</v>
      </c>
      <c r="K868" s="3" t="str">
        <f>VLOOKUP(F868,'Customers (2)'!A:I,7,0)</f>
        <v>Ireland</v>
      </c>
      <c r="L868" s="3" t="str">
        <f>VLOOKUP(F868,'Customers (2)'!A:I,9,0)</f>
        <v>No</v>
      </c>
      <c r="M868" s="4" t="s">
        <v>72</v>
      </c>
      <c r="N868" s="4" t="str">
        <f>VLOOKUP(M868,'Products (2)'!A:G,2,0)</f>
        <v>Arabica</v>
      </c>
      <c r="O868" s="4" t="str">
        <f>VLOOKUP(M868,'Products (2)'!A:G,3,0)</f>
        <v>Dark</v>
      </c>
      <c r="P868" s="4">
        <f>VLOOKUP(M868,'Products (2)'!A:G,7,0)</f>
        <v>0.5373</v>
      </c>
      <c r="Q868" s="3">
        <v>3</v>
      </c>
      <c r="R868" s="5">
        <f>INDEX([1]products!$A$1:$G$49,MATCH([1]orders!$D868,[1]products!$A$1:$A$49,0),MATCH([1]orders!K$1,[1]products!$A$1:$G$1,0))</f>
        <v>0.5</v>
      </c>
      <c r="S868" s="6">
        <f>INDEX([1]products!$A$1:$G$49,MATCH([1]orders!$D868,[1]products!$A$1:$A$49,0),MATCH([1]orders!L$1,[1]products!$A$1:$G$1,0))</f>
        <v>5.97</v>
      </c>
      <c r="T868" s="6">
        <f t="shared" si="78"/>
        <v>17.91</v>
      </c>
      <c r="U868" s="22">
        <f t="shared" si="82"/>
        <v>1.6118999999999999</v>
      </c>
      <c r="V868" s="22">
        <f t="shared" si="83"/>
        <v>9</v>
      </c>
    </row>
    <row r="869" spans="1:22" x14ac:dyDescent="0.3">
      <c r="A869" s="1" t="s">
        <v>1676</v>
      </c>
      <c r="B869" s="2">
        <v>44792</v>
      </c>
      <c r="C869" s="2" t="str">
        <f t="shared" si="79"/>
        <v>Friday</v>
      </c>
      <c r="D869" s="2" t="str">
        <f t="shared" si="80"/>
        <v>August</v>
      </c>
      <c r="E869" s="2" t="str">
        <f t="shared" si="81"/>
        <v>2022</v>
      </c>
      <c r="F869" s="3" t="s">
        <v>1677</v>
      </c>
      <c r="G869" s="3" t="str">
        <f>VLOOKUP(F870,'Customers (2)'!A:I,2,0)</f>
        <v>Margie Palleske</v>
      </c>
      <c r="H869" s="3" t="str">
        <f>VLOOKUP(F869,'Customers (2)'!A:I,3,0)</f>
        <v>bfattorinio3@quantcast.com</v>
      </c>
      <c r="I869" s="3">
        <f>VLOOKUP(F869,'Customers (2)'!A:I,4,0)</f>
        <v>0</v>
      </c>
      <c r="J869" s="3" t="str">
        <f>VLOOKUP(F869,'Customers (2)'!A:I,6,0)</f>
        <v>Monaghan</v>
      </c>
      <c r="K869" s="3" t="str">
        <f>VLOOKUP(F869,'Customers (2)'!A:I,7,0)</f>
        <v>Ireland</v>
      </c>
      <c r="L869" s="3" t="str">
        <f>VLOOKUP(F869,'Customers (2)'!A:I,9,0)</f>
        <v>Yes</v>
      </c>
      <c r="M869" s="4" t="s">
        <v>204</v>
      </c>
      <c r="N869" s="4" t="str">
        <f>VLOOKUP(M869,'Products (2)'!A:G,2,0)</f>
        <v>Arabica</v>
      </c>
      <c r="O869" s="4" t="str">
        <f>VLOOKUP(M869,'Products (2)'!A:G,3,0)</f>
        <v>Light</v>
      </c>
      <c r="P869" s="4">
        <f>VLOOKUP(M869,'Products (2)'!A:G,7,0)</f>
        <v>2.6806499999999995</v>
      </c>
      <c r="Q869" s="3">
        <v>1</v>
      </c>
      <c r="R869" s="5">
        <f>INDEX([1]products!$A$1:$G$49,MATCH([1]orders!$D869,[1]products!$A$1:$A$49,0),MATCH([1]orders!K$1,[1]products!$A$1:$G$1,0))</f>
        <v>2.5</v>
      </c>
      <c r="S869" s="6">
        <f>INDEX([1]products!$A$1:$G$49,MATCH([1]orders!$D869,[1]products!$A$1:$A$49,0),MATCH([1]orders!L$1,[1]products!$A$1:$G$1,0))</f>
        <v>29.784999999999997</v>
      </c>
      <c r="T869" s="6">
        <f t="shared" si="78"/>
        <v>29.784999999999997</v>
      </c>
      <c r="U869" s="22">
        <f t="shared" si="82"/>
        <v>2.6806499999999995</v>
      </c>
      <c r="V869" s="22">
        <f t="shared" si="83"/>
        <v>9</v>
      </c>
    </row>
    <row r="870" spans="1:22" x14ac:dyDescent="0.3">
      <c r="A870" s="1" t="s">
        <v>1678</v>
      </c>
      <c r="B870" s="2">
        <v>43526</v>
      </c>
      <c r="C870" s="2" t="str">
        <f t="shared" si="79"/>
        <v>Saturday</v>
      </c>
      <c r="D870" s="2" t="str">
        <f t="shared" si="80"/>
        <v>March</v>
      </c>
      <c r="E870" s="2" t="str">
        <f t="shared" si="81"/>
        <v>2019</v>
      </c>
      <c r="F870" s="3" t="s">
        <v>1679</v>
      </c>
      <c r="G870" s="3" t="str">
        <f>VLOOKUP(F871,'Customers (2)'!A:I,2,0)</f>
        <v>Alexina Randals</v>
      </c>
      <c r="H870" s="3" t="str">
        <f>VLOOKUP(F870,'Customers (2)'!A:I,3,0)</f>
        <v>mpalleskeo4@nyu.edu</v>
      </c>
      <c r="I870" s="3" t="str">
        <f>VLOOKUP(F870,'Customers (2)'!A:I,4,0)</f>
        <v>+1 (561) 371-1596</v>
      </c>
      <c r="J870" s="3" t="str">
        <f>VLOOKUP(F870,'Customers (2)'!A:I,6,0)</f>
        <v>Pompano Beach</v>
      </c>
      <c r="K870" s="3" t="str">
        <f>VLOOKUP(F870,'Customers (2)'!A:I,7,0)</f>
        <v>United States</v>
      </c>
      <c r="L870" s="3" t="str">
        <f>VLOOKUP(F870,'Customers (2)'!A:I,9,0)</f>
        <v>Yes</v>
      </c>
      <c r="M870" s="4" t="s">
        <v>3</v>
      </c>
      <c r="N870" s="4" t="str">
        <f>VLOOKUP(M870,'Products (2)'!A:G,2,0)</f>
        <v>Excelsa</v>
      </c>
      <c r="O870" s="4" t="str">
        <f>VLOOKUP(M870,'Products (2)'!A:G,3,0)</f>
        <v>Medium</v>
      </c>
      <c r="P870" s="4">
        <f>VLOOKUP(M870,'Products (2)'!A:G,7,0)</f>
        <v>0.90749999999999997</v>
      </c>
      <c r="Q870" s="3">
        <v>5</v>
      </c>
      <c r="R870" s="5">
        <f>INDEX([1]products!$A$1:$G$49,MATCH([1]orders!$D870,[1]products!$A$1:$A$49,0),MATCH([1]orders!K$1,[1]products!$A$1:$G$1,0))</f>
        <v>0.5</v>
      </c>
      <c r="S870" s="6">
        <f>INDEX([1]products!$A$1:$G$49,MATCH([1]orders!$D870,[1]products!$A$1:$A$49,0),MATCH([1]orders!L$1,[1]products!$A$1:$G$1,0))</f>
        <v>8.25</v>
      </c>
      <c r="T870" s="6">
        <f t="shared" si="78"/>
        <v>41.25</v>
      </c>
      <c r="U870" s="22">
        <f t="shared" si="82"/>
        <v>4.5374999999999996</v>
      </c>
      <c r="V870" s="22">
        <f t="shared" si="83"/>
        <v>10.999999999999998</v>
      </c>
    </row>
    <row r="871" spans="1:22" x14ac:dyDescent="0.3">
      <c r="A871" s="1" t="s">
        <v>1680</v>
      </c>
      <c r="B871" s="2">
        <v>43851</v>
      </c>
      <c r="C871" s="2" t="str">
        <f t="shared" si="79"/>
        <v>Tuesday</v>
      </c>
      <c r="D871" s="2" t="str">
        <f t="shared" si="80"/>
        <v>January</v>
      </c>
      <c r="E871" s="2" t="str">
        <f t="shared" si="81"/>
        <v>2020</v>
      </c>
      <c r="F871" s="3" t="s">
        <v>1681</v>
      </c>
      <c r="G871" s="3" t="str">
        <f>VLOOKUP(F872,'Customers (2)'!A:I,2,0)</f>
        <v>Filip Antcliffe</v>
      </c>
      <c r="H871" s="3">
        <f>VLOOKUP(F871,'Customers (2)'!A:I,3,0)</f>
        <v>0</v>
      </c>
      <c r="I871" s="3" t="str">
        <f>VLOOKUP(F871,'Customers (2)'!A:I,4,0)</f>
        <v>+1 (916) 300-4433</v>
      </c>
      <c r="J871" s="3" t="str">
        <f>VLOOKUP(F871,'Customers (2)'!A:I,6,0)</f>
        <v>Sacramento</v>
      </c>
      <c r="K871" s="3" t="str">
        <f>VLOOKUP(F871,'Customers (2)'!A:I,7,0)</f>
        <v>United States</v>
      </c>
      <c r="L871" s="3" t="str">
        <f>VLOOKUP(F871,'Customers (2)'!A:I,9,0)</f>
        <v>Yes</v>
      </c>
      <c r="M871" s="4" t="s">
        <v>22</v>
      </c>
      <c r="N871" s="4" t="str">
        <f>VLOOKUP(M871,'Products (2)'!A:G,2,0)</f>
        <v>Robusta</v>
      </c>
      <c r="O871" s="4" t="str">
        <f>VLOOKUP(M871,'Products (2)'!A:G,3,0)</f>
        <v>Medium</v>
      </c>
      <c r="P871" s="4">
        <f>VLOOKUP(M871,'Products (2)'!A:G,7,0)</f>
        <v>0.35819999999999996</v>
      </c>
      <c r="Q871" s="3">
        <v>3</v>
      </c>
      <c r="R871" s="5">
        <f>INDEX([1]products!$A$1:$G$49,MATCH([1]orders!$D871,[1]products!$A$1:$A$49,0),MATCH([1]orders!K$1,[1]products!$A$1:$G$1,0))</f>
        <v>0.5</v>
      </c>
      <c r="S871" s="6">
        <f>INDEX([1]products!$A$1:$G$49,MATCH([1]orders!$D871,[1]products!$A$1:$A$49,0),MATCH([1]orders!L$1,[1]products!$A$1:$G$1,0))</f>
        <v>5.97</v>
      </c>
      <c r="T871" s="6">
        <f t="shared" si="78"/>
        <v>17.91</v>
      </c>
      <c r="U871" s="22">
        <f t="shared" si="82"/>
        <v>1.0745999999999998</v>
      </c>
      <c r="V871" s="22">
        <f t="shared" si="83"/>
        <v>5.9999999999999982</v>
      </c>
    </row>
    <row r="872" spans="1:22" x14ac:dyDescent="0.3">
      <c r="A872" s="1" t="s">
        <v>1682</v>
      </c>
      <c r="B872" s="2">
        <v>44460</v>
      </c>
      <c r="C872" s="2" t="str">
        <f t="shared" si="79"/>
        <v>Tuesday</v>
      </c>
      <c r="D872" s="2" t="str">
        <f t="shared" si="80"/>
        <v>September</v>
      </c>
      <c r="E872" s="2" t="str">
        <f t="shared" si="81"/>
        <v>2021</v>
      </c>
      <c r="F872" s="3" t="s">
        <v>1683</v>
      </c>
      <c r="G872" s="3" t="str">
        <f>VLOOKUP(F873,'Customers (2)'!A:I,2,0)</f>
        <v>Peyter Matignon</v>
      </c>
      <c r="H872" s="3" t="str">
        <f>VLOOKUP(F872,'Customers (2)'!A:I,3,0)</f>
        <v>fantcliffeo6@amazon.co.jp</v>
      </c>
      <c r="I872" s="3" t="str">
        <f>VLOOKUP(F872,'Customers (2)'!A:I,4,0)</f>
        <v>+353 (581) 217-6697</v>
      </c>
      <c r="J872" s="3" t="str">
        <f>VLOOKUP(F872,'Customers (2)'!A:I,6,0)</f>
        <v>Clonskeagh</v>
      </c>
      <c r="K872" s="3" t="str">
        <f>VLOOKUP(F872,'Customers (2)'!A:I,7,0)</f>
        <v>Ireland</v>
      </c>
      <c r="L872" s="3" t="str">
        <f>VLOOKUP(F872,'Customers (2)'!A:I,9,0)</f>
        <v>Yes</v>
      </c>
      <c r="M872" s="4" t="s">
        <v>16</v>
      </c>
      <c r="N872" s="4" t="str">
        <f>VLOOKUP(M872,'Products (2)'!A:G,2,0)</f>
        <v>Excelsa</v>
      </c>
      <c r="O872" s="4" t="str">
        <f>VLOOKUP(M872,'Products (2)'!A:G,3,0)</f>
        <v>Dark</v>
      </c>
      <c r="P872" s="4">
        <f>VLOOKUP(M872,'Products (2)'!A:G,7,0)</f>
        <v>0.80190000000000006</v>
      </c>
      <c r="Q872" s="3">
        <v>1</v>
      </c>
      <c r="R872" s="5">
        <f>INDEX([1]products!$A$1:$G$49,MATCH([1]orders!$D872,[1]products!$A$1:$A$49,0),MATCH([1]orders!K$1,[1]products!$A$1:$G$1,0))</f>
        <v>0.5</v>
      </c>
      <c r="S872" s="6">
        <f>INDEX([1]products!$A$1:$G$49,MATCH([1]orders!$D872,[1]products!$A$1:$A$49,0),MATCH([1]orders!L$1,[1]products!$A$1:$G$1,0))</f>
        <v>7.29</v>
      </c>
      <c r="T872" s="6">
        <f t="shared" si="78"/>
        <v>7.29</v>
      </c>
      <c r="U872" s="22">
        <f t="shared" si="82"/>
        <v>0.80190000000000006</v>
      </c>
      <c r="V872" s="22">
        <f t="shared" si="83"/>
        <v>11</v>
      </c>
    </row>
    <row r="873" spans="1:22" x14ac:dyDescent="0.3">
      <c r="A873" s="1" t="s">
        <v>1684</v>
      </c>
      <c r="B873" s="2">
        <v>43707</v>
      </c>
      <c r="C873" s="2" t="str">
        <f t="shared" si="79"/>
        <v>Friday</v>
      </c>
      <c r="D873" s="2" t="str">
        <f t="shared" si="80"/>
        <v>August</v>
      </c>
      <c r="E873" s="2" t="str">
        <f t="shared" si="81"/>
        <v>2019</v>
      </c>
      <c r="F873" s="3" t="s">
        <v>1685</v>
      </c>
      <c r="G873" s="3" t="str">
        <f>VLOOKUP(F874,'Customers (2)'!A:I,2,0)</f>
        <v>Claudie Weond</v>
      </c>
      <c r="H873" s="3" t="str">
        <f>VLOOKUP(F873,'Customers (2)'!A:I,3,0)</f>
        <v>pmatignono7@harvard.edu</v>
      </c>
      <c r="I873" s="3" t="str">
        <f>VLOOKUP(F873,'Customers (2)'!A:I,4,0)</f>
        <v>+44 (792) 626-3977</v>
      </c>
      <c r="J873" s="3" t="str">
        <f>VLOOKUP(F873,'Customers (2)'!A:I,6,0)</f>
        <v>Kirkton</v>
      </c>
      <c r="K873" s="3" t="str">
        <f>VLOOKUP(F873,'Customers (2)'!A:I,7,0)</f>
        <v>United Kingdom</v>
      </c>
      <c r="L873" s="3" t="str">
        <f>VLOOKUP(F873,'Customers (2)'!A:I,9,0)</f>
        <v>Yes</v>
      </c>
      <c r="M873" s="4" t="s">
        <v>137</v>
      </c>
      <c r="N873" s="4" t="str">
        <f>VLOOKUP(M873,'Products (2)'!A:G,2,0)</f>
        <v>Excelsa</v>
      </c>
      <c r="O873" s="4" t="str">
        <f>VLOOKUP(M873,'Products (2)'!A:G,3,0)</f>
        <v>Light</v>
      </c>
      <c r="P873" s="4">
        <f>VLOOKUP(M873,'Products (2)'!A:G,7,0)</f>
        <v>1.6335</v>
      </c>
      <c r="Q873" s="3">
        <v>2</v>
      </c>
      <c r="R873" s="5">
        <f>INDEX([1]products!$A$1:$G$49,MATCH([1]orders!$D873,[1]products!$A$1:$A$49,0),MATCH([1]orders!K$1,[1]products!$A$1:$G$1,0))</f>
        <v>1</v>
      </c>
      <c r="S873" s="6">
        <f>INDEX([1]products!$A$1:$G$49,MATCH([1]orders!$D873,[1]products!$A$1:$A$49,0),MATCH([1]orders!L$1,[1]products!$A$1:$G$1,0))</f>
        <v>14.85</v>
      </c>
      <c r="T873" s="6">
        <f t="shared" si="78"/>
        <v>29.7</v>
      </c>
      <c r="U873" s="22">
        <f t="shared" si="82"/>
        <v>3.2669999999999999</v>
      </c>
      <c r="V873" s="22">
        <f t="shared" si="83"/>
        <v>11</v>
      </c>
    </row>
    <row r="874" spans="1:22" x14ac:dyDescent="0.3">
      <c r="A874" s="1" t="s">
        <v>1686</v>
      </c>
      <c r="B874" s="2">
        <v>43521</v>
      </c>
      <c r="C874" s="2" t="str">
        <f t="shared" si="79"/>
        <v>Monday</v>
      </c>
      <c r="D874" s="2" t="str">
        <f t="shared" si="80"/>
        <v>February</v>
      </c>
      <c r="E874" s="2" t="str">
        <f t="shared" si="81"/>
        <v>2019</v>
      </c>
      <c r="F874" s="3" t="s">
        <v>1687</v>
      </c>
      <c r="G874" s="3" t="str">
        <f>VLOOKUP(F875,'Customers (2)'!A:I,2,0)</f>
        <v>Modesty MacConnechie</v>
      </c>
      <c r="H874" s="3" t="str">
        <f>VLOOKUP(F874,'Customers (2)'!A:I,3,0)</f>
        <v>cweondo8@theglobeandmail.com</v>
      </c>
      <c r="I874" s="3" t="str">
        <f>VLOOKUP(F874,'Customers (2)'!A:I,4,0)</f>
        <v>+1 (828) 335-1268</v>
      </c>
      <c r="J874" s="3" t="str">
        <f>VLOOKUP(F874,'Customers (2)'!A:I,6,0)</f>
        <v>Asheville</v>
      </c>
      <c r="K874" s="3" t="str">
        <f>VLOOKUP(F874,'Customers (2)'!A:I,7,0)</f>
        <v>United States</v>
      </c>
      <c r="L874" s="3" t="str">
        <f>VLOOKUP(F874,'Customers (2)'!A:I,9,0)</f>
        <v>No</v>
      </c>
      <c r="M874" s="4" t="s">
        <v>61</v>
      </c>
      <c r="N874" s="4" t="str">
        <f>VLOOKUP(M874,'Products (2)'!A:G,2,0)</f>
        <v>Arabica</v>
      </c>
      <c r="O874" s="4" t="str">
        <f>VLOOKUP(M874,'Products (2)'!A:G,3,0)</f>
        <v>Medium</v>
      </c>
      <c r="P874" s="4">
        <f>VLOOKUP(M874,'Products (2)'!A:G,7,0)</f>
        <v>1.0125</v>
      </c>
      <c r="Q874" s="3">
        <v>2</v>
      </c>
      <c r="R874" s="5">
        <f>INDEX([1]products!$A$1:$G$49,MATCH([1]orders!$D874,[1]products!$A$1:$A$49,0),MATCH([1]orders!K$1,[1]products!$A$1:$G$1,0))</f>
        <v>1</v>
      </c>
      <c r="S874" s="6">
        <f>INDEX([1]products!$A$1:$G$49,MATCH([1]orders!$D874,[1]products!$A$1:$A$49,0),MATCH([1]orders!L$1,[1]products!$A$1:$G$1,0))</f>
        <v>11.25</v>
      </c>
      <c r="T874" s="6">
        <f t="shared" si="78"/>
        <v>22.5</v>
      </c>
      <c r="U874" s="22">
        <f t="shared" si="82"/>
        <v>2.0249999999999999</v>
      </c>
      <c r="V874" s="22">
        <f t="shared" si="83"/>
        <v>9</v>
      </c>
    </row>
    <row r="875" spans="1:22" x14ac:dyDescent="0.3">
      <c r="A875" s="1" t="s">
        <v>1688</v>
      </c>
      <c r="B875" s="2">
        <v>43725</v>
      </c>
      <c r="C875" s="2" t="str">
        <f t="shared" si="79"/>
        <v>Tuesday</v>
      </c>
      <c r="D875" s="2" t="str">
        <f t="shared" si="80"/>
        <v>September</v>
      </c>
      <c r="E875" s="2" t="str">
        <f t="shared" si="81"/>
        <v>2019</v>
      </c>
      <c r="F875" s="3" t="s">
        <v>1673</v>
      </c>
      <c r="G875" s="3" t="str">
        <f>VLOOKUP(F876,'Customers (2)'!A:I,2,0)</f>
        <v>Jaquenette Skentelbery</v>
      </c>
      <c r="H875" s="3" t="str">
        <f>VLOOKUP(F875,'Customers (2)'!A:I,3,0)</f>
        <v>mmacconnechieo9@reuters.com</v>
      </c>
      <c r="I875" s="3" t="str">
        <f>VLOOKUP(F875,'Customers (2)'!A:I,4,0)</f>
        <v>+1 (304) 620-6008</v>
      </c>
      <c r="J875" s="3" t="str">
        <f>VLOOKUP(F875,'Customers (2)'!A:I,6,0)</f>
        <v>Charleston</v>
      </c>
      <c r="K875" s="3" t="str">
        <f>VLOOKUP(F875,'Customers (2)'!A:I,7,0)</f>
        <v>United States</v>
      </c>
      <c r="L875" s="3" t="str">
        <f>VLOOKUP(F875,'Customers (2)'!A:I,9,0)</f>
        <v>Yes</v>
      </c>
      <c r="M875" s="4" t="s">
        <v>162</v>
      </c>
      <c r="N875" s="4" t="str">
        <f>VLOOKUP(M875,'Products (2)'!A:G,2,0)</f>
        <v>Robusta</v>
      </c>
      <c r="O875" s="4" t="str">
        <f>VLOOKUP(M875,'Products (2)'!A:G,3,0)</f>
        <v>Medium</v>
      </c>
      <c r="P875" s="4">
        <f>VLOOKUP(M875,'Products (2)'!A:G,7,0)</f>
        <v>0.17909999999999998</v>
      </c>
      <c r="Q875" s="3">
        <v>4</v>
      </c>
      <c r="R875" s="5">
        <f>INDEX([1]products!$A$1:$G$49,MATCH([1]orders!$D875,[1]products!$A$1:$A$49,0),MATCH([1]orders!K$1,[1]products!$A$1:$G$1,0))</f>
        <v>0.2</v>
      </c>
      <c r="S875" s="6">
        <f>INDEX([1]products!$A$1:$G$49,MATCH([1]orders!$D875,[1]products!$A$1:$A$49,0),MATCH([1]orders!L$1,[1]products!$A$1:$G$1,0))</f>
        <v>2.9849999999999999</v>
      </c>
      <c r="T875" s="6">
        <f t="shared" si="78"/>
        <v>11.94</v>
      </c>
      <c r="U875" s="22">
        <f t="shared" si="82"/>
        <v>0.71639999999999993</v>
      </c>
      <c r="V875" s="22">
        <f t="shared" si="83"/>
        <v>6</v>
      </c>
    </row>
    <row r="876" spans="1:22" x14ac:dyDescent="0.3">
      <c r="A876" s="1" t="s">
        <v>1689</v>
      </c>
      <c r="B876" s="2">
        <v>43680</v>
      </c>
      <c r="C876" s="2" t="str">
        <f t="shared" si="79"/>
        <v>Saturday</v>
      </c>
      <c r="D876" s="2" t="str">
        <f t="shared" si="80"/>
        <v>August</v>
      </c>
      <c r="E876" s="2" t="str">
        <f t="shared" si="81"/>
        <v>2019</v>
      </c>
      <c r="F876" s="3" t="s">
        <v>1690</v>
      </c>
      <c r="G876" s="3" t="str">
        <f>VLOOKUP(F877,'Customers (2)'!A:I,2,0)</f>
        <v>Orazio Comber</v>
      </c>
      <c r="H876" s="3" t="str">
        <f>VLOOKUP(F876,'Customers (2)'!A:I,3,0)</f>
        <v>jskentelberyoa@paypal.com</v>
      </c>
      <c r="I876" s="3" t="str">
        <f>VLOOKUP(F876,'Customers (2)'!A:I,4,0)</f>
        <v>+1 (713) 976-5419</v>
      </c>
      <c r="J876" s="3" t="str">
        <f>VLOOKUP(F876,'Customers (2)'!A:I,6,0)</f>
        <v>Houston</v>
      </c>
      <c r="K876" s="3" t="str">
        <f>VLOOKUP(F876,'Customers (2)'!A:I,7,0)</f>
        <v>United States</v>
      </c>
      <c r="L876" s="3" t="str">
        <f>VLOOKUP(F876,'Customers (2)'!A:I,9,0)</f>
        <v>No</v>
      </c>
      <c r="M876" s="4" t="s">
        <v>6</v>
      </c>
      <c r="N876" s="4" t="str">
        <f>VLOOKUP(M876,'Products (2)'!A:G,2,0)</f>
        <v>Arabica</v>
      </c>
      <c r="O876" s="4" t="str">
        <f>VLOOKUP(M876,'Products (2)'!A:G,3,0)</f>
        <v>Light</v>
      </c>
      <c r="P876" s="4">
        <f>VLOOKUP(M876,'Products (2)'!A:G,7,0)</f>
        <v>1.1655</v>
      </c>
      <c r="Q876" s="3">
        <v>2</v>
      </c>
      <c r="R876" s="5">
        <f>INDEX([1]products!$A$1:$G$49,MATCH([1]orders!$D876,[1]products!$A$1:$A$49,0),MATCH([1]orders!K$1,[1]products!$A$1:$G$1,0))</f>
        <v>1</v>
      </c>
      <c r="S876" s="6">
        <f>INDEX([1]products!$A$1:$G$49,MATCH([1]orders!$D876,[1]products!$A$1:$A$49,0),MATCH([1]orders!L$1,[1]products!$A$1:$G$1,0))</f>
        <v>12.95</v>
      </c>
      <c r="T876" s="6">
        <f t="shared" si="78"/>
        <v>25.9</v>
      </c>
      <c r="U876" s="22">
        <f t="shared" si="82"/>
        <v>2.331</v>
      </c>
      <c r="V876" s="22">
        <f t="shared" si="83"/>
        <v>9</v>
      </c>
    </row>
    <row r="877" spans="1:22" x14ac:dyDescent="0.3">
      <c r="A877" s="1" t="s">
        <v>1691</v>
      </c>
      <c r="B877" s="2">
        <v>44253</v>
      </c>
      <c r="C877" s="2" t="str">
        <f t="shared" si="79"/>
        <v>Friday</v>
      </c>
      <c r="D877" s="2" t="str">
        <f t="shared" si="80"/>
        <v>February</v>
      </c>
      <c r="E877" s="2" t="str">
        <f t="shared" si="81"/>
        <v>2021</v>
      </c>
      <c r="F877" s="3" t="s">
        <v>1692</v>
      </c>
      <c r="G877" s="3" t="str">
        <f>VLOOKUP(F878,'Customers (2)'!A:I,2,0)</f>
        <v>Orazio Comber</v>
      </c>
      <c r="H877" s="3" t="str">
        <f>VLOOKUP(F877,'Customers (2)'!A:I,3,0)</f>
        <v>ocomberob@goo.gl</v>
      </c>
      <c r="I877" s="3" t="str">
        <f>VLOOKUP(F877,'Customers (2)'!A:I,4,0)</f>
        <v>+353 (947) 836-2302</v>
      </c>
      <c r="J877" s="3" t="str">
        <f>VLOOKUP(F877,'Customers (2)'!A:I,6,0)</f>
        <v>Confey</v>
      </c>
      <c r="K877" s="3" t="str">
        <f>VLOOKUP(F877,'Customers (2)'!A:I,7,0)</f>
        <v>Ireland</v>
      </c>
      <c r="L877" s="3" t="str">
        <f>VLOOKUP(F877,'Customers (2)'!A:I,9,0)</f>
        <v>No</v>
      </c>
      <c r="M877" s="4" t="s">
        <v>78</v>
      </c>
      <c r="N877" s="4" t="str">
        <f>VLOOKUP(M877,'Products (2)'!A:G,2,0)</f>
        <v>Liberica</v>
      </c>
      <c r="O877" s="4" t="str">
        <f>VLOOKUP(M877,'Products (2)'!A:G,3,0)</f>
        <v>Medium</v>
      </c>
      <c r="P877" s="4">
        <f>VLOOKUP(M877,'Products (2)'!A:G,7,0)</f>
        <v>1.1349</v>
      </c>
      <c r="Q877" s="3">
        <v>5</v>
      </c>
      <c r="R877" s="5">
        <f>INDEX([1]products!$A$1:$G$49,MATCH([1]orders!$D877,[1]products!$A$1:$A$49,0),MATCH([1]orders!K$1,[1]products!$A$1:$G$1,0))</f>
        <v>0.5</v>
      </c>
      <c r="S877" s="6">
        <f>INDEX([1]products!$A$1:$G$49,MATCH([1]orders!$D877,[1]products!$A$1:$A$49,0),MATCH([1]orders!L$1,[1]products!$A$1:$G$1,0))</f>
        <v>8.73</v>
      </c>
      <c r="T877" s="6">
        <f t="shared" si="78"/>
        <v>43.650000000000006</v>
      </c>
      <c r="U877" s="22">
        <f t="shared" si="82"/>
        <v>5.6745000000000001</v>
      </c>
      <c r="V877" s="22">
        <f t="shared" si="83"/>
        <v>12.999999999999998</v>
      </c>
    </row>
    <row r="878" spans="1:22" x14ac:dyDescent="0.3">
      <c r="A878" s="1" t="s">
        <v>1691</v>
      </c>
      <c r="B878" s="2">
        <v>44253</v>
      </c>
      <c r="C878" s="2" t="str">
        <f t="shared" si="79"/>
        <v>Friday</v>
      </c>
      <c r="D878" s="2" t="str">
        <f t="shared" si="80"/>
        <v>February</v>
      </c>
      <c r="E878" s="2" t="str">
        <f t="shared" si="81"/>
        <v>2021</v>
      </c>
      <c r="F878" s="3" t="s">
        <v>1692</v>
      </c>
      <c r="G878" s="3" t="str">
        <f>VLOOKUP(F879,'Customers (2)'!A:I,2,0)</f>
        <v>Zachary Tramel</v>
      </c>
      <c r="H878" s="3" t="str">
        <f>VLOOKUP(F878,'Customers (2)'!A:I,3,0)</f>
        <v>ocomberob@goo.gl</v>
      </c>
      <c r="I878" s="3" t="str">
        <f>VLOOKUP(F878,'Customers (2)'!A:I,4,0)</f>
        <v>+353 (947) 836-2302</v>
      </c>
      <c r="J878" s="3" t="str">
        <f>VLOOKUP(F878,'Customers (2)'!A:I,6,0)</f>
        <v>Confey</v>
      </c>
      <c r="K878" s="3" t="str">
        <f>VLOOKUP(F878,'Customers (2)'!A:I,7,0)</f>
        <v>Ireland</v>
      </c>
      <c r="L878" s="3" t="str">
        <f>VLOOKUP(F878,'Customers (2)'!A:I,9,0)</f>
        <v>No</v>
      </c>
      <c r="M878" s="4" t="s">
        <v>192</v>
      </c>
      <c r="N878" s="4" t="str">
        <f>VLOOKUP(M878,'Products (2)'!A:G,2,0)</f>
        <v>Arabica</v>
      </c>
      <c r="O878" s="4" t="str">
        <f>VLOOKUP(M878,'Products (2)'!A:G,3,0)</f>
        <v>Light</v>
      </c>
      <c r="P878" s="4">
        <f>VLOOKUP(M878,'Products (2)'!A:G,7,0)</f>
        <v>0.69929999999999992</v>
      </c>
      <c r="Q878" s="3">
        <v>6</v>
      </c>
      <c r="R878" s="5">
        <f>INDEX([1]products!$A$1:$G$49,MATCH([1]orders!$D878,[1]products!$A$1:$A$49,0),MATCH([1]orders!K$1,[1]products!$A$1:$G$1,0))</f>
        <v>0.5</v>
      </c>
      <c r="S878" s="6">
        <f>INDEX([1]products!$A$1:$G$49,MATCH([1]orders!$D878,[1]products!$A$1:$A$49,0),MATCH([1]orders!L$1,[1]products!$A$1:$G$1,0))</f>
        <v>7.77</v>
      </c>
      <c r="T878" s="6">
        <f t="shared" si="78"/>
        <v>46.62</v>
      </c>
      <c r="U878" s="22">
        <f t="shared" si="82"/>
        <v>4.1957999999999993</v>
      </c>
      <c r="V878" s="22">
        <f t="shared" si="83"/>
        <v>9</v>
      </c>
    </row>
    <row r="879" spans="1:22" x14ac:dyDescent="0.3">
      <c r="A879" s="1" t="s">
        <v>1693</v>
      </c>
      <c r="B879" s="2">
        <v>44411</v>
      </c>
      <c r="C879" s="2" t="str">
        <f t="shared" si="79"/>
        <v>Tuesday</v>
      </c>
      <c r="D879" s="2" t="str">
        <f t="shared" si="80"/>
        <v>August</v>
      </c>
      <c r="E879" s="2" t="str">
        <f t="shared" si="81"/>
        <v>2021</v>
      </c>
      <c r="F879" s="3" t="s">
        <v>1694</v>
      </c>
      <c r="G879" s="3" t="str">
        <f>VLOOKUP(F880,'Customers (2)'!A:I,2,0)</f>
        <v>Izaak Primak</v>
      </c>
      <c r="H879" s="3" t="str">
        <f>VLOOKUP(F879,'Customers (2)'!A:I,3,0)</f>
        <v>ztramelod@netlog.com</v>
      </c>
      <c r="I879" s="3" t="str">
        <f>VLOOKUP(F879,'Customers (2)'!A:I,4,0)</f>
        <v>+1 (862) 925-5943</v>
      </c>
      <c r="J879" s="3" t="str">
        <f>VLOOKUP(F879,'Customers (2)'!A:I,6,0)</f>
        <v>Newark</v>
      </c>
      <c r="K879" s="3" t="str">
        <f>VLOOKUP(F879,'Customers (2)'!A:I,7,0)</f>
        <v>United States</v>
      </c>
      <c r="L879" s="3" t="str">
        <f>VLOOKUP(F879,'Customers (2)'!A:I,9,0)</f>
        <v>No</v>
      </c>
      <c r="M879" s="4" t="s">
        <v>83</v>
      </c>
      <c r="N879" s="4" t="str">
        <f>VLOOKUP(M879,'Products (2)'!A:G,2,0)</f>
        <v>Liberica</v>
      </c>
      <c r="O879" s="4" t="str">
        <f>VLOOKUP(M879,'Products (2)'!A:G,3,0)</f>
        <v>Light</v>
      </c>
      <c r="P879" s="4">
        <f>VLOOKUP(M879,'Products (2)'!A:G,7,0)</f>
        <v>1.2363</v>
      </c>
      <c r="Q879" s="3">
        <v>3</v>
      </c>
      <c r="R879" s="5">
        <f>INDEX([1]products!$A$1:$G$49,MATCH([1]orders!$D879,[1]products!$A$1:$A$49,0),MATCH([1]orders!K$1,[1]products!$A$1:$G$1,0))</f>
        <v>0.5</v>
      </c>
      <c r="S879" s="6">
        <f>INDEX([1]products!$A$1:$G$49,MATCH([1]orders!$D879,[1]products!$A$1:$A$49,0),MATCH([1]orders!L$1,[1]products!$A$1:$G$1,0))</f>
        <v>9.51</v>
      </c>
      <c r="T879" s="6">
        <f t="shared" si="78"/>
        <v>28.53</v>
      </c>
      <c r="U879" s="22">
        <f t="shared" si="82"/>
        <v>3.7088999999999999</v>
      </c>
      <c r="V879" s="22">
        <f t="shared" si="83"/>
        <v>12.999999999999998</v>
      </c>
    </row>
    <row r="880" spans="1:22" x14ac:dyDescent="0.3">
      <c r="A880" s="1" t="s">
        <v>1695</v>
      </c>
      <c r="B880" s="2">
        <v>44323</v>
      </c>
      <c r="C880" s="2" t="str">
        <f t="shared" si="79"/>
        <v>Friday</v>
      </c>
      <c r="D880" s="2" t="str">
        <f t="shared" si="80"/>
        <v>May</v>
      </c>
      <c r="E880" s="2" t="str">
        <f t="shared" si="81"/>
        <v>2021</v>
      </c>
      <c r="F880" s="3" t="s">
        <v>1696</v>
      </c>
      <c r="G880" s="3" t="str">
        <f>VLOOKUP(F881,'Customers (2)'!A:I,2,0)</f>
        <v>Brittani Thoresbie</v>
      </c>
      <c r="H880" s="3">
        <f>VLOOKUP(F880,'Customers (2)'!A:I,3,0)</f>
        <v>0</v>
      </c>
      <c r="I880" s="3" t="str">
        <f>VLOOKUP(F880,'Customers (2)'!A:I,4,0)</f>
        <v>+1 (206) 705-3979</v>
      </c>
      <c r="J880" s="3" t="str">
        <f>VLOOKUP(F880,'Customers (2)'!A:I,6,0)</f>
        <v>Seattle</v>
      </c>
      <c r="K880" s="3" t="str">
        <f>VLOOKUP(F880,'Customers (2)'!A:I,7,0)</f>
        <v>United States</v>
      </c>
      <c r="L880" s="3" t="str">
        <f>VLOOKUP(F880,'Customers (2)'!A:I,9,0)</f>
        <v>Yes</v>
      </c>
      <c r="M880" s="4" t="s">
        <v>10</v>
      </c>
      <c r="N880" s="4" t="str">
        <f>VLOOKUP(M880,'Products (2)'!A:G,2,0)</f>
        <v>Robusta</v>
      </c>
      <c r="O880" s="4" t="str">
        <f>VLOOKUP(M880,'Products (2)'!A:G,3,0)</f>
        <v>Light</v>
      </c>
      <c r="P880" s="4">
        <f>VLOOKUP(M880,'Products (2)'!A:G,7,0)</f>
        <v>1.6490999999999998</v>
      </c>
      <c r="Q880" s="3">
        <v>1</v>
      </c>
      <c r="R880" s="5">
        <f>INDEX([1]products!$A$1:$G$49,MATCH([1]orders!$D880,[1]products!$A$1:$A$49,0),MATCH([1]orders!K$1,[1]products!$A$1:$G$1,0))</f>
        <v>2.5</v>
      </c>
      <c r="S880" s="6">
        <f>INDEX([1]products!$A$1:$G$49,MATCH([1]orders!$D880,[1]products!$A$1:$A$49,0),MATCH([1]orders!L$1,[1]products!$A$1:$G$1,0))</f>
        <v>27.484999999999996</v>
      </c>
      <c r="T880" s="6">
        <f t="shared" si="78"/>
        <v>27.484999999999996</v>
      </c>
      <c r="U880" s="22">
        <f t="shared" si="82"/>
        <v>1.6490999999999998</v>
      </c>
      <c r="V880" s="22">
        <f t="shared" si="83"/>
        <v>6.0000000000000009</v>
      </c>
    </row>
    <row r="881" spans="1:22" x14ac:dyDescent="0.3">
      <c r="A881" s="1" t="s">
        <v>1697</v>
      </c>
      <c r="B881" s="2">
        <v>43630</v>
      </c>
      <c r="C881" s="2" t="str">
        <f t="shared" si="79"/>
        <v>Friday</v>
      </c>
      <c r="D881" s="2" t="str">
        <f t="shared" si="80"/>
        <v>June</v>
      </c>
      <c r="E881" s="2" t="str">
        <f t="shared" si="81"/>
        <v>2019</v>
      </c>
      <c r="F881" s="3" t="s">
        <v>1698</v>
      </c>
      <c r="G881" s="3" t="str">
        <f>VLOOKUP(F882,'Customers (2)'!A:I,2,0)</f>
        <v>Constanta Hatfull</v>
      </c>
      <c r="H881" s="3">
        <f>VLOOKUP(F881,'Customers (2)'!A:I,3,0)</f>
        <v>0</v>
      </c>
      <c r="I881" s="3" t="str">
        <f>VLOOKUP(F881,'Customers (2)'!A:I,4,0)</f>
        <v>+1 (303) 606-9146</v>
      </c>
      <c r="J881" s="3" t="str">
        <f>VLOOKUP(F881,'Customers (2)'!A:I,6,0)</f>
        <v>Englewood</v>
      </c>
      <c r="K881" s="3" t="str">
        <f>VLOOKUP(F881,'Customers (2)'!A:I,7,0)</f>
        <v>United States</v>
      </c>
      <c r="L881" s="3" t="str">
        <f>VLOOKUP(F881,'Customers (2)'!A:I,9,0)</f>
        <v>No</v>
      </c>
      <c r="M881" s="4" t="s">
        <v>51</v>
      </c>
      <c r="N881" s="4" t="str">
        <f>VLOOKUP(M881,'Products (2)'!A:G,2,0)</f>
        <v>Excelsa</v>
      </c>
      <c r="O881" s="4" t="str">
        <f>VLOOKUP(M881,'Products (2)'!A:G,3,0)</f>
        <v>Dark</v>
      </c>
      <c r="P881" s="4">
        <f>VLOOKUP(M881,'Products (2)'!A:G,7,0)</f>
        <v>0.40095000000000003</v>
      </c>
      <c r="Q881" s="3">
        <v>3</v>
      </c>
      <c r="R881" s="5">
        <f>INDEX([1]products!$A$1:$G$49,MATCH([1]orders!$D881,[1]products!$A$1:$A$49,0),MATCH([1]orders!K$1,[1]products!$A$1:$G$1,0))</f>
        <v>0.2</v>
      </c>
      <c r="S881" s="6">
        <f>INDEX([1]products!$A$1:$G$49,MATCH([1]orders!$D881,[1]products!$A$1:$A$49,0),MATCH([1]orders!L$1,[1]products!$A$1:$G$1,0))</f>
        <v>3.645</v>
      </c>
      <c r="T881" s="6">
        <f t="shared" si="78"/>
        <v>10.935</v>
      </c>
      <c r="U881" s="22">
        <f t="shared" si="82"/>
        <v>1.2028500000000002</v>
      </c>
      <c r="V881" s="22">
        <f t="shared" si="83"/>
        <v>11.000000000000002</v>
      </c>
    </row>
    <row r="882" spans="1:22" x14ac:dyDescent="0.3">
      <c r="A882" s="1" t="s">
        <v>1699</v>
      </c>
      <c r="B882" s="2">
        <v>43790</v>
      </c>
      <c r="C882" s="2" t="str">
        <f t="shared" si="79"/>
        <v>Thursday</v>
      </c>
      <c r="D882" s="2" t="str">
        <f t="shared" si="80"/>
        <v>November</v>
      </c>
      <c r="E882" s="2" t="str">
        <f t="shared" si="81"/>
        <v>2019</v>
      </c>
      <c r="F882" s="3" t="s">
        <v>1700</v>
      </c>
      <c r="G882" s="3" t="str">
        <f>VLOOKUP(F883,'Customers (2)'!A:I,2,0)</f>
        <v>Bobbe Castagneto</v>
      </c>
      <c r="H882" s="3" t="str">
        <f>VLOOKUP(F882,'Customers (2)'!A:I,3,0)</f>
        <v>chatfullog@ebay.com</v>
      </c>
      <c r="I882" s="3" t="str">
        <f>VLOOKUP(F882,'Customers (2)'!A:I,4,0)</f>
        <v>+1 (815) 382-1966</v>
      </c>
      <c r="J882" s="3" t="str">
        <f>VLOOKUP(F882,'Customers (2)'!A:I,6,0)</f>
        <v>Rockford</v>
      </c>
      <c r="K882" s="3" t="str">
        <f>VLOOKUP(F882,'Customers (2)'!A:I,7,0)</f>
        <v>United States</v>
      </c>
      <c r="L882" s="3" t="str">
        <f>VLOOKUP(F882,'Customers (2)'!A:I,9,0)</f>
        <v>No</v>
      </c>
      <c r="M882" s="4" t="s">
        <v>182</v>
      </c>
      <c r="N882" s="4" t="str">
        <f>VLOOKUP(M882,'Products (2)'!A:G,2,0)</f>
        <v>Robusta</v>
      </c>
      <c r="O882" s="4" t="str">
        <f>VLOOKUP(M882,'Products (2)'!A:G,3,0)</f>
        <v>Light</v>
      </c>
      <c r="P882" s="4">
        <f>VLOOKUP(M882,'Products (2)'!A:G,7,0)</f>
        <v>0.21509999999999996</v>
      </c>
      <c r="Q882" s="3">
        <v>2</v>
      </c>
      <c r="R882" s="5">
        <f>INDEX([1]products!$A$1:$G$49,MATCH([1]orders!$D882,[1]products!$A$1:$A$49,0),MATCH([1]orders!K$1,[1]products!$A$1:$G$1,0))</f>
        <v>0.2</v>
      </c>
      <c r="S882" s="6">
        <f>INDEX([1]products!$A$1:$G$49,MATCH([1]orders!$D882,[1]products!$A$1:$A$49,0),MATCH([1]orders!L$1,[1]products!$A$1:$G$1,0))</f>
        <v>3.5849999999999995</v>
      </c>
      <c r="T882" s="6">
        <f t="shared" si="78"/>
        <v>7.169999999999999</v>
      </c>
      <c r="U882" s="22">
        <f t="shared" si="82"/>
        <v>0.43019999999999992</v>
      </c>
      <c r="V882" s="22">
        <f t="shared" si="83"/>
        <v>6</v>
      </c>
    </row>
    <row r="883" spans="1:22" x14ac:dyDescent="0.3">
      <c r="A883" s="1" t="s">
        <v>1701</v>
      </c>
      <c r="B883" s="2">
        <v>44286</v>
      </c>
      <c r="C883" s="2" t="str">
        <f t="shared" si="79"/>
        <v>Wednesday</v>
      </c>
      <c r="D883" s="2" t="str">
        <f t="shared" si="80"/>
        <v>March</v>
      </c>
      <c r="E883" s="2" t="str">
        <f t="shared" si="81"/>
        <v>2021</v>
      </c>
      <c r="F883" s="3" t="s">
        <v>1702</v>
      </c>
      <c r="G883" s="3" t="str">
        <f>VLOOKUP(F884,'Customers (2)'!A:I,2,0)</f>
        <v>Kippie Marrison</v>
      </c>
      <c r="H883" s="3">
        <f>VLOOKUP(F883,'Customers (2)'!A:I,3,0)</f>
        <v>0</v>
      </c>
      <c r="I883" s="3" t="str">
        <f>VLOOKUP(F883,'Customers (2)'!A:I,4,0)</f>
        <v>+1 (406) 972-9050</v>
      </c>
      <c r="J883" s="3" t="str">
        <f>VLOOKUP(F883,'Customers (2)'!A:I,6,0)</f>
        <v>Billings</v>
      </c>
      <c r="K883" s="3" t="str">
        <f>VLOOKUP(F883,'Customers (2)'!A:I,7,0)</f>
        <v>United States</v>
      </c>
      <c r="L883" s="3" t="str">
        <f>VLOOKUP(F883,'Customers (2)'!A:I,9,0)</f>
        <v>Yes</v>
      </c>
      <c r="M883" s="4" t="s">
        <v>115</v>
      </c>
      <c r="N883" s="4" t="str">
        <f>VLOOKUP(M883,'Products (2)'!A:G,2,0)</f>
        <v>Arabica</v>
      </c>
      <c r="O883" s="4" t="str">
        <f>VLOOKUP(M883,'Products (2)'!A:G,3,0)</f>
        <v>Light</v>
      </c>
      <c r="P883" s="4">
        <f>VLOOKUP(M883,'Products (2)'!A:G,7,0)</f>
        <v>0.34964999999999996</v>
      </c>
      <c r="Q883" s="3">
        <v>6</v>
      </c>
      <c r="R883" s="5">
        <f>INDEX([1]products!$A$1:$G$49,MATCH([1]orders!$D883,[1]products!$A$1:$A$49,0),MATCH([1]orders!K$1,[1]products!$A$1:$G$1,0))</f>
        <v>0.2</v>
      </c>
      <c r="S883" s="6">
        <f>INDEX([1]products!$A$1:$G$49,MATCH([1]orders!$D883,[1]products!$A$1:$A$49,0),MATCH([1]orders!L$1,[1]products!$A$1:$G$1,0))</f>
        <v>3.8849999999999998</v>
      </c>
      <c r="T883" s="6">
        <f t="shared" si="78"/>
        <v>23.31</v>
      </c>
      <c r="U883" s="22">
        <f t="shared" si="82"/>
        <v>2.0978999999999997</v>
      </c>
      <c r="V883" s="22">
        <f t="shared" si="83"/>
        <v>9</v>
      </c>
    </row>
    <row r="884" spans="1:22" x14ac:dyDescent="0.3">
      <c r="A884" s="1" t="s">
        <v>1703</v>
      </c>
      <c r="B884" s="2">
        <v>43647</v>
      </c>
      <c r="C884" s="2" t="str">
        <f t="shared" si="79"/>
        <v>Monday</v>
      </c>
      <c r="D884" s="2" t="str">
        <f t="shared" si="80"/>
        <v>July</v>
      </c>
      <c r="E884" s="2" t="str">
        <f t="shared" si="81"/>
        <v>2019</v>
      </c>
      <c r="F884" s="3" t="s">
        <v>1704</v>
      </c>
      <c r="G884" s="3" t="str">
        <f>VLOOKUP(F885,'Customers (2)'!A:I,2,0)</f>
        <v>Lindon Agnolo</v>
      </c>
      <c r="H884" s="3" t="str">
        <f>VLOOKUP(F884,'Customers (2)'!A:I,3,0)</f>
        <v>kmarrisonoq@dropbox.com</v>
      </c>
      <c r="I884" s="3" t="str">
        <f>VLOOKUP(F884,'Customers (2)'!A:I,4,0)</f>
        <v>+1 (303) 808-6803</v>
      </c>
      <c r="J884" s="3" t="str">
        <f>VLOOKUP(F884,'Customers (2)'!A:I,6,0)</f>
        <v>Denver</v>
      </c>
      <c r="K884" s="3" t="str">
        <f>VLOOKUP(F884,'Customers (2)'!A:I,7,0)</f>
        <v>United States</v>
      </c>
      <c r="L884" s="3" t="str">
        <f>VLOOKUP(F884,'Customers (2)'!A:I,9,0)</f>
        <v>Yes</v>
      </c>
      <c r="M884" s="4" t="s">
        <v>118</v>
      </c>
      <c r="N884" s="4" t="str">
        <f>VLOOKUP(M884,'Products (2)'!A:G,2,0)</f>
        <v>Arabica</v>
      </c>
      <c r="O884" s="4" t="str">
        <f>VLOOKUP(M884,'Products (2)'!A:G,3,0)</f>
        <v>Dark</v>
      </c>
      <c r="P884" s="4">
        <f>VLOOKUP(M884,'Products (2)'!A:G,7,0)</f>
        <v>2.0596499999999995</v>
      </c>
      <c r="Q884" s="3">
        <v>5</v>
      </c>
      <c r="R884" s="5">
        <f>INDEX([1]products!$A$1:$G$49,MATCH([1]orders!$D884,[1]products!$A$1:$A$49,0),MATCH([1]orders!K$1,[1]products!$A$1:$G$1,0))</f>
        <v>2.5</v>
      </c>
      <c r="S884" s="6">
        <f>INDEX([1]products!$A$1:$G$49,MATCH([1]orders!$D884,[1]products!$A$1:$A$49,0),MATCH([1]orders!L$1,[1]products!$A$1:$G$1,0))</f>
        <v>22.884999999999998</v>
      </c>
      <c r="T884" s="6">
        <f t="shared" si="78"/>
        <v>114.42499999999998</v>
      </c>
      <c r="U884" s="22">
        <f t="shared" si="82"/>
        <v>10.298249999999998</v>
      </c>
      <c r="V884" s="22">
        <f t="shared" si="83"/>
        <v>9</v>
      </c>
    </row>
    <row r="885" spans="1:22" x14ac:dyDescent="0.3">
      <c r="A885" s="1" t="s">
        <v>1705</v>
      </c>
      <c r="B885" s="2">
        <v>43956</v>
      </c>
      <c r="C885" s="2" t="str">
        <f t="shared" si="79"/>
        <v>Tuesday</v>
      </c>
      <c r="D885" s="2" t="str">
        <f t="shared" si="80"/>
        <v>May</v>
      </c>
      <c r="E885" s="2" t="str">
        <f t="shared" si="81"/>
        <v>2020</v>
      </c>
      <c r="F885" s="3" t="s">
        <v>1706</v>
      </c>
      <c r="G885" s="3" t="str">
        <f>VLOOKUP(F886,'Customers (2)'!A:I,2,0)</f>
        <v>Delainey Kiddy</v>
      </c>
      <c r="H885" s="3" t="str">
        <f>VLOOKUP(F885,'Customers (2)'!A:I,3,0)</f>
        <v>lagnolooj@pinterest.com</v>
      </c>
      <c r="I885" s="3" t="str">
        <f>VLOOKUP(F885,'Customers (2)'!A:I,4,0)</f>
        <v>+1 (918) 228-6949</v>
      </c>
      <c r="J885" s="3" t="str">
        <f>VLOOKUP(F885,'Customers (2)'!A:I,6,0)</f>
        <v>Tulsa</v>
      </c>
      <c r="K885" s="3" t="str">
        <f>VLOOKUP(F885,'Customers (2)'!A:I,7,0)</f>
        <v>United States</v>
      </c>
      <c r="L885" s="3" t="str">
        <f>VLOOKUP(F885,'Customers (2)'!A:I,9,0)</f>
        <v>Yes</v>
      </c>
      <c r="M885" s="4" t="s">
        <v>171</v>
      </c>
      <c r="N885" s="4" t="str">
        <f>VLOOKUP(M885,'Products (2)'!A:G,2,0)</f>
        <v>Arabica</v>
      </c>
      <c r="O885" s="4" t="str">
        <f>VLOOKUP(M885,'Products (2)'!A:G,3,0)</f>
        <v>Medium</v>
      </c>
      <c r="P885" s="4">
        <f>VLOOKUP(M885,'Products (2)'!A:G,7,0)</f>
        <v>2.3287499999999994</v>
      </c>
      <c r="Q885" s="3">
        <v>3</v>
      </c>
      <c r="R885" s="5">
        <f>INDEX([1]products!$A$1:$G$49,MATCH([1]orders!$D885,[1]products!$A$1:$A$49,0),MATCH([1]orders!K$1,[1]products!$A$1:$G$1,0))</f>
        <v>2.5</v>
      </c>
      <c r="S885" s="6">
        <f>INDEX([1]products!$A$1:$G$49,MATCH([1]orders!$D885,[1]products!$A$1:$A$49,0),MATCH([1]orders!L$1,[1]products!$A$1:$G$1,0))</f>
        <v>25.874999999999996</v>
      </c>
      <c r="T885" s="6">
        <f t="shared" si="78"/>
        <v>77.624999999999986</v>
      </c>
      <c r="U885" s="22">
        <f t="shared" si="82"/>
        <v>6.9862499999999983</v>
      </c>
      <c r="V885" s="22">
        <f t="shared" si="83"/>
        <v>9</v>
      </c>
    </row>
    <row r="886" spans="1:22" x14ac:dyDescent="0.3">
      <c r="A886" s="1" t="s">
        <v>1707</v>
      </c>
      <c r="B886" s="2">
        <v>43941</v>
      </c>
      <c r="C886" s="2" t="str">
        <f t="shared" si="79"/>
        <v>Monday</v>
      </c>
      <c r="D886" s="2" t="str">
        <f t="shared" si="80"/>
        <v>April</v>
      </c>
      <c r="E886" s="2" t="str">
        <f t="shared" si="81"/>
        <v>2020</v>
      </c>
      <c r="F886" s="3" t="s">
        <v>1708</v>
      </c>
      <c r="G886" s="3" t="str">
        <f>VLOOKUP(F887,'Customers (2)'!A:I,2,0)</f>
        <v>Helli Petroulis</v>
      </c>
      <c r="H886" s="3" t="str">
        <f>VLOOKUP(F886,'Customers (2)'!A:I,3,0)</f>
        <v>dkiddyok@fda.gov</v>
      </c>
      <c r="I886" s="3" t="str">
        <f>VLOOKUP(F886,'Customers (2)'!A:I,4,0)</f>
        <v>+1 (209) 103-3933</v>
      </c>
      <c r="J886" s="3" t="str">
        <f>VLOOKUP(F886,'Customers (2)'!A:I,6,0)</f>
        <v>Fresno</v>
      </c>
      <c r="K886" s="3" t="str">
        <f>VLOOKUP(F886,'Customers (2)'!A:I,7,0)</f>
        <v>United States</v>
      </c>
      <c r="L886" s="3" t="str">
        <f>VLOOKUP(F886,'Customers (2)'!A:I,9,0)</f>
        <v>Yes</v>
      </c>
      <c r="M886" s="4" t="s">
        <v>146</v>
      </c>
      <c r="N886" s="4" t="str">
        <f>VLOOKUP(M886,'Products (2)'!A:G,2,0)</f>
        <v>Robusta</v>
      </c>
      <c r="O886" s="4" t="str">
        <f>VLOOKUP(M886,'Products (2)'!A:G,3,0)</f>
        <v>Dark</v>
      </c>
      <c r="P886" s="4">
        <f>VLOOKUP(M886,'Products (2)'!A:G,7,0)</f>
        <v>0.32219999999999993</v>
      </c>
      <c r="Q886" s="3">
        <v>1</v>
      </c>
      <c r="R886" s="5">
        <f>INDEX([1]products!$A$1:$G$49,MATCH([1]orders!$D886,[1]products!$A$1:$A$49,0),MATCH([1]orders!K$1,[1]products!$A$1:$G$1,0))</f>
        <v>0.5</v>
      </c>
      <c r="S886" s="6">
        <f>INDEX([1]products!$A$1:$G$49,MATCH([1]orders!$D886,[1]products!$A$1:$A$49,0),MATCH([1]orders!L$1,[1]products!$A$1:$G$1,0))</f>
        <v>5.3699999999999992</v>
      </c>
      <c r="T886" s="6">
        <f t="shared" si="78"/>
        <v>5.3699999999999992</v>
      </c>
      <c r="U886" s="22">
        <f t="shared" si="82"/>
        <v>0.32219999999999993</v>
      </c>
      <c r="V886" s="22">
        <f t="shared" si="83"/>
        <v>6</v>
      </c>
    </row>
    <row r="887" spans="1:22" x14ac:dyDescent="0.3">
      <c r="A887" s="1" t="s">
        <v>1709</v>
      </c>
      <c r="B887" s="2">
        <v>43664</v>
      </c>
      <c r="C887" s="2" t="str">
        <f t="shared" si="79"/>
        <v>Thursday</v>
      </c>
      <c r="D887" s="2" t="str">
        <f t="shared" si="80"/>
        <v>July</v>
      </c>
      <c r="E887" s="2" t="str">
        <f t="shared" si="81"/>
        <v>2019</v>
      </c>
      <c r="F887" s="3" t="s">
        <v>1710</v>
      </c>
      <c r="G887" s="3" t="str">
        <f>VLOOKUP(F888,'Customers (2)'!A:I,2,0)</f>
        <v>Marty Scholl</v>
      </c>
      <c r="H887" s="3" t="str">
        <f>VLOOKUP(F887,'Customers (2)'!A:I,3,0)</f>
        <v>hpetroulisol@state.tx.us</v>
      </c>
      <c r="I887" s="3" t="str">
        <f>VLOOKUP(F887,'Customers (2)'!A:I,4,0)</f>
        <v>+353 (783) 893-0842</v>
      </c>
      <c r="J887" s="3" t="str">
        <f>VLOOKUP(F887,'Customers (2)'!A:I,6,0)</f>
        <v>Mullagh</v>
      </c>
      <c r="K887" s="3" t="str">
        <f>VLOOKUP(F887,'Customers (2)'!A:I,7,0)</f>
        <v>Ireland</v>
      </c>
      <c r="L887" s="3" t="str">
        <f>VLOOKUP(F887,'Customers (2)'!A:I,9,0)</f>
        <v>No</v>
      </c>
      <c r="M887" s="4" t="s">
        <v>35</v>
      </c>
      <c r="N887" s="4" t="str">
        <f>VLOOKUP(M887,'Products (2)'!A:G,2,0)</f>
        <v>Robusta</v>
      </c>
      <c r="O887" s="4" t="str">
        <f>VLOOKUP(M887,'Products (2)'!A:G,3,0)</f>
        <v>Dark</v>
      </c>
      <c r="P887" s="4">
        <f>VLOOKUP(M887,'Products (2)'!A:G,7,0)</f>
        <v>1.2350999999999999</v>
      </c>
      <c r="Q887" s="3">
        <v>6</v>
      </c>
      <c r="R887" s="5">
        <f>INDEX([1]products!$A$1:$G$49,MATCH([1]orders!$D887,[1]products!$A$1:$A$49,0),MATCH([1]orders!K$1,[1]products!$A$1:$G$1,0))</f>
        <v>2.5</v>
      </c>
      <c r="S887" s="6">
        <f>INDEX([1]products!$A$1:$G$49,MATCH([1]orders!$D887,[1]products!$A$1:$A$49,0),MATCH([1]orders!L$1,[1]products!$A$1:$G$1,0))</f>
        <v>20.584999999999997</v>
      </c>
      <c r="T887" s="6">
        <f t="shared" si="78"/>
        <v>123.50999999999999</v>
      </c>
      <c r="U887" s="22">
        <f t="shared" si="82"/>
        <v>7.4105999999999987</v>
      </c>
      <c r="V887" s="22">
        <f t="shared" si="83"/>
        <v>5.9999999999999991</v>
      </c>
    </row>
    <row r="888" spans="1:22" x14ac:dyDescent="0.3">
      <c r="A888" s="1" t="s">
        <v>1711</v>
      </c>
      <c r="B888" s="2">
        <v>44518</v>
      </c>
      <c r="C888" s="2" t="str">
        <f t="shared" si="79"/>
        <v>Thursday</v>
      </c>
      <c r="D888" s="2" t="str">
        <f t="shared" si="80"/>
        <v>November</v>
      </c>
      <c r="E888" s="2" t="str">
        <f t="shared" si="81"/>
        <v>2021</v>
      </c>
      <c r="F888" s="3" t="s">
        <v>1712</v>
      </c>
      <c r="G888" s="3" t="str">
        <f>VLOOKUP(F889,'Customers (2)'!A:I,2,0)</f>
        <v>Kienan Ferson</v>
      </c>
      <c r="H888" s="3" t="str">
        <f>VLOOKUP(F888,'Customers (2)'!A:I,3,0)</f>
        <v>mschollom@taobao.com</v>
      </c>
      <c r="I888" s="3" t="str">
        <f>VLOOKUP(F888,'Customers (2)'!A:I,4,0)</f>
        <v>+1 (415) 613-5939</v>
      </c>
      <c r="J888" s="3" t="str">
        <f>VLOOKUP(F888,'Customers (2)'!A:I,6,0)</f>
        <v>San Francisco</v>
      </c>
      <c r="K888" s="3" t="str">
        <f>VLOOKUP(F888,'Customers (2)'!A:I,7,0)</f>
        <v>United States</v>
      </c>
      <c r="L888" s="3" t="str">
        <f>VLOOKUP(F888,'Customers (2)'!A:I,9,0)</f>
        <v>No</v>
      </c>
      <c r="M888" s="4" t="s">
        <v>78</v>
      </c>
      <c r="N888" s="4" t="str">
        <f>VLOOKUP(M888,'Products (2)'!A:G,2,0)</f>
        <v>Liberica</v>
      </c>
      <c r="O888" s="4" t="str">
        <f>VLOOKUP(M888,'Products (2)'!A:G,3,0)</f>
        <v>Medium</v>
      </c>
      <c r="P888" s="4">
        <f>VLOOKUP(M888,'Products (2)'!A:G,7,0)</f>
        <v>1.1349</v>
      </c>
      <c r="Q888" s="3">
        <v>2</v>
      </c>
      <c r="R888" s="5">
        <f>INDEX([1]products!$A$1:$G$49,MATCH([1]orders!$D888,[1]products!$A$1:$A$49,0),MATCH([1]orders!K$1,[1]products!$A$1:$G$1,0))</f>
        <v>0.5</v>
      </c>
      <c r="S888" s="6">
        <f>INDEX([1]products!$A$1:$G$49,MATCH([1]orders!$D888,[1]products!$A$1:$A$49,0),MATCH([1]orders!L$1,[1]products!$A$1:$G$1,0))</f>
        <v>8.73</v>
      </c>
      <c r="T888" s="6">
        <f t="shared" si="78"/>
        <v>17.46</v>
      </c>
      <c r="U888" s="22">
        <f t="shared" si="82"/>
        <v>2.2698</v>
      </c>
      <c r="V888" s="22">
        <f t="shared" si="83"/>
        <v>13</v>
      </c>
    </row>
    <row r="889" spans="1:22" x14ac:dyDescent="0.3">
      <c r="A889" s="1" t="s">
        <v>1713</v>
      </c>
      <c r="B889" s="2">
        <v>44002</v>
      </c>
      <c r="C889" s="2" t="str">
        <f t="shared" si="79"/>
        <v>Saturday</v>
      </c>
      <c r="D889" s="2" t="str">
        <f t="shared" si="80"/>
        <v>June</v>
      </c>
      <c r="E889" s="2" t="str">
        <f t="shared" si="81"/>
        <v>2020</v>
      </c>
      <c r="F889" s="3" t="s">
        <v>1714</v>
      </c>
      <c r="G889" s="3" t="str">
        <f>VLOOKUP(F890,'Customers (2)'!A:I,2,0)</f>
        <v>Blake Kelloway</v>
      </c>
      <c r="H889" s="3" t="str">
        <f>VLOOKUP(F889,'Customers (2)'!A:I,3,0)</f>
        <v>kfersonon@g.co</v>
      </c>
      <c r="I889" s="3" t="str">
        <f>VLOOKUP(F889,'Customers (2)'!A:I,4,0)</f>
        <v>+1 (251) 291-1195</v>
      </c>
      <c r="J889" s="3" t="str">
        <f>VLOOKUP(F889,'Customers (2)'!A:I,6,0)</f>
        <v>Mobile</v>
      </c>
      <c r="K889" s="3" t="str">
        <f>VLOOKUP(F889,'Customers (2)'!A:I,7,0)</f>
        <v>United States</v>
      </c>
      <c r="L889" s="3" t="str">
        <f>VLOOKUP(F889,'Customers (2)'!A:I,9,0)</f>
        <v>No</v>
      </c>
      <c r="M889" s="4" t="s">
        <v>254</v>
      </c>
      <c r="N889" s="4" t="str">
        <f>VLOOKUP(M889,'Products (2)'!A:G,2,0)</f>
        <v>Excelsa</v>
      </c>
      <c r="O889" s="4" t="str">
        <f>VLOOKUP(M889,'Products (2)'!A:G,3,0)</f>
        <v>Light</v>
      </c>
      <c r="P889" s="4">
        <f>VLOOKUP(M889,'Products (2)'!A:G,7,0)</f>
        <v>0.49004999999999999</v>
      </c>
      <c r="Q889" s="3">
        <v>3</v>
      </c>
      <c r="R889" s="5">
        <f>INDEX([1]products!$A$1:$G$49,MATCH([1]orders!$D889,[1]products!$A$1:$A$49,0),MATCH([1]orders!K$1,[1]products!$A$1:$G$1,0))</f>
        <v>0.2</v>
      </c>
      <c r="S889" s="6">
        <f>INDEX([1]products!$A$1:$G$49,MATCH([1]orders!$D889,[1]products!$A$1:$A$49,0),MATCH([1]orders!L$1,[1]products!$A$1:$G$1,0))</f>
        <v>4.4550000000000001</v>
      </c>
      <c r="T889" s="6">
        <f t="shared" si="78"/>
        <v>13.365</v>
      </c>
      <c r="U889" s="22">
        <f t="shared" si="82"/>
        <v>1.4701499999999998</v>
      </c>
      <c r="V889" s="22">
        <f t="shared" si="83"/>
        <v>10.999999999999998</v>
      </c>
    </row>
    <row r="890" spans="1:22" x14ac:dyDescent="0.3">
      <c r="A890" s="1" t="s">
        <v>1715</v>
      </c>
      <c r="B890" s="2">
        <v>44292</v>
      </c>
      <c r="C890" s="2" t="str">
        <f t="shared" si="79"/>
        <v>Tuesday</v>
      </c>
      <c r="D890" s="2" t="str">
        <f t="shared" si="80"/>
        <v>April</v>
      </c>
      <c r="E890" s="2" t="str">
        <f t="shared" si="81"/>
        <v>2021</v>
      </c>
      <c r="F890" s="3" t="s">
        <v>1716</v>
      </c>
      <c r="G890" s="3" t="str">
        <f>VLOOKUP(F891,'Customers (2)'!A:I,2,0)</f>
        <v>Scarlett Oliffe</v>
      </c>
      <c r="H890" s="3" t="str">
        <f>VLOOKUP(F890,'Customers (2)'!A:I,3,0)</f>
        <v>bkellowayoo@omniture.com</v>
      </c>
      <c r="I890" s="3" t="str">
        <f>VLOOKUP(F890,'Customers (2)'!A:I,4,0)</f>
        <v>+1 (415) 757-3377</v>
      </c>
      <c r="J890" s="3" t="str">
        <f>VLOOKUP(F890,'Customers (2)'!A:I,6,0)</f>
        <v>San Francisco</v>
      </c>
      <c r="K890" s="3" t="str">
        <f>VLOOKUP(F890,'Customers (2)'!A:I,7,0)</f>
        <v>United States</v>
      </c>
      <c r="L890" s="3" t="str">
        <f>VLOOKUP(F890,'Customers (2)'!A:I,9,0)</f>
        <v>Yes</v>
      </c>
      <c r="M890" s="4" t="s">
        <v>115</v>
      </c>
      <c r="N890" s="4" t="str">
        <f>VLOOKUP(M890,'Products (2)'!A:G,2,0)</f>
        <v>Arabica</v>
      </c>
      <c r="O890" s="4" t="str">
        <f>VLOOKUP(M890,'Products (2)'!A:G,3,0)</f>
        <v>Light</v>
      </c>
      <c r="P890" s="4">
        <f>VLOOKUP(M890,'Products (2)'!A:G,7,0)</f>
        <v>0.34964999999999996</v>
      </c>
      <c r="Q890" s="3">
        <v>2</v>
      </c>
      <c r="R890" s="5">
        <f>INDEX([1]products!$A$1:$G$49,MATCH([1]orders!$D890,[1]products!$A$1:$A$49,0),MATCH([1]orders!K$1,[1]products!$A$1:$G$1,0))</f>
        <v>0.2</v>
      </c>
      <c r="S890" s="6">
        <f>INDEX([1]products!$A$1:$G$49,MATCH([1]orders!$D890,[1]products!$A$1:$A$49,0),MATCH([1]orders!L$1,[1]products!$A$1:$G$1,0))</f>
        <v>3.8849999999999998</v>
      </c>
      <c r="T890" s="6">
        <f t="shared" si="78"/>
        <v>7.77</v>
      </c>
      <c r="U890" s="22">
        <f t="shared" si="82"/>
        <v>0.69929999999999992</v>
      </c>
      <c r="V890" s="22">
        <f t="shared" si="83"/>
        <v>9</v>
      </c>
    </row>
    <row r="891" spans="1:22" x14ac:dyDescent="0.3">
      <c r="A891" s="1" t="s">
        <v>1717</v>
      </c>
      <c r="B891" s="2">
        <v>43633</v>
      </c>
      <c r="C891" s="2" t="str">
        <f t="shared" si="79"/>
        <v>Monday</v>
      </c>
      <c r="D891" s="2" t="str">
        <f t="shared" si="80"/>
        <v>June</v>
      </c>
      <c r="E891" s="2" t="str">
        <f t="shared" si="81"/>
        <v>2019</v>
      </c>
      <c r="F891" s="3" t="s">
        <v>1718</v>
      </c>
      <c r="G891" s="3" t="str">
        <f>VLOOKUP(F892,'Customers (2)'!A:I,2,0)</f>
        <v>Kippie Marrison</v>
      </c>
      <c r="H891" s="3" t="str">
        <f>VLOOKUP(F891,'Customers (2)'!A:I,3,0)</f>
        <v>soliffeop@yellowbook.com</v>
      </c>
      <c r="I891" s="3" t="str">
        <f>VLOOKUP(F891,'Customers (2)'!A:I,4,0)</f>
        <v>+1 (212) 198-9134</v>
      </c>
      <c r="J891" s="3" t="str">
        <f>VLOOKUP(F891,'Customers (2)'!A:I,6,0)</f>
        <v>Jamaica</v>
      </c>
      <c r="K891" s="3" t="str">
        <f>VLOOKUP(F891,'Customers (2)'!A:I,7,0)</f>
        <v>United States</v>
      </c>
      <c r="L891" s="3" t="str">
        <f>VLOOKUP(F891,'Customers (2)'!A:I,9,0)</f>
        <v>Yes</v>
      </c>
      <c r="M891" s="4" t="s">
        <v>101</v>
      </c>
      <c r="N891" s="4" t="str">
        <f>VLOOKUP(M891,'Products (2)'!A:G,2,0)</f>
        <v>Robusta</v>
      </c>
      <c r="O891" s="4" t="str">
        <f>VLOOKUP(M891,'Products (2)'!A:G,3,0)</f>
        <v>Dark</v>
      </c>
      <c r="P891" s="4">
        <f>VLOOKUP(M891,'Products (2)'!A:G,7,0)</f>
        <v>0.16109999999999997</v>
      </c>
      <c r="Q891" s="3">
        <v>1</v>
      </c>
      <c r="R891" s="5">
        <f>INDEX([1]products!$A$1:$G$49,MATCH([1]orders!$D891,[1]products!$A$1:$A$49,0),MATCH([1]orders!K$1,[1]products!$A$1:$G$1,0))</f>
        <v>0.2</v>
      </c>
      <c r="S891" s="6">
        <f>INDEX([1]products!$A$1:$G$49,MATCH([1]orders!$D891,[1]products!$A$1:$A$49,0),MATCH([1]orders!L$1,[1]products!$A$1:$G$1,0))</f>
        <v>2.6849999999999996</v>
      </c>
      <c r="T891" s="6">
        <f t="shared" si="78"/>
        <v>2.6849999999999996</v>
      </c>
      <c r="U891" s="22">
        <f t="shared" si="82"/>
        <v>0.16109999999999997</v>
      </c>
      <c r="V891" s="22">
        <f t="shared" si="83"/>
        <v>6</v>
      </c>
    </row>
    <row r="892" spans="1:22" x14ac:dyDescent="0.3">
      <c r="A892" s="1" t="s">
        <v>1719</v>
      </c>
      <c r="B892" s="2">
        <v>44646</v>
      </c>
      <c r="C892" s="2" t="str">
        <f t="shared" si="79"/>
        <v>Saturday</v>
      </c>
      <c r="D892" s="2" t="str">
        <f t="shared" si="80"/>
        <v>March</v>
      </c>
      <c r="E892" s="2" t="str">
        <f t="shared" si="81"/>
        <v>2022</v>
      </c>
      <c r="F892" s="3" t="s">
        <v>1704</v>
      </c>
      <c r="G892" s="3" t="str">
        <f>VLOOKUP(F893,'Customers (2)'!A:I,2,0)</f>
        <v>Celestia Dolohunty</v>
      </c>
      <c r="H892" s="3" t="str">
        <f>VLOOKUP(F892,'Customers (2)'!A:I,3,0)</f>
        <v>kmarrisonoq@dropbox.com</v>
      </c>
      <c r="I892" s="3" t="str">
        <f>VLOOKUP(F892,'Customers (2)'!A:I,4,0)</f>
        <v>+1 (303) 808-6803</v>
      </c>
      <c r="J892" s="3" t="str">
        <f>VLOOKUP(F892,'Customers (2)'!A:I,6,0)</f>
        <v>Denver</v>
      </c>
      <c r="K892" s="3" t="str">
        <f>VLOOKUP(F892,'Customers (2)'!A:I,7,0)</f>
        <v>United States</v>
      </c>
      <c r="L892" s="3" t="str">
        <f>VLOOKUP(F892,'Customers (2)'!A:I,9,0)</f>
        <v>Yes</v>
      </c>
      <c r="M892" s="4" t="s">
        <v>35</v>
      </c>
      <c r="N892" s="4" t="str">
        <f>VLOOKUP(M892,'Products (2)'!A:G,2,0)</f>
        <v>Robusta</v>
      </c>
      <c r="O892" s="4" t="str">
        <f>VLOOKUP(M892,'Products (2)'!A:G,3,0)</f>
        <v>Dark</v>
      </c>
      <c r="P892" s="4">
        <f>VLOOKUP(M892,'Products (2)'!A:G,7,0)</f>
        <v>1.2350999999999999</v>
      </c>
      <c r="Q892" s="3">
        <v>1</v>
      </c>
      <c r="R892" s="5">
        <f>INDEX([1]products!$A$1:$G$49,MATCH([1]orders!$D892,[1]products!$A$1:$A$49,0),MATCH([1]orders!K$1,[1]products!$A$1:$G$1,0))</f>
        <v>2.5</v>
      </c>
      <c r="S892" s="6">
        <f>INDEX([1]products!$A$1:$G$49,MATCH([1]orders!$D892,[1]products!$A$1:$A$49,0),MATCH([1]orders!L$1,[1]products!$A$1:$G$1,0))</f>
        <v>20.584999999999997</v>
      </c>
      <c r="T892" s="6">
        <f t="shared" si="78"/>
        <v>20.584999999999997</v>
      </c>
      <c r="U892" s="22">
        <f t="shared" si="82"/>
        <v>1.2350999999999999</v>
      </c>
      <c r="V892" s="22">
        <f t="shared" si="83"/>
        <v>6.0000000000000009</v>
      </c>
    </row>
    <row r="893" spans="1:22" x14ac:dyDescent="0.3">
      <c r="A893" s="1" t="s">
        <v>1720</v>
      </c>
      <c r="B893" s="2">
        <v>44469</v>
      </c>
      <c r="C893" s="2" t="str">
        <f t="shared" si="79"/>
        <v>Thursday</v>
      </c>
      <c r="D893" s="2" t="str">
        <f t="shared" si="80"/>
        <v>September</v>
      </c>
      <c r="E893" s="2" t="str">
        <f t="shared" si="81"/>
        <v>2021</v>
      </c>
      <c r="F893" s="3" t="s">
        <v>1721</v>
      </c>
      <c r="G893" s="3" t="str">
        <f>VLOOKUP(F894,'Customers (2)'!A:I,2,0)</f>
        <v>Patsy Vasilenko</v>
      </c>
      <c r="H893" s="3" t="str">
        <f>VLOOKUP(F893,'Customers (2)'!A:I,3,0)</f>
        <v>cdolohuntyor@dailymail.co.uk</v>
      </c>
      <c r="I893" s="3" t="str">
        <f>VLOOKUP(F893,'Customers (2)'!A:I,4,0)</f>
        <v>+1 (619) 353-0412</v>
      </c>
      <c r="J893" s="3" t="str">
        <f>VLOOKUP(F893,'Customers (2)'!A:I,6,0)</f>
        <v>San Diego</v>
      </c>
      <c r="K893" s="3" t="str">
        <f>VLOOKUP(F893,'Customers (2)'!A:I,7,0)</f>
        <v>United States</v>
      </c>
      <c r="L893" s="3" t="str">
        <f>VLOOKUP(F893,'Customers (2)'!A:I,9,0)</f>
        <v>Yes</v>
      </c>
      <c r="M893" s="4" t="s">
        <v>118</v>
      </c>
      <c r="N893" s="4" t="str">
        <f>VLOOKUP(M893,'Products (2)'!A:G,2,0)</f>
        <v>Arabica</v>
      </c>
      <c r="O893" s="4" t="str">
        <f>VLOOKUP(M893,'Products (2)'!A:G,3,0)</f>
        <v>Dark</v>
      </c>
      <c r="P893" s="4">
        <f>VLOOKUP(M893,'Products (2)'!A:G,7,0)</f>
        <v>2.0596499999999995</v>
      </c>
      <c r="Q893" s="3">
        <v>5</v>
      </c>
      <c r="R893" s="5">
        <f>INDEX([1]products!$A$1:$G$49,MATCH([1]orders!$D893,[1]products!$A$1:$A$49,0),MATCH([1]orders!K$1,[1]products!$A$1:$G$1,0))</f>
        <v>2.5</v>
      </c>
      <c r="S893" s="6">
        <f>INDEX([1]products!$A$1:$G$49,MATCH([1]orders!$D893,[1]products!$A$1:$A$49,0),MATCH([1]orders!L$1,[1]products!$A$1:$G$1,0))</f>
        <v>22.884999999999998</v>
      </c>
      <c r="T893" s="6">
        <f t="shared" si="78"/>
        <v>114.42499999999998</v>
      </c>
      <c r="U893" s="22">
        <f t="shared" si="82"/>
        <v>10.298249999999998</v>
      </c>
      <c r="V893" s="22">
        <f t="shared" si="83"/>
        <v>9</v>
      </c>
    </row>
    <row r="894" spans="1:22" x14ac:dyDescent="0.3">
      <c r="A894" s="1" t="s">
        <v>1722</v>
      </c>
      <c r="B894" s="2">
        <v>43635</v>
      </c>
      <c r="C894" s="2" t="str">
        <f t="shared" si="79"/>
        <v>Wednesday</v>
      </c>
      <c r="D894" s="2" t="str">
        <f t="shared" si="80"/>
        <v>June</v>
      </c>
      <c r="E894" s="2" t="str">
        <f t="shared" si="81"/>
        <v>2019</v>
      </c>
      <c r="F894" s="3" t="s">
        <v>1723</v>
      </c>
      <c r="G894" s="3" t="str">
        <f>VLOOKUP(F895,'Customers (2)'!A:I,2,0)</f>
        <v>Raphaela Schankelborg</v>
      </c>
      <c r="H894" s="3" t="str">
        <f>VLOOKUP(F894,'Customers (2)'!A:I,3,0)</f>
        <v>pvasilenkoos@addtoany.com</v>
      </c>
      <c r="I894" s="3" t="str">
        <f>VLOOKUP(F894,'Customers (2)'!A:I,4,0)</f>
        <v>+44 (116) 714-6469</v>
      </c>
      <c r="J894" s="3" t="str">
        <f>VLOOKUP(F894,'Customers (2)'!A:I,6,0)</f>
        <v>Preston</v>
      </c>
      <c r="K894" s="3" t="str">
        <f>VLOOKUP(F894,'Customers (2)'!A:I,7,0)</f>
        <v>United Kingdom</v>
      </c>
      <c r="L894" s="3" t="str">
        <f>VLOOKUP(F894,'Customers (2)'!A:I,9,0)</f>
        <v>No</v>
      </c>
      <c r="M894" s="4" t="s">
        <v>64</v>
      </c>
      <c r="N894" s="4" t="str">
        <f>VLOOKUP(M894,'Products (2)'!A:G,2,0)</f>
        <v>Excelsa</v>
      </c>
      <c r="O894" s="4" t="str">
        <f>VLOOKUP(M894,'Products (2)'!A:G,3,0)</f>
        <v>Medium</v>
      </c>
      <c r="P894" s="4">
        <f>VLOOKUP(M894,'Products (2)'!A:G,7,0)</f>
        <v>0.45374999999999999</v>
      </c>
      <c r="Q894" s="3">
        <v>5</v>
      </c>
      <c r="R894" s="5">
        <f>INDEX([1]products!$A$1:$G$49,MATCH([1]orders!$D894,[1]products!$A$1:$A$49,0),MATCH([1]orders!K$1,[1]products!$A$1:$G$1,0))</f>
        <v>0.2</v>
      </c>
      <c r="S894" s="6">
        <f>INDEX([1]products!$A$1:$G$49,MATCH([1]orders!$D894,[1]products!$A$1:$A$49,0),MATCH([1]orders!L$1,[1]products!$A$1:$G$1,0))</f>
        <v>4.125</v>
      </c>
      <c r="T894" s="6">
        <f t="shared" si="78"/>
        <v>20.625</v>
      </c>
      <c r="U894" s="22">
        <f t="shared" si="82"/>
        <v>2.2687499999999998</v>
      </c>
      <c r="V894" s="22">
        <f t="shared" si="83"/>
        <v>10.999999999999998</v>
      </c>
    </row>
    <row r="895" spans="1:22" x14ac:dyDescent="0.3">
      <c r="A895" s="1" t="s">
        <v>1724</v>
      </c>
      <c r="B895" s="2">
        <v>44651</v>
      </c>
      <c r="C895" s="2" t="str">
        <f t="shared" si="79"/>
        <v>Thursday</v>
      </c>
      <c r="D895" s="2" t="str">
        <f t="shared" si="80"/>
        <v>March</v>
      </c>
      <c r="E895" s="2" t="str">
        <f t="shared" si="81"/>
        <v>2022</v>
      </c>
      <c r="F895" s="3" t="s">
        <v>1725</v>
      </c>
      <c r="G895" s="3" t="str">
        <f>VLOOKUP(F896,'Customers (2)'!A:I,2,0)</f>
        <v>Sharity Wickens</v>
      </c>
      <c r="H895" s="3" t="str">
        <f>VLOOKUP(F895,'Customers (2)'!A:I,3,0)</f>
        <v>rschankelborgot@ameblo.jp</v>
      </c>
      <c r="I895" s="3">
        <f>VLOOKUP(F895,'Customers (2)'!A:I,4,0)</f>
        <v>0</v>
      </c>
      <c r="J895" s="3" t="str">
        <f>VLOOKUP(F895,'Customers (2)'!A:I,6,0)</f>
        <v>Pittsburgh</v>
      </c>
      <c r="K895" s="3" t="str">
        <f>VLOOKUP(F895,'Customers (2)'!A:I,7,0)</f>
        <v>United States</v>
      </c>
      <c r="L895" s="3" t="str">
        <f>VLOOKUP(F895,'Customers (2)'!A:I,9,0)</f>
        <v>Yes</v>
      </c>
      <c r="M895" s="4" t="s">
        <v>83</v>
      </c>
      <c r="N895" s="4" t="str">
        <f>VLOOKUP(M895,'Products (2)'!A:G,2,0)</f>
        <v>Liberica</v>
      </c>
      <c r="O895" s="4" t="str">
        <f>VLOOKUP(M895,'Products (2)'!A:G,3,0)</f>
        <v>Light</v>
      </c>
      <c r="P895" s="4">
        <f>VLOOKUP(M895,'Products (2)'!A:G,7,0)</f>
        <v>1.2363</v>
      </c>
      <c r="Q895" s="3">
        <v>6</v>
      </c>
      <c r="R895" s="5">
        <f>INDEX([1]products!$A$1:$G$49,MATCH([1]orders!$D895,[1]products!$A$1:$A$49,0),MATCH([1]orders!K$1,[1]products!$A$1:$G$1,0))</f>
        <v>0.5</v>
      </c>
      <c r="S895" s="6">
        <f>INDEX([1]products!$A$1:$G$49,MATCH([1]orders!$D895,[1]products!$A$1:$A$49,0),MATCH([1]orders!L$1,[1]products!$A$1:$G$1,0))</f>
        <v>9.51</v>
      </c>
      <c r="T895" s="6">
        <f t="shared" si="78"/>
        <v>57.06</v>
      </c>
      <c r="U895" s="22">
        <f t="shared" si="82"/>
        <v>7.4177999999999997</v>
      </c>
      <c r="V895" s="22">
        <f t="shared" si="83"/>
        <v>12.999999999999998</v>
      </c>
    </row>
    <row r="896" spans="1:22" x14ac:dyDescent="0.3">
      <c r="A896" s="1" t="s">
        <v>1726</v>
      </c>
      <c r="B896" s="2">
        <v>44016</v>
      </c>
      <c r="C896" s="2" t="str">
        <f t="shared" si="79"/>
        <v>Saturday</v>
      </c>
      <c r="D896" s="2" t="str">
        <f t="shared" si="80"/>
        <v>July</v>
      </c>
      <c r="E896" s="2" t="str">
        <f t="shared" si="81"/>
        <v>2020</v>
      </c>
      <c r="F896" s="3" t="s">
        <v>1727</v>
      </c>
      <c r="G896" s="3" t="str">
        <f>VLOOKUP(F897,'Customers (2)'!A:I,2,0)</f>
        <v>Derick Snow</v>
      </c>
      <c r="H896" s="3">
        <f>VLOOKUP(F896,'Customers (2)'!A:I,3,0)</f>
        <v>0</v>
      </c>
      <c r="I896" s="3" t="str">
        <f>VLOOKUP(F896,'Customers (2)'!A:I,4,0)</f>
        <v>+353 (724) 224-5556</v>
      </c>
      <c r="J896" s="3" t="str">
        <f>VLOOKUP(F896,'Customers (2)'!A:I,6,0)</f>
        <v>Cavan</v>
      </c>
      <c r="K896" s="3" t="str">
        <f>VLOOKUP(F896,'Customers (2)'!A:I,7,0)</f>
        <v>Ireland</v>
      </c>
      <c r="L896" s="3" t="str">
        <f>VLOOKUP(F896,'Customers (2)'!A:I,9,0)</f>
        <v>Yes</v>
      </c>
      <c r="M896" s="4" t="s">
        <v>35</v>
      </c>
      <c r="N896" s="4" t="str">
        <f>VLOOKUP(M896,'Products (2)'!A:G,2,0)</f>
        <v>Robusta</v>
      </c>
      <c r="O896" s="4" t="str">
        <f>VLOOKUP(M896,'Products (2)'!A:G,3,0)</f>
        <v>Dark</v>
      </c>
      <c r="P896" s="4">
        <f>VLOOKUP(M896,'Products (2)'!A:G,7,0)</f>
        <v>1.2350999999999999</v>
      </c>
      <c r="Q896" s="3">
        <v>4</v>
      </c>
      <c r="R896" s="5">
        <f>INDEX([1]products!$A$1:$G$49,MATCH([1]orders!$D896,[1]products!$A$1:$A$49,0),MATCH([1]orders!K$1,[1]products!$A$1:$G$1,0))</f>
        <v>2.5</v>
      </c>
      <c r="S896" s="6">
        <f>INDEX([1]products!$A$1:$G$49,MATCH([1]orders!$D896,[1]products!$A$1:$A$49,0),MATCH([1]orders!L$1,[1]products!$A$1:$G$1,0))</f>
        <v>20.584999999999997</v>
      </c>
      <c r="T896" s="6">
        <f t="shared" si="78"/>
        <v>82.339999999999989</v>
      </c>
      <c r="U896" s="22">
        <f t="shared" si="82"/>
        <v>4.9403999999999995</v>
      </c>
      <c r="V896" s="22">
        <f t="shared" si="83"/>
        <v>6.0000000000000009</v>
      </c>
    </row>
    <row r="897" spans="1:22" x14ac:dyDescent="0.3">
      <c r="A897" s="1" t="s">
        <v>1728</v>
      </c>
      <c r="B897" s="2">
        <v>44521</v>
      </c>
      <c r="C897" s="2" t="str">
        <f t="shared" si="79"/>
        <v>Sunday</v>
      </c>
      <c r="D897" s="2" t="str">
        <f t="shared" si="80"/>
        <v>November</v>
      </c>
      <c r="E897" s="2" t="str">
        <f t="shared" si="81"/>
        <v>2021</v>
      </c>
      <c r="F897" s="3" t="s">
        <v>1729</v>
      </c>
      <c r="G897" s="3" t="str">
        <f>VLOOKUP(F898,'Customers (2)'!A:I,2,0)</f>
        <v>Baxy Cargen</v>
      </c>
      <c r="H897" s="3">
        <f>VLOOKUP(F897,'Customers (2)'!A:I,3,0)</f>
        <v>0</v>
      </c>
      <c r="I897" s="3" t="str">
        <f>VLOOKUP(F897,'Customers (2)'!A:I,4,0)</f>
        <v>+1 (718) 461-3002</v>
      </c>
      <c r="J897" s="3" t="str">
        <f>VLOOKUP(F897,'Customers (2)'!A:I,6,0)</f>
        <v>New York City</v>
      </c>
      <c r="K897" s="3" t="str">
        <f>VLOOKUP(F897,'Customers (2)'!A:I,7,0)</f>
        <v>United States</v>
      </c>
      <c r="L897" s="3" t="str">
        <f>VLOOKUP(F897,'Customers (2)'!A:I,9,0)</f>
        <v>No</v>
      </c>
      <c r="M897" s="4" t="s">
        <v>112</v>
      </c>
      <c r="N897" s="4" t="str">
        <f>VLOOKUP(M897,'Products (2)'!A:G,2,0)</f>
        <v>Excelsa</v>
      </c>
      <c r="O897" s="4" t="str">
        <f>VLOOKUP(M897,'Products (2)'!A:G,3,0)</f>
        <v>Medium</v>
      </c>
      <c r="P897" s="4">
        <f>VLOOKUP(M897,'Products (2)'!A:G,7,0)</f>
        <v>3.4787499999999998</v>
      </c>
      <c r="Q897" s="3">
        <v>5</v>
      </c>
      <c r="R897" s="5">
        <f>INDEX([1]products!$A$1:$G$49,MATCH([1]orders!$D897,[1]products!$A$1:$A$49,0),MATCH([1]orders!K$1,[1]products!$A$1:$G$1,0))</f>
        <v>2.5</v>
      </c>
      <c r="S897" s="6">
        <f>INDEX([1]products!$A$1:$G$49,MATCH([1]orders!$D897,[1]products!$A$1:$A$49,0),MATCH([1]orders!L$1,[1]products!$A$1:$G$1,0))</f>
        <v>31.624999999999996</v>
      </c>
      <c r="T897" s="6">
        <f t="shared" si="78"/>
        <v>158.12499999999997</v>
      </c>
      <c r="U897" s="22">
        <f t="shared" si="82"/>
        <v>17.393749999999997</v>
      </c>
      <c r="V897" s="22">
        <f t="shared" si="83"/>
        <v>11</v>
      </c>
    </row>
    <row r="898" spans="1:22" x14ac:dyDescent="0.3">
      <c r="A898" s="1" t="s">
        <v>1730</v>
      </c>
      <c r="B898" s="2">
        <v>44347</v>
      </c>
      <c r="C898" s="2" t="str">
        <f t="shared" si="79"/>
        <v>Monday</v>
      </c>
      <c r="D898" s="2" t="str">
        <f t="shared" si="80"/>
        <v>May</v>
      </c>
      <c r="E898" s="2" t="str">
        <f t="shared" si="81"/>
        <v>2021</v>
      </c>
      <c r="F898" s="3" t="s">
        <v>1731</v>
      </c>
      <c r="G898" s="3" t="str">
        <f>VLOOKUP(F899,'Customers (2)'!A:I,2,0)</f>
        <v>Ryann Stickler</v>
      </c>
      <c r="H898" s="3" t="str">
        <f>VLOOKUP(F898,'Customers (2)'!A:I,3,0)</f>
        <v>bcargenow@geocities.jp</v>
      </c>
      <c r="I898" s="3" t="str">
        <f>VLOOKUP(F898,'Customers (2)'!A:I,4,0)</f>
        <v>+1 (253) 509-6510</v>
      </c>
      <c r="J898" s="3" t="str">
        <f>VLOOKUP(F898,'Customers (2)'!A:I,6,0)</f>
        <v>Seattle</v>
      </c>
      <c r="K898" s="3" t="str">
        <f>VLOOKUP(F898,'Customers (2)'!A:I,7,0)</f>
        <v>United States</v>
      </c>
      <c r="L898" s="3" t="str">
        <f>VLOOKUP(F898,'Customers (2)'!A:I,9,0)</f>
        <v>Yes</v>
      </c>
      <c r="M898" s="4" t="s">
        <v>146</v>
      </c>
      <c r="N898" s="4" t="str">
        <f>VLOOKUP(M898,'Products (2)'!A:G,2,0)</f>
        <v>Robusta</v>
      </c>
      <c r="O898" s="4" t="str">
        <f>VLOOKUP(M898,'Products (2)'!A:G,3,0)</f>
        <v>Dark</v>
      </c>
      <c r="P898" s="4">
        <f>VLOOKUP(M898,'Products (2)'!A:G,7,0)</f>
        <v>0.32219999999999993</v>
      </c>
      <c r="Q898" s="3">
        <v>6</v>
      </c>
      <c r="R898" s="5">
        <f>INDEX([1]products!$A$1:$G$49,MATCH([1]orders!$D898,[1]products!$A$1:$A$49,0),MATCH([1]orders!K$1,[1]products!$A$1:$G$1,0))</f>
        <v>0.5</v>
      </c>
      <c r="S898" s="6">
        <f>INDEX([1]products!$A$1:$G$49,MATCH([1]orders!$D898,[1]products!$A$1:$A$49,0),MATCH([1]orders!L$1,[1]products!$A$1:$G$1,0))</f>
        <v>5.3699999999999992</v>
      </c>
      <c r="T898" s="6">
        <f t="shared" ref="T898:T961" si="84">Q898*S898</f>
        <v>32.22</v>
      </c>
      <c r="U898" s="22">
        <f t="shared" si="82"/>
        <v>1.9331999999999996</v>
      </c>
      <c r="V898" s="22">
        <f t="shared" si="83"/>
        <v>5.9999999999999991</v>
      </c>
    </row>
    <row r="899" spans="1:22" x14ac:dyDescent="0.3">
      <c r="A899" s="1" t="s">
        <v>1732</v>
      </c>
      <c r="B899" s="2">
        <v>43932</v>
      </c>
      <c r="C899" s="2" t="str">
        <f t="shared" ref="C899:C962" si="85">TEXT(B899,"dddd")</f>
        <v>Saturday</v>
      </c>
      <c r="D899" s="2" t="str">
        <f t="shared" ref="D899:D962" si="86">TEXT(B899,"MMMM")</f>
        <v>April</v>
      </c>
      <c r="E899" s="2" t="str">
        <f t="shared" ref="E899:E962" si="87">TEXT(B899,"YYYY")</f>
        <v>2020</v>
      </c>
      <c r="F899" s="3" t="s">
        <v>1733</v>
      </c>
      <c r="G899" s="3" t="str">
        <f>VLOOKUP(F900,'Customers (2)'!A:I,2,0)</f>
        <v>Daryn Cassius</v>
      </c>
      <c r="H899" s="3" t="str">
        <f>VLOOKUP(F899,'Customers (2)'!A:I,3,0)</f>
        <v>rsticklerox@printfriendly.com</v>
      </c>
      <c r="I899" s="3" t="str">
        <f>VLOOKUP(F899,'Customers (2)'!A:I,4,0)</f>
        <v>+44 (830) 367-6129</v>
      </c>
      <c r="J899" s="3" t="str">
        <f>VLOOKUP(F899,'Customers (2)'!A:I,6,0)</f>
        <v>Birmingham</v>
      </c>
      <c r="K899" s="3" t="str">
        <f>VLOOKUP(F899,'Customers (2)'!A:I,7,0)</f>
        <v>United Kingdom</v>
      </c>
      <c r="L899" s="3" t="str">
        <f>VLOOKUP(F899,'Customers (2)'!A:I,9,0)</f>
        <v>No</v>
      </c>
      <c r="M899" s="4" t="s">
        <v>245</v>
      </c>
      <c r="N899" s="4" t="str">
        <f>VLOOKUP(M899,'Products (2)'!A:G,2,0)</f>
        <v>Excelsa</v>
      </c>
      <c r="O899" s="4" t="str">
        <f>VLOOKUP(M899,'Products (2)'!A:G,3,0)</f>
        <v>Dark</v>
      </c>
      <c r="P899" s="4">
        <f>VLOOKUP(M899,'Products (2)'!A:G,7,0)</f>
        <v>1.3365</v>
      </c>
      <c r="Q899" s="3">
        <v>2</v>
      </c>
      <c r="R899" s="5">
        <f>INDEX([1]products!$A$1:$G$49,MATCH([1]orders!$D899,[1]products!$A$1:$A$49,0),MATCH([1]orders!K$1,[1]products!$A$1:$G$1,0))</f>
        <v>1</v>
      </c>
      <c r="S899" s="6">
        <f>INDEX([1]products!$A$1:$G$49,MATCH([1]orders!$D899,[1]products!$A$1:$A$49,0),MATCH([1]orders!L$1,[1]products!$A$1:$G$1,0))</f>
        <v>12.15</v>
      </c>
      <c r="T899" s="6">
        <f t="shared" si="84"/>
        <v>24.3</v>
      </c>
      <c r="U899" s="22">
        <f t="shared" ref="U899:U962" si="88">Q899*P899</f>
        <v>2.673</v>
      </c>
      <c r="V899" s="22">
        <f t="shared" ref="V899:V962" si="89">U899/T899*100</f>
        <v>11</v>
      </c>
    </row>
    <row r="900" spans="1:22" x14ac:dyDescent="0.3">
      <c r="A900" s="1" t="s">
        <v>1734</v>
      </c>
      <c r="B900" s="2">
        <v>44089</v>
      </c>
      <c r="C900" s="2" t="str">
        <f t="shared" si="85"/>
        <v>Tuesday</v>
      </c>
      <c r="D900" s="2" t="str">
        <f t="shared" si="86"/>
        <v>September</v>
      </c>
      <c r="E900" s="2" t="str">
        <f t="shared" si="87"/>
        <v>2020</v>
      </c>
      <c r="F900" s="3" t="s">
        <v>1735</v>
      </c>
      <c r="G900" s="3" t="str">
        <f>VLOOKUP(F901,'Customers (2)'!A:I,2,0)</f>
        <v>Derick Snow</v>
      </c>
      <c r="H900" s="3">
        <f>VLOOKUP(F900,'Customers (2)'!A:I,3,0)</f>
        <v>0</v>
      </c>
      <c r="I900" s="3" t="str">
        <f>VLOOKUP(F900,'Customers (2)'!A:I,4,0)</f>
        <v>+1 (269) 398-0766</v>
      </c>
      <c r="J900" s="3" t="str">
        <f>VLOOKUP(F900,'Customers (2)'!A:I,6,0)</f>
        <v>Battle Creek</v>
      </c>
      <c r="K900" s="3" t="str">
        <f>VLOOKUP(F900,'Customers (2)'!A:I,7,0)</f>
        <v>United States</v>
      </c>
      <c r="L900" s="3" t="str">
        <f>VLOOKUP(F900,'Customers (2)'!A:I,9,0)</f>
        <v>No</v>
      </c>
      <c r="M900" s="4" t="s">
        <v>157</v>
      </c>
      <c r="N900" s="4" t="str">
        <f>VLOOKUP(M900,'Products (2)'!A:G,2,0)</f>
        <v>Robusta</v>
      </c>
      <c r="O900" s="4" t="str">
        <f>VLOOKUP(M900,'Products (2)'!A:G,3,0)</f>
        <v>Light</v>
      </c>
      <c r="P900" s="4">
        <f>VLOOKUP(M900,'Products (2)'!A:G,7,0)</f>
        <v>0.43019999999999992</v>
      </c>
      <c r="Q900" s="3">
        <v>5</v>
      </c>
      <c r="R900" s="5">
        <f>INDEX([1]products!$A$1:$G$49,MATCH([1]orders!$D900,[1]products!$A$1:$A$49,0),MATCH([1]orders!K$1,[1]products!$A$1:$G$1,0))</f>
        <v>0.5</v>
      </c>
      <c r="S900" s="6">
        <f>INDEX([1]products!$A$1:$G$49,MATCH([1]orders!$D900,[1]products!$A$1:$A$49,0),MATCH([1]orders!L$1,[1]products!$A$1:$G$1,0))</f>
        <v>7.169999999999999</v>
      </c>
      <c r="T900" s="6">
        <f t="shared" si="84"/>
        <v>35.849999999999994</v>
      </c>
      <c r="U900" s="22">
        <f t="shared" si="88"/>
        <v>2.1509999999999998</v>
      </c>
      <c r="V900" s="22">
        <f t="shared" si="89"/>
        <v>6.0000000000000009</v>
      </c>
    </row>
    <row r="901" spans="1:22" x14ac:dyDescent="0.3">
      <c r="A901" s="1" t="s">
        <v>1736</v>
      </c>
      <c r="B901" s="2">
        <v>44523</v>
      </c>
      <c r="C901" s="2" t="str">
        <f t="shared" si="85"/>
        <v>Tuesday</v>
      </c>
      <c r="D901" s="2" t="str">
        <f t="shared" si="86"/>
        <v>November</v>
      </c>
      <c r="E901" s="2" t="str">
        <f t="shared" si="87"/>
        <v>2021</v>
      </c>
      <c r="F901" s="3" t="s">
        <v>1729</v>
      </c>
      <c r="G901" s="3" t="str">
        <f>VLOOKUP(F902,'Customers (2)'!A:I,2,0)</f>
        <v>Skelly Dolohunty</v>
      </c>
      <c r="H901" s="3">
        <f>VLOOKUP(F901,'Customers (2)'!A:I,3,0)</f>
        <v>0</v>
      </c>
      <c r="I901" s="3" t="str">
        <f>VLOOKUP(F901,'Customers (2)'!A:I,4,0)</f>
        <v>+1 (718) 461-3002</v>
      </c>
      <c r="J901" s="3" t="str">
        <f>VLOOKUP(F901,'Customers (2)'!A:I,6,0)</f>
        <v>New York City</v>
      </c>
      <c r="K901" s="3" t="str">
        <f>VLOOKUP(F901,'Customers (2)'!A:I,7,0)</f>
        <v>United States</v>
      </c>
      <c r="L901" s="3" t="str">
        <f>VLOOKUP(F901,'Customers (2)'!A:I,9,0)</f>
        <v>No</v>
      </c>
      <c r="M901" s="4" t="s">
        <v>96</v>
      </c>
      <c r="N901" s="4" t="str">
        <f>VLOOKUP(M901,'Products (2)'!A:G,2,0)</f>
        <v>Liberica</v>
      </c>
      <c r="O901" s="4" t="str">
        <f>VLOOKUP(M901,'Products (2)'!A:G,3,0)</f>
        <v>Medium</v>
      </c>
      <c r="P901" s="4">
        <f>VLOOKUP(M901,'Products (2)'!A:G,7,0)</f>
        <v>1.8915000000000002</v>
      </c>
      <c r="Q901" s="3">
        <v>5</v>
      </c>
      <c r="R901" s="5">
        <f>INDEX([1]products!$A$1:$G$49,MATCH([1]orders!$D901,[1]products!$A$1:$A$49,0),MATCH([1]orders!K$1,[1]products!$A$1:$G$1,0))</f>
        <v>1</v>
      </c>
      <c r="S901" s="6">
        <f>INDEX([1]products!$A$1:$G$49,MATCH([1]orders!$D901,[1]products!$A$1:$A$49,0),MATCH([1]orders!L$1,[1]products!$A$1:$G$1,0))</f>
        <v>14.55</v>
      </c>
      <c r="T901" s="6">
        <f t="shared" si="84"/>
        <v>72.75</v>
      </c>
      <c r="U901" s="22">
        <f t="shared" si="88"/>
        <v>9.4575000000000014</v>
      </c>
      <c r="V901" s="22">
        <f t="shared" si="89"/>
        <v>13.000000000000004</v>
      </c>
    </row>
    <row r="902" spans="1:22" x14ac:dyDescent="0.3">
      <c r="A902" s="1" t="s">
        <v>1737</v>
      </c>
      <c r="B902" s="2">
        <v>44584</v>
      </c>
      <c r="C902" s="2" t="str">
        <f t="shared" si="85"/>
        <v>Sunday</v>
      </c>
      <c r="D902" s="2" t="str">
        <f t="shared" si="86"/>
        <v>January</v>
      </c>
      <c r="E902" s="2" t="str">
        <f t="shared" si="87"/>
        <v>2022</v>
      </c>
      <c r="F902" s="3" t="s">
        <v>1738</v>
      </c>
      <c r="G902" s="3" t="str">
        <f>VLOOKUP(F903,'Customers (2)'!A:I,2,0)</f>
        <v>Drake Jevon</v>
      </c>
      <c r="H902" s="3">
        <f>VLOOKUP(F902,'Customers (2)'!A:I,3,0)</f>
        <v>0</v>
      </c>
      <c r="I902" s="3" t="str">
        <f>VLOOKUP(F902,'Customers (2)'!A:I,4,0)</f>
        <v>+353 (239) 716-2717</v>
      </c>
      <c r="J902" s="3" t="str">
        <f>VLOOKUP(F902,'Customers (2)'!A:I,6,0)</f>
        <v>Ballymun</v>
      </c>
      <c r="K902" s="3" t="str">
        <f>VLOOKUP(F902,'Customers (2)'!A:I,7,0)</f>
        <v>Ireland</v>
      </c>
      <c r="L902" s="3" t="str">
        <f>VLOOKUP(F902,'Customers (2)'!A:I,9,0)</f>
        <v>No</v>
      </c>
      <c r="M902" s="4" t="s">
        <v>132</v>
      </c>
      <c r="N902" s="4" t="str">
        <f>VLOOKUP(M902,'Products (2)'!A:G,2,0)</f>
        <v>Liberica</v>
      </c>
      <c r="O902" s="4" t="str">
        <f>VLOOKUP(M902,'Products (2)'!A:G,3,0)</f>
        <v>Light</v>
      </c>
      <c r="P902" s="4">
        <f>VLOOKUP(M902,'Products (2)'!A:G,7,0)</f>
        <v>2.0605000000000002</v>
      </c>
      <c r="Q902" s="3">
        <v>3</v>
      </c>
      <c r="R902" s="5">
        <f>INDEX([1]products!$A$1:$G$49,MATCH([1]orders!$D902,[1]products!$A$1:$A$49,0),MATCH([1]orders!K$1,[1]products!$A$1:$G$1,0))</f>
        <v>1</v>
      </c>
      <c r="S902" s="6">
        <f>INDEX([1]products!$A$1:$G$49,MATCH([1]orders!$D902,[1]products!$A$1:$A$49,0),MATCH([1]orders!L$1,[1]products!$A$1:$G$1,0))</f>
        <v>15.85</v>
      </c>
      <c r="T902" s="6">
        <f t="shared" si="84"/>
        <v>47.55</v>
      </c>
      <c r="U902" s="22">
        <f t="shared" si="88"/>
        <v>6.1815000000000007</v>
      </c>
      <c r="V902" s="22">
        <f t="shared" si="89"/>
        <v>13.000000000000004</v>
      </c>
    </row>
    <row r="903" spans="1:22" x14ac:dyDescent="0.3">
      <c r="A903" s="1" t="s">
        <v>1739</v>
      </c>
      <c r="B903" s="2">
        <v>44223</v>
      </c>
      <c r="C903" s="2" t="str">
        <f t="shared" si="85"/>
        <v>Wednesday</v>
      </c>
      <c r="D903" s="2" t="str">
        <f t="shared" si="86"/>
        <v>January</v>
      </c>
      <c r="E903" s="2" t="str">
        <f t="shared" si="87"/>
        <v>2021</v>
      </c>
      <c r="F903" s="3" t="s">
        <v>1740</v>
      </c>
      <c r="G903" s="3" t="str">
        <f>VLOOKUP(F904,'Customers (2)'!A:I,2,0)</f>
        <v>Hall Ranner</v>
      </c>
      <c r="H903" s="3" t="str">
        <f>VLOOKUP(F903,'Customers (2)'!A:I,3,0)</f>
        <v>djevonp1@ibm.com</v>
      </c>
      <c r="I903" s="3" t="str">
        <f>VLOOKUP(F903,'Customers (2)'!A:I,4,0)</f>
        <v>+1 (832) 733-7027</v>
      </c>
      <c r="J903" s="3" t="str">
        <f>VLOOKUP(F903,'Customers (2)'!A:I,6,0)</f>
        <v>Houston</v>
      </c>
      <c r="K903" s="3" t="str">
        <f>VLOOKUP(F903,'Customers (2)'!A:I,7,0)</f>
        <v>United States</v>
      </c>
      <c r="L903" s="3" t="str">
        <f>VLOOKUP(F903,'Customers (2)'!A:I,9,0)</f>
        <v>Yes</v>
      </c>
      <c r="M903" s="4" t="s">
        <v>182</v>
      </c>
      <c r="N903" s="4" t="str">
        <f>VLOOKUP(M903,'Products (2)'!A:G,2,0)</f>
        <v>Robusta</v>
      </c>
      <c r="O903" s="4" t="str">
        <f>VLOOKUP(M903,'Products (2)'!A:G,3,0)</f>
        <v>Light</v>
      </c>
      <c r="P903" s="4">
        <f>VLOOKUP(M903,'Products (2)'!A:G,7,0)</f>
        <v>0.21509999999999996</v>
      </c>
      <c r="Q903" s="3">
        <v>1</v>
      </c>
      <c r="R903" s="5">
        <f>INDEX([1]products!$A$1:$G$49,MATCH([1]orders!$D903,[1]products!$A$1:$A$49,0),MATCH([1]orders!K$1,[1]products!$A$1:$G$1,0))</f>
        <v>0.2</v>
      </c>
      <c r="S903" s="6">
        <f>INDEX([1]products!$A$1:$G$49,MATCH([1]orders!$D903,[1]products!$A$1:$A$49,0),MATCH([1]orders!L$1,[1]products!$A$1:$G$1,0))</f>
        <v>3.5849999999999995</v>
      </c>
      <c r="T903" s="6">
        <f t="shared" si="84"/>
        <v>3.5849999999999995</v>
      </c>
      <c r="U903" s="22">
        <f t="shared" si="88"/>
        <v>0.21509999999999996</v>
      </c>
      <c r="V903" s="22">
        <f t="shared" si="89"/>
        <v>6</v>
      </c>
    </row>
    <row r="904" spans="1:22" x14ac:dyDescent="0.3">
      <c r="A904" s="1" t="s">
        <v>1741</v>
      </c>
      <c r="B904" s="2">
        <v>43640</v>
      </c>
      <c r="C904" s="2" t="str">
        <f t="shared" si="85"/>
        <v>Monday</v>
      </c>
      <c r="D904" s="2" t="str">
        <f t="shared" si="86"/>
        <v>June</v>
      </c>
      <c r="E904" s="2" t="str">
        <f t="shared" si="87"/>
        <v>2019</v>
      </c>
      <c r="F904" s="3" t="s">
        <v>1742</v>
      </c>
      <c r="G904" s="3" t="str">
        <f>VLOOKUP(F905,'Customers (2)'!A:I,2,0)</f>
        <v>Berkly Imrie</v>
      </c>
      <c r="H904" s="3" t="str">
        <f>VLOOKUP(F904,'Customers (2)'!A:I,3,0)</f>
        <v>hrannerp2@omniture.com</v>
      </c>
      <c r="I904" s="3" t="str">
        <f>VLOOKUP(F904,'Customers (2)'!A:I,4,0)</f>
        <v>+1 (513) 635-0251</v>
      </c>
      <c r="J904" s="3" t="str">
        <f>VLOOKUP(F904,'Customers (2)'!A:I,6,0)</f>
        <v>Cincinnati</v>
      </c>
      <c r="K904" s="3" t="str">
        <f>VLOOKUP(F904,'Customers (2)'!A:I,7,0)</f>
        <v>United States</v>
      </c>
      <c r="L904" s="3" t="str">
        <f>VLOOKUP(F904,'Customers (2)'!A:I,9,0)</f>
        <v>No</v>
      </c>
      <c r="M904" s="4" t="s">
        <v>112</v>
      </c>
      <c r="N904" s="4" t="str">
        <f>VLOOKUP(M904,'Products (2)'!A:G,2,0)</f>
        <v>Excelsa</v>
      </c>
      <c r="O904" s="4" t="str">
        <f>VLOOKUP(M904,'Products (2)'!A:G,3,0)</f>
        <v>Medium</v>
      </c>
      <c r="P904" s="4">
        <f>VLOOKUP(M904,'Products (2)'!A:G,7,0)</f>
        <v>3.4787499999999998</v>
      </c>
      <c r="Q904" s="3">
        <v>5</v>
      </c>
      <c r="R904" s="5">
        <f>INDEX([1]products!$A$1:$G$49,MATCH([1]orders!$D904,[1]products!$A$1:$A$49,0),MATCH([1]orders!K$1,[1]products!$A$1:$G$1,0))</f>
        <v>2.5</v>
      </c>
      <c r="S904" s="6">
        <f>INDEX([1]products!$A$1:$G$49,MATCH([1]orders!$D904,[1]products!$A$1:$A$49,0),MATCH([1]orders!L$1,[1]products!$A$1:$G$1,0))</f>
        <v>31.624999999999996</v>
      </c>
      <c r="T904" s="6">
        <f t="shared" si="84"/>
        <v>158.12499999999997</v>
      </c>
      <c r="U904" s="22">
        <f t="shared" si="88"/>
        <v>17.393749999999997</v>
      </c>
      <c r="V904" s="22">
        <f t="shared" si="89"/>
        <v>11</v>
      </c>
    </row>
    <row r="905" spans="1:22" x14ac:dyDescent="0.3">
      <c r="A905" s="1" t="s">
        <v>1743</v>
      </c>
      <c r="B905" s="2">
        <v>43905</v>
      </c>
      <c r="C905" s="2" t="str">
        <f t="shared" si="85"/>
        <v>Sunday</v>
      </c>
      <c r="D905" s="2" t="str">
        <f t="shared" si="86"/>
        <v>March</v>
      </c>
      <c r="E905" s="2" t="str">
        <f t="shared" si="87"/>
        <v>2020</v>
      </c>
      <c r="F905" s="3" t="s">
        <v>1744</v>
      </c>
      <c r="G905" s="3" t="str">
        <f>VLOOKUP(F906,'Customers (2)'!A:I,2,0)</f>
        <v>Dorey Sopper</v>
      </c>
      <c r="H905" s="3" t="str">
        <f>VLOOKUP(F905,'Customers (2)'!A:I,3,0)</f>
        <v>bimriep3@addtoany.com</v>
      </c>
      <c r="I905" s="3" t="str">
        <f>VLOOKUP(F905,'Customers (2)'!A:I,4,0)</f>
        <v>+1 (559) 761-5288</v>
      </c>
      <c r="J905" s="3" t="str">
        <f>VLOOKUP(F905,'Customers (2)'!A:I,6,0)</f>
        <v>Fresno</v>
      </c>
      <c r="K905" s="3" t="str">
        <f>VLOOKUP(F905,'Customers (2)'!A:I,7,0)</f>
        <v>United States</v>
      </c>
      <c r="L905" s="3" t="str">
        <f>VLOOKUP(F905,'Customers (2)'!A:I,9,0)</f>
        <v>No</v>
      </c>
      <c r="M905" s="4" t="s">
        <v>78</v>
      </c>
      <c r="N905" s="4" t="str">
        <f>VLOOKUP(M905,'Products (2)'!A:G,2,0)</f>
        <v>Liberica</v>
      </c>
      <c r="O905" s="4" t="str">
        <f>VLOOKUP(M905,'Products (2)'!A:G,3,0)</f>
        <v>Medium</v>
      </c>
      <c r="P905" s="4">
        <f>VLOOKUP(M905,'Products (2)'!A:G,7,0)</f>
        <v>1.1349</v>
      </c>
      <c r="Q905" s="3">
        <v>2</v>
      </c>
      <c r="R905" s="5">
        <f>INDEX([1]products!$A$1:$G$49,MATCH([1]orders!$D905,[1]products!$A$1:$A$49,0),MATCH([1]orders!K$1,[1]products!$A$1:$G$1,0))</f>
        <v>0.5</v>
      </c>
      <c r="S905" s="6">
        <f>INDEX([1]products!$A$1:$G$49,MATCH([1]orders!$D905,[1]products!$A$1:$A$49,0),MATCH([1]orders!L$1,[1]products!$A$1:$G$1,0))</f>
        <v>8.73</v>
      </c>
      <c r="T905" s="6">
        <f t="shared" si="84"/>
        <v>17.46</v>
      </c>
      <c r="U905" s="22">
        <f t="shared" si="88"/>
        <v>2.2698</v>
      </c>
      <c r="V905" s="22">
        <f t="shared" si="89"/>
        <v>13</v>
      </c>
    </row>
    <row r="906" spans="1:22" x14ac:dyDescent="0.3">
      <c r="A906" s="1" t="s">
        <v>1745</v>
      </c>
      <c r="B906" s="2">
        <v>44463</v>
      </c>
      <c r="C906" s="2" t="str">
        <f t="shared" si="85"/>
        <v>Friday</v>
      </c>
      <c r="D906" s="2" t="str">
        <f t="shared" si="86"/>
        <v>September</v>
      </c>
      <c r="E906" s="2" t="str">
        <f t="shared" si="87"/>
        <v>2021</v>
      </c>
      <c r="F906" s="3" t="s">
        <v>1746</v>
      </c>
      <c r="G906" s="3" t="str">
        <f>VLOOKUP(F907,'Customers (2)'!A:I,2,0)</f>
        <v>Darcy Lochran</v>
      </c>
      <c r="H906" s="3" t="str">
        <f>VLOOKUP(F906,'Customers (2)'!A:I,3,0)</f>
        <v>dsopperp4@eventbrite.com</v>
      </c>
      <c r="I906" s="3" t="str">
        <f>VLOOKUP(F906,'Customers (2)'!A:I,4,0)</f>
        <v>+1 (612) 870-1604</v>
      </c>
      <c r="J906" s="3" t="str">
        <f>VLOOKUP(F906,'Customers (2)'!A:I,6,0)</f>
        <v>Saint Paul</v>
      </c>
      <c r="K906" s="3" t="str">
        <f>VLOOKUP(F906,'Customers (2)'!A:I,7,0)</f>
        <v>United States</v>
      </c>
      <c r="L906" s="3" t="str">
        <f>VLOOKUP(F906,'Customers (2)'!A:I,9,0)</f>
        <v>No</v>
      </c>
      <c r="M906" s="4" t="s">
        <v>204</v>
      </c>
      <c r="N906" s="4" t="str">
        <f>VLOOKUP(M906,'Products (2)'!A:G,2,0)</f>
        <v>Arabica</v>
      </c>
      <c r="O906" s="4" t="str">
        <f>VLOOKUP(M906,'Products (2)'!A:G,3,0)</f>
        <v>Light</v>
      </c>
      <c r="P906" s="4">
        <f>VLOOKUP(M906,'Products (2)'!A:G,7,0)</f>
        <v>2.6806499999999995</v>
      </c>
      <c r="Q906" s="3">
        <v>5</v>
      </c>
      <c r="R906" s="5">
        <f>INDEX([1]products!$A$1:$G$49,MATCH([1]orders!$D906,[1]products!$A$1:$A$49,0),MATCH([1]orders!K$1,[1]products!$A$1:$G$1,0))</f>
        <v>2.5</v>
      </c>
      <c r="S906" s="6">
        <f>INDEX([1]products!$A$1:$G$49,MATCH([1]orders!$D906,[1]products!$A$1:$A$49,0),MATCH([1]orders!L$1,[1]products!$A$1:$G$1,0))</f>
        <v>29.784999999999997</v>
      </c>
      <c r="T906" s="6">
        <f t="shared" si="84"/>
        <v>148.92499999999998</v>
      </c>
      <c r="U906" s="22">
        <f t="shared" si="88"/>
        <v>13.403249999999998</v>
      </c>
      <c r="V906" s="22">
        <f t="shared" si="89"/>
        <v>9</v>
      </c>
    </row>
    <row r="907" spans="1:22" x14ac:dyDescent="0.3">
      <c r="A907" s="1" t="s">
        <v>1747</v>
      </c>
      <c r="B907" s="2">
        <v>43560</v>
      </c>
      <c r="C907" s="2" t="str">
        <f t="shared" si="85"/>
        <v>Friday</v>
      </c>
      <c r="D907" s="2" t="str">
        <f t="shared" si="86"/>
        <v>April</v>
      </c>
      <c r="E907" s="2" t="str">
        <f t="shared" si="87"/>
        <v>2019</v>
      </c>
      <c r="F907" s="3" t="s">
        <v>1748</v>
      </c>
      <c r="G907" s="3" t="str">
        <f>VLOOKUP(F908,'Customers (2)'!A:I,2,0)</f>
        <v>Lauritz Ledgley</v>
      </c>
      <c r="H907" s="3">
        <f>VLOOKUP(F907,'Customers (2)'!A:I,3,0)</f>
        <v>0</v>
      </c>
      <c r="I907" s="3" t="str">
        <f>VLOOKUP(F907,'Customers (2)'!A:I,4,0)</f>
        <v>+1 (915) 776-4578</v>
      </c>
      <c r="J907" s="3" t="str">
        <f>VLOOKUP(F907,'Customers (2)'!A:I,6,0)</f>
        <v>El Paso</v>
      </c>
      <c r="K907" s="3" t="str">
        <f>VLOOKUP(F907,'Customers (2)'!A:I,7,0)</f>
        <v>United States</v>
      </c>
      <c r="L907" s="3" t="str">
        <f>VLOOKUP(F907,'Customers (2)'!A:I,9,0)</f>
        <v>Yes</v>
      </c>
      <c r="M907" s="4" t="s">
        <v>67</v>
      </c>
      <c r="N907" s="4" t="str">
        <f>VLOOKUP(M907,'Products (2)'!A:G,2,0)</f>
        <v>Arabica</v>
      </c>
      <c r="O907" s="4" t="str">
        <f>VLOOKUP(M907,'Products (2)'!A:G,3,0)</f>
        <v>Medium</v>
      </c>
      <c r="P907" s="4">
        <f>VLOOKUP(M907,'Products (2)'!A:G,7,0)</f>
        <v>0.60749999999999993</v>
      </c>
      <c r="Q907" s="3">
        <v>6</v>
      </c>
      <c r="R907" s="5">
        <f>INDEX([1]products!$A$1:$G$49,MATCH([1]orders!$D907,[1]products!$A$1:$A$49,0),MATCH([1]orders!K$1,[1]products!$A$1:$G$1,0))</f>
        <v>0.5</v>
      </c>
      <c r="S907" s="6">
        <f>INDEX([1]products!$A$1:$G$49,MATCH([1]orders!$D907,[1]products!$A$1:$A$49,0),MATCH([1]orders!L$1,[1]products!$A$1:$G$1,0))</f>
        <v>6.75</v>
      </c>
      <c r="T907" s="6">
        <f t="shared" si="84"/>
        <v>40.5</v>
      </c>
      <c r="U907" s="22">
        <f t="shared" si="88"/>
        <v>3.6449999999999996</v>
      </c>
      <c r="V907" s="22">
        <f t="shared" si="89"/>
        <v>8.9999999999999982</v>
      </c>
    </row>
    <row r="908" spans="1:22" x14ac:dyDescent="0.3">
      <c r="A908" s="1" t="s">
        <v>1749</v>
      </c>
      <c r="B908" s="2">
        <v>44588</v>
      </c>
      <c r="C908" s="2" t="str">
        <f t="shared" si="85"/>
        <v>Thursday</v>
      </c>
      <c r="D908" s="2" t="str">
        <f t="shared" si="86"/>
        <v>January</v>
      </c>
      <c r="E908" s="2" t="str">
        <f t="shared" si="87"/>
        <v>2022</v>
      </c>
      <c r="F908" s="3" t="s">
        <v>1750</v>
      </c>
      <c r="G908" s="3" t="str">
        <f>VLOOKUP(F909,'Customers (2)'!A:I,2,0)</f>
        <v>Tawnya Menary</v>
      </c>
      <c r="H908" s="3" t="str">
        <f>VLOOKUP(F908,'Customers (2)'!A:I,3,0)</f>
        <v>lledgleyp6@de.vu</v>
      </c>
      <c r="I908" s="3" t="str">
        <f>VLOOKUP(F908,'Customers (2)'!A:I,4,0)</f>
        <v>+1 (515) 261-2295</v>
      </c>
      <c r="J908" s="3" t="str">
        <f>VLOOKUP(F908,'Customers (2)'!A:I,6,0)</f>
        <v>Des Moines</v>
      </c>
      <c r="K908" s="3" t="str">
        <f>VLOOKUP(F908,'Customers (2)'!A:I,7,0)</f>
        <v>United States</v>
      </c>
      <c r="L908" s="3" t="str">
        <f>VLOOKUP(F908,'Customers (2)'!A:I,9,0)</f>
        <v>Yes</v>
      </c>
      <c r="M908" s="4" t="s">
        <v>67</v>
      </c>
      <c r="N908" s="4" t="str">
        <f>VLOOKUP(M908,'Products (2)'!A:G,2,0)</f>
        <v>Arabica</v>
      </c>
      <c r="O908" s="4" t="str">
        <f>VLOOKUP(M908,'Products (2)'!A:G,3,0)</f>
        <v>Medium</v>
      </c>
      <c r="P908" s="4">
        <f>VLOOKUP(M908,'Products (2)'!A:G,7,0)</f>
        <v>0.60749999999999993</v>
      </c>
      <c r="Q908" s="3">
        <v>4</v>
      </c>
      <c r="R908" s="5">
        <f>INDEX([1]products!$A$1:$G$49,MATCH([1]orders!$D908,[1]products!$A$1:$A$49,0),MATCH([1]orders!K$1,[1]products!$A$1:$G$1,0))</f>
        <v>0.5</v>
      </c>
      <c r="S908" s="6">
        <f>INDEX([1]products!$A$1:$G$49,MATCH([1]orders!$D908,[1]products!$A$1:$A$49,0),MATCH([1]orders!L$1,[1]products!$A$1:$G$1,0))</f>
        <v>6.75</v>
      </c>
      <c r="T908" s="6">
        <f t="shared" si="84"/>
        <v>27</v>
      </c>
      <c r="U908" s="22">
        <f t="shared" si="88"/>
        <v>2.4299999999999997</v>
      </c>
      <c r="V908" s="22">
        <f t="shared" si="89"/>
        <v>8.9999999999999982</v>
      </c>
    </row>
    <row r="909" spans="1:22" x14ac:dyDescent="0.3">
      <c r="A909" s="1" t="s">
        <v>1751</v>
      </c>
      <c r="B909" s="2">
        <v>44449</v>
      </c>
      <c r="C909" s="2" t="str">
        <f t="shared" si="85"/>
        <v>Friday</v>
      </c>
      <c r="D909" s="2" t="str">
        <f t="shared" si="86"/>
        <v>September</v>
      </c>
      <c r="E909" s="2" t="str">
        <f t="shared" si="87"/>
        <v>2021</v>
      </c>
      <c r="F909" s="3" t="s">
        <v>1752</v>
      </c>
      <c r="G909" s="3" t="str">
        <f>VLOOKUP(F910,'Customers (2)'!A:I,2,0)</f>
        <v>Gustaf Ciccotti</v>
      </c>
      <c r="H909" s="3" t="str">
        <f>VLOOKUP(F909,'Customers (2)'!A:I,3,0)</f>
        <v>tmenaryp7@phoca.cz</v>
      </c>
      <c r="I909" s="3" t="str">
        <f>VLOOKUP(F909,'Customers (2)'!A:I,4,0)</f>
        <v>+1 (971) 467-6353</v>
      </c>
      <c r="J909" s="3" t="str">
        <f>VLOOKUP(F909,'Customers (2)'!A:I,6,0)</f>
        <v>Portland</v>
      </c>
      <c r="K909" s="3" t="str">
        <f>VLOOKUP(F909,'Customers (2)'!A:I,7,0)</f>
        <v>United States</v>
      </c>
      <c r="L909" s="3" t="str">
        <f>VLOOKUP(F909,'Customers (2)'!A:I,9,0)</f>
        <v>No</v>
      </c>
      <c r="M909" s="4" t="s">
        <v>13</v>
      </c>
      <c r="N909" s="4" t="str">
        <f>VLOOKUP(M909,'Products (2)'!A:G,2,0)</f>
        <v>Liberica</v>
      </c>
      <c r="O909" s="4" t="str">
        <f>VLOOKUP(M909,'Products (2)'!A:G,3,0)</f>
        <v>Dark</v>
      </c>
      <c r="P909" s="4">
        <f>VLOOKUP(M909,'Products (2)'!A:G,7,0)</f>
        <v>1.6835</v>
      </c>
      <c r="Q909" s="3">
        <v>3</v>
      </c>
      <c r="R909" s="5">
        <f>INDEX([1]products!$A$1:$G$49,MATCH([1]orders!$D909,[1]products!$A$1:$A$49,0),MATCH([1]orders!K$1,[1]products!$A$1:$G$1,0))</f>
        <v>1</v>
      </c>
      <c r="S909" s="6">
        <f>INDEX([1]products!$A$1:$G$49,MATCH([1]orders!$D909,[1]products!$A$1:$A$49,0),MATCH([1]orders!L$1,[1]products!$A$1:$G$1,0))</f>
        <v>12.95</v>
      </c>
      <c r="T909" s="6">
        <f t="shared" si="84"/>
        <v>38.849999999999994</v>
      </c>
      <c r="U909" s="22">
        <f t="shared" si="88"/>
        <v>5.0504999999999995</v>
      </c>
      <c r="V909" s="22">
        <f t="shared" si="89"/>
        <v>13</v>
      </c>
    </row>
    <row r="910" spans="1:22" x14ac:dyDescent="0.3">
      <c r="A910" s="1" t="s">
        <v>1753</v>
      </c>
      <c r="B910" s="2">
        <v>43836</v>
      </c>
      <c r="C910" s="2" t="str">
        <f t="shared" si="85"/>
        <v>Monday</v>
      </c>
      <c r="D910" s="2" t="str">
        <f t="shared" si="86"/>
        <v>January</v>
      </c>
      <c r="E910" s="2" t="str">
        <f t="shared" si="87"/>
        <v>2020</v>
      </c>
      <c r="F910" s="3" t="s">
        <v>1754</v>
      </c>
      <c r="G910" s="3" t="str">
        <f>VLOOKUP(F911,'Customers (2)'!A:I,2,0)</f>
        <v>Bobbe Renner</v>
      </c>
      <c r="H910" s="3" t="str">
        <f>VLOOKUP(F910,'Customers (2)'!A:I,3,0)</f>
        <v>gciccottip8@so-net.ne.jp</v>
      </c>
      <c r="I910" s="3" t="str">
        <f>VLOOKUP(F910,'Customers (2)'!A:I,4,0)</f>
        <v>+1 (832) 392-5010</v>
      </c>
      <c r="J910" s="3" t="str">
        <f>VLOOKUP(F910,'Customers (2)'!A:I,6,0)</f>
        <v>Houston</v>
      </c>
      <c r="K910" s="3" t="str">
        <f>VLOOKUP(F910,'Customers (2)'!A:I,7,0)</f>
        <v>United States</v>
      </c>
      <c r="L910" s="3" t="str">
        <f>VLOOKUP(F910,'Customers (2)'!A:I,9,0)</f>
        <v>No</v>
      </c>
      <c r="M910" s="4" t="s">
        <v>189</v>
      </c>
      <c r="N910" s="4" t="str">
        <f>VLOOKUP(M910,'Products (2)'!A:G,2,0)</f>
        <v>Robusta</v>
      </c>
      <c r="O910" s="4" t="str">
        <f>VLOOKUP(M910,'Products (2)'!A:G,3,0)</f>
        <v>Light</v>
      </c>
      <c r="P910" s="4">
        <f>VLOOKUP(M910,'Products (2)'!A:G,7,0)</f>
        <v>0.71699999999999997</v>
      </c>
      <c r="Q910" s="3">
        <v>5</v>
      </c>
      <c r="R910" s="5">
        <f>INDEX([1]products!$A$1:$G$49,MATCH([1]orders!$D910,[1]products!$A$1:$A$49,0),MATCH([1]orders!K$1,[1]products!$A$1:$G$1,0))</f>
        <v>1</v>
      </c>
      <c r="S910" s="6">
        <f>INDEX([1]products!$A$1:$G$49,MATCH([1]orders!$D910,[1]products!$A$1:$A$49,0),MATCH([1]orders!L$1,[1]products!$A$1:$G$1,0))</f>
        <v>11.95</v>
      </c>
      <c r="T910" s="6">
        <f t="shared" si="84"/>
        <v>59.75</v>
      </c>
      <c r="U910" s="22">
        <f t="shared" si="88"/>
        <v>3.585</v>
      </c>
      <c r="V910" s="22">
        <f t="shared" si="89"/>
        <v>6</v>
      </c>
    </row>
    <row r="911" spans="1:22" x14ac:dyDescent="0.3">
      <c r="A911" s="1" t="s">
        <v>1755</v>
      </c>
      <c r="B911" s="2">
        <v>44635</v>
      </c>
      <c r="C911" s="2" t="str">
        <f t="shared" si="85"/>
        <v>Tuesday</v>
      </c>
      <c r="D911" s="2" t="str">
        <f t="shared" si="86"/>
        <v>March</v>
      </c>
      <c r="E911" s="2" t="str">
        <f t="shared" si="87"/>
        <v>2022</v>
      </c>
      <c r="F911" s="3" t="s">
        <v>1756</v>
      </c>
      <c r="G911" s="3" t="str">
        <f>VLOOKUP(F912,'Customers (2)'!A:I,2,0)</f>
        <v>Wilton Jallin</v>
      </c>
      <c r="H911" s="3">
        <f>VLOOKUP(F911,'Customers (2)'!A:I,3,0)</f>
        <v>0</v>
      </c>
      <c r="I911" s="3" t="str">
        <f>VLOOKUP(F911,'Customers (2)'!A:I,4,0)</f>
        <v>+1 (919) 456-9860</v>
      </c>
      <c r="J911" s="3" t="str">
        <f>VLOOKUP(F911,'Customers (2)'!A:I,6,0)</f>
        <v>Durham</v>
      </c>
      <c r="K911" s="3" t="str">
        <f>VLOOKUP(F911,'Customers (2)'!A:I,7,0)</f>
        <v>United States</v>
      </c>
      <c r="L911" s="3" t="str">
        <f>VLOOKUP(F911,'Customers (2)'!A:I,9,0)</f>
        <v>No</v>
      </c>
      <c r="M911" s="4" t="s">
        <v>182</v>
      </c>
      <c r="N911" s="4" t="str">
        <f>VLOOKUP(M911,'Products (2)'!A:G,2,0)</f>
        <v>Robusta</v>
      </c>
      <c r="O911" s="4" t="str">
        <f>VLOOKUP(M911,'Products (2)'!A:G,3,0)</f>
        <v>Light</v>
      </c>
      <c r="P911" s="4">
        <f>VLOOKUP(M911,'Products (2)'!A:G,7,0)</f>
        <v>0.21509999999999996</v>
      </c>
      <c r="Q911" s="3">
        <v>3</v>
      </c>
      <c r="R911" s="5">
        <f>INDEX([1]products!$A$1:$G$49,MATCH([1]orders!$D911,[1]products!$A$1:$A$49,0),MATCH([1]orders!K$1,[1]products!$A$1:$G$1,0))</f>
        <v>0.2</v>
      </c>
      <c r="S911" s="6">
        <f>INDEX([1]products!$A$1:$G$49,MATCH([1]orders!$D911,[1]products!$A$1:$A$49,0),MATCH([1]orders!L$1,[1]products!$A$1:$G$1,0))</f>
        <v>3.5849999999999995</v>
      </c>
      <c r="T911" s="6">
        <f t="shared" si="84"/>
        <v>10.754999999999999</v>
      </c>
      <c r="U911" s="22">
        <f t="shared" si="88"/>
        <v>0.64529999999999987</v>
      </c>
      <c r="V911" s="22">
        <f t="shared" si="89"/>
        <v>5.9999999999999991</v>
      </c>
    </row>
    <row r="912" spans="1:22" x14ac:dyDescent="0.3">
      <c r="A912" s="1" t="s">
        <v>1757</v>
      </c>
      <c r="B912" s="2">
        <v>44447</v>
      </c>
      <c r="C912" s="2" t="str">
        <f t="shared" si="85"/>
        <v>Wednesday</v>
      </c>
      <c r="D912" s="2" t="str">
        <f t="shared" si="86"/>
        <v>September</v>
      </c>
      <c r="E912" s="2" t="str">
        <f t="shared" si="87"/>
        <v>2021</v>
      </c>
      <c r="F912" s="3" t="s">
        <v>1758</v>
      </c>
      <c r="G912" s="3" t="str">
        <f>VLOOKUP(F913,'Customers (2)'!A:I,2,0)</f>
        <v>Mindy Bogey</v>
      </c>
      <c r="H912" s="3" t="str">
        <f>VLOOKUP(F912,'Customers (2)'!A:I,3,0)</f>
        <v>wjallinpa@pcworld.com</v>
      </c>
      <c r="I912" s="3" t="str">
        <f>VLOOKUP(F912,'Customers (2)'!A:I,4,0)</f>
        <v>+1 (617) 201-1702</v>
      </c>
      <c r="J912" s="3" t="str">
        <f>VLOOKUP(F912,'Customers (2)'!A:I,6,0)</f>
        <v>Boston</v>
      </c>
      <c r="K912" s="3" t="str">
        <f>VLOOKUP(F912,'Customers (2)'!A:I,7,0)</f>
        <v>United States</v>
      </c>
      <c r="L912" s="3" t="str">
        <f>VLOOKUP(F912,'Customers (2)'!A:I,9,0)</f>
        <v>No</v>
      </c>
      <c r="M912" s="4" t="s">
        <v>118</v>
      </c>
      <c r="N912" s="4" t="str">
        <f>VLOOKUP(M912,'Products (2)'!A:G,2,0)</f>
        <v>Arabica</v>
      </c>
      <c r="O912" s="4" t="str">
        <f>VLOOKUP(M912,'Products (2)'!A:G,3,0)</f>
        <v>Dark</v>
      </c>
      <c r="P912" s="4">
        <f>VLOOKUP(M912,'Products (2)'!A:G,7,0)</f>
        <v>2.0596499999999995</v>
      </c>
      <c r="Q912" s="3">
        <v>4</v>
      </c>
      <c r="R912" s="5">
        <f>INDEX([1]products!$A$1:$G$49,MATCH([1]orders!$D912,[1]products!$A$1:$A$49,0),MATCH([1]orders!K$1,[1]products!$A$1:$G$1,0))</f>
        <v>2.5</v>
      </c>
      <c r="S912" s="6">
        <f>INDEX([1]products!$A$1:$G$49,MATCH([1]orders!$D912,[1]products!$A$1:$A$49,0),MATCH([1]orders!L$1,[1]products!$A$1:$G$1,0))</f>
        <v>22.884999999999998</v>
      </c>
      <c r="T912" s="6">
        <f t="shared" si="84"/>
        <v>91.539999999999992</v>
      </c>
      <c r="U912" s="22">
        <f t="shared" si="88"/>
        <v>8.2385999999999981</v>
      </c>
      <c r="V912" s="22">
        <f t="shared" si="89"/>
        <v>8.9999999999999982</v>
      </c>
    </row>
    <row r="913" spans="1:22" x14ac:dyDescent="0.3">
      <c r="A913" s="1" t="s">
        <v>1759</v>
      </c>
      <c r="B913" s="2">
        <v>44511</v>
      </c>
      <c r="C913" s="2" t="str">
        <f t="shared" si="85"/>
        <v>Thursday</v>
      </c>
      <c r="D913" s="2" t="str">
        <f t="shared" si="86"/>
        <v>November</v>
      </c>
      <c r="E913" s="2" t="str">
        <f t="shared" si="87"/>
        <v>2021</v>
      </c>
      <c r="F913" s="3" t="s">
        <v>1760</v>
      </c>
      <c r="G913" s="3" t="str">
        <f>VLOOKUP(F914,'Customers (2)'!A:I,2,0)</f>
        <v>Paulie Fonzone</v>
      </c>
      <c r="H913" s="3" t="str">
        <f>VLOOKUP(F913,'Customers (2)'!A:I,3,0)</f>
        <v>mbogeypb@thetimes.co.uk</v>
      </c>
      <c r="I913" s="3" t="str">
        <f>VLOOKUP(F913,'Customers (2)'!A:I,4,0)</f>
        <v>+1 (202) 479-4238</v>
      </c>
      <c r="J913" s="3" t="str">
        <f>VLOOKUP(F913,'Customers (2)'!A:I,6,0)</f>
        <v>Washington</v>
      </c>
      <c r="K913" s="3" t="str">
        <f>VLOOKUP(F913,'Customers (2)'!A:I,7,0)</f>
        <v>United States</v>
      </c>
      <c r="L913" s="3" t="str">
        <f>VLOOKUP(F913,'Customers (2)'!A:I,9,0)</f>
        <v>Yes</v>
      </c>
      <c r="M913" s="4" t="s">
        <v>61</v>
      </c>
      <c r="N913" s="4" t="str">
        <f>VLOOKUP(M913,'Products (2)'!A:G,2,0)</f>
        <v>Arabica</v>
      </c>
      <c r="O913" s="4" t="str">
        <f>VLOOKUP(M913,'Products (2)'!A:G,3,0)</f>
        <v>Medium</v>
      </c>
      <c r="P913" s="4">
        <f>VLOOKUP(M913,'Products (2)'!A:G,7,0)</f>
        <v>1.0125</v>
      </c>
      <c r="Q913" s="3">
        <v>4</v>
      </c>
      <c r="R913" s="5">
        <f>INDEX([1]products!$A$1:$G$49,MATCH([1]orders!$D913,[1]products!$A$1:$A$49,0),MATCH([1]orders!K$1,[1]products!$A$1:$G$1,0))</f>
        <v>1</v>
      </c>
      <c r="S913" s="6">
        <f>INDEX([1]products!$A$1:$G$49,MATCH([1]orders!$D913,[1]products!$A$1:$A$49,0),MATCH([1]orders!L$1,[1]products!$A$1:$G$1,0))</f>
        <v>11.25</v>
      </c>
      <c r="T913" s="6">
        <f t="shared" si="84"/>
        <v>45</v>
      </c>
      <c r="U913" s="22">
        <f t="shared" si="88"/>
        <v>4.05</v>
      </c>
      <c r="V913" s="22">
        <f t="shared" si="89"/>
        <v>9</v>
      </c>
    </row>
    <row r="914" spans="1:22" x14ac:dyDescent="0.3">
      <c r="A914" s="1" t="s">
        <v>1761</v>
      </c>
      <c r="B914" s="2">
        <v>43726</v>
      </c>
      <c r="C914" s="2" t="str">
        <f t="shared" si="85"/>
        <v>Wednesday</v>
      </c>
      <c r="D914" s="2" t="str">
        <f t="shared" si="86"/>
        <v>September</v>
      </c>
      <c r="E914" s="2" t="str">
        <f t="shared" si="87"/>
        <v>2019</v>
      </c>
      <c r="F914" s="3" t="s">
        <v>1762</v>
      </c>
      <c r="G914" s="3" t="str">
        <f>VLOOKUP(F915,'Customers (2)'!A:I,2,0)</f>
        <v>Merrile Cobbledick</v>
      </c>
      <c r="H914" s="3">
        <f>VLOOKUP(F914,'Customers (2)'!A:I,3,0)</f>
        <v>0</v>
      </c>
      <c r="I914" s="3" t="str">
        <f>VLOOKUP(F914,'Customers (2)'!A:I,4,0)</f>
        <v>+1 (518) 905-1184</v>
      </c>
      <c r="J914" s="3" t="str">
        <f>VLOOKUP(F914,'Customers (2)'!A:I,6,0)</f>
        <v>Albany</v>
      </c>
      <c r="K914" s="3" t="str">
        <f>VLOOKUP(F914,'Customers (2)'!A:I,7,0)</f>
        <v>United States</v>
      </c>
      <c r="L914" s="3" t="str">
        <f>VLOOKUP(F914,'Customers (2)'!A:I,9,0)</f>
        <v>Yes</v>
      </c>
      <c r="M914" s="4" t="s">
        <v>41</v>
      </c>
      <c r="N914" s="4" t="str">
        <f>VLOOKUP(M914,'Products (2)'!A:G,2,0)</f>
        <v>Robusta</v>
      </c>
      <c r="O914" s="4" t="str">
        <f>VLOOKUP(M914,'Products (2)'!A:G,3,0)</f>
        <v>Medium</v>
      </c>
      <c r="P914" s="4">
        <f>VLOOKUP(M914,'Products (2)'!A:G,7,0)</f>
        <v>1.3730999999999998</v>
      </c>
      <c r="Q914" s="3">
        <v>6</v>
      </c>
      <c r="R914" s="5">
        <f>INDEX([1]products!$A$1:$G$49,MATCH([1]orders!$D914,[1]products!$A$1:$A$49,0),MATCH([1]orders!K$1,[1]products!$A$1:$G$1,0))</f>
        <v>2.5</v>
      </c>
      <c r="S914" s="6">
        <f>INDEX([1]products!$A$1:$G$49,MATCH([1]orders!$D914,[1]products!$A$1:$A$49,0),MATCH([1]orders!L$1,[1]products!$A$1:$G$1,0))</f>
        <v>22.884999999999998</v>
      </c>
      <c r="T914" s="6">
        <f t="shared" si="84"/>
        <v>137.31</v>
      </c>
      <c r="U914" s="22">
        <f t="shared" si="88"/>
        <v>8.2385999999999981</v>
      </c>
      <c r="V914" s="22">
        <f t="shared" si="89"/>
        <v>5.9999999999999982</v>
      </c>
    </row>
    <row r="915" spans="1:22" x14ac:dyDescent="0.3">
      <c r="A915" s="1" t="s">
        <v>1763</v>
      </c>
      <c r="B915" s="2">
        <v>44406</v>
      </c>
      <c r="C915" s="2" t="str">
        <f t="shared" si="85"/>
        <v>Thursday</v>
      </c>
      <c r="D915" s="2" t="str">
        <f t="shared" si="86"/>
        <v>July</v>
      </c>
      <c r="E915" s="2" t="str">
        <f t="shared" si="87"/>
        <v>2021</v>
      </c>
      <c r="F915" s="3" t="s">
        <v>1764</v>
      </c>
      <c r="G915" s="3" t="str">
        <f>VLOOKUP(F916,'Customers (2)'!A:I,2,0)</f>
        <v>Antonius Lewry</v>
      </c>
      <c r="H915" s="3" t="str">
        <f>VLOOKUP(F915,'Customers (2)'!A:I,3,0)</f>
        <v>mcobbledickpd@ucsd.edu</v>
      </c>
      <c r="I915" s="3" t="str">
        <f>VLOOKUP(F915,'Customers (2)'!A:I,4,0)</f>
        <v>+1 (520) 567-8210</v>
      </c>
      <c r="J915" s="3" t="str">
        <f>VLOOKUP(F915,'Customers (2)'!A:I,6,0)</f>
        <v>Tucson</v>
      </c>
      <c r="K915" s="3" t="str">
        <f>VLOOKUP(F915,'Customers (2)'!A:I,7,0)</f>
        <v>United States</v>
      </c>
      <c r="L915" s="3" t="str">
        <f>VLOOKUP(F915,'Customers (2)'!A:I,9,0)</f>
        <v>No</v>
      </c>
      <c r="M915" s="4" t="s">
        <v>67</v>
      </c>
      <c r="N915" s="4" t="str">
        <f>VLOOKUP(M915,'Products (2)'!A:G,2,0)</f>
        <v>Arabica</v>
      </c>
      <c r="O915" s="4" t="str">
        <f>VLOOKUP(M915,'Products (2)'!A:G,3,0)</f>
        <v>Medium</v>
      </c>
      <c r="P915" s="4">
        <f>VLOOKUP(M915,'Products (2)'!A:G,7,0)</f>
        <v>0.60749999999999993</v>
      </c>
      <c r="Q915" s="3">
        <v>1</v>
      </c>
      <c r="R915" s="5">
        <f>INDEX([1]products!$A$1:$G$49,MATCH([1]orders!$D915,[1]products!$A$1:$A$49,0),MATCH([1]orders!K$1,[1]products!$A$1:$G$1,0))</f>
        <v>0.5</v>
      </c>
      <c r="S915" s="6">
        <f>INDEX([1]products!$A$1:$G$49,MATCH([1]orders!$D915,[1]products!$A$1:$A$49,0),MATCH([1]orders!L$1,[1]products!$A$1:$G$1,0))</f>
        <v>6.75</v>
      </c>
      <c r="T915" s="6">
        <f t="shared" si="84"/>
        <v>6.75</v>
      </c>
      <c r="U915" s="22">
        <f t="shared" si="88"/>
        <v>0.60749999999999993</v>
      </c>
      <c r="V915" s="22">
        <f t="shared" si="89"/>
        <v>8.9999999999999982</v>
      </c>
    </row>
    <row r="916" spans="1:22" x14ac:dyDescent="0.3">
      <c r="A916" s="1" t="s">
        <v>1765</v>
      </c>
      <c r="B916" s="2">
        <v>44640</v>
      </c>
      <c r="C916" s="2" t="str">
        <f t="shared" si="85"/>
        <v>Sunday</v>
      </c>
      <c r="D916" s="2" t="str">
        <f t="shared" si="86"/>
        <v>March</v>
      </c>
      <c r="E916" s="2" t="str">
        <f t="shared" si="87"/>
        <v>2022</v>
      </c>
      <c r="F916" s="3" t="s">
        <v>1766</v>
      </c>
      <c r="G916" s="3" t="str">
        <f>VLOOKUP(F917,'Customers (2)'!A:I,2,0)</f>
        <v>Isis Hessel</v>
      </c>
      <c r="H916" s="3" t="str">
        <f>VLOOKUP(F916,'Customers (2)'!A:I,3,0)</f>
        <v>alewrype@whitehouse.gov</v>
      </c>
      <c r="I916" s="3" t="str">
        <f>VLOOKUP(F916,'Customers (2)'!A:I,4,0)</f>
        <v>+1 (334) 368-9435</v>
      </c>
      <c r="J916" s="3" t="str">
        <f>VLOOKUP(F916,'Customers (2)'!A:I,6,0)</f>
        <v>Montgomery</v>
      </c>
      <c r="K916" s="3" t="str">
        <f>VLOOKUP(F916,'Customers (2)'!A:I,7,0)</f>
        <v>United States</v>
      </c>
      <c r="L916" s="3" t="str">
        <f>VLOOKUP(F916,'Customers (2)'!A:I,9,0)</f>
        <v>No</v>
      </c>
      <c r="M916" s="4" t="s">
        <v>61</v>
      </c>
      <c r="N916" s="4" t="str">
        <f>VLOOKUP(M916,'Products (2)'!A:G,2,0)</f>
        <v>Arabica</v>
      </c>
      <c r="O916" s="4" t="str">
        <f>VLOOKUP(M916,'Products (2)'!A:G,3,0)</f>
        <v>Medium</v>
      </c>
      <c r="P916" s="4">
        <f>VLOOKUP(M916,'Products (2)'!A:G,7,0)</f>
        <v>1.0125</v>
      </c>
      <c r="Q916" s="3">
        <v>4</v>
      </c>
      <c r="R916" s="5">
        <f>INDEX([1]products!$A$1:$G$49,MATCH([1]orders!$D916,[1]products!$A$1:$A$49,0),MATCH([1]orders!K$1,[1]products!$A$1:$G$1,0))</f>
        <v>1</v>
      </c>
      <c r="S916" s="6">
        <f>INDEX([1]products!$A$1:$G$49,MATCH([1]orders!$D916,[1]products!$A$1:$A$49,0),MATCH([1]orders!L$1,[1]products!$A$1:$G$1,0))</f>
        <v>11.25</v>
      </c>
      <c r="T916" s="6">
        <f t="shared" si="84"/>
        <v>45</v>
      </c>
      <c r="U916" s="22">
        <f t="shared" si="88"/>
        <v>4.05</v>
      </c>
      <c r="V916" s="22">
        <f t="shared" si="89"/>
        <v>9</v>
      </c>
    </row>
    <row r="917" spans="1:22" x14ac:dyDescent="0.3">
      <c r="A917" s="1" t="s">
        <v>1767</v>
      </c>
      <c r="B917" s="2">
        <v>43955</v>
      </c>
      <c r="C917" s="2" t="str">
        <f t="shared" si="85"/>
        <v>Monday</v>
      </c>
      <c r="D917" s="2" t="str">
        <f t="shared" si="86"/>
        <v>May</v>
      </c>
      <c r="E917" s="2" t="str">
        <f t="shared" si="87"/>
        <v>2020</v>
      </c>
      <c r="F917" s="3" t="s">
        <v>1768</v>
      </c>
      <c r="G917" s="3" t="str">
        <f>VLOOKUP(F918,'Customers (2)'!A:I,2,0)</f>
        <v>Harland Trematick</v>
      </c>
      <c r="H917" s="3" t="str">
        <f>VLOOKUP(F917,'Customers (2)'!A:I,3,0)</f>
        <v>ihesselpf@ox.ac.uk</v>
      </c>
      <c r="I917" s="3" t="str">
        <f>VLOOKUP(F917,'Customers (2)'!A:I,4,0)</f>
        <v>+1 (907) 873-3538</v>
      </c>
      <c r="J917" s="3" t="str">
        <f>VLOOKUP(F917,'Customers (2)'!A:I,6,0)</f>
        <v>Fairbanks</v>
      </c>
      <c r="K917" s="3" t="str">
        <f>VLOOKUP(F917,'Customers (2)'!A:I,7,0)</f>
        <v>United States</v>
      </c>
      <c r="L917" s="3" t="str">
        <f>VLOOKUP(F917,'Customers (2)'!A:I,9,0)</f>
        <v>Yes</v>
      </c>
      <c r="M917" s="4" t="s">
        <v>530</v>
      </c>
      <c r="N917" s="4" t="str">
        <f>VLOOKUP(M917,'Products (2)'!A:G,2,0)</f>
        <v>Excelsa</v>
      </c>
      <c r="O917" s="4" t="str">
        <f>VLOOKUP(M917,'Products (2)'!A:G,3,0)</f>
        <v>Dark</v>
      </c>
      <c r="P917" s="4">
        <f>VLOOKUP(M917,'Products (2)'!A:G,7,0)</f>
        <v>3.07395</v>
      </c>
      <c r="Q917" s="3">
        <v>3</v>
      </c>
      <c r="R917" s="5">
        <f>INDEX([1]products!$A$1:$G$49,MATCH([1]orders!$D917,[1]products!$A$1:$A$49,0),MATCH([1]orders!K$1,[1]products!$A$1:$G$1,0))</f>
        <v>2.5</v>
      </c>
      <c r="S917" s="6">
        <f>INDEX([1]products!$A$1:$G$49,MATCH([1]orders!$D917,[1]products!$A$1:$A$49,0),MATCH([1]orders!L$1,[1]products!$A$1:$G$1,0))</f>
        <v>27.945</v>
      </c>
      <c r="T917" s="6">
        <f t="shared" si="84"/>
        <v>83.835000000000008</v>
      </c>
      <c r="U917" s="22">
        <f t="shared" si="88"/>
        <v>9.2218499999999999</v>
      </c>
      <c r="V917" s="22">
        <f t="shared" si="89"/>
        <v>10.999999999999998</v>
      </c>
    </row>
    <row r="918" spans="1:22" x14ac:dyDescent="0.3">
      <c r="A918" s="1" t="s">
        <v>1769</v>
      </c>
      <c r="B918" s="2">
        <v>44291</v>
      </c>
      <c r="C918" s="2" t="str">
        <f t="shared" si="85"/>
        <v>Monday</v>
      </c>
      <c r="D918" s="2" t="str">
        <f t="shared" si="86"/>
        <v>April</v>
      </c>
      <c r="E918" s="2" t="str">
        <f t="shared" si="87"/>
        <v>2021</v>
      </c>
      <c r="F918" s="3" t="s">
        <v>1770</v>
      </c>
      <c r="G918" s="3" t="str">
        <f>VLOOKUP(F919,'Customers (2)'!A:I,2,0)</f>
        <v>Chloris Sorrell</v>
      </c>
      <c r="H918" s="3">
        <f>VLOOKUP(F918,'Customers (2)'!A:I,3,0)</f>
        <v>0</v>
      </c>
      <c r="I918" s="3">
        <f>VLOOKUP(F918,'Customers (2)'!A:I,4,0)</f>
        <v>0</v>
      </c>
      <c r="J918" s="3" t="str">
        <f>VLOOKUP(F918,'Customers (2)'!A:I,6,0)</f>
        <v>Monasterevin</v>
      </c>
      <c r="K918" s="3" t="str">
        <f>VLOOKUP(F918,'Customers (2)'!A:I,7,0)</f>
        <v>Ireland</v>
      </c>
      <c r="L918" s="3" t="str">
        <f>VLOOKUP(F918,'Customers (2)'!A:I,9,0)</f>
        <v>Yes</v>
      </c>
      <c r="M918" s="4" t="s">
        <v>51</v>
      </c>
      <c r="N918" s="4" t="str">
        <f>VLOOKUP(M918,'Products (2)'!A:G,2,0)</f>
        <v>Excelsa</v>
      </c>
      <c r="O918" s="4" t="str">
        <f>VLOOKUP(M918,'Products (2)'!A:G,3,0)</f>
        <v>Dark</v>
      </c>
      <c r="P918" s="4">
        <f>VLOOKUP(M918,'Products (2)'!A:G,7,0)</f>
        <v>0.40095000000000003</v>
      </c>
      <c r="Q918" s="3">
        <v>1</v>
      </c>
      <c r="R918" s="5">
        <f>INDEX([1]products!$A$1:$G$49,MATCH([1]orders!$D918,[1]products!$A$1:$A$49,0),MATCH([1]orders!K$1,[1]products!$A$1:$G$1,0))</f>
        <v>0.2</v>
      </c>
      <c r="S918" s="6">
        <f>INDEX([1]products!$A$1:$G$49,MATCH([1]orders!$D918,[1]products!$A$1:$A$49,0),MATCH([1]orders!L$1,[1]products!$A$1:$G$1,0))</f>
        <v>3.645</v>
      </c>
      <c r="T918" s="6">
        <f t="shared" si="84"/>
        <v>3.645</v>
      </c>
      <c r="U918" s="22">
        <f t="shared" si="88"/>
        <v>0.40095000000000003</v>
      </c>
      <c r="V918" s="22">
        <f t="shared" si="89"/>
        <v>11</v>
      </c>
    </row>
    <row r="919" spans="1:22" x14ac:dyDescent="0.3">
      <c r="A919" s="1" t="s">
        <v>1771</v>
      </c>
      <c r="B919" s="2">
        <v>44573</v>
      </c>
      <c r="C919" s="2" t="str">
        <f t="shared" si="85"/>
        <v>Wednesday</v>
      </c>
      <c r="D919" s="2" t="str">
        <f t="shared" si="86"/>
        <v>January</v>
      </c>
      <c r="E919" s="2" t="str">
        <f t="shared" si="87"/>
        <v>2022</v>
      </c>
      <c r="F919" s="3" t="s">
        <v>1772</v>
      </c>
      <c r="G919" s="3" t="str">
        <f>VLOOKUP(F920,'Customers (2)'!A:I,2,0)</f>
        <v>Chloris Sorrell</v>
      </c>
      <c r="H919" s="3" t="str">
        <f>VLOOKUP(F919,'Customers (2)'!A:I,3,0)</f>
        <v>csorrellph@amazon.com</v>
      </c>
      <c r="I919" s="3" t="str">
        <f>VLOOKUP(F919,'Customers (2)'!A:I,4,0)</f>
        <v>+44 (160) 225-1993</v>
      </c>
      <c r="J919" s="3" t="str">
        <f>VLOOKUP(F919,'Customers (2)'!A:I,6,0)</f>
        <v>Norton</v>
      </c>
      <c r="K919" s="3" t="str">
        <f>VLOOKUP(F919,'Customers (2)'!A:I,7,0)</f>
        <v>United Kingdom</v>
      </c>
      <c r="L919" s="3" t="str">
        <f>VLOOKUP(F919,'Customers (2)'!A:I,9,0)</f>
        <v>No</v>
      </c>
      <c r="M919" s="4" t="s">
        <v>67</v>
      </c>
      <c r="N919" s="4" t="str">
        <f>VLOOKUP(M919,'Products (2)'!A:G,2,0)</f>
        <v>Arabica</v>
      </c>
      <c r="O919" s="4" t="str">
        <f>VLOOKUP(M919,'Products (2)'!A:G,3,0)</f>
        <v>Medium</v>
      </c>
      <c r="P919" s="4">
        <f>VLOOKUP(M919,'Products (2)'!A:G,7,0)</f>
        <v>0.60749999999999993</v>
      </c>
      <c r="Q919" s="3">
        <v>1</v>
      </c>
      <c r="R919" s="5">
        <f>INDEX([1]products!$A$1:$G$49,MATCH([1]orders!$D919,[1]products!$A$1:$A$49,0),MATCH([1]orders!K$1,[1]products!$A$1:$G$1,0))</f>
        <v>0.5</v>
      </c>
      <c r="S919" s="6">
        <f>INDEX([1]products!$A$1:$G$49,MATCH([1]orders!$D919,[1]products!$A$1:$A$49,0),MATCH([1]orders!L$1,[1]products!$A$1:$G$1,0))</f>
        <v>6.75</v>
      </c>
      <c r="T919" s="6">
        <f t="shared" si="84"/>
        <v>6.75</v>
      </c>
      <c r="U919" s="22">
        <f t="shared" si="88"/>
        <v>0.60749999999999993</v>
      </c>
      <c r="V919" s="22">
        <f t="shared" si="89"/>
        <v>8.9999999999999982</v>
      </c>
    </row>
    <row r="920" spans="1:22" x14ac:dyDescent="0.3">
      <c r="A920" s="1" t="s">
        <v>1771</v>
      </c>
      <c r="B920" s="2">
        <v>44573</v>
      </c>
      <c r="C920" s="2" t="str">
        <f t="shared" si="85"/>
        <v>Wednesday</v>
      </c>
      <c r="D920" s="2" t="str">
        <f t="shared" si="86"/>
        <v>January</v>
      </c>
      <c r="E920" s="2" t="str">
        <f t="shared" si="87"/>
        <v>2022</v>
      </c>
      <c r="F920" s="3" t="s">
        <v>1772</v>
      </c>
      <c r="G920" s="3" t="str">
        <f>VLOOKUP(F921,'Customers (2)'!A:I,2,0)</f>
        <v>Quintina Heavyside</v>
      </c>
      <c r="H920" s="3" t="str">
        <f>VLOOKUP(F920,'Customers (2)'!A:I,3,0)</f>
        <v>csorrellph@amazon.com</v>
      </c>
      <c r="I920" s="3" t="str">
        <f>VLOOKUP(F920,'Customers (2)'!A:I,4,0)</f>
        <v>+44 (160) 225-1993</v>
      </c>
      <c r="J920" s="3" t="str">
        <f>VLOOKUP(F920,'Customers (2)'!A:I,6,0)</f>
        <v>Norton</v>
      </c>
      <c r="K920" s="3" t="str">
        <f>VLOOKUP(F920,'Customers (2)'!A:I,7,0)</f>
        <v>United Kingdom</v>
      </c>
      <c r="L920" s="3" t="str">
        <f>VLOOKUP(F920,'Customers (2)'!A:I,9,0)</f>
        <v>No</v>
      </c>
      <c r="M920" s="4" t="s">
        <v>16</v>
      </c>
      <c r="N920" s="4" t="str">
        <f>VLOOKUP(M920,'Products (2)'!A:G,2,0)</f>
        <v>Excelsa</v>
      </c>
      <c r="O920" s="4" t="str">
        <f>VLOOKUP(M920,'Products (2)'!A:G,3,0)</f>
        <v>Dark</v>
      </c>
      <c r="P920" s="4">
        <f>VLOOKUP(M920,'Products (2)'!A:G,7,0)</f>
        <v>0.80190000000000006</v>
      </c>
      <c r="Q920" s="3">
        <v>3</v>
      </c>
      <c r="R920" s="5">
        <f>INDEX([1]products!$A$1:$G$49,MATCH([1]orders!$D920,[1]products!$A$1:$A$49,0),MATCH([1]orders!K$1,[1]products!$A$1:$G$1,0))</f>
        <v>0.5</v>
      </c>
      <c r="S920" s="6">
        <f>INDEX([1]products!$A$1:$G$49,MATCH([1]orders!$D920,[1]products!$A$1:$A$49,0),MATCH([1]orders!L$1,[1]products!$A$1:$G$1,0))</f>
        <v>7.29</v>
      </c>
      <c r="T920" s="6">
        <f t="shared" si="84"/>
        <v>21.87</v>
      </c>
      <c r="U920" s="22">
        <f t="shared" si="88"/>
        <v>2.4057000000000004</v>
      </c>
      <c r="V920" s="22">
        <f t="shared" si="89"/>
        <v>11.000000000000002</v>
      </c>
    </row>
    <row r="921" spans="1:22" x14ac:dyDescent="0.3">
      <c r="A921" s="1" t="s">
        <v>1773</v>
      </c>
      <c r="B921" s="2">
        <v>44181</v>
      </c>
      <c r="C921" s="2" t="str">
        <f t="shared" si="85"/>
        <v>Wednesday</v>
      </c>
      <c r="D921" s="2" t="str">
        <f t="shared" si="86"/>
        <v>December</v>
      </c>
      <c r="E921" s="2" t="str">
        <f t="shared" si="87"/>
        <v>2020</v>
      </c>
      <c r="F921" s="3" t="s">
        <v>1774</v>
      </c>
      <c r="G921" s="3" t="str">
        <f>VLOOKUP(F922,'Customers (2)'!A:I,2,0)</f>
        <v>Hadley Reuven</v>
      </c>
      <c r="H921" s="3" t="str">
        <f>VLOOKUP(F921,'Customers (2)'!A:I,3,0)</f>
        <v>qheavysidepj@unc.edu</v>
      </c>
      <c r="I921" s="3" t="str">
        <f>VLOOKUP(F921,'Customers (2)'!A:I,4,0)</f>
        <v>+1 (859) 572-4305</v>
      </c>
      <c r="J921" s="3" t="str">
        <f>VLOOKUP(F921,'Customers (2)'!A:I,6,0)</f>
        <v>Lexington</v>
      </c>
      <c r="K921" s="3" t="str">
        <f>VLOOKUP(F921,'Customers (2)'!A:I,7,0)</f>
        <v>United States</v>
      </c>
      <c r="L921" s="3" t="str">
        <f>VLOOKUP(F921,'Customers (2)'!A:I,9,0)</f>
        <v>Yes</v>
      </c>
      <c r="M921" s="4" t="s">
        <v>101</v>
      </c>
      <c r="N921" s="4" t="str">
        <f>VLOOKUP(M921,'Products (2)'!A:G,2,0)</f>
        <v>Robusta</v>
      </c>
      <c r="O921" s="4" t="str">
        <f>VLOOKUP(M921,'Products (2)'!A:G,3,0)</f>
        <v>Dark</v>
      </c>
      <c r="P921" s="4">
        <f>VLOOKUP(M921,'Products (2)'!A:G,7,0)</f>
        <v>0.16109999999999997</v>
      </c>
      <c r="Q921" s="3">
        <v>5</v>
      </c>
      <c r="R921" s="5">
        <f>INDEX([1]products!$A$1:$G$49,MATCH([1]orders!$D921,[1]products!$A$1:$A$49,0),MATCH([1]orders!K$1,[1]products!$A$1:$G$1,0))</f>
        <v>0.2</v>
      </c>
      <c r="S921" s="6">
        <f>INDEX([1]products!$A$1:$G$49,MATCH([1]orders!$D921,[1]products!$A$1:$A$49,0),MATCH([1]orders!L$1,[1]products!$A$1:$G$1,0))</f>
        <v>2.6849999999999996</v>
      </c>
      <c r="T921" s="6">
        <f t="shared" si="84"/>
        <v>13.424999999999997</v>
      </c>
      <c r="U921" s="22">
        <f t="shared" si="88"/>
        <v>0.80549999999999988</v>
      </c>
      <c r="V921" s="22">
        <f t="shared" si="89"/>
        <v>6.0000000000000009</v>
      </c>
    </row>
    <row r="922" spans="1:22" x14ac:dyDescent="0.3">
      <c r="A922" s="1" t="s">
        <v>1775</v>
      </c>
      <c r="B922" s="2">
        <v>44711</v>
      </c>
      <c r="C922" s="2" t="str">
        <f t="shared" si="85"/>
        <v>Monday</v>
      </c>
      <c r="D922" s="2" t="str">
        <f t="shared" si="86"/>
        <v>May</v>
      </c>
      <c r="E922" s="2" t="str">
        <f t="shared" si="87"/>
        <v>2022</v>
      </c>
      <c r="F922" s="3" t="s">
        <v>1776</v>
      </c>
      <c r="G922" s="3" t="str">
        <f>VLOOKUP(F923,'Customers (2)'!A:I,2,0)</f>
        <v>Mitch Attwool</v>
      </c>
      <c r="H922" s="3" t="str">
        <f>VLOOKUP(F922,'Customers (2)'!A:I,3,0)</f>
        <v>hreuvenpk@whitehouse.gov</v>
      </c>
      <c r="I922" s="3" t="str">
        <f>VLOOKUP(F922,'Customers (2)'!A:I,4,0)</f>
        <v>+1 (616) 851-0525</v>
      </c>
      <c r="J922" s="3" t="str">
        <f>VLOOKUP(F922,'Customers (2)'!A:I,6,0)</f>
        <v>Grand Rapids</v>
      </c>
      <c r="K922" s="3" t="str">
        <f>VLOOKUP(F922,'Customers (2)'!A:I,7,0)</f>
        <v>United States</v>
      </c>
      <c r="L922" s="3" t="str">
        <f>VLOOKUP(F922,'Customers (2)'!A:I,9,0)</f>
        <v>No</v>
      </c>
      <c r="M922" s="4" t="s">
        <v>35</v>
      </c>
      <c r="N922" s="4" t="str">
        <f>VLOOKUP(M922,'Products (2)'!A:G,2,0)</f>
        <v>Robusta</v>
      </c>
      <c r="O922" s="4" t="str">
        <f>VLOOKUP(M922,'Products (2)'!A:G,3,0)</f>
        <v>Dark</v>
      </c>
      <c r="P922" s="4">
        <f>VLOOKUP(M922,'Products (2)'!A:G,7,0)</f>
        <v>1.2350999999999999</v>
      </c>
      <c r="Q922" s="3">
        <v>6</v>
      </c>
      <c r="R922" s="5">
        <f>INDEX([1]products!$A$1:$G$49,MATCH([1]orders!$D922,[1]products!$A$1:$A$49,0),MATCH([1]orders!K$1,[1]products!$A$1:$G$1,0))</f>
        <v>2.5</v>
      </c>
      <c r="S922" s="6">
        <f>INDEX([1]products!$A$1:$G$49,MATCH([1]orders!$D922,[1]products!$A$1:$A$49,0),MATCH([1]orders!L$1,[1]products!$A$1:$G$1,0))</f>
        <v>20.584999999999997</v>
      </c>
      <c r="T922" s="6">
        <f t="shared" si="84"/>
        <v>123.50999999999999</v>
      </c>
      <c r="U922" s="22">
        <f t="shared" si="88"/>
        <v>7.4105999999999987</v>
      </c>
      <c r="V922" s="22">
        <f t="shared" si="89"/>
        <v>5.9999999999999991</v>
      </c>
    </row>
    <row r="923" spans="1:22" x14ac:dyDescent="0.3">
      <c r="A923" s="1" t="s">
        <v>1777</v>
      </c>
      <c r="B923" s="2">
        <v>44509</v>
      </c>
      <c r="C923" s="2" t="str">
        <f t="shared" si="85"/>
        <v>Tuesday</v>
      </c>
      <c r="D923" s="2" t="str">
        <f t="shared" si="86"/>
        <v>November</v>
      </c>
      <c r="E923" s="2" t="str">
        <f t="shared" si="87"/>
        <v>2021</v>
      </c>
      <c r="F923" s="3" t="s">
        <v>1778</v>
      </c>
      <c r="G923" s="3" t="str">
        <f>VLOOKUP(F924,'Customers (2)'!A:I,2,0)</f>
        <v>Charin Maplethorp</v>
      </c>
      <c r="H923" s="3" t="str">
        <f>VLOOKUP(F923,'Customers (2)'!A:I,3,0)</f>
        <v>mattwoolpl@nba.com</v>
      </c>
      <c r="I923" s="3" t="str">
        <f>VLOOKUP(F923,'Customers (2)'!A:I,4,0)</f>
        <v>+1 (515) 821-3701</v>
      </c>
      <c r="J923" s="3" t="str">
        <f>VLOOKUP(F923,'Customers (2)'!A:I,6,0)</f>
        <v>Des Moines</v>
      </c>
      <c r="K923" s="3" t="str">
        <f>VLOOKUP(F923,'Customers (2)'!A:I,7,0)</f>
        <v>United States</v>
      </c>
      <c r="L923" s="3" t="str">
        <f>VLOOKUP(F923,'Customers (2)'!A:I,9,0)</f>
        <v>No</v>
      </c>
      <c r="M923" s="4" t="s">
        <v>38</v>
      </c>
      <c r="N923" s="4" t="str">
        <f>VLOOKUP(M923,'Products (2)'!A:G,2,0)</f>
        <v>Liberica</v>
      </c>
      <c r="O923" s="4" t="str">
        <f>VLOOKUP(M923,'Products (2)'!A:G,3,0)</f>
        <v>Dark</v>
      </c>
      <c r="P923" s="4">
        <f>VLOOKUP(M923,'Products (2)'!A:G,7,0)</f>
        <v>0.50505</v>
      </c>
      <c r="Q923" s="3">
        <v>2</v>
      </c>
      <c r="R923" s="5">
        <f>INDEX([1]products!$A$1:$G$49,MATCH([1]orders!$D923,[1]products!$A$1:$A$49,0),MATCH([1]orders!K$1,[1]products!$A$1:$G$1,0))</f>
        <v>0.2</v>
      </c>
      <c r="S923" s="6">
        <f>INDEX([1]products!$A$1:$G$49,MATCH([1]orders!$D923,[1]products!$A$1:$A$49,0),MATCH([1]orders!L$1,[1]products!$A$1:$G$1,0))</f>
        <v>3.8849999999999998</v>
      </c>
      <c r="T923" s="6">
        <f t="shared" si="84"/>
        <v>7.77</v>
      </c>
      <c r="U923" s="22">
        <f t="shared" si="88"/>
        <v>1.0101</v>
      </c>
      <c r="V923" s="22">
        <f t="shared" si="89"/>
        <v>13</v>
      </c>
    </row>
    <row r="924" spans="1:22" x14ac:dyDescent="0.3">
      <c r="A924" s="1" t="s">
        <v>1779</v>
      </c>
      <c r="B924" s="2">
        <v>44659</v>
      </c>
      <c r="C924" s="2" t="str">
        <f t="shared" si="85"/>
        <v>Friday</v>
      </c>
      <c r="D924" s="2" t="str">
        <f t="shared" si="86"/>
        <v>April</v>
      </c>
      <c r="E924" s="2" t="str">
        <f t="shared" si="87"/>
        <v>2022</v>
      </c>
      <c r="F924" s="3" t="s">
        <v>1780</v>
      </c>
      <c r="G924" s="3" t="str">
        <f>VLOOKUP(F925,'Customers (2)'!A:I,2,0)</f>
        <v>Goldie Wynes</v>
      </c>
      <c r="H924" s="3">
        <f>VLOOKUP(F924,'Customers (2)'!A:I,3,0)</f>
        <v>0</v>
      </c>
      <c r="I924" s="3">
        <f>VLOOKUP(F924,'Customers (2)'!A:I,4,0)</f>
        <v>0</v>
      </c>
      <c r="J924" s="3" t="str">
        <f>VLOOKUP(F924,'Customers (2)'!A:I,6,0)</f>
        <v>Wilmington</v>
      </c>
      <c r="K924" s="3" t="str">
        <f>VLOOKUP(F924,'Customers (2)'!A:I,7,0)</f>
        <v>United States</v>
      </c>
      <c r="L924" s="3" t="str">
        <f>VLOOKUP(F924,'Customers (2)'!A:I,9,0)</f>
        <v>Yes</v>
      </c>
      <c r="M924" s="4" t="s">
        <v>61</v>
      </c>
      <c r="N924" s="4" t="str">
        <f>VLOOKUP(M924,'Products (2)'!A:G,2,0)</f>
        <v>Arabica</v>
      </c>
      <c r="O924" s="4" t="str">
        <f>VLOOKUP(M924,'Products (2)'!A:G,3,0)</f>
        <v>Medium</v>
      </c>
      <c r="P924" s="4">
        <f>VLOOKUP(M924,'Products (2)'!A:G,7,0)</f>
        <v>1.0125</v>
      </c>
      <c r="Q924" s="3">
        <v>6</v>
      </c>
      <c r="R924" s="5">
        <f>INDEX([1]products!$A$1:$G$49,MATCH([1]orders!$D924,[1]products!$A$1:$A$49,0),MATCH([1]orders!K$1,[1]products!$A$1:$G$1,0))</f>
        <v>1</v>
      </c>
      <c r="S924" s="6">
        <f>INDEX([1]products!$A$1:$G$49,MATCH([1]orders!$D924,[1]products!$A$1:$A$49,0),MATCH([1]orders!L$1,[1]products!$A$1:$G$1,0))</f>
        <v>11.25</v>
      </c>
      <c r="T924" s="6">
        <f t="shared" si="84"/>
        <v>67.5</v>
      </c>
      <c r="U924" s="22">
        <f t="shared" si="88"/>
        <v>6.0749999999999993</v>
      </c>
      <c r="V924" s="22">
        <f t="shared" si="89"/>
        <v>8.9999999999999982</v>
      </c>
    </row>
    <row r="925" spans="1:22" x14ac:dyDescent="0.3">
      <c r="A925" s="1" t="s">
        <v>1781</v>
      </c>
      <c r="B925" s="2">
        <v>43746</v>
      </c>
      <c r="C925" s="2" t="str">
        <f t="shared" si="85"/>
        <v>Tuesday</v>
      </c>
      <c r="D925" s="2" t="str">
        <f t="shared" si="86"/>
        <v>October</v>
      </c>
      <c r="E925" s="2" t="str">
        <f t="shared" si="87"/>
        <v>2019</v>
      </c>
      <c r="F925" s="3" t="s">
        <v>1782</v>
      </c>
      <c r="G925" s="3" t="str">
        <f>VLOOKUP(F926,'Customers (2)'!A:I,2,0)</f>
        <v>Celie MacCourt</v>
      </c>
      <c r="H925" s="3" t="str">
        <f>VLOOKUP(F925,'Customers (2)'!A:I,3,0)</f>
        <v>gwynespn@dagondesign.com</v>
      </c>
      <c r="I925" s="3" t="str">
        <f>VLOOKUP(F925,'Customers (2)'!A:I,4,0)</f>
        <v>+1 (512) 118-8603</v>
      </c>
      <c r="J925" s="3" t="str">
        <f>VLOOKUP(F925,'Customers (2)'!A:I,6,0)</f>
        <v>Austin</v>
      </c>
      <c r="K925" s="3" t="str">
        <f>VLOOKUP(F925,'Customers (2)'!A:I,7,0)</f>
        <v>United States</v>
      </c>
      <c r="L925" s="3" t="str">
        <f>VLOOKUP(F925,'Customers (2)'!A:I,9,0)</f>
        <v>No</v>
      </c>
      <c r="M925" s="4" t="s">
        <v>530</v>
      </c>
      <c r="N925" s="4" t="str">
        <f>VLOOKUP(M925,'Products (2)'!A:G,2,0)</f>
        <v>Excelsa</v>
      </c>
      <c r="O925" s="4" t="str">
        <f>VLOOKUP(M925,'Products (2)'!A:G,3,0)</f>
        <v>Dark</v>
      </c>
      <c r="P925" s="4">
        <f>VLOOKUP(M925,'Products (2)'!A:G,7,0)</f>
        <v>3.07395</v>
      </c>
      <c r="Q925" s="3">
        <v>1</v>
      </c>
      <c r="R925" s="5">
        <f>INDEX([1]products!$A$1:$G$49,MATCH([1]orders!$D925,[1]products!$A$1:$A$49,0),MATCH([1]orders!K$1,[1]products!$A$1:$G$1,0))</f>
        <v>2.5</v>
      </c>
      <c r="S925" s="6">
        <f>INDEX([1]products!$A$1:$G$49,MATCH([1]orders!$D925,[1]products!$A$1:$A$49,0),MATCH([1]orders!L$1,[1]products!$A$1:$G$1,0))</f>
        <v>27.945</v>
      </c>
      <c r="T925" s="6">
        <f t="shared" si="84"/>
        <v>27.945</v>
      </c>
      <c r="U925" s="22">
        <f t="shared" si="88"/>
        <v>3.07395</v>
      </c>
      <c r="V925" s="22">
        <f t="shared" si="89"/>
        <v>11</v>
      </c>
    </row>
    <row r="926" spans="1:22" x14ac:dyDescent="0.3">
      <c r="A926" s="1" t="s">
        <v>1783</v>
      </c>
      <c r="B926" s="2">
        <v>44451</v>
      </c>
      <c r="C926" s="2" t="str">
        <f t="shared" si="85"/>
        <v>Sunday</v>
      </c>
      <c r="D926" s="2" t="str">
        <f t="shared" si="86"/>
        <v>September</v>
      </c>
      <c r="E926" s="2" t="str">
        <f t="shared" si="87"/>
        <v>2021</v>
      </c>
      <c r="F926" s="3" t="s">
        <v>1784</v>
      </c>
      <c r="G926" s="3" t="str">
        <f>VLOOKUP(F927,'Customers (2)'!A:I,2,0)</f>
        <v>Derick Snow</v>
      </c>
      <c r="H926" s="3" t="str">
        <f>VLOOKUP(F926,'Customers (2)'!A:I,3,0)</f>
        <v>cmaccourtpo@amazon.com</v>
      </c>
      <c r="I926" s="3">
        <f>VLOOKUP(F926,'Customers (2)'!A:I,4,0)</f>
        <v>0</v>
      </c>
      <c r="J926" s="3" t="str">
        <f>VLOOKUP(F926,'Customers (2)'!A:I,6,0)</f>
        <v>Orlando</v>
      </c>
      <c r="K926" s="3" t="str">
        <f>VLOOKUP(F926,'Customers (2)'!A:I,7,0)</f>
        <v>United States</v>
      </c>
      <c r="L926" s="3" t="str">
        <f>VLOOKUP(F926,'Customers (2)'!A:I,9,0)</f>
        <v>No</v>
      </c>
      <c r="M926" s="4" t="s">
        <v>204</v>
      </c>
      <c r="N926" s="4" t="str">
        <f>VLOOKUP(M926,'Products (2)'!A:G,2,0)</f>
        <v>Arabica</v>
      </c>
      <c r="O926" s="4" t="str">
        <f>VLOOKUP(M926,'Products (2)'!A:G,3,0)</f>
        <v>Light</v>
      </c>
      <c r="P926" s="4">
        <f>VLOOKUP(M926,'Products (2)'!A:G,7,0)</f>
        <v>2.6806499999999995</v>
      </c>
      <c r="Q926" s="3">
        <v>3</v>
      </c>
      <c r="R926" s="5">
        <f>INDEX([1]products!$A$1:$G$49,MATCH([1]orders!$D926,[1]products!$A$1:$A$49,0),MATCH([1]orders!K$1,[1]products!$A$1:$G$1,0))</f>
        <v>2.5</v>
      </c>
      <c r="S926" s="6">
        <f>INDEX([1]products!$A$1:$G$49,MATCH([1]orders!$D926,[1]products!$A$1:$A$49,0),MATCH([1]orders!L$1,[1]products!$A$1:$G$1,0))</f>
        <v>29.784999999999997</v>
      </c>
      <c r="T926" s="6">
        <f t="shared" si="84"/>
        <v>89.35499999999999</v>
      </c>
      <c r="U926" s="22">
        <f t="shared" si="88"/>
        <v>8.0419499999999982</v>
      </c>
      <c r="V926" s="22">
        <f t="shared" si="89"/>
        <v>8.9999999999999982</v>
      </c>
    </row>
    <row r="927" spans="1:22" x14ac:dyDescent="0.3">
      <c r="A927" s="1" t="s">
        <v>1785</v>
      </c>
      <c r="B927" s="2">
        <v>44770</v>
      </c>
      <c r="C927" s="2" t="str">
        <f t="shared" si="85"/>
        <v>Thursday</v>
      </c>
      <c r="D927" s="2" t="str">
        <f t="shared" si="86"/>
        <v>July</v>
      </c>
      <c r="E927" s="2" t="str">
        <f t="shared" si="87"/>
        <v>2022</v>
      </c>
      <c r="F927" s="3" t="s">
        <v>1729</v>
      </c>
      <c r="G927" s="3" t="str">
        <f>VLOOKUP(F928,'Customers (2)'!A:I,2,0)</f>
        <v>Evy Wilsone</v>
      </c>
      <c r="H927" s="3">
        <f>VLOOKUP(F927,'Customers (2)'!A:I,3,0)</f>
        <v>0</v>
      </c>
      <c r="I927" s="3" t="str">
        <f>VLOOKUP(F927,'Customers (2)'!A:I,4,0)</f>
        <v>+1 (718) 461-3002</v>
      </c>
      <c r="J927" s="3" t="str">
        <f>VLOOKUP(F927,'Customers (2)'!A:I,6,0)</f>
        <v>New York City</v>
      </c>
      <c r="K927" s="3" t="str">
        <f>VLOOKUP(F927,'Customers (2)'!A:I,7,0)</f>
        <v>United States</v>
      </c>
      <c r="L927" s="3" t="str">
        <f>VLOOKUP(F927,'Customers (2)'!A:I,9,0)</f>
        <v>No</v>
      </c>
      <c r="M927" s="4" t="s">
        <v>67</v>
      </c>
      <c r="N927" s="4" t="str">
        <f>VLOOKUP(M927,'Products (2)'!A:G,2,0)</f>
        <v>Arabica</v>
      </c>
      <c r="O927" s="4" t="str">
        <f>VLOOKUP(M927,'Products (2)'!A:G,3,0)</f>
        <v>Medium</v>
      </c>
      <c r="P927" s="4">
        <f>VLOOKUP(M927,'Products (2)'!A:G,7,0)</f>
        <v>0.60749999999999993</v>
      </c>
      <c r="Q927" s="3">
        <v>3</v>
      </c>
      <c r="R927" s="5">
        <f>INDEX([1]products!$A$1:$G$49,MATCH([1]orders!$D927,[1]products!$A$1:$A$49,0),MATCH([1]orders!K$1,[1]products!$A$1:$G$1,0))</f>
        <v>0.5</v>
      </c>
      <c r="S927" s="6">
        <f>INDEX([1]products!$A$1:$G$49,MATCH([1]orders!$D927,[1]products!$A$1:$A$49,0),MATCH([1]orders!L$1,[1]products!$A$1:$G$1,0))</f>
        <v>6.75</v>
      </c>
      <c r="T927" s="6">
        <f t="shared" si="84"/>
        <v>20.25</v>
      </c>
      <c r="U927" s="22">
        <f t="shared" si="88"/>
        <v>1.8224999999999998</v>
      </c>
      <c r="V927" s="22">
        <f t="shared" si="89"/>
        <v>8.9999999999999982</v>
      </c>
    </row>
    <row r="928" spans="1:22" x14ac:dyDescent="0.3">
      <c r="A928" s="1" t="s">
        <v>1786</v>
      </c>
      <c r="B928" s="2">
        <v>44012</v>
      </c>
      <c r="C928" s="2" t="str">
        <f t="shared" si="85"/>
        <v>Tuesday</v>
      </c>
      <c r="D928" s="2" t="str">
        <f t="shared" si="86"/>
        <v>June</v>
      </c>
      <c r="E928" s="2" t="str">
        <f t="shared" si="87"/>
        <v>2020</v>
      </c>
      <c r="F928" s="3" t="s">
        <v>1787</v>
      </c>
      <c r="G928" s="3" t="str">
        <f>VLOOKUP(F929,'Customers (2)'!A:I,2,0)</f>
        <v>Dolores Duffie</v>
      </c>
      <c r="H928" s="3" t="str">
        <f>VLOOKUP(F928,'Customers (2)'!A:I,3,0)</f>
        <v>ewilsonepq@eepurl.com</v>
      </c>
      <c r="I928" s="3" t="str">
        <f>VLOOKUP(F928,'Customers (2)'!A:I,4,0)</f>
        <v>+1 (202) 969-6382</v>
      </c>
      <c r="J928" s="3" t="str">
        <f>VLOOKUP(F928,'Customers (2)'!A:I,6,0)</f>
        <v>Washington</v>
      </c>
      <c r="K928" s="3" t="str">
        <f>VLOOKUP(F928,'Customers (2)'!A:I,7,0)</f>
        <v>United States</v>
      </c>
      <c r="L928" s="3" t="str">
        <f>VLOOKUP(F928,'Customers (2)'!A:I,9,0)</f>
        <v>Yes</v>
      </c>
      <c r="M928" s="4" t="s">
        <v>67</v>
      </c>
      <c r="N928" s="4" t="str">
        <f>VLOOKUP(M928,'Products (2)'!A:G,2,0)</f>
        <v>Arabica</v>
      </c>
      <c r="O928" s="4" t="str">
        <f>VLOOKUP(M928,'Products (2)'!A:G,3,0)</f>
        <v>Medium</v>
      </c>
      <c r="P928" s="4">
        <f>VLOOKUP(M928,'Products (2)'!A:G,7,0)</f>
        <v>0.60749999999999993</v>
      </c>
      <c r="Q928" s="3">
        <v>5</v>
      </c>
      <c r="R928" s="5">
        <f>INDEX([1]products!$A$1:$G$49,MATCH([1]orders!$D928,[1]products!$A$1:$A$49,0),MATCH([1]orders!K$1,[1]products!$A$1:$G$1,0))</f>
        <v>0.5</v>
      </c>
      <c r="S928" s="6">
        <f>INDEX([1]products!$A$1:$G$49,MATCH([1]orders!$D928,[1]products!$A$1:$A$49,0),MATCH([1]orders!L$1,[1]products!$A$1:$G$1,0))</f>
        <v>6.75</v>
      </c>
      <c r="T928" s="6">
        <f t="shared" si="84"/>
        <v>33.75</v>
      </c>
      <c r="U928" s="22">
        <f t="shared" si="88"/>
        <v>3.0374999999999996</v>
      </c>
      <c r="V928" s="22">
        <f t="shared" si="89"/>
        <v>8.9999999999999982</v>
      </c>
    </row>
    <row r="929" spans="1:22" x14ac:dyDescent="0.3">
      <c r="A929" s="1" t="s">
        <v>1788</v>
      </c>
      <c r="B929" s="2">
        <v>43474</v>
      </c>
      <c r="C929" s="2" t="str">
        <f t="shared" si="85"/>
        <v>Wednesday</v>
      </c>
      <c r="D929" s="2" t="str">
        <f t="shared" si="86"/>
        <v>January</v>
      </c>
      <c r="E929" s="2" t="str">
        <f t="shared" si="87"/>
        <v>2019</v>
      </c>
      <c r="F929" s="3" t="s">
        <v>1789</v>
      </c>
      <c r="G929" s="3" t="str">
        <f>VLOOKUP(F930,'Customers (2)'!A:I,2,0)</f>
        <v>Mathilda Matiasek</v>
      </c>
      <c r="H929" s="3" t="str">
        <f>VLOOKUP(F929,'Customers (2)'!A:I,3,0)</f>
        <v>dduffiepr@time.com</v>
      </c>
      <c r="I929" s="3" t="str">
        <f>VLOOKUP(F929,'Customers (2)'!A:I,4,0)</f>
        <v>+1 (971) 936-3214</v>
      </c>
      <c r="J929" s="3" t="str">
        <f>VLOOKUP(F929,'Customers (2)'!A:I,6,0)</f>
        <v>Portland</v>
      </c>
      <c r="K929" s="3" t="str">
        <f>VLOOKUP(F929,'Customers (2)'!A:I,7,0)</f>
        <v>United States</v>
      </c>
      <c r="L929" s="3" t="str">
        <f>VLOOKUP(F929,'Customers (2)'!A:I,9,0)</f>
        <v>No</v>
      </c>
      <c r="M929" s="4" t="s">
        <v>530</v>
      </c>
      <c r="N929" s="4" t="str">
        <f>VLOOKUP(M929,'Products (2)'!A:G,2,0)</f>
        <v>Excelsa</v>
      </c>
      <c r="O929" s="4" t="str">
        <f>VLOOKUP(M929,'Products (2)'!A:G,3,0)</f>
        <v>Dark</v>
      </c>
      <c r="P929" s="4">
        <f>VLOOKUP(M929,'Products (2)'!A:G,7,0)</f>
        <v>3.07395</v>
      </c>
      <c r="Q929" s="3">
        <v>4</v>
      </c>
      <c r="R929" s="5">
        <f>INDEX([1]products!$A$1:$G$49,MATCH([1]orders!$D929,[1]products!$A$1:$A$49,0),MATCH([1]orders!K$1,[1]products!$A$1:$G$1,0))</f>
        <v>2.5</v>
      </c>
      <c r="S929" s="6">
        <f>INDEX([1]products!$A$1:$G$49,MATCH([1]orders!$D929,[1]products!$A$1:$A$49,0),MATCH([1]orders!L$1,[1]products!$A$1:$G$1,0))</f>
        <v>27.945</v>
      </c>
      <c r="T929" s="6">
        <f t="shared" si="84"/>
        <v>111.78</v>
      </c>
      <c r="U929" s="22">
        <f t="shared" si="88"/>
        <v>12.2958</v>
      </c>
      <c r="V929" s="22">
        <f t="shared" si="89"/>
        <v>11</v>
      </c>
    </row>
    <row r="930" spans="1:22" x14ac:dyDescent="0.3">
      <c r="A930" s="1" t="s">
        <v>1790</v>
      </c>
      <c r="B930" s="2">
        <v>44754</v>
      </c>
      <c r="C930" s="2" t="str">
        <f t="shared" si="85"/>
        <v>Tuesday</v>
      </c>
      <c r="D930" s="2" t="str">
        <f t="shared" si="86"/>
        <v>July</v>
      </c>
      <c r="E930" s="2" t="str">
        <f t="shared" si="87"/>
        <v>2022</v>
      </c>
      <c r="F930" s="3" t="s">
        <v>1791</v>
      </c>
      <c r="G930" s="3" t="str">
        <f>VLOOKUP(F931,'Customers (2)'!A:I,2,0)</f>
        <v>Jarred Camillo</v>
      </c>
      <c r="H930" s="3" t="str">
        <f>VLOOKUP(F930,'Customers (2)'!A:I,3,0)</f>
        <v>mmatiasekps@ucoz.ru</v>
      </c>
      <c r="I930" s="3">
        <f>VLOOKUP(F930,'Customers (2)'!A:I,4,0)</f>
        <v>0</v>
      </c>
      <c r="J930" s="3" t="str">
        <f>VLOOKUP(F930,'Customers (2)'!A:I,6,0)</f>
        <v>New York City</v>
      </c>
      <c r="K930" s="3" t="str">
        <f>VLOOKUP(F930,'Customers (2)'!A:I,7,0)</f>
        <v>United States</v>
      </c>
      <c r="L930" s="3" t="str">
        <f>VLOOKUP(F930,'Customers (2)'!A:I,9,0)</f>
        <v>Yes</v>
      </c>
      <c r="M930" s="4" t="s">
        <v>112</v>
      </c>
      <c r="N930" s="4" t="str">
        <f>VLOOKUP(M930,'Products (2)'!A:G,2,0)</f>
        <v>Excelsa</v>
      </c>
      <c r="O930" s="4" t="str">
        <f>VLOOKUP(M930,'Products (2)'!A:G,3,0)</f>
        <v>Medium</v>
      </c>
      <c r="P930" s="4">
        <f>VLOOKUP(M930,'Products (2)'!A:G,7,0)</f>
        <v>3.4787499999999998</v>
      </c>
      <c r="Q930" s="3">
        <v>2</v>
      </c>
      <c r="R930" s="5">
        <f>INDEX([1]products!$A$1:$G$49,MATCH([1]orders!$D930,[1]products!$A$1:$A$49,0),MATCH([1]orders!K$1,[1]products!$A$1:$G$1,0))</f>
        <v>2.5</v>
      </c>
      <c r="S930" s="6">
        <f>INDEX([1]products!$A$1:$G$49,MATCH([1]orders!$D930,[1]products!$A$1:$A$49,0),MATCH([1]orders!L$1,[1]products!$A$1:$G$1,0))</f>
        <v>31.624999999999996</v>
      </c>
      <c r="T930" s="6">
        <f t="shared" si="84"/>
        <v>63.249999999999993</v>
      </c>
      <c r="U930" s="22">
        <f t="shared" si="88"/>
        <v>6.9574999999999996</v>
      </c>
      <c r="V930" s="22">
        <f t="shared" si="89"/>
        <v>11</v>
      </c>
    </row>
    <row r="931" spans="1:22" x14ac:dyDescent="0.3">
      <c r="A931" s="1" t="s">
        <v>1792</v>
      </c>
      <c r="B931" s="2">
        <v>44165</v>
      </c>
      <c r="C931" s="2" t="str">
        <f t="shared" si="85"/>
        <v>Monday</v>
      </c>
      <c r="D931" s="2" t="str">
        <f t="shared" si="86"/>
        <v>November</v>
      </c>
      <c r="E931" s="2" t="str">
        <f t="shared" si="87"/>
        <v>2020</v>
      </c>
      <c r="F931" s="3" t="s">
        <v>1793</v>
      </c>
      <c r="G931" s="3" t="str">
        <f>VLOOKUP(F932,'Customers (2)'!A:I,2,0)</f>
        <v>Kameko Philbrick</v>
      </c>
      <c r="H931" s="3" t="str">
        <f>VLOOKUP(F931,'Customers (2)'!A:I,3,0)</f>
        <v>jcamillopt@shinystat.com</v>
      </c>
      <c r="I931" s="3" t="str">
        <f>VLOOKUP(F931,'Customers (2)'!A:I,4,0)</f>
        <v>+1 (202) 572-0994</v>
      </c>
      <c r="J931" s="3" t="str">
        <f>VLOOKUP(F931,'Customers (2)'!A:I,6,0)</f>
        <v>Washington</v>
      </c>
      <c r="K931" s="3" t="str">
        <f>VLOOKUP(F931,'Customers (2)'!A:I,7,0)</f>
        <v>United States</v>
      </c>
      <c r="L931" s="3" t="str">
        <f>VLOOKUP(F931,'Customers (2)'!A:I,9,0)</f>
        <v>Yes</v>
      </c>
      <c r="M931" s="4" t="s">
        <v>254</v>
      </c>
      <c r="N931" s="4" t="str">
        <f>VLOOKUP(M931,'Products (2)'!A:G,2,0)</f>
        <v>Excelsa</v>
      </c>
      <c r="O931" s="4" t="str">
        <f>VLOOKUP(M931,'Products (2)'!A:G,3,0)</f>
        <v>Light</v>
      </c>
      <c r="P931" s="4">
        <f>VLOOKUP(M931,'Products (2)'!A:G,7,0)</f>
        <v>0.49004999999999999</v>
      </c>
      <c r="Q931" s="3">
        <v>2</v>
      </c>
      <c r="R931" s="5">
        <f>INDEX([1]products!$A$1:$G$49,MATCH([1]orders!$D931,[1]products!$A$1:$A$49,0),MATCH([1]orders!K$1,[1]products!$A$1:$G$1,0))</f>
        <v>0.2</v>
      </c>
      <c r="S931" s="6">
        <f>INDEX([1]products!$A$1:$G$49,MATCH([1]orders!$D931,[1]products!$A$1:$A$49,0),MATCH([1]orders!L$1,[1]products!$A$1:$G$1,0))</f>
        <v>4.4550000000000001</v>
      </c>
      <c r="T931" s="6">
        <f t="shared" si="84"/>
        <v>8.91</v>
      </c>
      <c r="U931" s="22">
        <f t="shared" si="88"/>
        <v>0.98009999999999997</v>
      </c>
      <c r="V931" s="22">
        <f t="shared" si="89"/>
        <v>11</v>
      </c>
    </row>
    <row r="932" spans="1:22" x14ac:dyDescent="0.3">
      <c r="A932" s="1" t="s">
        <v>1794</v>
      </c>
      <c r="B932" s="2">
        <v>43546</v>
      </c>
      <c r="C932" s="2" t="str">
        <f t="shared" si="85"/>
        <v>Friday</v>
      </c>
      <c r="D932" s="2" t="str">
        <f t="shared" si="86"/>
        <v>March</v>
      </c>
      <c r="E932" s="2" t="str">
        <f t="shared" si="87"/>
        <v>2019</v>
      </c>
      <c r="F932" s="3" t="s">
        <v>1795</v>
      </c>
      <c r="G932" s="3" t="str">
        <f>VLOOKUP(F933,'Customers (2)'!A:I,2,0)</f>
        <v>Mallory Shrimpling</v>
      </c>
      <c r="H932" s="3" t="str">
        <f>VLOOKUP(F932,'Customers (2)'!A:I,3,0)</f>
        <v>kphilbrickpu@cdc.gov</v>
      </c>
      <c r="I932" s="3">
        <f>VLOOKUP(F932,'Customers (2)'!A:I,4,0)</f>
        <v>0</v>
      </c>
      <c r="J932" s="3" t="str">
        <f>VLOOKUP(F932,'Customers (2)'!A:I,6,0)</f>
        <v>Washington</v>
      </c>
      <c r="K932" s="3" t="str">
        <f>VLOOKUP(F932,'Customers (2)'!A:I,7,0)</f>
        <v>United States</v>
      </c>
      <c r="L932" s="3" t="str">
        <f>VLOOKUP(F932,'Customers (2)'!A:I,9,0)</f>
        <v>Yes</v>
      </c>
      <c r="M932" s="4" t="s">
        <v>245</v>
      </c>
      <c r="N932" s="4" t="str">
        <f>VLOOKUP(M932,'Products (2)'!A:G,2,0)</f>
        <v>Excelsa</v>
      </c>
      <c r="O932" s="4" t="str">
        <f>VLOOKUP(M932,'Products (2)'!A:G,3,0)</f>
        <v>Dark</v>
      </c>
      <c r="P932" s="4">
        <f>VLOOKUP(M932,'Products (2)'!A:G,7,0)</f>
        <v>1.3365</v>
      </c>
      <c r="Q932" s="3">
        <v>1</v>
      </c>
      <c r="R932" s="5">
        <f>INDEX([1]products!$A$1:$G$49,MATCH([1]orders!$D932,[1]products!$A$1:$A$49,0),MATCH([1]orders!K$1,[1]products!$A$1:$G$1,0))</f>
        <v>1</v>
      </c>
      <c r="S932" s="6">
        <f>INDEX([1]products!$A$1:$G$49,MATCH([1]orders!$D932,[1]products!$A$1:$A$49,0),MATCH([1]orders!L$1,[1]products!$A$1:$G$1,0))</f>
        <v>12.15</v>
      </c>
      <c r="T932" s="6">
        <f t="shared" si="84"/>
        <v>12.15</v>
      </c>
      <c r="U932" s="22">
        <f t="shared" si="88"/>
        <v>1.3365</v>
      </c>
      <c r="V932" s="22">
        <f t="shared" si="89"/>
        <v>11</v>
      </c>
    </row>
    <row r="933" spans="1:22" x14ac:dyDescent="0.3">
      <c r="A933" s="1" t="s">
        <v>1796</v>
      </c>
      <c r="B933" s="2">
        <v>44607</v>
      </c>
      <c r="C933" s="2" t="str">
        <f t="shared" si="85"/>
        <v>Tuesday</v>
      </c>
      <c r="D933" s="2" t="str">
        <f t="shared" si="86"/>
        <v>February</v>
      </c>
      <c r="E933" s="2" t="str">
        <f t="shared" si="87"/>
        <v>2022</v>
      </c>
      <c r="F933" s="3" t="s">
        <v>1797</v>
      </c>
      <c r="G933" s="3" t="str">
        <f>VLOOKUP(F934,'Customers (2)'!A:I,2,0)</f>
        <v>Barnett Sillis</v>
      </c>
      <c r="H933" s="3">
        <f>VLOOKUP(F933,'Customers (2)'!A:I,3,0)</f>
        <v>0</v>
      </c>
      <c r="I933" s="3">
        <f>VLOOKUP(F933,'Customers (2)'!A:I,4,0)</f>
        <v>0</v>
      </c>
      <c r="J933" s="3" t="str">
        <f>VLOOKUP(F933,'Customers (2)'!A:I,6,0)</f>
        <v>Allentown</v>
      </c>
      <c r="K933" s="3" t="str">
        <f>VLOOKUP(F933,'Customers (2)'!A:I,7,0)</f>
        <v>United States</v>
      </c>
      <c r="L933" s="3" t="str">
        <f>VLOOKUP(F933,'Customers (2)'!A:I,9,0)</f>
        <v>Yes</v>
      </c>
      <c r="M933" s="4" t="s">
        <v>72</v>
      </c>
      <c r="N933" s="4" t="str">
        <f>VLOOKUP(M933,'Products (2)'!A:G,2,0)</f>
        <v>Arabica</v>
      </c>
      <c r="O933" s="4" t="str">
        <f>VLOOKUP(M933,'Products (2)'!A:G,3,0)</f>
        <v>Dark</v>
      </c>
      <c r="P933" s="4">
        <f>VLOOKUP(M933,'Products (2)'!A:G,7,0)</f>
        <v>0.5373</v>
      </c>
      <c r="Q933" s="3">
        <v>4</v>
      </c>
      <c r="R933" s="5">
        <f>INDEX([1]products!$A$1:$G$49,MATCH([1]orders!$D933,[1]products!$A$1:$A$49,0),MATCH([1]orders!K$1,[1]products!$A$1:$G$1,0))</f>
        <v>0.5</v>
      </c>
      <c r="S933" s="6">
        <f>INDEX([1]products!$A$1:$G$49,MATCH([1]orders!$D933,[1]products!$A$1:$A$49,0),MATCH([1]orders!L$1,[1]products!$A$1:$G$1,0))</f>
        <v>5.97</v>
      </c>
      <c r="T933" s="6">
        <f t="shared" si="84"/>
        <v>23.88</v>
      </c>
      <c r="U933" s="22">
        <f t="shared" si="88"/>
        <v>2.1492</v>
      </c>
      <c r="V933" s="22">
        <f t="shared" si="89"/>
        <v>9.0000000000000018</v>
      </c>
    </row>
    <row r="934" spans="1:22" x14ac:dyDescent="0.3">
      <c r="A934" s="1" t="s">
        <v>1798</v>
      </c>
      <c r="B934" s="2">
        <v>44117</v>
      </c>
      <c r="C934" s="2" t="str">
        <f t="shared" si="85"/>
        <v>Tuesday</v>
      </c>
      <c r="D934" s="2" t="str">
        <f t="shared" si="86"/>
        <v>October</v>
      </c>
      <c r="E934" s="2" t="str">
        <f t="shared" si="87"/>
        <v>2020</v>
      </c>
      <c r="F934" s="3" t="s">
        <v>1799</v>
      </c>
      <c r="G934" s="3" t="str">
        <f>VLOOKUP(F935,'Customers (2)'!A:I,2,0)</f>
        <v>Brenn Dundredge</v>
      </c>
      <c r="H934" s="3" t="str">
        <f>VLOOKUP(F934,'Customers (2)'!A:I,3,0)</f>
        <v>bsillispw@istockphoto.com</v>
      </c>
      <c r="I934" s="3" t="str">
        <f>VLOOKUP(F934,'Customers (2)'!A:I,4,0)</f>
        <v>+1 (305) 267-4961</v>
      </c>
      <c r="J934" s="3" t="str">
        <f>VLOOKUP(F934,'Customers (2)'!A:I,6,0)</f>
        <v>Miami</v>
      </c>
      <c r="K934" s="3" t="str">
        <f>VLOOKUP(F934,'Customers (2)'!A:I,7,0)</f>
        <v>United States</v>
      </c>
      <c r="L934" s="3" t="str">
        <f>VLOOKUP(F934,'Customers (2)'!A:I,9,0)</f>
        <v>No</v>
      </c>
      <c r="M934" s="4" t="s">
        <v>9</v>
      </c>
      <c r="N934" s="4" t="str">
        <f>VLOOKUP(M934,'Products (2)'!A:G,2,0)</f>
        <v>Excelsa</v>
      </c>
      <c r="O934" s="4" t="str">
        <f>VLOOKUP(M934,'Products (2)'!A:G,3,0)</f>
        <v>Medium</v>
      </c>
      <c r="P934" s="4">
        <f>VLOOKUP(M934,'Products (2)'!A:G,7,0)</f>
        <v>1.5125</v>
      </c>
      <c r="Q934" s="3">
        <v>4</v>
      </c>
      <c r="R934" s="5">
        <f>INDEX([1]products!$A$1:$G$49,MATCH([1]orders!$D934,[1]products!$A$1:$A$49,0),MATCH([1]orders!K$1,[1]products!$A$1:$G$1,0))</f>
        <v>1</v>
      </c>
      <c r="S934" s="6">
        <f>INDEX([1]products!$A$1:$G$49,MATCH([1]orders!$D934,[1]products!$A$1:$A$49,0),MATCH([1]orders!L$1,[1]products!$A$1:$G$1,0))</f>
        <v>13.75</v>
      </c>
      <c r="T934" s="6">
        <f t="shared" si="84"/>
        <v>55</v>
      </c>
      <c r="U934" s="22">
        <f t="shared" si="88"/>
        <v>6.05</v>
      </c>
      <c r="V934" s="22">
        <f t="shared" si="89"/>
        <v>11</v>
      </c>
    </row>
    <row r="935" spans="1:22" x14ac:dyDescent="0.3">
      <c r="A935" s="1" t="s">
        <v>1800</v>
      </c>
      <c r="B935" s="2">
        <v>44557</v>
      </c>
      <c r="C935" s="2" t="str">
        <f t="shared" si="85"/>
        <v>Monday</v>
      </c>
      <c r="D935" s="2" t="str">
        <f t="shared" si="86"/>
        <v>December</v>
      </c>
      <c r="E935" s="2" t="str">
        <f t="shared" si="87"/>
        <v>2021</v>
      </c>
      <c r="F935" s="3" t="s">
        <v>1801</v>
      </c>
      <c r="G935" s="3" t="str">
        <f>VLOOKUP(F936,'Customers (2)'!A:I,2,0)</f>
        <v>Read Cutts</v>
      </c>
      <c r="H935" s="3">
        <f>VLOOKUP(F935,'Customers (2)'!A:I,3,0)</f>
        <v>0</v>
      </c>
      <c r="I935" s="3" t="str">
        <f>VLOOKUP(F935,'Customers (2)'!A:I,4,0)</f>
        <v>+1 (405) 369-5173</v>
      </c>
      <c r="J935" s="3" t="str">
        <f>VLOOKUP(F935,'Customers (2)'!A:I,6,0)</f>
        <v>Oklahoma City</v>
      </c>
      <c r="K935" s="3" t="str">
        <f>VLOOKUP(F935,'Customers (2)'!A:I,7,0)</f>
        <v>United States</v>
      </c>
      <c r="L935" s="3" t="str">
        <f>VLOOKUP(F935,'Customers (2)'!A:I,9,0)</f>
        <v>Yes</v>
      </c>
      <c r="M935" s="4" t="s">
        <v>179</v>
      </c>
      <c r="N935" s="4" t="str">
        <f>VLOOKUP(M935,'Products (2)'!A:G,2,0)</f>
        <v>Robusta</v>
      </c>
      <c r="O935" s="4" t="str">
        <f>VLOOKUP(M935,'Products (2)'!A:G,3,0)</f>
        <v>Dark</v>
      </c>
      <c r="P935" s="4">
        <f>VLOOKUP(M935,'Products (2)'!A:G,7,0)</f>
        <v>0.53699999999999992</v>
      </c>
      <c r="Q935" s="3">
        <v>3</v>
      </c>
      <c r="R935" s="5">
        <f>INDEX([1]products!$A$1:$G$49,MATCH([1]orders!$D935,[1]products!$A$1:$A$49,0),MATCH([1]orders!K$1,[1]products!$A$1:$G$1,0))</f>
        <v>1</v>
      </c>
      <c r="S935" s="6">
        <f>INDEX([1]products!$A$1:$G$49,MATCH([1]orders!$D935,[1]products!$A$1:$A$49,0),MATCH([1]orders!L$1,[1]products!$A$1:$G$1,0))</f>
        <v>8.9499999999999993</v>
      </c>
      <c r="T935" s="6">
        <f t="shared" si="84"/>
        <v>26.849999999999998</v>
      </c>
      <c r="U935" s="22">
        <f t="shared" si="88"/>
        <v>1.6109999999999998</v>
      </c>
      <c r="V935" s="22">
        <f t="shared" si="89"/>
        <v>6</v>
      </c>
    </row>
    <row r="936" spans="1:22" x14ac:dyDescent="0.3">
      <c r="A936" s="1" t="s">
        <v>1802</v>
      </c>
      <c r="B936" s="2">
        <v>44409</v>
      </c>
      <c r="C936" s="2" t="str">
        <f t="shared" si="85"/>
        <v>Sunday</v>
      </c>
      <c r="D936" s="2" t="str">
        <f t="shared" si="86"/>
        <v>August</v>
      </c>
      <c r="E936" s="2" t="str">
        <f t="shared" si="87"/>
        <v>2021</v>
      </c>
      <c r="F936" s="3" t="s">
        <v>1803</v>
      </c>
      <c r="G936" s="3" t="str">
        <f>VLOOKUP(F937,'Customers (2)'!A:I,2,0)</f>
        <v>Michale Delves</v>
      </c>
      <c r="H936" s="3" t="str">
        <f>VLOOKUP(F936,'Customers (2)'!A:I,3,0)</f>
        <v>rcuttspy@techcrunch.com</v>
      </c>
      <c r="I936" s="3" t="str">
        <f>VLOOKUP(F936,'Customers (2)'!A:I,4,0)</f>
        <v>+1 (815) 758-8653</v>
      </c>
      <c r="J936" s="3" t="str">
        <f>VLOOKUP(F936,'Customers (2)'!A:I,6,0)</f>
        <v>Rockford</v>
      </c>
      <c r="K936" s="3" t="str">
        <f>VLOOKUP(F936,'Customers (2)'!A:I,7,0)</f>
        <v>United States</v>
      </c>
      <c r="L936" s="3" t="str">
        <f>VLOOKUP(F936,'Customers (2)'!A:I,9,0)</f>
        <v>No</v>
      </c>
      <c r="M936" s="4" t="s">
        <v>41</v>
      </c>
      <c r="N936" s="4" t="str">
        <f>VLOOKUP(M936,'Products (2)'!A:G,2,0)</f>
        <v>Robusta</v>
      </c>
      <c r="O936" s="4" t="str">
        <f>VLOOKUP(M936,'Products (2)'!A:G,3,0)</f>
        <v>Medium</v>
      </c>
      <c r="P936" s="4">
        <f>VLOOKUP(M936,'Products (2)'!A:G,7,0)</f>
        <v>1.3730999999999998</v>
      </c>
      <c r="Q936" s="3">
        <v>5</v>
      </c>
      <c r="R936" s="5">
        <f>INDEX([1]products!$A$1:$G$49,MATCH([1]orders!$D936,[1]products!$A$1:$A$49,0),MATCH([1]orders!K$1,[1]products!$A$1:$G$1,0))</f>
        <v>2.5</v>
      </c>
      <c r="S936" s="6">
        <f>INDEX([1]products!$A$1:$G$49,MATCH([1]orders!$D936,[1]products!$A$1:$A$49,0),MATCH([1]orders!L$1,[1]products!$A$1:$G$1,0))</f>
        <v>22.884999999999998</v>
      </c>
      <c r="T936" s="6">
        <f t="shared" si="84"/>
        <v>114.42499999999998</v>
      </c>
      <c r="U936" s="22">
        <f t="shared" si="88"/>
        <v>6.865499999999999</v>
      </c>
      <c r="V936" s="22">
        <f t="shared" si="89"/>
        <v>6</v>
      </c>
    </row>
    <row r="937" spans="1:22" x14ac:dyDescent="0.3">
      <c r="A937" s="1" t="s">
        <v>1804</v>
      </c>
      <c r="B937" s="2">
        <v>44153</v>
      </c>
      <c r="C937" s="2" t="str">
        <f t="shared" si="85"/>
        <v>Wednesday</v>
      </c>
      <c r="D937" s="2" t="str">
        <f t="shared" si="86"/>
        <v>November</v>
      </c>
      <c r="E937" s="2" t="str">
        <f t="shared" si="87"/>
        <v>2020</v>
      </c>
      <c r="F937" s="3" t="s">
        <v>1805</v>
      </c>
      <c r="G937" s="3" t="str">
        <f>VLOOKUP(F938,'Customers (2)'!A:I,2,0)</f>
        <v>Devland Gritton</v>
      </c>
      <c r="H937" s="3" t="str">
        <f>VLOOKUP(F937,'Customers (2)'!A:I,3,0)</f>
        <v>mdelvespz@nature.com</v>
      </c>
      <c r="I937" s="3" t="str">
        <f>VLOOKUP(F937,'Customers (2)'!A:I,4,0)</f>
        <v>+1 (334) 881-9178</v>
      </c>
      <c r="J937" s="3" t="str">
        <f>VLOOKUP(F937,'Customers (2)'!A:I,6,0)</f>
        <v>Montgomery</v>
      </c>
      <c r="K937" s="3" t="str">
        <f>VLOOKUP(F937,'Customers (2)'!A:I,7,0)</f>
        <v>United States</v>
      </c>
      <c r="L937" s="3" t="str">
        <f>VLOOKUP(F937,'Customers (2)'!A:I,9,0)</f>
        <v>Yes</v>
      </c>
      <c r="M937" s="4" t="s">
        <v>171</v>
      </c>
      <c r="N937" s="4" t="str">
        <f>VLOOKUP(M937,'Products (2)'!A:G,2,0)</f>
        <v>Arabica</v>
      </c>
      <c r="O937" s="4" t="str">
        <f>VLOOKUP(M937,'Products (2)'!A:G,3,0)</f>
        <v>Medium</v>
      </c>
      <c r="P937" s="4">
        <f>VLOOKUP(M937,'Products (2)'!A:G,7,0)</f>
        <v>2.3287499999999994</v>
      </c>
      <c r="Q937" s="3">
        <v>6</v>
      </c>
      <c r="R937" s="5">
        <f>INDEX([1]products!$A$1:$G$49,MATCH([1]orders!$D937,[1]products!$A$1:$A$49,0),MATCH([1]orders!K$1,[1]products!$A$1:$G$1,0))</f>
        <v>2.5</v>
      </c>
      <c r="S937" s="6">
        <f>INDEX([1]products!$A$1:$G$49,MATCH([1]orders!$D937,[1]products!$A$1:$A$49,0),MATCH([1]orders!L$1,[1]products!$A$1:$G$1,0))</f>
        <v>25.874999999999996</v>
      </c>
      <c r="T937" s="6">
        <f t="shared" si="84"/>
        <v>155.24999999999997</v>
      </c>
      <c r="U937" s="22">
        <f t="shared" si="88"/>
        <v>13.972499999999997</v>
      </c>
      <c r="V937" s="22">
        <f t="shared" si="89"/>
        <v>9</v>
      </c>
    </row>
    <row r="938" spans="1:22" x14ac:dyDescent="0.3">
      <c r="A938" s="1" t="s">
        <v>1806</v>
      </c>
      <c r="B938" s="2">
        <v>44493</v>
      </c>
      <c r="C938" s="2" t="str">
        <f t="shared" si="85"/>
        <v>Sunday</v>
      </c>
      <c r="D938" s="2" t="str">
        <f t="shared" si="86"/>
        <v>October</v>
      </c>
      <c r="E938" s="2" t="str">
        <f t="shared" si="87"/>
        <v>2021</v>
      </c>
      <c r="F938" s="3" t="s">
        <v>1807</v>
      </c>
      <c r="G938" s="3" t="str">
        <f>VLOOKUP(F939,'Customers (2)'!A:I,2,0)</f>
        <v>Devland Gritton</v>
      </c>
      <c r="H938" s="3" t="str">
        <f>VLOOKUP(F938,'Customers (2)'!A:I,3,0)</f>
        <v>dgrittonq0@nydailynews.com</v>
      </c>
      <c r="I938" s="3" t="str">
        <f>VLOOKUP(F938,'Customers (2)'!A:I,4,0)</f>
        <v>+1 (626) 968-5148</v>
      </c>
      <c r="J938" s="3" t="str">
        <f>VLOOKUP(F938,'Customers (2)'!A:I,6,0)</f>
        <v>Pasadena</v>
      </c>
      <c r="K938" s="3" t="str">
        <f>VLOOKUP(F938,'Customers (2)'!A:I,7,0)</f>
        <v>United States</v>
      </c>
      <c r="L938" s="3" t="str">
        <f>VLOOKUP(F938,'Customers (2)'!A:I,9,0)</f>
        <v>Yes</v>
      </c>
      <c r="M938" s="4" t="s">
        <v>123</v>
      </c>
      <c r="N938" s="4" t="str">
        <f>VLOOKUP(M938,'Products (2)'!A:G,2,0)</f>
        <v>Liberica</v>
      </c>
      <c r="O938" s="4" t="str">
        <f>VLOOKUP(M938,'Products (2)'!A:G,3,0)</f>
        <v>Dark</v>
      </c>
      <c r="P938" s="4">
        <f>VLOOKUP(M938,'Products (2)'!A:G,7,0)</f>
        <v>1.0101</v>
      </c>
      <c r="Q938" s="3">
        <v>3</v>
      </c>
      <c r="R938" s="5">
        <f>INDEX([1]products!$A$1:$G$49,MATCH([1]orders!$D938,[1]products!$A$1:$A$49,0),MATCH([1]orders!K$1,[1]products!$A$1:$G$1,0))</f>
        <v>0.5</v>
      </c>
      <c r="S938" s="6">
        <f>INDEX([1]products!$A$1:$G$49,MATCH([1]orders!$D938,[1]products!$A$1:$A$49,0),MATCH([1]orders!L$1,[1]products!$A$1:$G$1,0))</f>
        <v>7.77</v>
      </c>
      <c r="T938" s="6">
        <f t="shared" si="84"/>
        <v>23.31</v>
      </c>
      <c r="U938" s="22">
        <f t="shared" si="88"/>
        <v>3.0303</v>
      </c>
      <c r="V938" s="22">
        <f t="shared" si="89"/>
        <v>13</v>
      </c>
    </row>
    <row r="939" spans="1:22" x14ac:dyDescent="0.3">
      <c r="A939" s="1" t="s">
        <v>1806</v>
      </c>
      <c r="B939" s="2">
        <v>44493</v>
      </c>
      <c r="C939" s="2" t="str">
        <f t="shared" si="85"/>
        <v>Sunday</v>
      </c>
      <c r="D939" s="2" t="str">
        <f t="shared" si="86"/>
        <v>October</v>
      </c>
      <c r="E939" s="2" t="str">
        <f t="shared" si="87"/>
        <v>2021</v>
      </c>
      <c r="F939" s="3" t="s">
        <v>1807</v>
      </c>
      <c r="G939" s="3" t="str">
        <f>VLOOKUP(F940,'Customers (2)'!A:I,2,0)</f>
        <v>Dell Gut</v>
      </c>
      <c r="H939" s="3" t="str">
        <f>VLOOKUP(F939,'Customers (2)'!A:I,3,0)</f>
        <v>dgrittonq0@nydailynews.com</v>
      </c>
      <c r="I939" s="3" t="str">
        <f>VLOOKUP(F939,'Customers (2)'!A:I,4,0)</f>
        <v>+1 (626) 968-5148</v>
      </c>
      <c r="J939" s="3" t="str">
        <f>VLOOKUP(F939,'Customers (2)'!A:I,6,0)</f>
        <v>Pasadena</v>
      </c>
      <c r="K939" s="3" t="str">
        <f>VLOOKUP(F939,'Customers (2)'!A:I,7,0)</f>
        <v>United States</v>
      </c>
      <c r="L939" s="3" t="str">
        <f>VLOOKUP(F939,'Customers (2)'!A:I,9,0)</f>
        <v>Yes</v>
      </c>
      <c r="M939" s="4" t="s">
        <v>41</v>
      </c>
      <c r="N939" s="4" t="str">
        <f>VLOOKUP(M939,'Products (2)'!A:G,2,0)</f>
        <v>Robusta</v>
      </c>
      <c r="O939" s="4" t="str">
        <f>VLOOKUP(M939,'Products (2)'!A:G,3,0)</f>
        <v>Medium</v>
      </c>
      <c r="P939" s="4">
        <f>VLOOKUP(M939,'Products (2)'!A:G,7,0)</f>
        <v>1.3730999999999998</v>
      </c>
      <c r="Q939" s="3">
        <v>4</v>
      </c>
      <c r="R939" s="5">
        <f>INDEX([1]products!$A$1:$G$49,MATCH([1]orders!$D939,[1]products!$A$1:$A$49,0),MATCH([1]orders!K$1,[1]products!$A$1:$G$1,0))</f>
        <v>2.5</v>
      </c>
      <c r="S939" s="6">
        <f>INDEX([1]products!$A$1:$G$49,MATCH([1]orders!$D939,[1]products!$A$1:$A$49,0),MATCH([1]orders!L$1,[1]products!$A$1:$G$1,0))</f>
        <v>22.884999999999998</v>
      </c>
      <c r="T939" s="6">
        <f t="shared" si="84"/>
        <v>91.539999999999992</v>
      </c>
      <c r="U939" s="22">
        <f t="shared" si="88"/>
        <v>5.4923999999999991</v>
      </c>
      <c r="V939" s="22">
        <f t="shared" si="89"/>
        <v>6</v>
      </c>
    </row>
    <row r="940" spans="1:22" x14ac:dyDescent="0.3">
      <c r="A940" s="1" t="s">
        <v>1808</v>
      </c>
      <c r="B940" s="2">
        <v>43829</v>
      </c>
      <c r="C940" s="2" t="str">
        <f t="shared" si="85"/>
        <v>Monday</v>
      </c>
      <c r="D940" s="2" t="str">
        <f t="shared" si="86"/>
        <v>December</v>
      </c>
      <c r="E940" s="2" t="str">
        <f t="shared" si="87"/>
        <v>2019</v>
      </c>
      <c r="F940" s="3" t="s">
        <v>1809</v>
      </c>
      <c r="G940" s="3" t="str">
        <f>VLOOKUP(F941,'Customers (2)'!A:I,2,0)</f>
        <v>Willy Pummery</v>
      </c>
      <c r="H940" s="3" t="str">
        <f>VLOOKUP(F940,'Customers (2)'!A:I,3,0)</f>
        <v>dgutq2@umich.edu</v>
      </c>
      <c r="I940" s="3" t="str">
        <f>VLOOKUP(F940,'Customers (2)'!A:I,4,0)</f>
        <v>+1 (281) 648-9915</v>
      </c>
      <c r="J940" s="3" t="str">
        <f>VLOOKUP(F940,'Customers (2)'!A:I,6,0)</f>
        <v>Houston</v>
      </c>
      <c r="K940" s="3" t="str">
        <f>VLOOKUP(F940,'Customers (2)'!A:I,7,0)</f>
        <v>United States</v>
      </c>
      <c r="L940" s="3" t="str">
        <f>VLOOKUP(F940,'Customers (2)'!A:I,9,0)</f>
        <v>Yes</v>
      </c>
      <c r="M940" s="4" t="s">
        <v>137</v>
      </c>
      <c r="N940" s="4" t="str">
        <f>VLOOKUP(M940,'Products (2)'!A:G,2,0)</f>
        <v>Excelsa</v>
      </c>
      <c r="O940" s="4" t="str">
        <f>VLOOKUP(M940,'Products (2)'!A:G,3,0)</f>
        <v>Light</v>
      </c>
      <c r="P940" s="4">
        <f>VLOOKUP(M940,'Products (2)'!A:G,7,0)</f>
        <v>1.6335</v>
      </c>
      <c r="Q940" s="3">
        <v>5</v>
      </c>
      <c r="R940" s="5">
        <f>INDEX([1]products!$A$1:$G$49,MATCH([1]orders!$D940,[1]products!$A$1:$A$49,0),MATCH([1]orders!K$1,[1]products!$A$1:$G$1,0))</f>
        <v>1</v>
      </c>
      <c r="S940" s="6">
        <f>INDEX([1]products!$A$1:$G$49,MATCH([1]orders!$D940,[1]products!$A$1:$A$49,0),MATCH([1]orders!L$1,[1]products!$A$1:$G$1,0))</f>
        <v>14.85</v>
      </c>
      <c r="T940" s="6">
        <f t="shared" si="84"/>
        <v>74.25</v>
      </c>
      <c r="U940" s="22">
        <f t="shared" si="88"/>
        <v>8.1675000000000004</v>
      </c>
      <c r="V940" s="22">
        <f t="shared" si="89"/>
        <v>11</v>
      </c>
    </row>
    <row r="941" spans="1:22" x14ac:dyDescent="0.3">
      <c r="A941" s="1" t="s">
        <v>1810</v>
      </c>
      <c r="B941" s="2">
        <v>44229</v>
      </c>
      <c r="C941" s="2" t="str">
        <f t="shared" si="85"/>
        <v>Tuesday</v>
      </c>
      <c r="D941" s="2" t="str">
        <f t="shared" si="86"/>
        <v>February</v>
      </c>
      <c r="E941" s="2" t="str">
        <f t="shared" si="87"/>
        <v>2021</v>
      </c>
      <c r="F941" s="3" t="s">
        <v>1811</v>
      </c>
      <c r="G941" s="3" t="str">
        <f>VLOOKUP(F942,'Customers (2)'!A:I,2,0)</f>
        <v>Geoffrey Siuda</v>
      </c>
      <c r="H941" s="3" t="str">
        <f>VLOOKUP(F941,'Customers (2)'!A:I,3,0)</f>
        <v>wpummeryq3@topsy.com</v>
      </c>
      <c r="I941" s="3" t="str">
        <f>VLOOKUP(F941,'Customers (2)'!A:I,4,0)</f>
        <v>+1 (231) 416-9594</v>
      </c>
      <c r="J941" s="3" t="str">
        <f>VLOOKUP(F941,'Customers (2)'!A:I,6,0)</f>
        <v>Muskegon</v>
      </c>
      <c r="K941" s="3" t="str">
        <f>VLOOKUP(F941,'Customers (2)'!A:I,7,0)</f>
        <v>United States</v>
      </c>
      <c r="L941" s="3" t="str">
        <f>VLOOKUP(F941,'Customers (2)'!A:I,9,0)</f>
        <v>No</v>
      </c>
      <c r="M941" s="4" t="s">
        <v>19</v>
      </c>
      <c r="N941" s="4" t="str">
        <f>VLOOKUP(M941,'Products (2)'!A:G,2,0)</f>
        <v>Liberica</v>
      </c>
      <c r="O941" s="4" t="str">
        <f>VLOOKUP(M941,'Products (2)'!A:G,3,0)</f>
        <v>Light</v>
      </c>
      <c r="P941" s="4">
        <f>VLOOKUP(M941,'Products (2)'!A:G,7,0)</f>
        <v>0.61814999999999998</v>
      </c>
      <c r="Q941" s="3">
        <v>6</v>
      </c>
      <c r="R941" s="5">
        <f>INDEX([1]products!$A$1:$G$49,MATCH([1]orders!$D941,[1]products!$A$1:$A$49,0),MATCH([1]orders!K$1,[1]products!$A$1:$G$1,0))</f>
        <v>0.2</v>
      </c>
      <c r="S941" s="6">
        <f>INDEX([1]products!$A$1:$G$49,MATCH([1]orders!$D941,[1]products!$A$1:$A$49,0),MATCH([1]orders!L$1,[1]products!$A$1:$G$1,0))</f>
        <v>4.7549999999999999</v>
      </c>
      <c r="T941" s="6">
        <f t="shared" si="84"/>
        <v>28.53</v>
      </c>
      <c r="U941" s="22">
        <f t="shared" si="88"/>
        <v>3.7088999999999999</v>
      </c>
      <c r="V941" s="22">
        <f t="shared" si="89"/>
        <v>12.999999999999998</v>
      </c>
    </row>
    <row r="942" spans="1:22" x14ac:dyDescent="0.3">
      <c r="A942" s="1" t="s">
        <v>1812</v>
      </c>
      <c r="B942" s="2">
        <v>44332</v>
      </c>
      <c r="C942" s="2" t="str">
        <f t="shared" si="85"/>
        <v>Sunday</v>
      </c>
      <c r="D942" s="2" t="str">
        <f t="shared" si="86"/>
        <v>May</v>
      </c>
      <c r="E942" s="2" t="str">
        <f t="shared" si="87"/>
        <v>2021</v>
      </c>
      <c r="F942" s="3" t="s">
        <v>1813</v>
      </c>
      <c r="G942" s="3" t="str">
        <f>VLOOKUP(F943,'Customers (2)'!A:I,2,0)</f>
        <v>Henderson Crowne</v>
      </c>
      <c r="H942" s="3" t="str">
        <f>VLOOKUP(F942,'Customers (2)'!A:I,3,0)</f>
        <v>gsiudaq4@nytimes.com</v>
      </c>
      <c r="I942" s="3" t="str">
        <f>VLOOKUP(F942,'Customers (2)'!A:I,4,0)</f>
        <v>+1 (202) 315-8135</v>
      </c>
      <c r="J942" s="3" t="str">
        <f>VLOOKUP(F942,'Customers (2)'!A:I,6,0)</f>
        <v>Washington</v>
      </c>
      <c r="K942" s="3" t="str">
        <f>VLOOKUP(F942,'Customers (2)'!A:I,7,0)</f>
        <v>United States</v>
      </c>
      <c r="L942" s="3" t="str">
        <f>VLOOKUP(F942,'Customers (2)'!A:I,9,0)</f>
        <v>Yes</v>
      </c>
      <c r="M942" s="4" t="s">
        <v>157</v>
      </c>
      <c r="N942" s="4" t="str">
        <f>VLOOKUP(M942,'Products (2)'!A:G,2,0)</f>
        <v>Robusta</v>
      </c>
      <c r="O942" s="4" t="str">
        <f>VLOOKUP(M942,'Products (2)'!A:G,3,0)</f>
        <v>Light</v>
      </c>
      <c r="P942" s="4">
        <f>VLOOKUP(M942,'Products (2)'!A:G,7,0)</f>
        <v>0.43019999999999992</v>
      </c>
      <c r="Q942" s="3">
        <v>2</v>
      </c>
      <c r="R942" s="5">
        <f>INDEX([1]products!$A$1:$G$49,MATCH([1]orders!$D942,[1]products!$A$1:$A$49,0),MATCH([1]orders!K$1,[1]products!$A$1:$G$1,0))</f>
        <v>0.5</v>
      </c>
      <c r="S942" s="6">
        <f>INDEX([1]products!$A$1:$G$49,MATCH([1]orders!$D942,[1]products!$A$1:$A$49,0),MATCH([1]orders!L$1,[1]products!$A$1:$G$1,0))</f>
        <v>7.169999999999999</v>
      </c>
      <c r="T942" s="6">
        <f t="shared" si="84"/>
        <v>14.339999999999998</v>
      </c>
      <c r="U942" s="22">
        <f t="shared" si="88"/>
        <v>0.86039999999999983</v>
      </c>
      <c r="V942" s="22">
        <f t="shared" si="89"/>
        <v>6</v>
      </c>
    </row>
    <row r="943" spans="1:22" x14ac:dyDescent="0.3">
      <c r="A943" s="1" t="s">
        <v>1814</v>
      </c>
      <c r="B943" s="2">
        <v>44674</v>
      </c>
      <c r="C943" s="2" t="str">
        <f t="shared" si="85"/>
        <v>Saturday</v>
      </c>
      <c r="D943" s="2" t="str">
        <f t="shared" si="86"/>
        <v>April</v>
      </c>
      <c r="E943" s="2" t="str">
        <f t="shared" si="87"/>
        <v>2022</v>
      </c>
      <c r="F943" s="3" t="s">
        <v>1815</v>
      </c>
      <c r="G943" s="3" t="str">
        <f>VLOOKUP(F944,'Customers (2)'!A:I,2,0)</f>
        <v>Vernor Pawsey</v>
      </c>
      <c r="H943" s="3" t="str">
        <f>VLOOKUP(F943,'Customers (2)'!A:I,3,0)</f>
        <v>hcrowneq5@wufoo.com</v>
      </c>
      <c r="I943" s="3" t="str">
        <f>VLOOKUP(F943,'Customers (2)'!A:I,4,0)</f>
        <v>+353 (476) 525-5512</v>
      </c>
      <c r="J943" s="3" t="str">
        <f>VLOOKUP(F943,'Customers (2)'!A:I,6,0)</f>
        <v>Sallins</v>
      </c>
      <c r="K943" s="3" t="str">
        <f>VLOOKUP(F943,'Customers (2)'!A:I,7,0)</f>
        <v>Ireland</v>
      </c>
      <c r="L943" s="3" t="str">
        <f>VLOOKUP(F943,'Customers (2)'!A:I,9,0)</f>
        <v>Yes</v>
      </c>
      <c r="M943" s="4" t="s">
        <v>192</v>
      </c>
      <c r="N943" s="4" t="str">
        <f>VLOOKUP(M943,'Products (2)'!A:G,2,0)</f>
        <v>Arabica</v>
      </c>
      <c r="O943" s="4" t="str">
        <f>VLOOKUP(M943,'Products (2)'!A:G,3,0)</f>
        <v>Light</v>
      </c>
      <c r="P943" s="4">
        <f>VLOOKUP(M943,'Products (2)'!A:G,7,0)</f>
        <v>0.69929999999999992</v>
      </c>
      <c r="Q943" s="3">
        <v>2</v>
      </c>
      <c r="R943" s="5">
        <f>INDEX([1]products!$A$1:$G$49,MATCH([1]orders!$D943,[1]products!$A$1:$A$49,0),MATCH([1]orders!K$1,[1]products!$A$1:$G$1,0))</f>
        <v>0.5</v>
      </c>
      <c r="S943" s="6">
        <f>INDEX([1]products!$A$1:$G$49,MATCH([1]orders!$D943,[1]products!$A$1:$A$49,0),MATCH([1]orders!L$1,[1]products!$A$1:$G$1,0))</f>
        <v>7.77</v>
      </c>
      <c r="T943" s="6">
        <f t="shared" si="84"/>
        <v>15.54</v>
      </c>
      <c r="U943" s="22">
        <f t="shared" si="88"/>
        <v>1.3985999999999998</v>
      </c>
      <c r="V943" s="22">
        <f t="shared" si="89"/>
        <v>9</v>
      </c>
    </row>
    <row r="944" spans="1:22" x14ac:dyDescent="0.3">
      <c r="A944" s="1" t="s">
        <v>1816</v>
      </c>
      <c r="B944" s="2">
        <v>44464</v>
      </c>
      <c r="C944" s="2" t="str">
        <f t="shared" si="85"/>
        <v>Saturday</v>
      </c>
      <c r="D944" s="2" t="str">
        <f t="shared" si="86"/>
        <v>September</v>
      </c>
      <c r="E944" s="2" t="str">
        <f t="shared" si="87"/>
        <v>2021</v>
      </c>
      <c r="F944" s="3" t="s">
        <v>1817</v>
      </c>
      <c r="G944" s="3" t="str">
        <f>VLOOKUP(F945,'Customers (2)'!A:I,2,0)</f>
        <v>Augustin Waterhouse</v>
      </c>
      <c r="H944" s="3" t="str">
        <f>VLOOKUP(F944,'Customers (2)'!A:I,3,0)</f>
        <v>vpawseyq6@tiny.cc</v>
      </c>
      <c r="I944" s="3" t="str">
        <f>VLOOKUP(F944,'Customers (2)'!A:I,4,0)</f>
        <v>+1 (478) 568-4944</v>
      </c>
      <c r="J944" s="3" t="str">
        <f>VLOOKUP(F944,'Customers (2)'!A:I,6,0)</f>
        <v>Macon</v>
      </c>
      <c r="K944" s="3" t="str">
        <f>VLOOKUP(F944,'Customers (2)'!A:I,7,0)</f>
        <v>United States</v>
      </c>
      <c r="L944" s="3" t="str">
        <f>VLOOKUP(F944,'Customers (2)'!A:I,9,0)</f>
        <v>No</v>
      </c>
      <c r="M944" s="4" t="s">
        <v>189</v>
      </c>
      <c r="N944" s="4" t="str">
        <f>VLOOKUP(M944,'Products (2)'!A:G,2,0)</f>
        <v>Robusta</v>
      </c>
      <c r="O944" s="4" t="str">
        <f>VLOOKUP(M944,'Products (2)'!A:G,3,0)</f>
        <v>Light</v>
      </c>
      <c r="P944" s="4">
        <f>VLOOKUP(M944,'Products (2)'!A:G,7,0)</f>
        <v>0.71699999999999997</v>
      </c>
      <c r="Q944" s="3">
        <v>3</v>
      </c>
      <c r="R944" s="5">
        <f>INDEX([1]products!$A$1:$G$49,MATCH([1]orders!$D944,[1]products!$A$1:$A$49,0),MATCH([1]orders!K$1,[1]products!$A$1:$G$1,0))</f>
        <v>1</v>
      </c>
      <c r="S944" s="6">
        <f>INDEX([1]products!$A$1:$G$49,MATCH([1]orders!$D944,[1]products!$A$1:$A$49,0),MATCH([1]orders!L$1,[1]products!$A$1:$G$1,0))</f>
        <v>11.95</v>
      </c>
      <c r="T944" s="6">
        <f t="shared" si="84"/>
        <v>35.849999999999994</v>
      </c>
      <c r="U944" s="22">
        <f t="shared" si="88"/>
        <v>2.1509999999999998</v>
      </c>
      <c r="V944" s="22">
        <f t="shared" si="89"/>
        <v>6.0000000000000009</v>
      </c>
    </row>
    <row r="945" spans="1:22" x14ac:dyDescent="0.3">
      <c r="A945" s="1" t="s">
        <v>1818</v>
      </c>
      <c r="B945" s="2">
        <v>44719</v>
      </c>
      <c r="C945" s="2" t="str">
        <f t="shared" si="85"/>
        <v>Tuesday</v>
      </c>
      <c r="D945" s="2" t="str">
        <f t="shared" si="86"/>
        <v>June</v>
      </c>
      <c r="E945" s="2" t="str">
        <f t="shared" si="87"/>
        <v>2022</v>
      </c>
      <c r="F945" s="3" t="s">
        <v>1819</v>
      </c>
      <c r="G945" s="3" t="str">
        <f>VLOOKUP(F946,'Customers (2)'!A:I,2,0)</f>
        <v>Fanchon Haughian</v>
      </c>
      <c r="H945" s="3" t="str">
        <f>VLOOKUP(F945,'Customers (2)'!A:I,3,0)</f>
        <v>awaterhouseq7@istockphoto.com</v>
      </c>
      <c r="I945" s="3" t="str">
        <f>VLOOKUP(F945,'Customers (2)'!A:I,4,0)</f>
        <v>+1 (318) 129-0806</v>
      </c>
      <c r="J945" s="3" t="str">
        <f>VLOOKUP(F945,'Customers (2)'!A:I,6,0)</f>
        <v>Shreveport</v>
      </c>
      <c r="K945" s="3" t="str">
        <f>VLOOKUP(F945,'Customers (2)'!A:I,7,0)</f>
        <v>United States</v>
      </c>
      <c r="L945" s="3" t="str">
        <f>VLOOKUP(F945,'Customers (2)'!A:I,9,0)</f>
        <v>No</v>
      </c>
      <c r="M945" s="4" t="s">
        <v>192</v>
      </c>
      <c r="N945" s="4" t="str">
        <f>VLOOKUP(M945,'Products (2)'!A:G,2,0)</f>
        <v>Arabica</v>
      </c>
      <c r="O945" s="4" t="str">
        <f>VLOOKUP(M945,'Products (2)'!A:G,3,0)</f>
        <v>Light</v>
      </c>
      <c r="P945" s="4">
        <f>VLOOKUP(M945,'Products (2)'!A:G,7,0)</f>
        <v>0.69929999999999992</v>
      </c>
      <c r="Q945" s="3">
        <v>6</v>
      </c>
      <c r="R945" s="5">
        <f>INDEX([1]products!$A$1:$G$49,MATCH([1]orders!$D945,[1]products!$A$1:$A$49,0),MATCH([1]orders!K$1,[1]products!$A$1:$G$1,0))</f>
        <v>0.5</v>
      </c>
      <c r="S945" s="6">
        <f>INDEX([1]products!$A$1:$G$49,MATCH([1]orders!$D945,[1]products!$A$1:$A$49,0),MATCH([1]orders!L$1,[1]products!$A$1:$G$1,0))</f>
        <v>7.77</v>
      </c>
      <c r="T945" s="6">
        <f t="shared" si="84"/>
        <v>46.62</v>
      </c>
      <c r="U945" s="22">
        <f t="shared" si="88"/>
        <v>4.1957999999999993</v>
      </c>
      <c r="V945" s="22">
        <f t="shared" si="89"/>
        <v>9</v>
      </c>
    </row>
    <row r="946" spans="1:22" x14ac:dyDescent="0.3">
      <c r="A946" s="1" t="s">
        <v>1820</v>
      </c>
      <c r="B946" s="2">
        <v>44054</v>
      </c>
      <c r="C946" s="2" t="str">
        <f t="shared" si="85"/>
        <v>Tuesday</v>
      </c>
      <c r="D946" s="2" t="str">
        <f t="shared" si="86"/>
        <v>August</v>
      </c>
      <c r="E946" s="2" t="str">
        <f t="shared" si="87"/>
        <v>2020</v>
      </c>
      <c r="F946" s="3" t="s">
        <v>1821</v>
      </c>
      <c r="G946" s="3" t="str">
        <f>VLOOKUP(F947,'Customers (2)'!A:I,2,0)</f>
        <v>Jaimie Hatz</v>
      </c>
      <c r="H946" s="3" t="str">
        <f>VLOOKUP(F946,'Customers (2)'!A:I,3,0)</f>
        <v>fhaughianq8@1688.com</v>
      </c>
      <c r="I946" s="3" t="str">
        <f>VLOOKUP(F946,'Customers (2)'!A:I,4,0)</f>
        <v>+1 (253) 974-5538</v>
      </c>
      <c r="J946" s="3" t="str">
        <f>VLOOKUP(F946,'Customers (2)'!A:I,6,0)</f>
        <v>Tacoma</v>
      </c>
      <c r="K946" s="3" t="str">
        <f>VLOOKUP(F946,'Customers (2)'!A:I,7,0)</f>
        <v>United States</v>
      </c>
      <c r="L946" s="3" t="str">
        <f>VLOOKUP(F946,'Customers (2)'!A:I,9,0)</f>
        <v>No</v>
      </c>
      <c r="M946" s="4" t="s">
        <v>157</v>
      </c>
      <c r="N946" s="4" t="str">
        <f>VLOOKUP(M946,'Products (2)'!A:G,2,0)</f>
        <v>Robusta</v>
      </c>
      <c r="O946" s="4" t="str">
        <f>VLOOKUP(M946,'Products (2)'!A:G,3,0)</f>
        <v>Light</v>
      </c>
      <c r="P946" s="4">
        <f>VLOOKUP(M946,'Products (2)'!A:G,7,0)</f>
        <v>0.43019999999999992</v>
      </c>
      <c r="Q946" s="3">
        <v>5</v>
      </c>
      <c r="R946" s="5">
        <f>INDEX([1]products!$A$1:$G$49,MATCH([1]orders!$D946,[1]products!$A$1:$A$49,0),MATCH([1]orders!K$1,[1]products!$A$1:$G$1,0))</f>
        <v>0.5</v>
      </c>
      <c r="S946" s="6">
        <f>INDEX([1]products!$A$1:$G$49,MATCH([1]orders!$D946,[1]products!$A$1:$A$49,0),MATCH([1]orders!L$1,[1]products!$A$1:$G$1,0))</f>
        <v>7.169999999999999</v>
      </c>
      <c r="T946" s="6">
        <f t="shared" si="84"/>
        <v>35.849999999999994</v>
      </c>
      <c r="U946" s="22">
        <f t="shared" si="88"/>
        <v>2.1509999999999998</v>
      </c>
      <c r="V946" s="22">
        <f t="shared" si="89"/>
        <v>6.0000000000000009</v>
      </c>
    </row>
    <row r="947" spans="1:22" x14ac:dyDescent="0.3">
      <c r="A947" s="1" t="s">
        <v>1822</v>
      </c>
      <c r="B947" s="2">
        <v>43524</v>
      </c>
      <c r="C947" s="2" t="str">
        <f t="shared" si="85"/>
        <v>Thursday</v>
      </c>
      <c r="D947" s="2" t="str">
        <f t="shared" si="86"/>
        <v>February</v>
      </c>
      <c r="E947" s="2" t="str">
        <f t="shared" si="87"/>
        <v>2019</v>
      </c>
      <c r="F947" s="3" t="s">
        <v>1823</v>
      </c>
      <c r="G947" s="3" t="str">
        <f>VLOOKUP(F948,'Customers (2)'!A:I,2,0)</f>
        <v>Edeline Edney</v>
      </c>
      <c r="H947" s="3">
        <f>VLOOKUP(F947,'Customers (2)'!A:I,3,0)</f>
        <v>0</v>
      </c>
      <c r="I947" s="3" t="str">
        <f>VLOOKUP(F947,'Customers (2)'!A:I,4,0)</f>
        <v>+1 (915) 920-9318</v>
      </c>
      <c r="J947" s="3" t="str">
        <f>VLOOKUP(F947,'Customers (2)'!A:I,6,0)</f>
        <v>El Paso</v>
      </c>
      <c r="K947" s="3" t="str">
        <f>VLOOKUP(F947,'Customers (2)'!A:I,7,0)</f>
        <v>United States</v>
      </c>
      <c r="L947" s="3" t="str">
        <f>VLOOKUP(F947,'Customers (2)'!A:I,9,0)</f>
        <v>No</v>
      </c>
      <c r="M947" s="4" t="s">
        <v>109</v>
      </c>
      <c r="N947" s="4" t="str">
        <f>VLOOKUP(M947,'Products (2)'!A:G,2,0)</f>
        <v>Liberica</v>
      </c>
      <c r="O947" s="4" t="str">
        <f>VLOOKUP(M947,'Products (2)'!A:G,3,0)</f>
        <v>Dark</v>
      </c>
      <c r="P947" s="4">
        <f>VLOOKUP(M947,'Products (2)'!A:G,7,0)</f>
        <v>3.8720499999999998</v>
      </c>
      <c r="Q947" s="3">
        <v>4</v>
      </c>
      <c r="R947" s="5">
        <f>INDEX([1]products!$A$1:$G$49,MATCH([1]orders!$D947,[1]products!$A$1:$A$49,0),MATCH([1]orders!K$1,[1]products!$A$1:$G$1,0))</f>
        <v>2.5</v>
      </c>
      <c r="S947" s="6">
        <f>INDEX([1]products!$A$1:$G$49,MATCH([1]orders!$D947,[1]products!$A$1:$A$49,0),MATCH([1]orders!L$1,[1]products!$A$1:$G$1,0))</f>
        <v>29.784999999999997</v>
      </c>
      <c r="T947" s="6">
        <f t="shared" si="84"/>
        <v>119.13999999999999</v>
      </c>
      <c r="U947" s="22">
        <f t="shared" si="88"/>
        <v>15.488199999999999</v>
      </c>
      <c r="V947" s="22">
        <f t="shared" si="89"/>
        <v>13</v>
      </c>
    </row>
    <row r="948" spans="1:22" x14ac:dyDescent="0.3">
      <c r="A948" s="1" t="s">
        <v>1824</v>
      </c>
      <c r="B948" s="2">
        <v>43719</v>
      </c>
      <c r="C948" s="2" t="str">
        <f t="shared" si="85"/>
        <v>Wednesday</v>
      </c>
      <c r="D948" s="2" t="str">
        <f t="shared" si="86"/>
        <v>September</v>
      </c>
      <c r="E948" s="2" t="str">
        <f t="shared" si="87"/>
        <v>2019</v>
      </c>
      <c r="F948" s="3" t="s">
        <v>1825</v>
      </c>
      <c r="G948" s="3" t="str">
        <f>VLOOKUP(F949,'Customers (2)'!A:I,2,0)</f>
        <v>Rickie Faltin</v>
      </c>
      <c r="H948" s="3">
        <f>VLOOKUP(F948,'Customers (2)'!A:I,3,0)</f>
        <v>0</v>
      </c>
      <c r="I948" s="3" t="str">
        <f>VLOOKUP(F948,'Customers (2)'!A:I,4,0)</f>
        <v>+1 (205) 866-7629</v>
      </c>
      <c r="J948" s="3" t="str">
        <f>VLOOKUP(F948,'Customers (2)'!A:I,6,0)</f>
        <v>Birmingham</v>
      </c>
      <c r="K948" s="3" t="str">
        <f>VLOOKUP(F948,'Customers (2)'!A:I,7,0)</f>
        <v>United States</v>
      </c>
      <c r="L948" s="3" t="str">
        <f>VLOOKUP(F948,'Customers (2)'!A:I,9,0)</f>
        <v>No</v>
      </c>
      <c r="M948" s="4" t="s">
        <v>123</v>
      </c>
      <c r="N948" s="4" t="str">
        <f>VLOOKUP(M948,'Products (2)'!A:G,2,0)</f>
        <v>Liberica</v>
      </c>
      <c r="O948" s="4" t="str">
        <f>VLOOKUP(M948,'Products (2)'!A:G,3,0)</f>
        <v>Dark</v>
      </c>
      <c r="P948" s="4">
        <f>VLOOKUP(M948,'Products (2)'!A:G,7,0)</f>
        <v>1.0101</v>
      </c>
      <c r="Q948" s="3">
        <v>3</v>
      </c>
      <c r="R948" s="5">
        <f>INDEX([1]products!$A$1:$G$49,MATCH([1]orders!$D948,[1]products!$A$1:$A$49,0),MATCH([1]orders!K$1,[1]products!$A$1:$G$1,0))</f>
        <v>0.5</v>
      </c>
      <c r="S948" s="6">
        <f>INDEX([1]products!$A$1:$G$49,MATCH([1]orders!$D948,[1]products!$A$1:$A$49,0),MATCH([1]orders!L$1,[1]products!$A$1:$G$1,0))</f>
        <v>7.77</v>
      </c>
      <c r="T948" s="6">
        <f t="shared" si="84"/>
        <v>23.31</v>
      </c>
      <c r="U948" s="22">
        <f t="shared" si="88"/>
        <v>3.0303</v>
      </c>
      <c r="V948" s="22">
        <f t="shared" si="89"/>
        <v>13</v>
      </c>
    </row>
    <row r="949" spans="1:22" x14ac:dyDescent="0.3">
      <c r="A949" s="1" t="s">
        <v>1826</v>
      </c>
      <c r="B949" s="2">
        <v>44294</v>
      </c>
      <c r="C949" s="2" t="str">
        <f t="shared" si="85"/>
        <v>Thursday</v>
      </c>
      <c r="D949" s="2" t="str">
        <f t="shared" si="86"/>
        <v>April</v>
      </c>
      <c r="E949" s="2" t="str">
        <f t="shared" si="87"/>
        <v>2021</v>
      </c>
      <c r="F949" s="3" t="s">
        <v>1827</v>
      </c>
      <c r="G949" s="3" t="str">
        <f>VLOOKUP(F950,'Customers (2)'!A:I,2,0)</f>
        <v>Gnni Cheeke</v>
      </c>
      <c r="H949" s="3" t="str">
        <f>VLOOKUP(F949,'Customers (2)'!A:I,3,0)</f>
        <v>rfaltinqb@topsy.com</v>
      </c>
      <c r="I949" s="3">
        <f>VLOOKUP(F949,'Customers (2)'!A:I,4,0)</f>
        <v>0</v>
      </c>
      <c r="J949" s="3" t="str">
        <f>VLOOKUP(F949,'Customers (2)'!A:I,6,0)</f>
        <v>Portumna</v>
      </c>
      <c r="K949" s="3" t="str">
        <f>VLOOKUP(F949,'Customers (2)'!A:I,7,0)</f>
        <v>Ireland</v>
      </c>
      <c r="L949" s="3" t="str">
        <f>VLOOKUP(F949,'Customers (2)'!A:I,9,0)</f>
        <v>No</v>
      </c>
      <c r="M949" s="4" t="s">
        <v>61</v>
      </c>
      <c r="N949" s="4" t="str">
        <f>VLOOKUP(M949,'Products (2)'!A:G,2,0)</f>
        <v>Arabica</v>
      </c>
      <c r="O949" s="4" t="str">
        <f>VLOOKUP(M949,'Products (2)'!A:G,3,0)</f>
        <v>Medium</v>
      </c>
      <c r="P949" s="4">
        <f>VLOOKUP(M949,'Products (2)'!A:G,7,0)</f>
        <v>1.0125</v>
      </c>
      <c r="Q949" s="3">
        <v>1</v>
      </c>
      <c r="R949" s="5">
        <f>INDEX([1]products!$A$1:$G$49,MATCH([1]orders!$D949,[1]products!$A$1:$A$49,0),MATCH([1]orders!K$1,[1]products!$A$1:$G$1,0))</f>
        <v>1</v>
      </c>
      <c r="S949" s="6">
        <f>INDEX([1]products!$A$1:$G$49,MATCH([1]orders!$D949,[1]products!$A$1:$A$49,0),MATCH([1]orders!L$1,[1]products!$A$1:$G$1,0))</f>
        <v>11.25</v>
      </c>
      <c r="T949" s="6">
        <f t="shared" si="84"/>
        <v>11.25</v>
      </c>
      <c r="U949" s="22">
        <f t="shared" si="88"/>
        <v>1.0125</v>
      </c>
      <c r="V949" s="22">
        <f t="shared" si="89"/>
        <v>9</v>
      </c>
    </row>
    <row r="950" spans="1:22" x14ac:dyDescent="0.3">
      <c r="A950" s="1" t="s">
        <v>1828</v>
      </c>
      <c r="B950" s="2">
        <v>44445</v>
      </c>
      <c r="C950" s="2" t="str">
        <f t="shared" si="85"/>
        <v>Monday</v>
      </c>
      <c r="D950" s="2" t="str">
        <f t="shared" si="86"/>
        <v>September</v>
      </c>
      <c r="E950" s="2" t="str">
        <f t="shared" si="87"/>
        <v>2021</v>
      </c>
      <c r="F950" s="3" t="s">
        <v>1829</v>
      </c>
      <c r="G950" s="3" t="str">
        <f>VLOOKUP(F951,'Customers (2)'!A:I,2,0)</f>
        <v>Gwenni Ratt</v>
      </c>
      <c r="H950" s="3" t="str">
        <f>VLOOKUP(F950,'Customers (2)'!A:I,3,0)</f>
        <v>gcheekeqc@sitemeter.com</v>
      </c>
      <c r="I950" s="3" t="str">
        <f>VLOOKUP(F950,'Customers (2)'!A:I,4,0)</f>
        <v>+44 (677) 694-1404</v>
      </c>
      <c r="J950" s="3" t="str">
        <f>VLOOKUP(F950,'Customers (2)'!A:I,6,0)</f>
        <v>London</v>
      </c>
      <c r="K950" s="3" t="str">
        <f>VLOOKUP(F950,'Customers (2)'!A:I,7,0)</f>
        <v>United Kingdom</v>
      </c>
      <c r="L950" s="3" t="str">
        <f>VLOOKUP(F950,'Customers (2)'!A:I,9,0)</f>
        <v>Yes</v>
      </c>
      <c r="M950" s="4" t="s">
        <v>530</v>
      </c>
      <c r="N950" s="4" t="str">
        <f>VLOOKUP(M950,'Products (2)'!A:G,2,0)</f>
        <v>Excelsa</v>
      </c>
      <c r="O950" s="4" t="str">
        <f>VLOOKUP(M950,'Products (2)'!A:G,3,0)</f>
        <v>Dark</v>
      </c>
      <c r="P950" s="4">
        <f>VLOOKUP(M950,'Products (2)'!A:G,7,0)</f>
        <v>3.07395</v>
      </c>
      <c r="Q950" s="3">
        <v>3</v>
      </c>
      <c r="R950" s="5">
        <f>INDEX([1]products!$A$1:$G$49,MATCH([1]orders!$D950,[1]products!$A$1:$A$49,0),MATCH([1]orders!K$1,[1]products!$A$1:$G$1,0))</f>
        <v>2.5</v>
      </c>
      <c r="S950" s="6">
        <f>INDEX([1]products!$A$1:$G$49,MATCH([1]orders!$D950,[1]products!$A$1:$A$49,0),MATCH([1]orders!L$1,[1]products!$A$1:$G$1,0))</f>
        <v>27.945</v>
      </c>
      <c r="T950" s="6">
        <f t="shared" si="84"/>
        <v>83.835000000000008</v>
      </c>
      <c r="U950" s="22">
        <f t="shared" si="88"/>
        <v>9.2218499999999999</v>
      </c>
      <c r="V950" s="22">
        <f t="shared" si="89"/>
        <v>10.999999999999998</v>
      </c>
    </row>
    <row r="951" spans="1:22" x14ac:dyDescent="0.3">
      <c r="A951" s="1" t="s">
        <v>1830</v>
      </c>
      <c r="B951" s="2">
        <v>44449</v>
      </c>
      <c r="C951" s="2" t="str">
        <f t="shared" si="85"/>
        <v>Friday</v>
      </c>
      <c r="D951" s="2" t="str">
        <f t="shared" si="86"/>
        <v>September</v>
      </c>
      <c r="E951" s="2" t="str">
        <f t="shared" si="87"/>
        <v>2021</v>
      </c>
      <c r="F951" s="3" t="s">
        <v>1831</v>
      </c>
      <c r="G951" s="3" t="str">
        <f>VLOOKUP(F952,'Customers (2)'!A:I,2,0)</f>
        <v>Johnath Fairebrother</v>
      </c>
      <c r="H951" s="3" t="str">
        <f>VLOOKUP(F951,'Customers (2)'!A:I,3,0)</f>
        <v>grattqd@phpbb.com</v>
      </c>
      <c r="I951" s="3" t="str">
        <f>VLOOKUP(F951,'Customers (2)'!A:I,4,0)</f>
        <v>+353 (878) 618-9723</v>
      </c>
      <c r="J951" s="3" t="str">
        <f>VLOOKUP(F951,'Customers (2)'!A:I,6,0)</f>
        <v>Castlemartyr</v>
      </c>
      <c r="K951" s="3" t="str">
        <f>VLOOKUP(F951,'Customers (2)'!A:I,7,0)</f>
        <v>Ireland</v>
      </c>
      <c r="L951" s="3" t="str">
        <f>VLOOKUP(F951,'Customers (2)'!A:I,9,0)</f>
        <v>No</v>
      </c>
      <c r="M951" s="4" t="s">
        <v>10</v>
      </c>
      <c r="N951" s="4" t="str">
        <f>VLOOKUP(M951,'Products (2)'!A:G,2,0)</f>
        <v>Robusta</v>
      </c>
      <c r="O951" s="4" t="str">
        <f>VLOOKUP(M951,'Products (2)'!A:G,3,0)</f>
        <v>Light</v>
      </c>
      <c r="P951" s="4">
        <f>VLOOKUP(M951,'Products (2)'!A:G,7,0)</f>
        <v>1.6490999999999998</v>
      </c>
      <c r="Q951" s="3">
        <v>4</v>
      </c>
      <c r="R951" s="5">
        <f>INDEX([1]products!$A$1:$G$49,MATCH([1]orders!$D951,[1]products!$A$1:$A$49,0),MATCH([1]orders!K$1,[1]products!$A$1:$G$1,0))</f>
        <v>2.5</v>
      </c>
      <c r="S951" s="6">
        <f>INDEX([1]products!$A$1:$G$49,MATCH([1]orders!$D951,[1]products!$A$1:$A$49,0),MATCH([1]orders!L$1,[1]products!$A$1:$G$1,0))</f>
        <v>27.484999999999996</v>
      </c>
      <c r="T951" s="6">
        <f t="shared" si="84"/>
        <v>109.93999999999998</v>
      </c>
      <c r="U951" s="22">
        <f t="shared" si="88"/>
        <v>6.5963999999999992</v>
      </c>
      <c r="V951" s="22">
        <f t="shared" si="89"/>
        <v>6.0000000000000009</v>
      </c>
    </row>
    <row r="952" spans="1:22" x14ac:dyDescent="0.3">
      <c r="A952" s="1" t="s">
        <v>1832</v>
      </c>
      <c r="B952" s="2">
        <v>44703</v>
      </c>
      <c r="C952" s="2" t="str">
        <f t="shared" si="85"/>
        <v>Sunday</v>
      </c>
      <c r="D952" s="2" t="str">
        <f t="shared" si="86"/>
        <v>May</v>
      </c>
      <c r="E952" s="2" t="str">
        <f t="shared" si="87"/>
        <v>2022</v>
      </c>
      <c r="F952" s="3" t="s">
        <v>1833</v>
      </c>
      <c r="G952" s="3" t="str">
        <f>VLOOKUP(F953,'Customers (2)'!A:I,2,0)</f>
        <v>Ingamar Eberlein</v>
      </c>
      <c r="H952" s="3">
        <f>VLOOKUP(F952,'Customers (2)'!A:I,3,0)</f>
        <v>0</v>
      </c>
      <c r="I952" s="3" t="str">
        <f>VLOOKUP(F952,'Customers (2)'!A:I,4,0)</f>
        <v>+1 (302) 159-1841</v>
      </c>
      <c r="J952" s="3" t="str">
        <f>VLOOKUP(F952,'Customers (2)'!A:I,6,0)</f>
        <v>Wilmington</v>
      </c>
      <c r="K952" s="3" t="str">
        <f>VLOOKUP(F952,'Customers (2)'!A:I,7,0)</f>
        <v>United States</v>
      </c>
      <c r="L952" s="3" t="str">
        <f>VLOOKUP(F952,'Customers (2)'!A:I,9,0)</f>
        <v>Yes</v>
      </c>
      <c r="M952" s="4" t="s">
        <v>182</v>
      </c>
      <c r="N952" s="4" t="str">
        <f>VLOOKUP(M952,'Products (2)'!A:G,2,0)</f>
        <v>Robusta</v>
      </c>
      <c r="O952" s="4" t="str">
        <f>VLOOKUP(M952,'Products (2)'!A:G,3,0)</f>
        <v>Light</v>
      </c>
      <c r="P952" s="4">
        <f>VLOOKUP(M952,'Products (2)'!A:G,7,0)</f>
        <v>0.21509999999999996</v>
      </c>
      <c r="Q952" s="3">
        <v>4</v>
      </c>
      <c r="R952" s="5">
        <f>INDEX([1]products!$A$1:$G$49,MATCH([1]orders!$D952,[1]products!$A$1:$A$49,0),MATCH([1]orders!K$1,[1]products!$A$1:$G$1,0))</f>
        <v>0.2</v>
      </c>
      <c r="S952" s="6">
        <f>INDEX([1]products!$A$1:$G$49,MATCH([1]orders!$D952,[1]products!$A$1:$A$49,0),MATCH([1]orders!L$1,[1]products!$A$1:$G$1,0))</f>
        <v>3.5849999999999995</v>
      </c>
      <c r="T952" s="6">
        <f t="shared" si="84"/>
        <v>14.339999999999998</v>
      </c>
      <c r="U952" s="22">
        <f t="shared" si="88"/>
        <v>0.86039999999999983</v>
      </c>
      <c r="V952" s="22">
        <f t="shared" si="89"/>
        <v>6</v>
      </c>
    </row>
    <row r="953" spans="1:22" x14ac:dyDescent="0.3">
      <c r="A953" s="1" t="s">
        <v>1834</v>
      </c>
      <c r="B953" s="2">
        <v>44092</v>
      </c>
      <c r="C953" s="2" t="str">
        <f t="shared" si="85"/>
        <v>Friday</v>
      </c>
      <c r="D953" s="2" t="str">
        <f t="shared" si="86"/>
        <v>September</v>
      </c>
      <c r="E953" s="2" t="str">
        <f t="shared" si="87"/>
        <v>2020</v>
      </c>
      <c r="F953" s="3" t="s">
        <v>1835</v>
      </c>
      <c r="G953" s="3" t="str">
        <f>VLOOKUP(F954,'Customers (2)'!A:I,2,0)</f>
        <v>Jilly Dreng</v>
      </c>
      <c r="H953" s="3" t="str">
        <f>VLOOKUP(F953,'Customers (2)'!A:I,3,0)</f>
        <v>ieberleinqf@hc360.com</v>
      </c>
      <c r="I953" s="3" t="str">
        <f>VLOOKUP(F953,'Customers (2)'!A:I,4,0)</f>
        <v>+1 (717) 323-3451</v>
      </c>
      <c r="J953" s="3" t="str">
        <f>VLOOKUP(F953,'Customers (2)'!A:I,6,0)</f>
        <v>Harrisburg</v>
      </c>
      <c r="K953" s="3" t="str">
        <f>VLOOKUP(F953,'Customers (2)'!A:I,7,0)</f>
        <v>United States</v>
      </c>
      <c r="L953" s="3" t="str">
        <f>VLOOKUP(F953,'Customers (2)'!A:I,9,0)</f>
        <v>No</v>
      </c>
      <c r="M953" s="4" t="s">
        <v>182</v>
      </c>
      <c r="N953" s="4" t="str">
        <f>VLOOKUP(M953,'Products (2)'!A:G,2,0)</f>
        <v>Robusta</v>
      </c>
      <c r="O953" s="4" t="str">
        <f>VLOOKUP(M953,'Products (2)'!A:G,3,0)</f>
        <v>Light</v>
      </c>
      <c r="P953" s="4">
        <f>VLOOKUP(M953,'Products (2)'!A:G,7,0)</f>
        <v>0.21509999999999996</v>
      </c>
      <c r="Q953" s="3">
        <v>6</v>
      </c>
      <c r="R953" s="5">
        <f>INDEX([1]products!$A$1:$G$49,MATCH([1]orders!$D953,[1]products!$A$1:$A$49,0),MATCH([1]orders!K$1,[1]products!$A$1:$G$1,0))</f>
        <v>0.2</v>
      </c>
      <c r="S953" s="6">
        <f>INDEX([1]products!$A$1:$G$49,MATCH([1]orders!$D953,[1]products!$A$1:$A$49,0),MATCH([1]orders!L$1,[1]products!$A$1:$G$1,0))</f>
        <v>3.5849999999999995</v>
      </c>
      <c r="T953" s="6">
        <f t="shared" si="84"/>
        <v>21.509999999999998</v>
      </c>
      <c r="U953" s="22">
        <f t="shared" si="88"/>
        <v>1.2905999999999997</v>
      </c>
      <c r="V953" s="22">
        <f t="shared" si="89"/>
        <v>5.9999999999999991</v>
      </c>
    </row>
    <row r="954" spans="1:22" x14ac:dyDescent="0.3">
      <c r="A954" s="1" t="s">
        <v>1836</v>
      </c>
      <c r="B954" s="2">
        <v>44439</v>
      </c>
      <c r="C954" s="2" t="str">
        <f t="shared" si="85"/>
        <v>Tuesday</v>
      </c>
      <c r="D954" s="2" t="str">
        <f t="shared" si="86"/>
        <v>August</v>
      </c>
      <c r="E954" s="2" t="str">
        <f t="shared" si="87"/>
        <v>2021</v>
      </c>
      <c r="F954" s="3" t="s">
        <v>1837</v>
      </c>
      <c r="G954" s="3" t="str">
        <f>VLOOKUP(F955,'Customers (2)'!A:I,2,0)</f>
        <v>Brenn Dundredge</v>
      </c>
      <c r="H954" s="3" t="str">
        <f>VLOOKUP(F954,'Customers (2)'!A:I,3,0)</f>
        <v>jdrengqg@uiuc.edu</v>
      </c>
      <c r="I954" s="3" t="str">
        <f>VLOOKUP(F954,'Customers (2)'!A:I,4,0)</f>
        <v>+353 (350) 974-1489</v>
      </c>
      <c r="J954" s="3" t="str">
        <f>VLOOKUP(F954,'Customers (2)'!A:I,6,0)</f>
        <v>Sallins</v>
      </c>
      <c r="K954" s="3" t="str">
        <f>VLOOKUP(F954,'Customers (2)'!A:I,7,0)</f>
        <v>Ireland</v>
      </c>
      <c r="L954" s="3" t="str">
        <f>VLOOKUP(F954,'Customers (2)'!A:I,9,0)</f>
        <v>Yes</v>
      </c>
      <c r="M954" s="4" t="s">
        <v>61</v>
      </c>
      <c r="N954" s="4" t="str">
        <f>VLOOKUP(M954,'Products (2)'!A:G,2,0)</f>
        <v>Arabica</v>
      </c>
      <c r="O954" s="4" t="str">
        <f>VLOOKUP(M954,'Products (2)'!A:G,3,0)</f>
        <v>Medium</v>
      </c>
      <c r="P954" s="4">
        <f>VLOOKUP(M954,'Products (2)'!A:G,7,0)</f>
        <v>1.0125</v>
      </c>
      <c r="Q954" s="3">
        <v>2</v>
      </c>
      <c r="R954" s="5">
        <f>INDEX([1]products!$A$1:$G$49,MATCH([1]orders!$D954,[1]products!$A$1:$A$49,0),MATCH([1]orders!K$1,[1]products!$A$1:$G$1,0))</f>
        <v>1</v>
      </c>
      <c r="S954" s="6">
        <f>INDEX([1]products!$A$1:$G$49,MATCH([1]orders!$D954,[1]products!$A$1:$A$49,0),MATCH([1]orders!L$1,[1]products!$A$1:$G$1,0))</f>
        <v>11.25</v>
      </c>
      <c r="T954" s="6">
        <f t="shared" si="84"/>
        <v>22.5</v>
      </c>
      <c r="U954" s="22">
        <f t="shared" si="88"/>
        <v>2.0249999999999999</v>
      </c>
      <c r="V954" s="22">
        <f t="shared" si="89"/>
        <v>9</v>
      </c>
    </row>
    <row r="955" spans="1:22" x14ac:dyDescent="0.3">
      <c r="A955" s="1" t="s">
        <v>1838</v>
      </c>
      <c r="B955" s="2">
        <v>44582</v>
      </c>
      <c r="C955" s="2" t="str">
        <f t="shared" si="85"/>
        <v>Friday</v>
      </c>
      <c r="D955" s="2" t="str">
        <f t="shared" si="86"/>
        <v>January</v>
      </c>
      <c r="E955" s="2" t="str">
        <f t="shared" si="87"/>
        <v>2022</v>
      </c>
      <c r="F955" s="3" t="s">
        <v>1801</v>
      </c>
      <c r="G955" s="3" t="str">
        <f>VLOOKUP(F956,'Customers (2)'!A:I,2,0)</f>
        <v>Brenn Dundredge</v>
      </c>
      <c r="H955" s="3">
        <f>VLOOKUP(F955,'Customers (2)'!A:I,3,0)</f>
        <v>0</v>
      </c>
      <c r="I955" s="3" t="str">
        <f>VLOOKUP(F955,'Customers (2)'!A:I,4,0)</f>
        <v>+1 (405) 369-5173</v>
      </c>
      <c r="J955" s="3" t="str">
        <f>VLOOKUP(F955,'Customers (2)'!A:I,6,0)</f>
        <v>Oklahoma City</v>
      </c>
      <c r="K955" s="3" t="str">
        <f>VLOOKUP(F955,'Customers (2)'!A:I,7,0)</f>
        <v>United States</v>
      </c>
      <c r="L955" s="3" t="str">
        <f>VLOOKUP(F955,'Customers (2)'!A:I,9,0)</f>
        <v>Yes</v>
      </c>
      <c r="M955" s="4" t="s">
        <v>115</v>
      </c>
      <c r="N955" s="4" t="str">
        <f>VLOOKUP(M955,'Products (2)'!A:G,2,0)</f>
        <v>Arabica</v>
      </c>
      <c r="O955" s="4" t="str">
        <f>VLOOKUP(M955,'Products (2)'!A:G,3,0)</f>
        <v>Light</v>
      </c>
      <c r="P955" s="4">
        <f>VLOOKUP(M955,'Products (2)'!A:G,7,0)</f>
        <v>0.34964999999999996</v>
      </c>
      <c r="Q955" s="3">
        <v>1</v>
      </c>
      <c r="R955" s="5">
        <f>INDEX([1]products!$A$1:$G$49,MATCH([1]orders!$D955,[1]products!$A$1:$A$49,0),MATCH([1]orders!K$1,[1]products!$A$1:$G$1,0))</f>
        <v>0.2</v>
      </c>
      <c r="S955" s="6">
        <f>INDEX([1]products!$A$1:$G$49,MATCH([1]orders!$D955,[1]products!$A$1:$A$49,0),MATCH([1]orders!L$1,[1]products!$A$1:$G$1,0))</f>
        <v>3.8849999999999998</v>
      </c>
      <c r="T955" s="6">
        <f t="shared" si="84"/>
        <v>3.8849999999999998</v>
      </c>
      <c r="U955" s="22">
        <f t="shared" si="88"/>
        <v>0.34964999999999996</v>
      </c>
      <c r="V955" s="22">
        <f t="shared" si="89"/>
        <v>9</v>
      </c>
    </row>
    <row r="956" spans="1:22" x14ac:dyDescent="0.3">
      <c r="A956" s="1" t="s">
        <v>1839</v>
      </c>
      <c r="B956" s="2">
        <v>44722</v>
      </c>
      <c r="C956" s="2" t="str">
        <f t="shared" si="85"/>
        <v>Friday</v>
      </c>
      <c r="D956" s="2" t="str">
        <f t="shared" si="86"/>
        <v>June</v>
      </c>
      <c r="E956" s="2" t="str">
        <f t="shared" si="87"/>
        <v>2022</v>
      </c>
      <c r="F956" s="3" t="s">
        <v>1801</v>
      </c>
      <c r="G956" s="3" t="str">
        <f>VLOOKUP(F957,'Customers (2)'!A:I,2,0)</f>
        <v>Brenn Dundredge</v>
      </c>
      <c r="H956" s="3">
        <f>VLOOKUP(F956,'Customers (2)'!A:I,3,0)</f>
        <v>0</v>
      </c>
      <c r="I956" s="3" t="str">
        <f>VLOOKUP(F956,'Customers (2)'!A:I,4,0)</f>
        <v>+1 (405) 369-5173</v>
      </c>
      <c r="J956" s="3" t="str">
        <f>VLOOKUP(F956,'Customers (2)'!A:I,6,0)</f>
        <v>Oklahoma City</v>
      </c>
      <c r="K956" s="3" t="str">
        <f>VLOOKUP(F956,'Customers (2)'!A:I,7,0)</f>
        <v>United States</v>
      </c>
      <c r="L956" s="3" t="str">
        <f>VLOOKUP(F956,'Customers (2)'!A:I,9,0)</f>
        <v>Yes</v>
      </c>
      <c r="M956" s="4" t="s">
        <v>530</v>
      </c>
      <c r="N956" s="4" t="str">
        <f>VLOOKUP(M956,'Products (2)'!A:G,2,0)</f>
        <v>Excelsa</v>
      </c>
      <c r="O956" s="4" t="str">
        <f>VLOOKUP(M956,'Products (2)'!A:G,3,0)</f>
        <v>Dark</v>
      </c>
      <c r="P956" s="4">
        <f>VLOOKUP(M956,'Products (2)'!A:G,7,0)</f>
        <v>3.07395</v>
      </c>
      <c r="Q956" s="3">
        <v>1</v>
      </c>
      <c r="R956" s="5">
        <f>INDEX([1]products!$A$1:$G$49,MATCH([1]orders!$D956,[1]products!$A$1:$A$49,0),MATCH([1]orders!K$1,[1]products!$A$1:$G$1,0))</f>
        <v>2.5</v>
      </c>
      <c r="S956" s="6">
        <f>INDEX([1]products!$A$1:$G$49,MATCH([1]orders!$D956,[1]products!$A$1:$A$49,0),MATCH([1]orders!L$1,[1]products!$A$1:$G$1,0))</f>
        <v>27.945</v>
      </c>
      <c r="T956" s="6">
        <f t="shared" si="84"/>
        <v>27.945</v>
      </c>
      <c r="U956" s="22">
        <f t="shared" si="88"/>
        <v>3.07395</v>
      </c>
      <c r="V956" s="22">
        <f t="shared" si="89"/>
        <v>11</v>
      </c>
    </row>
    <row r="957" spans="1:22" x14ac:dyDescent="0.3">
      <c r="A957" s="1" t="s">
        <v>1840</v>
      </c>
      <c r="B957" s="2">
        <v>43582</v>
      </c>
      <c r="C957" s="2" t="str">
        <f t="shared" si="85"/>
        <v>Saturday</v>
      </c>
      <c r="D957" s="2" t="str">
        <f t="shared" si="86"/>
        <v>April</v>
      </c>
      <c r="E957" s="2" t="str">
        <f t="shared" si="87"/>
        <v>2019</v>
      </c>
      <c r="F957" s="3" t="s">
        <v>1801</v>
      </c>
      <c r="G957" s="3" t="str">
        <f>VLOOKUP(F958,'Customers (2)'!A:I,2,0)</f>
        <v>Brenn Dundredge</v>
      </c>
      <c r="H957" s="3">
        <f>VLOOKUP(F957,'Customers (2)'!A:I,3,0)</f>
        <v>0</v>
      </c>
      <c r="I957" s="3" t="str">
        <f>VLOOKUP(F957,'Customers (2)'!A:I,4,0)</f>
        <v>+1 (405) 369-5173</v>
      </c>
      <c r="J957" s="3" t="str">
        <f>VLOOKUP(F957,'Customers (2)'!A:I,6,0)</f>
        <v>Oklahoma City</v>
      </c>
      <c r="K957" s="3" t="str">
        <f>VLOOKUP(F957,'Customers (2)'!A:I,7,0)</f>
        <v>United States</v>
      </c>
      <c r="L957" s="3" t="str">
        <f>VLOOKUP(F957,'Customers (2)'!A:I,9,0)</f>
        <v>Yes</v>
      </c>
      <c r="M957" s="4" t="s">
        <v>30</v>
      </c>
      <c r="N957" s="4" t="str">
        <f>VLOOKUP(M957,'Products (2)'!A:G,2,0)</f>
        <v>Excelsa</v>
      </c>
      <c r="O957" s="4" t="str">
        <f>VLOOKUP(M957,'Products (2)'!A:G,3,0)</f>
        <v>Light</v>
      </c>
      <c r="P957" s="4">
        <f>VLOOKUP(M957,'Products (2)'!A:G,7,0)</f>
        <v>3.7570499999999996</v>
      </c>
      <c r="Q957" s="3">
        <v>5</v>
      </c>
      <c r="R957" s="5">
        <f>INDEX([1]products!$A$1:$G$49,MATCH([1]orders!$D957,[1]products!$A$1:$A$49,0),MATCH([1]orders!K$1,[1]products!$A$1:$G$1,0))</f>
        <v>2.5</v>
      </c>
      <c r="S957" s="6">
        <f>INDEX([1]products!$A$1:$G$49,MATCH([1]orders!$D957,[1]products!$A$1:$A$49,0),MATCH([1]orders!L$1,[1]products!$A$1:$G$1,0))</f>
        <v>34.154999999999994</v>
      </c>
      <c r="T957" s="6">
        <f t="shared" si="84"/>
        <v>170.77499999999998</v>
      </c>
      <c r="U957" s="22">
        <f t="shared" si="88"/>
        <v>18.785249999999998</v>
      </c>
      <c r="V957" s="22">
        <f t="shared" si="89"/>
        <v>11</v>
      </c>
    </row>
    <row r="958" spans="1:22" x14ac:dyDescent="0.3">
      <c r="A958" s="1" t="s">
        <v>1840</v>
      </c>
      <c r="B958" s="2">
        <v>43582</v>
      </c>
      <c r="C958" s="2" t="str">
        <f t="shared" si="85"/>
        <v>Saturday</v>
      </c>
      <c r="D958" s="2" t="str">
        <f t="shared" si="86"/>
        <v>April</v>
      </c>
      <c r="E958" s="2" t="str">
        <f t="shared" si="87"/>
        <v>2019</v>
      </c>
      <c r="F958" s="3" t="s">
        <v>1801</v>
      </c>
      <c r="G958" s="3" t="str">
        <f>VLOOKUP(F959,'Customers (2)'!A:I,2,0)</f>
        <v>Brenn Dundredge</v>
      </c>
      <c r="H958" s="3">
        <f>VLOOKUP(F958,'Customers (2)'!A:I,3,0)</f>
        <v>0</v>
      </c>
      <c r="I958" s="3" t="str">
        <f>VLOOKUP(F958,'Customers (2)'!A:I,4,0)</f>
        <v>+1 (405) 369-5173</v>
      </c>
      <c r="J958" s="3" t="str">
        <f>VLOOKUP(F958,'Customers (2)'!A:I,6,0)</f>
        <v>Oklahoma City</v>
      </c>
      <c r="K958" s="3" t="str">
        <f>VLOOKUP(F958,'Customers (2)'!A:I,7,0)</f>
        <v>United States</v>
      </c>
      <c r="L958" s="3" t="str">
        <f>VLOOKUP(F958,'Customers (2)'!A:I,9,0)</f>
        <v>Yes</v>
      </c>
      <c r="M958" s="4" t="s">
        <v>10</v>
      </c>
      <c r="N958" s="4" t="str">
        <f>VLOOKUP(M958,'Products (2)'!A:G,2,0)</f>
        <v>Robusta</v>
      </c>
      <c r="O958" s="4" t="str">
        <f>VLOOKUP(M958,'Products (2)'!A:G,3,0)</f>
        <v>Light</v>
      </c>
      <c r="P958" s="4">
        <f>VLOOKUP(M958,'Products (2)'!A:G,7,0)</f>
        <v>1.6490999999999998</v>
      </c>
      <c r="Q958" s="3">
        <v>2</v>
      </c>
      <c r="R958" s="5">
        <f>INDEX([1]products!$A$1:$G$49,MATCH([1]orders!$D958,[1]products!$A$1:$A$49,0),MATCH([1]orders!K$1,[1]products!$A$1:$G$1,0))</f>
        <v>2.5</v>
      </c>
      <c r="S958" s="6">
        <f>INDEX([1]products!$A$1:$G$49,MATCH([1]orders!$D958,[1]products!$A$1:$A$49,0),MATCH([1]orders!L$1,[1]products!$A$1:$G$1,0))</f>
        <v>27.484999999999996</v>
      </c>
      <c r="T958" s="6">
        <f t="shared" si="84"/>
        <v>54.969999999999992</v>
      </c>
      <c r="U958" s="22">
        <f t="shared" si="88"/>
        <v>3.2981999999999996</v>
      </c>
      <c r="V958" s="22">
        <f t="shared" si="89"/>
        <v>6.0000000000000009</v>
      </c>
    </row>
    <row r="959" spans="1:22" x14ac:dyDescent="0.3">
      <c r="A959" s="1" t="s">
        <v>1840</v>
      </c>
      <c r="B959" s="2">
        <v>43582</v>
      </c>
      <c r="C959" s="2" t="str">
        <f t="shared" si="85"/>
        <v>Saturday</v>
      </c>
      <c r="D959" s="2" t="str">
        <f t="shared" si="86"/>
        <v>April</v>
      </c>
      <c r="E959" s="2" t="str">
        <f t="shared" si="87"/>
        <v>2019</v>
      </c>
      <c r="F959" s="3" t="s">
        <v>1801</v>
      </c>
      <c r="G959" s="3" t="str">
        <f>VLOOKUP(F960,'Customers (2)'!A:I,2,0)</f>
        <v>Brenn Dundredge</v>
      </c>
      <c r="H959" s="3">
        <f>VLOOKUP(F959,'Customers (2)'!A:I,3,0)</f>
        <v>0</v>
      </c>
      <c r="I959" s="3" t="str">
        <f>VLOOKUP(F959,'Customers (2)'!A:I,4,0)</f>
        <v>+1 (405) 369-5173</v>
      </c>
      <c r="J959" s="3" t="str">
        <f>VLOOKUP(F959,'Customers (2)'!A:I,6,0)</f>
        <v>Oklahoma City</v>
      </c>
      <c r="K959" s="3" t="str">
        <f>VLOOKUP(F959,'Customers (2)'!A:I,7,0)</f>
        <v>United States</v>
      </c>
      <c r="L959" s="3" t="str">
        <f>VLOOKUP(F959,'Customers (2)'!A:I,9,0)</f>
        <v>Yes</v>
      </c>
      <c r="M959" s="4" t="s">
        <v>137</v>
      </c>
      <c r="N959" s="4" t="str">
        <f>VLOOKUP(M959,'Products (2)'!A:G,2,0)</f>
        <v>Excelsa</v>
      </c>
      <c r="O959" s="4" t="str">
        <f>VLOOKUP(M959,'Products (2)'!A:G,3,0)</f>
        <v>Light</v>
      </c>
      <c r="P959" s="4">
        <f>VLOOKUP(M959,'Products (2)'!A:G,7,0)</f>
        <v>1.6335</v>
      </c>
      <c r="Q959" s="3">
        <v>1</v>
      </c>
      <c r="R959" s="5">
        <f>INDEX([1]products!$A$1:$G$49,MATCH([1]orders!$D959,[1]products!$A$1:$A$49,0),MATCH([1]orders!K$1,[1]products!$A$1:$G$1,0))</f>
        <v>1</v>
      </c>
      <c r="S959" s="6">
        <f>INDEX([1]products!$A$1:$G$49,MATCH([1]orders!$D959,[1]products!$A$1:$A$49,0),MATCH([1]orders!L$1,[1]products!$A$1:$G$1,0))</f>
        <v>14.85</v>
      </c>
      <c r="T959" s="6">
        <f t="shared" si="84"/>
        <v>14.85</v>
      </c>
      <c r="U959" s="22">
        <f t="shared" si="88"/>
        <v>1.6335</v>
      </c>
      <c r="V959" s="22">
        <f t="shared" si="89"/>
        <v>11</v>
      </c>
    </row>
    <row r="960" spans="1:22" x14ac:dyDescent="0.3">
      <c r="A960" s="1" t="s">
        <v>1840</v>
      </c>
      <c r="B960" s="2">
        <v>43582</v>
      </c>
      <c r="C960" s="2" t="str">
        <f t="shared" si="85"/>
        <v>Saturday</v>
      </c>
      <c r="D960" s="2" t="str">
        <f t="shared" si="86"/>
        <v>April</v>
      </c>
      <c r="E960" s="2" t="str">
        <f t="shared" si="87"/>
        <v>2019</v>
      </c>
      <c r="F960" s="3" t="s">
        <v>1801</v>
      </c>
      <c r="G960" s="3" t="str">
        <f>VLOOKUP(F961,'Customers (2)'!A:I,2,0)</f>
        <v>Rhodie Strathern</v>
      </c>
      <c r="H960" s="3">
        <f>VLOOKUP(F960,'Customers (2)'!A:I,3,0)</f>
        <v>0</v>
      </c>
      <c r="I960" s="3" t="str">
        <f>VLOOKUP(F960,'Customers (2)'!A:I,4,0)</f>
        <v>+1 (405) 369-5173</v>
      </c>
      <c r="J960" s="3" t="str">
        <f>VLOOKUP(F960,'Customers (2)'!A:I,6,0)</f>
        <v>Oklahoma City</v>
      </c>
      <c r="K960" s="3" t="str">
        <f>VLOOKUP(F960,'Customers (2)'!A:I,7,0)</f>
        <v>United States</v>
      </c>
      <c r="L960" s="3" t="str">
        <f>VLOOKUP(F960,'Customers (2)'!A:I,9,0)</f>
        <v>Yes</v>
      </c>
      <c r="M960" s="4" t="s">
        <v>115</v>
      </c>
      <c r="N960" s="4" t="str">
        <f>VLOOKUP(M960,'Products (2)'!A:G,2,0)</f>
        <v>Arabica</v>
      </c>
      <c r="O960" s="4" t="str">
        <f>VLOOKUP(M960,'Products (2)'!A:G,3,0)</f>
        <v>Light</v>
      </c>
      <c r="P960" s="4">
        <f>VLOOKUP(M960,'Products (2)'!A:G,7,0)</f>
        <v>0.34964999999999996</v>
      </c>
      <c r="Q960" s="3">
        <v>2</v>
      </c>
      <c r="R960" s="5">
        <f>INDEX([1]products!$A$1:$G$49,MATCH([1]orders!$D960,[1]products!$A$1:$A$49,0),MATCH([1]orders!K$1,[1]products!$A$1:$G$1,0))</f>
        <v>0.2</v>
      </c>
      <c r="S960" s="6">
        <f>INDEX([1]products!$A$1:$G$49,MATCH([1]orders!$D960,[1]products!$A$1:$A$49,0),MATCH([1]orders!L$1,[1]products!$A$1:$G$1,0))</f>
        <v>3.8849999999999998</v>
      </c>
      <c r="T960" s="6">
        <f t="shared" si="84"/>
        <v>7.77</v>
      </c>
      <c r="U960" s="22">
        <f t="shared" si="88"/>
        <v>0.69929999999999992</v>
      </c>
      <c r="V960" s="22">
        <f t="shared" si="89"/>
        <v>9</v>
      </c>
    </row>
    <row r="961" spans="1:22" x14ac:dyDescent="0.3">
      <c r="A961" s="1" t="s">
        <v>1841</v>
      </c>
      <c r="B961" s="2">
        <v>44598</v>
      </c>
      <c r="C961" s="2" t="str">
        <f t="shared" si="85"/>
        <v>Sunday</v>
      </c>
      <c r="D961" s="2" t="str">
        <f t="shared" si="86"/>
        <v>February</v>
      </c>
      <c r="E961" s="2" t="str">
        <f t="shared" si="87"/>
        <v>2022</v>
      </c>
      <c r="F961" s="3" t="s">
        <v>1842</v>
      </c>
      <c r="G961" s="3" t="str">
        <f>VLOOKUP(F962,'Customers (2)'!A:I,2,0)</f>
        <v>Chad Miguel</v>
      </c>
      <c r="H961" s="3" t="str">
        <f>VLOOKUP(F961,'Customers (2)'!A:I,3,0)</f>
        <v>rstrathernqn@devhub.com</v>
      </c>
      <c r="I961" s="3">
        <f>VLOOKUP(F961,'Customers (2)'!A:I,4,0)</f>
        <v>0</v>
      </c>
      <c r="J961" s="3" t="str">
        <f>VLOOKUP(F961,'Customers (2)'!A:I,6,0)</f>
        <v>Little Rock</v>
      </c>
      <c r="K961" s="3" t="str">
        <f>VLOOKUP(F961,'Customers (2)'!A:I,7,0)</f>
        <v>United States</v>
      </c>
      <c r="L961" s="3" t="str">
        <f>VLOOKUP(F961,'Customers (2)'!A:I,9,0)</f>
        <v>Yes</v>
      </c>
      <c r="M961" s="4" t="s">
        <v>19</v>
      </c>
      <c r="N961" s="4" t="str">
        <f>VLOOKUP(M961,'Products (2)'!A:G,2,0)</f>
        <v>Liberica</v>
      </c>
      <c r="O961" s="4" t="str">
        <f>VLOOKUP(M961,'Products (2)'!A:G,3,0)</f>
        <v>Light</v>
      </c>
      <c r="P961" s="4">
        <f>VLOOKUP(M961,'Products (2)'!A:G,7,0)</f>
        <v>0.61814999999999998</v>
      </c>
      <c r="Q961" s="3">
        <v>5</v>
      </c>
      <c r="R961" s="5">
        <f>INDEX([1]products!$A$1:$G$49,MATCH([1]orders!$D961,[1]products!$A$1:$A$49,0),MATCH([1]orders!K$1,[1]products!$A$1:$G$1,0))</f>
        <v>0.2</v>
      </c>
      <c r="S961" s="6">
        <f>INDEX([1]products!$A$1:$G$49,MATCH([1]orders!$D961,[1]products!$A$1:$A$49,0),MATCH([1]orders!L$1,[1]products!$A$1:$G$1,0))</f>
        <v>4.7549999999999999</v>
      </c>
      <c r="T961" s="6">
        <f t="shared" si="84"/>
        <v>23.774999999999999</v>
      </c>
      <c r="U961" s="22">
        <f t="shared" si="88"/>
        <v>3.0907499999999999</v>
      </c>
      <c r="V961" s="22">
        <f t="shared" si="89"/>
        <v>13</v>
      </c>
    </row>
    <row r="962" spans="1:22" x14ac:dyDescent="0.3">
      <c r="A962" s="1" t="s">
        <v>1843</v>
      </c>
      <c r="B962" s="2">
        <v>44591</v>
      </c>
      <c r="C962" s="2" t="str">
        <f t="shared" si="85"/>
        <v>Sunday</v>
      </c>
      <c r="D962" s="2" t="str">
        <f t="shared" si="86"/>
        <v>January</v>
      </c>
      <c r="E962" s="2" t="str">
        <f t="shared" si="87"/>
        <v>2022</v>
      </c>
      <c r="F962" s="3" t="s">
        <v>1844</v>
      </c>
      <c r="G962" s="3" t="str">
        <f>VLOOKUP(F963,'Customers (2)'!A:I,2,0)</f>
        <v>Florinda Matusovsky</v>
      </c>
      <c r="H962" s="3" t="str">
        <f>VLOOKUP(F962,'Customers (2)'!A:I,3,0)</f>
        <v>cmiguelqo@exblog.jp</v>
      </c>
      <c r="I962" s="3" t="str">
        <f>VLOOKUP(F962,'Customers (2)'!A:I,4,0)</f>
        <v>+1 (240) 449-8992</v>
      </c>
      <c r="J962" s="3" t="str">
        <f>VLOOKUP(F962,'Customers (2)'!A:I,6,0)</f>
        <v>Hagerstown</v>
      </c>
      <c r="K962" s="3" t="str">
        <f>VLOOKUP(F962,'Customers (2)'!A:I,7,0)</f>
        <v>United States</v>
      </c>
      <c r="L962" s="3" t="str">
        <f>VLOOKUP(F962,'Customers (2)'!A:I,9,0)</f>
        <v>Yes</v>
      </c>
      <c r="M962" s="4" t="s">
        <v>132</v>
      </c>
      <c r="N962" s="4" t="str">
        <f>VLOOKUP(M962,'Products (2)'!A:G,2,0)</f>
        <v>Liberica</v>
      </c>
      <c r="O962" s="4" t="str">
        <f>VLOOKUP(M962,'Products (2)'!A:G,3,0)</f>
        <v>Light</v>
      </c>
      <c r="P962" s="4">
        <f>VLOOKUP(M962,'Products (2)'!A:G,7,0)</f>
        <v>2.0605000000000002</v>
      </c>
      <c r="Q962" s="3">
        <v>5</v>
      </c>
      <c r="R962" s="5">
        <f>INDEX([1]products!$A$1:$G$49,MATCH([1]orders!$D962,[1]products!$A$1:$A$49,0),MATCH([1]orders!K$1,[1]products!$A$1:$G$1,0))</f>
        <v>1</v>
      </c>
      <c r="S962" s="6">
        <f>INDEX([1]products!$A$1:$G$49,MATCH([1]orders!$D962,[1]products!$A$1:$A$49,0),MATCH([1]orders!L$1,[1]products!$A$1:$G$1,0))</f>
        <v>15.85</v>
      </c>
      <c r="T962" s="6">
        <f t="shared" ref="T962:T1001" si="90">Q962*S962</f>
        <v>79.25</v>
      </c>
      <c r="U962" s="22">
        <f t="shared" si="88"/>
        <v>10.302500000000002</v>
      </c>
      <c r="V962" s="22">
        <f t="shared" si="89"/>
        <v>13.000000000000004</v>
      </c>
    </row>
    <row r="963" spans="1:22" x14ac:dyDescent="0.3">
      <c r="A963" s="1" t="s">
        <v>1845</v>
      </c>
      <c r="B963" s="2">
        <v>44158</v>
      </c>
      <c r="C963" s="2" t="str">
        <f t="shared" ref="C963:C1001" si="91">TEXT(B963,"dddd")</f>
        <v>Monday</v>
      </c>
      <c r="D963" s="2" t="str">
        <f t="shared" ref="D963:D1001" si="92">TEXT(B963,"MMMM")</f>
        <v>November</v>
      </c>
      <c r="E963" s="2" t="str">
        <f t="shared" ref="E963:E1001" si="93">TEXT(B963,"YYYY")</f>
        <v>2020</v>
      </c>
      <c r="F963" s="3" t="s">
        <v>1846</v>
      </c>
      <c r="G963" s="3" t="str">
        <f>VLOOKUP(F964,'Customers (2)'!A:I,2,0)</f>
        <v>Morly Rocks</v>
      </c>
      <c r="H963" s="3">
        <f>VLOOKUP(F963,'Customers (2)'!A:I,3,0)</f>
        <v>0</v>
      </c>
      <c r="I963" s="3" t="str">
        <f>VLOOKUP(F963,'Customers (2)'!A:I,4,0)</f>
        <v>+1 (518) 618-9919</v>
      </c>
      <c r="J963" s="3" t="str">
        <f>VLOOKUP(F963,'Customers (2)'!A:I,6,0)</f>
        <v>Albany</v>
      </c>
      <c r="K963" s="3" t="str">
        <f>VLOOKUP(F963,'Customers (2)'!A:I,7,0)</f>
        <v>United States</v>
      </c>
      <c r="L963" s="3" t="str">
        <f>VLOOKUP(F963,'Customers (2)'!A:I,9,0)</f>
        <v>Yes</v>
      </c>
      <c r="M963" s="4" t="s">
        <v>118</v>
      </c>
      <c r="N963" s="4" t="str">
        <f>VLOOKUP(M963,'Products (2)'!A:G,2,0)</f>
        <v>Arabica</v>
      </c>
      <c r="O963" s="4" t="str">
        <f>VLOOKUP(M963,'Products (2)'!A:G,3,0)</f>
        <v>Dark</v>
      </c>
      <c r="P963" s="4">
        <f>VLOOKUP(M963,'Products (2)'!A:G,7,0)</f>
        <v>2.0596499999999995</v>
      </c>
      <c r="Q963" s="3">
        <v>2</v>
      </c>
      <c r="R963" s="5">
        <f>INDEX([1]products!$A$1:$G$49,MATCH([1]orders!$D963,[1]products!$A$1:$A$49,0),MATCH([1]orders!K$1,[1]products!$A$1:$G$1,0))</f>
        <v>2.5</v>
      </c>
      <c r="S963" s="6">
        <f>INDEX([1]products!$A$1:$G$49,MATCH([1]orders!$D963,[1]products!$A$1:$A$49,0),MATCH([1]orders!L$1,[1]products!$A$1:$G$1,0))</f>
        <v>22.884999999999998</v>
      </c>
      <c r="T963" s="6">
        <f t="shared" si="90"/>
        <v>45.769999999999996</v>
      </c>
      <c r="U963" s="22">
        <f t="shared" ref="U963:U1001" si="94">Q963*P963</f>
        <v>4.1192999999999991</v>
      </c>
      <c r="V963" s="22">
        <f t="shared" ref="V963:V1001" si="95">U963/T963*100</f>
        <v>8.9999999999999982</v>
      </c>
    </row>
    <row r="964" spans="1:22" x14ac:dyDescent="0.3">
      <c r="A964" s="1" t="s">
        <v>1847</v>
      </c>
      <c r="B964" s="2">
        <v>44664</v>
      </c>
      <c r="C964" s="2" t="str">
        <f t="shared" si="91"/>
        <v>Wednesday</v>
      </c>
      <c r="D964" s="2" t="str">
        <f t="shared" si="92"/>
        <v>April</v>
      </c>
      <c r="E964" s="2" t="str">
        <f t="shared" si="93"/>
        <v>2022</v>
      </c>
      <c r="F964" s="3" t="s">
        <v>1848</v>
      </c>
      <c r="G964" s="3" t="str">
        <f>VLOOKUP(F965,'Customers (2)'!A:I,2,0)</f>
        <v>Yuri Burrells</v>
      </c>
      <c r="H964" s="3" t="str">
        <f>VLOOKUP(F964,'Customers (2)'!A:I,3,0)</f>
        <v>mrocksqq@exblog.jp</v>
      </c>
      <c r="I964" s="3" t="str">
        <f>VLOOKUP(F964,'Customers (2)'!A:I,4,0)</f>
        <v>+353 (731) 124-0228</v>
      </c>
      <c r="J964" s="3" t="str">
        <f>VLOOKUP(F964,'Customers (2)'!A:I,6,0)</f>
        <v>Crossmolina</v>
      </c>
      <c r="K964" s="3" t="str">
        <f>VLOOKUP(F964,'Customers (2)'!A:I,7,0)</f>
        <v>Ireland</v>
      </c>
      <c r="L964" s="3" t="str">
        <f>VLOOKUP(F964,'Customers (2)'!A:I,9,0)</f>
        <v>Yes</v>
      </c>
      <c r="M964" s="4" t="s">
        <v>179</v>
      </c>
      <c r="N964" s="4" t="str">
        <f>VLOOKUP(M964,'Products (2)'!A:G,2,0)</f>
        <v>Robusta</v>
      </c>
      <c r="O964" s="4" t="str">
        <f>VLOOKUP(M964,'Products (2)'!A:G,3,0)</f>
        <v>Dark</v>
      </c>
      <c r="P964" s="4">
        <f>VLOOKUP(M964,'Products (2)'!A:G,7,0)</f>
        <v>0.53699999999999992</v>
      </c>
      <c r="Q964" s="3">
        <v>1</v>
      </c>
      <c r="R964" s="5">
        <f>INDEX([1]products!$A$1:$G$49,MATCH([1]orders!$D964,[1]products!$A$1:$A$49,0),MATCH([1]orders!K$1,[1]products!$A$1:$G$1,0))</f>
        <v>1</v>
      </c>
      <c r="S964" s="6">
        <f>INDEX([1]products!$A$1:$G$49,MATCH([1]orders!$D964,[1]products!$A$1:$A$49,0),MATCH([1]orders!L$1,[1]products!$A$1:$G$1,0))</f>
        <v>8.9499999999999993</v>
      </c>
      <c r="T964" s="6">
        <f t="shared" si="90"/>
        <v>8.9499999999999993</v>
      </c>
      <c r="U964" s="22">
        <f t="shared" si="94"/>
        <v>0.53699999999999992</v>
      </c>
      <c r="V964" s="22">
        <f t="shared" si="95"/>
        <v>6</v>
      </c>
    </row>
    <row r="965" spans="1:22" x14ac:dyDescent="0.3">
      <c r="A965" s="1" t="s">
        <v>1849</v>
      </c>
      <c r="B965" s="2">
        <v>44203</v>
      </c>
      <c r="C965" s="2" t="str">
        <f t="shared" si="91"/>
        <v>Thursday</v>
      </c>
      <c r="D965" s="2" t="str">
        <f t="shared" si="92"/>
        <v>January</v>
      </c>
      <c r="E965" s="2" t="str">
        <f t="shared" si="93"/>
        <v>2021</v>
      </c>
      <c r="F965" s="3" t="s">
        <v>1850</v>
      </c>
      <c r="G965" s="3" t="str">
        <f>VLOOKUP(F966,'Customers (2)'!A:I,2,0)</f>
        <v>Cleopatra Goodrum</v>
      </c>
      <c r="H965" s="3" t="str">
        <f>VLOOKUP(F965,'Customers (2)'!A:I,3,0)</f>
        <v>yburrellsqr@vinaora.com</v>
      </c>
      <c r="I965" s="3" t="str">
        <f>VLOOKUP(F965,'Customers (2)'!A:I,4,0)</f>
        <v>+1 (859) 101-4742</v>
      </c>
      <c r="J965" s="3" t="str">
        <f>VLOOKUP(F965,'Customers (2)'!A:I,6,0)</f>
        <v>Lexington</v>
      </c>
      <c r="K965" s="3" t="str">
        <f>VLOOKUP(F965,'Customers (2)'!A:I,7,0)</f>
        <v>United States</v>
      </c>
      <c r="L965" s="3" t="str">
        <f>VLOOKUP(F965,'Customers (2)'!A:I,9,0)</f>
        <v>Yes</v>
      </c>
      <c r="M965" s="4" t="s">
        <v>22</v>
      </c>
      <c r="N965" s="4" t="str">
        <f>VLOOKUP(M965,'Products (2)'!A:G,2,0)</f>
        <v>Robusta</v>
      </c>
      <c r="O965" s="4" t="str">
        <f>VLOOKUP(M965,'Products (2)'!A:G,3,0)</f>
        <v>Medium</v>
      </c>
      <c r="P965" s="4">
        <f>VLOOKUP(M965,'Products (2)'!A:G,7,0)</f>
        <v>0.35819999999999996</v>
      </c>
      <c r="Q965" s="3">
        <v>4</v>
      </c>
      <c r="R965" s="5">
        <f>INDEX([1]products!$A$1:$G$49,MATCH([1]orders!$D965,[1]products!$A$1:$A$49,0),MATCH([1]orders!K$1,[1]products!$A$1:$G$1,0))</f>
        <v>0.5</v>
      </c>
      <c r="S965" s="6">
        <f>INDEX([1]products!$A$1:$G$49,MATCH([1]orders!$D965,[1]products!$A$1:$A$49,0),MATCH([1]orders!L$1,[1]products!$A$1:$G$1,0))</f>
        <v>5.97</v>
      </c>
      <c r="T965" s="6">
        <f t="shared" si="90"/>
        <v>23.88</v>
      </c>
      <c r="U965" s="22">
        <f t="shared" si="94"/>
        <v>1.4327999999999999</v>
      </c>
      <c r="V965" s="22">
        <f t="shared" si="95"/>
        <v>6</v>
      </c>
    </row>
    <row r="966" spans="1:22" x14ac:dyDescent="0.3">
      <c r="A966" s="1" t="s">
        <v>1851</v>
      </c>
      <c r="B966" s="2">
        <v>43865</v>
      </c>
      <c r="C966" s="2" t="str">
        <f t="shared" si="91"/>
        <v>Tuesday</v>
      </c>
      <c r="D966" s="2" t="str">
        <f t="shared" si="92"/>
        <v>February</v>
      </c>
      <c r="E966" s="2" t="str">
        <f t="shared" si="93"/>
        <v>2020</v>
      </c>
      <c r="F966" s="3" t="s">
        <v>1852</v>
      </c>
      <c r="G966" s="3" t="str">
        <f>VLOOKUP(F967,'Customers (2)'!A:I,2,0)</f>
        <v>Joey Jefferys</v>
      </c>
      <c r="H966" s="3" t="str">
        <f>VLOOKUP(F966,'Customers (2)'!A:I,3,0)</f>
        <v>cgoodrumqs@goodreads.com</v>
      </c>
      <c r="I966" s="3" t="str">
        <f>VLOOKUP(F966,'Customers (2)'!A:I,4,0)</f>
        <v>+1 (619) 944-5888</v>
      </c>
      <c r="J966" s="3" t="str">
        <f>VLOOKUP(F966,'Customers (2)'!A:I,6,0)</f>
        <v>San Diego</v>
      </c>
      <c r="K966" s="3" t="str">
        <f>VLOOKUP(F966,'Customers (2)'!A:I,7,0)</f>
        <v>United States</v>
      </c>
      <c r="L966" s="3" t="str">
        <f>VLOOKUP(F966,'Customers (2)'!A:I,9,0)</f>
        <v>No</v>
      </c>
      <c r="M966" s="4" t="s">
        <v>254</v>
      </c>
      <c r="N966" s="4" t="str">
        <f>VLOOKUP(M966,'Products (2)'!A:G,2,0)</f>
        <v>Excelsa</v>
      </c>
      <c r="O966" s="4" t="str">
        <f>VLOOKUP(M966,'Products (2)'!A:G,3,0)</f>
        <v>Light</v>
      </c>
      <c r="P966" s="4">
        <f>VLOOKUP(M966,'Products (2)'!A:G,7,0)</f>
        <v>0.49004999999999999</v>
      </c>
      <c r="Q966" s="3">
        <v>5</v>
      </c>
      <c r="R966" s="5">
        <f>INDEX([1]products!$A$1:$G$49,MATCH([1]orders!$D966,[1]products!$A$1:$A$49,0),MATCH([1]orders!K$1,[1]products!$A$1:$G$1,0))</f>
        <v>0.2</v>
      </c>
      <c r="S966" s="6">
        <f>INDEX([1]products!$A$1:$G$49,MATCH([1]orders!$D966,[1]products!$A$1:$A$49,0),MATCH([1]orders!L$1,[1]products!$A$1:$G$1,0))</f>
        <v>4.4550000000000001</v>
      </c>
      <c r="T966" s="6">
        <f t="shared" si="90"/>
        <v>22.274999999999999</v>
      </c>
      <c r="U966" s="22">
        <f t="shared" si="94"/>
        <v>2.45025</v>
      </c>
      <c r="V966" s="22">
        <f t="shared" si="95"/>
        <v>11.000000000000002</v>
      </c>
    </row>
    <row r="967" spans="1:22" x14ac:dyDescent="0.3">
      <c r="A967" s="1" t="s">
        <v>1853</v>
      </c>
      <c r="B967" s="2">
        <v>43724</v>
      </c>
      <c r="C967" s="2" t="str">
        <f t="shared" si="91"/>
        <v>Monday</v>
      </c>
      <c r="D967" s="2" t="str">
        <f t="shared" si="92"/>
        <v>September</v>
      </c>
      <c r="E967" s="2" t="str">
        <f t="shared" si="93"/>
        <v>2019</v>
      </c>
      <c r="F967" s="3" t="s">
        <v>1854</v>
      </c>
      <c r="G967" s="3" t="str">
        <f>VLOOKUP(F968,'Customers (2)'!A:I,2,0)</f>
        <v>Bearnard Wardell</v>
      </c>
      <c r="H967" s="3" t="str">
        <f>VLOOKUP(F967,'Customers (2)'!A:I,3,0)</f>
        <v>jjefferysqt@blog.com</v>
      </c>
      <c r="I967" s="3">
        <f>VLOOKUP(F967,'Customers (2)'!A:I,4,0)</f>
        <v>0</v>
      </c>
      <c r="J967" s="3" t="str">
        <f>VLOOKUP(F967,'Customers (2)'!A:I,6,0)</f>
        <v>Los Angeles</v>
      </c>
      <c r="K967" s="3" t="str">
        <f>VLOOKUP(F967,'Customers (2)'!A:I,7,0)</f>
        <v>United States</v>
      </c>
      <c r="L967" s="3" t="str">
        <f>VLOOKUP(F967,'Customers (2)'!A:I,9,0)</f>
        <v>Yes</v>
      </c>
      <c r="M967" s="4" t="s">
        <v>2</v>
      </c>
      <c r="N967" s="4" t="str">
        <f>VLOOKUP(M967,'Products (2)'!A:G,2,0)</f>
        <v>Robusta</v>
      </c>
      <c r="O967" s="4" t="str">
        <f>VLOOKUP(M967,'Products (2)'!A:G,3,0)</f>
        <v>Medium</v>
      </c>
      <c r="P967" s="4">
        <f>VLOOKUP(M967,'Products (2)'!A:G,7,0)</f>
        <v>0.59699999999999998</v>
      </c>
      <c r="Q967" s="3">
        <v>3</v>
      </c>
      <c r="R967" s="5">
        <f>INDEX([1]products!$A$1:$G$49,MATCH([1]orders!$D967,[1]products!$A$1:$A$49,0),MATCH([1]orders!K$1,[1]products!$A$1:$G$1,0))</f>
        <v>1</v>
      </c>
      <c r="S967" s="6">
        <f>INDEX([1]products!$A$1:$G$49,MATCH([1]orders!$D967,[1]products!$A$1:$A$49,0),MATCH([1]orders!L$1,[1]products!$A$1:$G$1,0))</f>
        <v>9.9499999999999993</v>
      </c>
      <c r="T967" s="6">
        <f t="shared" si="90"/>
        <v>29.849999999999998</v>
      </c>
      <c r="U967" s="22">
        <f t="shared" si="94"/>
        <v>1.7909999999999999</v>
      </c>
      <c r="V967" s="22">
        <f t="shared" si="95"/>
        <v>6.0000000000000009</v>
      </c>
    </row>
    <row r="968" spans="1:22" x14ac:dyDescent="0.3">
      <c r="A968" s="1" t="s">
        <v>1855</v>
      </c>
      <c r="B968" s="2">
        <v>43491</v>
      </c>
      <c r="C968" s="2" t="str">
        <f t="shared" si="91"/>
        <v>Saturday</v>
      </c>
      <c r="D968" s="2" t="str">
        <f t="shared" si="92"/>
        <v>January</v>
      </c>
      <c r="E968" s="2" t="str">
        <f t="shared" si="93"/>
        <v>2019</v>
      </c>
      <c r="F968" s="3" t="s">
        <v>1856</v>
      </c>
      <c r="G968" s="3" t="str">
        <f>VLOOKUP(F969,'Customers (2)'!A:I,2,0)</f>
        <v>Zeke Walisiak</v>
      </c>
      <c r="H968" s="3" t="str">
        <f>VLOOKUP(F968,'Customers (2)'!A:I,3,0)</f>
        <v>bwardellqu@adobe.com</v>
      </c>
      <c r="I968" s="3" t="str">
        <f>VLOOKUP(F968,'Customers (2)'!A:I,4,0)</f>
        <v>+1 (347) 311-2289</v>
      </c>
      <c r="J968" s="3" t="str">
        <f>VLOOKUP(F968,'Customers (2)'!A:I,6,0)</f>
        <v>Brooklyn</v>
      </c>
      <c r="K968" s="3" t="str">
        <f>VLOOKUP(F968,'Customers (2)'!A:I,7,0)</f>
        <v>United States</v>
      </c>
      <c r="L968" s="3" t="str">
        <f>VLOOKUP(F968,'Customers (2)'!A:I,9,0)</f>
        <v>Yes</v>
      </c>
      <c r="M968" s="4" t="s">
        <v>176</v>
      </c>
      <c r="N968" s="4" t="str">
        <f>VLOOKUP(M968,'Products (2)'!A:G,2,0)</f>
        <v>Excelsa</v>
      </c>
      <c r="O968" s="4" t="str">
        <f>VLOOKUP(M968,'Products (2)'!A:G,3,0)</f>
        <v>Light</v>
      </c>
      <c r="P968" s="4">
        <f>VLOOKUP(M968,'Products (2)'!A:G,7,0)</f>
        <v>0.98009999999999997</v>
      </c>
      <c r="Q968" s="3">
        <v>6</v>
      </c>
      <c r="R968" s="5">
        <f>INDEX([1]products!$A$1:$G$49,MATCH([1]orders!$D968,[1]products!$A$1:$A$49,0),MATCH([1]orders!K$1,[1]products!$A$1:$G$1,0))</f>
        <v>0.5</v>
      </c>
      <c r="S968" s="6">
        <f>INDEX([1]products!$A$1:$G$49,MATCH([1]orders!$D968,[1]products!$A$1:$A$49,0),MATCH([1]orders!L$1,[1]products!$A$1:$G$1,0))</f>
        <v>8.91</v>
      </c>
      <c r="T968" s="6">
        <f t="shared" si="90"/>
        <v>53.46</v>
      </c>
      <c r="U968" s="22">
        <f t="shared" si="94"/>
        <v>5.8805999999999994</v>
      </c>
      <c r="V968" s="22">
        <f t="shared" si="95"/>
        <v>10.999999999999998</v>
      </c>
    </row>
    <row r="969" spans="1:22" x14ac:dyDescent="0.3">
      <c r="A969" s="1" t="s">
        <v>1857</v>
      </c>
      <c r="B969" s="2">
        <v>44246</v>
      </c>
      <c r="C969" s="2" t="str">
        <f t="shared" si="91"/>
        <v>Friday</v>
      </c>
      <c r="D969" s="2" t="str">
        <f t="shared" si="92"/>
        <v>February</v>
      </c>
      <c r="E969" s="2" t="str">
        <f t="shared" si="93"/>
        <v>2021</v>
      </c>
      <c r="F969" s="3" t="s">
        <v>1858</v>
      </c>
      <c r="G969" s="3" t="str">
        <f>VLOOKUP(F970,'Customers (2)'!A:I,2,0)</f>
        <v>Wiley Leopold</v>
      </c>
      <c r="H969" s="3" t="str">
        <f>VLOOKUP(F969,'Customers (2)'!A:I,3,0)</f>
        <v>zwalisiakqv@ucsd.edu</v>
      </c>
      <c r="I969" s="3" t="str">
        <f>VLOOKUP(F969,'Customers (2)'!A:I,4,0)</f>
        <v>+353 (848) 172-8155</v>
      </c>
      <c r="J969" s="3" t="str">
        <f>VLOOKUP(F969,'Customers (2)'!A:I,6,0)</f>
        <v>Booterstown</v>
      </c>
      <c r="K969" s="3" t="str">
        <f>VLOOKUP(F969,'Customers (2)'!A:I,7,0)</f>
        <v>Ireland</v>
      </c>
      <c r="L969" s="3" t="str">
        <f>VLOOKUP(F969,'Customers (2)'!A:I,9,0)</f>
        <v>Yes</v>
      </c>
      <c r="M969" s="4" t="s">
        <v>101</v>
      </c>
      <c r="N969" s="4" t="str">
        <f>VLOOKUP(M969,'Products (2)'!A:G,2,0)</f>
        <v>Robusta</v>
      </c>
      <c r="O969" s="4" t="str">
        <f>VLOOKUP(M969,'Products (2)'!A:G,3,0)</f>
        <v>Dark</v>
      </c>
      <c r="P969" s="4">
        <f>VLOOKUP(M969,'Products (2)'!A:G,7,0)</f>
        <v>0.16109999999999997</v>
      </c>
      <c r="Q969" s="3">
        <v>1</v>
      </c>
      <c r="R969" s="5">
        <f>INDEX([1]products!$A$1:$G$49,MATCH([1]orders!$D969,[1]products!$A$1:$A$49,0),MATCH([1]orders!K$1,[1]products!$A$1:$G$1,0))</f>
        <v>0.2</v>
      </c>
      <c r="S969" s="6">
        <f>INDEX([1]products!$A$1:$G$49,MATCH([1]orders!$D969,[1]products!$A$1:$A$49,0),MATCH([1]orders!L$1,[1]products!$A$1:$G$1,0))</f>
        <v>2.6849999999999996</v>
      </c>
      <c r="T969" s="6">
        <f t="shared" si="90"/>
        <v>2.6849999999999996</v>
      </c>
      <c r="U969" s="22">
        <f t="shared" si="94"/>
        <v>0.16109999999999997</v>
      </c>
      <c r="V969" s="22">
        <f t="shared" si="95"/>
        <v>6</v>
      </c>
    </row>
    <row r="970" spans="1:22" x14ac:dyDescent="0.3">
      <c r="A970" s="1" t="s">
        <v>1859</v>
      </c>
      <c r="B970" s="2">
        <v>44642</v>
      </c>
      <c r="C970" s="2" t="str">
        <f t="shared" si="91"/>
        <v>Tuesday</v>
      </c>
      <c r="D970" s="2" t="str">
        <f t="shared" si="92"/>
        <v>March</v>
      </c>
      <c r="E970" s="2" t="str">
        <f t="shared" si="93"/>
        <v>2022</v>
      </c>
      <c r="F970" s="3" t="s">
        <v>1860</v>
      </c>
      <c r="G970" s="3" t="str">
        <f>VLOOKUP(F971,'Customers (2)'!A:I,2,0)</f>
        <v>Chiarra Shalders</v>
      </c>
      <c r="H970" s="3" t="str">
        <f>VLOOKUP(F970,'Customers (2)'!A:I,3,0)</f>
        <v>wleopoldqw@blogspot.com</v>
      </c>
      <c r="I970" s="3" t="str">
        <f>VLOOKUP(F970,'Customers (2)'!A:I,4,0)</f>
        <v>+1 (352) 173-9191</v>
      </c>
      <c r="J970" s="3" t="str">
        <f>VLOOKUP(F970,'Customers (2)'!A:I,6,0)</f>
        <v>Gainesville</v>
      </c>
      <c r="K970" s="3" t="str">
        <f>VLOOKUP(F970,'Customers (2)'!A:I,7,0)</f>
        <v>United States</v>
      </c>
      <c r="L970" s="3" t="str">
        <f>VLOOKUP(F970,'Customers (2)'!A:I,9,0)</f>
        <v>No</v>
      </c>
      <c r="M970" s="4" t="s">
        <v>162</v>
      </c>
      <c r="N970" s="4" t="str">
        <f>VLOOKUP(M970,'Products (2)'!A:G,2,0)</f>
        <v>Robusta</v>
      </c>
      <c r="O970" s="4" t="str">
        <f>VLOOKUP(M970,'Products (2)'!A:G,3,0)</f>
        <v>Medium</v>
      </c>
      <c r="P970" s="4">
        <f>VLOOKUP(M970,'Products (2)'!A:G,7,0)</f>
        <v>0.17909999999999998</v>
      </c>
      <c r="Q970" s="3">
        <v>2</v>
      </c>
      <c r="R970" s="5">
        <f>INDEX([1]products!$A$1:$G$49,MATCH([1]orders!$D970,[1]products!$A$1:$A$49,0),MATCH([1]orders!K$1,[1]products!$A$1:$G$1,0))</f>
        <v>0.2</v>
      </c>
      <c r="S970" s="6">
        <f>INDEX([1]products!$A$1:$G$49,MATCH([1]orders!$D970,[1]products!$A$1:$A$49,0),MATCH([1]orders!L$1,[1]products!$A$1:$G$1,0))</f>
        <v>2.9849999999999999</v>
      </c>
      <c r="T970" s="6">
        <f t="shared" si="90"/>
        <v>5.97</v>
      </c>
      <c r="U970" s="22">
        <f t="shared" si="94"/>
        <v>0.35819999999999996</v>
      </c>
      <c r="V970" s="22">
        <f t="shared" si="95"/>
        <v>6</v>
      </c>
    </row>
    <row r="971" spans="1:22" x14ac:dyDescent="0.3">
      <c r="A971" s="1" t="s">
        <v>1861</v>
      </c>
      <c r="B971" s="2">
        <v>43649</v>
      </c>
      <c r="C971" s="2" t="str">
        <f t="shared" si="91"/>
        <v>Wednesday</v>
      </c>
      <c r="D971" s="2" t="str">
        <f t="shared" si="92"/>
        <v>July</v>
      </c>
      <c r="E971" s="2" t="str">
        <f t="shared" si="93"/>
        <v>2019</v>
      </c>
      <c r="F971" s="3" t="s">
        <v>1862</v>
      </c>
      <c r="G971" s="3" t="str">
        <f>VLOOKUP(F972,'Customers (2)'!A:I,2,0)</f>
        <v>Sharl Southerill</v>
      </c>
      <c r="H971" s="3" t="str">
        <f>VLOOKUP(F971,'Customers (2)'!A:I,3,0)</f>
        <v>cshaldersqx@cisco.com</v>
      </c>
      <c r="I971" s="3" t="str">
        <f>VLOOKUP(F971,'Customers (2)'!A:I,4,0)</f>
        <v>+1 (305) 787-2810</v>
      </c>
      <c r="J971" s="3" t="str">
        <f>VLOOKUP(F971,'Customers (2)'!A:I,6,0)</f>
        <v>Clearwater</v>
      </c>
      <c r="K971" s="3" t="str">
        <f>VLOOKUP(F971,'Customers (2)'!A:I,7,0)</f>
        <v>United States</v>
      </c>
      <c r="L971" s="3" t="str">
        <f>VLOOKUP(F971,'Customers (2)'!A:I,9,0)</f>
        <v>Yes</v>
      </c>
      <c r="M971" s="4" t="s">
        <v>13</v>
      </c>
      <c r="N971" s="4" t="str">
        <f>VLOOKUP(M971,'Products (2)'!A:G,2,0)</f>
        <v>Liberica</v>
      </c>
      <c r="O971" s="4" t="str">
        <f>VLOOKUP(M971,'Products (2)'!A:G,3,0)</f>
        <v>Dark</v>
      </c>
      <c r="P971" s="4">
        <f>VLOOKUP(M971,'Products (2)'!A:G,7,0)</f>
        <v>1.6835</v>
      </c>
      <c r="Q971" s="3">
        <v>1</v>
      </c>
      <c r="R971" s="5">
        <f>INDEX([1]products!$A$1:$G$49,MATCH([1]orders!$D971,[1]products!$A$1:$A$49,0),MATCH([1]orders!K$1,[1]products!$A$1:$G$1,0))</f>
        <v>1</v>
      </c>
      <c r="S971" s="6">
        <f>INDEX([1]products!$A$1:$G$49,MATCH([1]orders!$D971,[1]products!$A$1:$A$49,0),MATCH([1]orders!L$1,[1]products!$A$1:$G$1,0))</f>
        <v>12.95</v>
      </c>
      <c r="T971" s="6">
        <f t="shared" si="90"/>
        <v>12.95</v>
      </c>
      <c r="U971" s="22">
        <f t="shared" si="94"/>
        <v>1.6835</v>
      </c>
      <c r="V971" s="22">
        <f t="shared" si="95"/>
        <v>13</v>
      </c>
    </row>
    <row r="972" spans="1:22" x14ac:dyDescent="0.3">
      <c r="A972" s="1" t="s">
        <v>1863</v>
      </c>
      <c r="B972" s="2">
        <v>43729</v>
      </c>
      <c r="C972" s="2" t="str">
        <f t="shared" si="91"/>
        <v>Saturday</v>
      </c>
      <c r="D972" s="2" t="str">
        <f t="shared" si="92"/>
        <v>September</v>
      </c>
      <c r="E972" s="2" t="str">
        <f t="shared" si="93"/>
        <v>2019</v>
      </c>
      <c r="F972" s="3" t="s">
        <v>1864</v>
      </c>
      <c r="G972" s="3" t="str">
        <f>VLOOKUP(F973,'Customers (2)'!A:I,2,0)</f>
        <v>Noni Furber</v>
      </c>
      <c r="H972" s="3">
        <f>VLOOKUP(F972,'Customers (2)'!A:I,3,0)</f>
        <v>0</v>
      </c>
      <c r="I972" s="3" t="str">
        <f>VLOOKUP(F972,'Customers (2)'!A:I,4,0)</f>
        <v>+1 (865) 959-4075</v>
      </c>
      <c r="J972" s="3" t="str">
        <f>VLOOKUP(F972,'Customers (2)'!A:I,6,0)</f>
        <v>Amarillo</v>
      </c>
      <c r="K972" s="3" t="str">
        <f>VLOOKUP(F972,'Customers (2)'!A:I,7,0)</f>
        <v>United States</v>
      </c>
      <c r="L972" s="3" t="str">
        <f>VLOOKUP(F972,'Customers (2)'!A:I,9,0)</f>
        <v>No</v>
      </c>
      <c r="M972" s="4" t="s">
        <v>3</v>
      </c>
      <c r="N972" s="4" t="str">
        <f>VLOOKUP(M972,'Products (2)'!A:G,2,0)</f>
        <v>Excelsa</v>
      </c>
      <c r="O972" s="4" t="str">
        <f>VLOOKUP(M972,'Products (2)'!A:G,3,0)</f>
        <v>Medium</v>
      </c>
      <c r="P972" s="4">
        <f>VLOOKUP(M972,'Products (2)'!A:G,7,0)</f>
        <v>0.90749999999999997</v>
      </c>
      <c r="Q972" s="3">
        <v>1</v>
      </c>
      <c r="R972" s="5">
        <f>INDEX([1]products!$A$1:$G$49,MATCH([1]orders!$D972,[1]products!$A$1:$A$49,0),MATCH([1]orders!K$1,[1]products!$A$1:$G$1,0))</f>
        <v>0.5</v>
      </c>
      <c r="S972" s="6">
        <f>INDEX([1]products!$A$1:$G$49,MATCH([1]orders!$D972,[1]products!$A$1:$A$49,0),MATCH([1]orders!L$1,[1]products!$A$1:$G$1,0))</f>
        <v>8.25</v>
      </c>
      <c r="T972" s="6">
        <f t="shared" si="90"/>
        <v>8.25</v>
      </c>
      <c r="U972" s="22">
        <f t="shared" si="94"/>
        <v>0.90749999999999997</v>
      </c>
      <c r="V972" s="22">
        <f t="shared" si="95"/>
        <v>11</v>
      </c>
    </row>
    <row r="973" spans="1:22" x14ac:dyDescent="0.3">
      <c r="A973" s="1" t="s">
        <v>1865</v>
      </c>
      <c r="B973" s="2">
        <v>43703</v>
      </c>
      <c r="C973" s="2" t="str">
        <f t="shared" si="91"/>
        <v>Monday</v>
      </c>
      <c r="D973" s="2" t="str">
        <f t="shared" si="92"/>
        <v>August</v>
      </c>
      <c r="E973" s="2" t="str">
        <f t="shared" si="93"/>
        <v>2019</v>
      </c>
      <c r="F973" s="3" t="s">
        <v>1866</v>
      </c>
      <c r="G973" s="3" t="str">
        <f>VLOOKUP(F974,'Customers (2)'!A:I,2,0)</f>
        <v>Dinah Crutcher</v>
      </c>
      <c r="H973" s="3" t="str">
        <f>VLOOKUP(F973,'Customers (2)'!A:I,3,0)</f>
        <v>nfurberqz@jugem.jp</v>
      </c>
      <c r="I973" s="3" t="str">
        <f>VLOOKUP(F973,'Customers (2)'!A:I,4,0)</f>
        <v>+1 (817) 813-2784</v>
      </c>
      <c r="J973" s="3" t="str">
        <f>VLOOKUP(F973,'Customers (2)'!A:I,6,0)</f>
        <v>Fort Worth</v>
      </c>
      <c r="K973" s="3" t="str">
        <f>VLOOKUP(F973,'Customers (2)'!A:I,7,0)</f>
        <v>United States</v>
      </c>
      <c r="L973" s="3" t="str">
        <f>VLOOKUP(F973,'Customers (2)'!A:I,9,0)</f>
        <v>No</v>
      </c>
      <c r="M973" s="4" t="s">
        <v>204</v>
      </c>
      <c r="N973" s="4" t="str">
        <f>VLOOKUP(M973,'Products (2)'!A:G,2,0)</f>
        <v>Arabica</v>
      </c>
      <c r="O973" s="4" t="str">
        <f>VLOOKUP(M973,'Products (2)'!A:G,3,0)</f>
        <v>Light</v>
      </c>
      <c r="P973" s="4">
        <f>VLOOKUP(M973,'Products (2)'!A:G,7,0)</f>
        <v>2.6806499999999995</v>
      </c>
      <c r="Q973" s="3">
        <v>5</v>
      </c>
      <c r="R973" s="5">
        <f>INDEX([1]products!$A$1:$G$49,MATCH([1]orders!$D973,[1]products!$A$1:$A$49,0),MATCH([1]orders!K$1,[1]products!$A$1:$G$1,0))</f>
        <v>2.5</v>
      </c>
      <c r="S973" s="6">
        <f>INDEX([1]products!$A$1:$G$49,MATCH([1]orders!$D973,[1]products!$A$1:$A$49,0),MATCH([1]orders!L$1,[1]products!$A$1:$G$1,0))</f>
        <v>29.784999999999997</v>
      </c>
      <c r="T973" s="6">
        <f t="shared" si="90"/>
        <v>148.92499999999998</v>
      </c>
      <c r="U973" s="22">
        <f t="shared" si="94"/>
        <v>13.403249999999998</v>
      </c>
      <c r="V973" s="22">
        <f t="shared" si="95"/>
        <v>9</v>
      </c>
    </row>
    <row r="974" spans="1:22" x14ac:dyDescent="0.3">
      <c r="A974" s="1" t="s">
        <v>1867</v>
      </c>
      <c r="B974" s="2">
        <v>44411</v>
      </c>
      <c r="C974" s="2" t="str">
        <f t="shared" si="91"/>
        <v>Tuesday</v>
      </c>
      <c r="D974" s="2" t="str">
        <f t="shared" si="92"/>
        <v>August</v>
      </c>
      <c r="E974" s="2" t="str">
        <f t="shared" si="93"/>
        <v>2021</v>
      </c>
      <c r="F974" s="3" t="s">
        <v>1868</v>
      </c>
      <c r="G974" s="3" t="str">
        <f>VLOOKUP(F975,'Customers (2)'!A:I,2,0)</f>
        <v>Charlean Keave</v>
      </c>
      <c r="H974" s="3">
        <f>VLOOKUP(F974,'Customers (2)'!A:I,3,0)</f>
        <v>0</v>
      </c>
      <c r="I974" s="3" t="str">
        <f>VLOOKUP(F974,'Customers (2)'!A:I,4,0)</f>
        <v>+353 (706) 448-6304</v>
      </c>
      <c r="J974" s="3" t="str">
        <f>VLOOKUP(F974,'Customers (2)'!A:I,6,0)</f>
        <v>Lusk</v>
      </c>
      <c r="K974" s="3" t="str">
        <f>VLOOKUP(F974,'Customers (2)'!A:I,7,0)</f>
        <v>Ireland</v>
      </c>
      <c r="L974" s="3" t="str">
        <f>VLOOKUP(F974,'Customers (2)'!A:I,9,0)</f>
        <v>Yes</v>
      </c>
      <c r="M974" s="4" t="s">
        <v>204</v>
      </c>
      <c r="N974" s="4" t="str">
        <f>VLOOKUP(M974,'Products (2)'!A:G,2,0)</f>
        <v>Arabica</v>
      </c>
      <c r="O974" s="4" t="str">
        <f>VLOOKUP(M974,'Products (2)'!A:G,3,0)</f>
        <v>Light</v>
      </c>
      <c r="P974" s="4">
        <f>VLOOKUP(M974,'Products (2)'!A:G,7,0)</f>
        <v>2.6806499999999995</v>
      </c>
      <c r="Q974" s="3">
        <v>3</v>
      </c>
      <c r="R974" s="5">
        <f>INDEX([1]products!$A$1:$G$49,MATCH([1]orders!$D974,[1]products!$A$1:$A$49,0),MATCH([1]orders!K$1,[1]products!$A$1:$G$1,0))</f>
        <v>2.5</v>
      </c>
      <c r="S974" s="6">
        <f>INDEX([1]products!$A$1:$G$49,MATCH([1]orders!$D974,[1]products!$A$1:$A$49,0),MATCH([1]orders!L$1,[1]products!$A$1:$G$1,0))</f>
        <v>29.784999999999997</v>
      </c>
      <c r="T974" s="6">
        <f t="shared" si="90"/>
        <v>89.35499999999999</v>
      </c>
      <c r="U974" s="22">
        <f t="shared" si="94"/>
        <v>8.0419499999999982</v>
      </c>
      <c r="V974" s="22">
        <f t="shared" si="95"/>
        <v>8.9999999999999982</v>
      </c>
    </row>
    <row r="975" spans="1:22" x14ac:dyDescent="0.3">
      <c r="A975" s="1" t="s">
        <v>1869</v>
      </c>
      <c r="B975" s="2">
        <v>44493</v>
      </c>
      <c r="C975" s="2" t="str">
        <f t="shared" si="91"/>
        <v>Sunday</v>
      </c>
      <c r="D975" s="2" t="str">
        <f t="shared" si="92"/>
        <v>October</v>
      </c>
      <c r="E975" s="2" t="str">
        <f t="shared" si="93"/>
        <v>2021</v>
      </c>
      <c r="F975" s="3" t="s">
        <v>1870</v>
      </c>
      <c r="G975" s="3" t="str">
        <f>VLOOKUP(F976,'Customers (2)'!A:I,2,0)</f>
        <v>Sada Roseborough</v>
      </c>
      <c r="H975" s="3" t="str">
        <f>VLOOKUP(F975,'Customers (2)'!A:I,3,0)</f>
        <v>ckeaver1@ucoz.com</v>
      </c>
      <c r="I975" s="3" t="str">
        <f>VLOOKUP(F975,'Customers (2)'!A:I,4,0)</f>
        <v>+1 (850) 410-9647</v>
      </c>
      <c r="J975" s="3" t="str">
        <f>VLOOKUP(F975,'Customers (2)'!A:I,6,0)</f>
        <v>Pensacola</v>
      </c>
      <c r="K975" s="3" t="str">
        <f>VLOOKUP(F975,'Customers (2)'!A:I,7,0)</f>
        <v>United States</v>
      </c>
      <c r="L975" s="3" t="str">
        <f>VLOOKUP(F975,'Customers (2)'!A:I,9,0)</f>
        <v>No</v>
      </c>
      <c r="M975" s="4" t="s">
        <v>96</v>
      </c>
      <c r="N975" s="4" t="str">
        <f>VLOOKUP(M975,'Products (2)'!A:G,2,0)</f>
        <v>Liberica</v>
      </c>
      <c r="O975" s="4" t="str">
        <f>VLOOKUP(M975,'Products (2)'!A:G,3,0)</f>
        <v>Medium</v>
      </c>
      <c r="P975" s="4">
        <f>VLOOKUP(M975,'Products (2)'!A:G,7,0)</f>
        <v>1.8915000000000002</v>
      </c>
      <c r="Q975" s="3">
        <v>6</v>
      </c>
      <c r="R975" s="5">
        <f>INDEX([1]products!$A$1:$G$49,MATCH([1]orders!$D975,[1]products!$A$1:$A$49,0),MATCH([1]orders!K$1,[1]products!$A$1:$G$1,0))</f>
        <v>1</v>
      </c>
      <c r="S975" s="6">
        <f>INDEX([1]products!$A$1:$G$49,MATCH([1]orders!$D975,[1]products!$A$1:$A$49,0),MATCH([1]orders!L$1,[1]products!$A$1:$G$1,0))</f>
        <v>14.55</v>
      </c>
      <c r="T975" s="6">
        <f t="shared" si="90"/>
        <v>87.300000000000011</v>
      </c>
      <c r="U975" s="22">
        <f t="shared" si="94"/>
        <v>11.349</v>
      </c>
      <c r="V975" s="22">
        <f t="shared" si="95"/>
        <v>12.999999999999998</v>
      </c>
    </row>
    <row r="976" spans="1:22" x14ac:dyDescent="0.3">
      <c r="A976" s="1" t="s">
        <v>1871</v>
      </c>
      <c r="B976" s="2">
        <v>43556</v>
      </c>
      <c r="C976" s="2" t="str">
        <f t="shared" si="91"/>
        <v>Monday</v>
      </c>
      <c r="D976" s="2" t="str">
        <f t="shared" si="92"/>
        <v>April</v>
      </c>
      <c r="E976" s="2" t="str">
        <f t="shared" si="93"/>
        <v>2019</v>
      </c>
      <c r="F976" s="3" t="s">
        <v>1872</v>
      </c>
      <c r="G976" s="3" t="str">
        <f>VLOOKUP(F977,'Customers (2)'!A:I,2,0)</f>
        <v>Clayton Kingwell</v>
      </c>
      <c r="H976" s="3" t="str">
        <f>VLOOKUP(F976,'Customers (2)'!A:I,3,0)</f>
        <v>sroseboroughr2@virginia.edu</v>
      </c>
      <c r="I976" s="3" t="str">
        <f>VLOOKUP(F976,'Customers (2)'!A:I,4,0)</f>
        <v>+1 (253) 735-5179</v>
      </c>
      <c r="J976" s="3" t="str">
        <f>VLOOKUP(F976,'Customers (2)'!A:I,6,0)</f>
        <v>Tacoma</v>
      </c>
      <c r="K976" s="3" t="str">
        <f>VLOOKUP(F976,'Customers (2)'!A:I,7,0)</f>
        <v>United States</v>
      </c>
      <c r="L976" s="3" t="str">
        <f>VLOOKUP(F976,'Customers (2)'!A:I,9,0)</f>
        <v>Yes</v>
      </c>
      <c r="M976" s="4" t="s">
        <v>146</v>
      </c>
      <c r="N976" s="4" t="str">
        <f>VLOOKUP(M976,'Products (2)'!A:G,2,0)</f>
        <v>Robusta</v>
      </c>
      <c r="O976" s="4" t="str">
        <f>VLOOKUP(M976,'Products (2)'!A:G,3,0)</f>
        <v>Dark</v>
      </c>
      <c r="P976" s="4">
        <f>VLOOKUP(M976,'Products (2)'!A:G,7,0)</f>
        <v>0.32219999999999993</v>
      </c>
      <c r="Q976" s="3">
        <v>1</v>
      </c>
      <c r="R976" s="5">
        <f>INDEX([1]products!$A$1:$G$49,MATCH([1]orders!$D976,[1]products!$A$1:$A$49,0),MATCH([1]orders!K$1,[1]products!$A$1:$G$1,0))</f>
        <v>0.5</v>
      </c>
      <c r="S976" s="6">
        <f>INDEX([1]products!$A$1:$G$49,MATCH([1]orders!$D976,[1]products!$A$1:$A$49,0),MATCH([1]orders!L$1,[1]products!$A$1:$G$1,0))</f>
        <v>5.3699999999999992</v>
      </c>
      <c r="T976" s="6">
        <f t="shared" si="90"/>
        <v>5.3699999999999992</v>
      </c>
      <c r="U976" s="22">
        <f t="shared" si="94"/>
        <v>0.32219999999999993</v>
      </c>
      <c r="V976" s="22">
        <f t="shared" si="95"/>
        <v>6</v>
      </c>
    </row>
    <row r="977" spans="1:22" x14ac:dyDescent="0.3">
      <c r="A977" s="1" t="s">
        <v>1873</v>
      </c>
      <c r="B977" s="2">
        <v>44538</v>
      </c>
      <c r="C977" s="2" t="str">
        <f t="shared" si="91"/>
        <v>Wednesday</v>
      </c>
      <c r="D977" s="2" t="str">
        <f t="shared" si="92"/>
        <v>December</v>
      </c>
      <c r="E977" s="2" t="str">
        <f t="shared" si="93"/>
        <v>2021</v>
      </c>
      <c r="F977" s="3" t="s">
        <v>1874</v>
      </c>
      <c r="G977" s="3" t="str">
        <f>VLOOKUP(F978,'Customers (2)'!A:I,2,0)</f>
        <v>Kacy Canto</v>
      </c>
      <c r="H977" s="3" t="str">
        <f>VLOOKUP(F977,'Customers (2)'!A:I,3,0)</f>
        <v>ckingwellr3@squarespace.com</v>
      </c>
      <c r="I977" s="3" t="str">
        <f>VLOOKUP(F977,'Customers (2)'!A:I,4,0)</f>
        <v>+353 (182) 469-0985</v>
      </c>
      <c r="J977" s="3" t="str">
        <f>VLOOKUP(F977,'Customers (2)'!A:I,6,0)</f>
        <v>Rathnew</v>
      </c>
      <c r="K977" s="3" t="str">
        <f>VLOOKUP(F977,'Customers (2)'!A:I,7,0)</f>
        <v>Ireland</v>
      </c>
      <c r="L977" s="3" t="str">
        <f>VLOOKUP(F977,'Customers (2)'!A:I,9,0)</f>
        <v>Yes</v>
      </c>
      <c r="M977" s="4" t="s">
        <v>54</v>
      </c>
      <c r="N977" s="4" t="str">
        <f>VLOOKUP(M977,'Products (2)'!A:G,2,0)</f>
        <v>Arabica</v>
      </c>
      <c r="O977" s="4" t="str">
        <f>VLOOKUP(M977,'Products (2)'!A:G,3,0)</f>
        <v>Dark</v>
      </c>
      <c r="P977" s="4">
        <f>VLOOKUP(M977,'Products (2)'!A:G,7,0)</f>
        <v>0.26865</v>
      </c>
      <c r="Q977" s="3">
        <v>3</v>
      </c>
      <c r="R977" s="5">
        <f>INDEX([1]products!$A$1:$G$49,MATCH([1]orders!$D977,[1]products!$A$1:$A$49,0),MATCH([1]orders!K$1,[1]products!$A$1:$G$1,0))</f>
        <v>0.2</v>
      </c>
      <c r="S977" s="6">
        <f>INDEX([1]products!$A$1:$G$49,MATCH([1]orders!$D977,[1]products!$A$1:$A$49,0),MATCH([1]orders!L$1,[1]products!$A$1:$G$1,0))</f>
        <v>2.9849999999999999</v>
      </c>
      <c r="T977" s="6">
        <f t="shared" si="90"/>
        <v>8.9550000000000001</v>
      </c>
      <c r="U977" s="22">
        <f t="shared" si="94"/>
        <v>0.80594999999999994</v>
      </c>
      <c r="V977" s="22">
        <f t="shared" si="95"/>
        <v>9</v>
      </c>
    </row>
    <row r="978" spans="1:22" x14ac:dyDescent="0.3">
      <c r="A978" s="1" t="s">
        <v>1875</v>
      </c>
      <c r="B978" s="2">
        <v>43643</v>
      </c>
      <c r="C978" s="2" t="str">
        <f t="shared" si="91"/>
        <v>Thursday</v>
      </c>
      <c r="D978" s="2" t="str">
        <f t="shared" si="92"/>
        <v>June</v>
      </c>
      <c r="E978" s="2" t="str">
        <f t="shared" si="93"/>
        <v>2019</v>
      </c>
      <c r="F978" s="3" t="s">
        <v>1876</v>
      </c>
      <c r="G978" s="3" t="str">
        <f>VLOOKUP(F979,'Customers (2)'!A:I,2,0)</f>
        <v>Mab Blakemore</v>
      </c>
      <c r="H978" s="3" t="str">
        <f>VLOOKUP(F978,'Customers (2)'!A:I,3,0)</f>
        <v>kcantor4@gmpg.org</v>
      </c>
      <c r="I978" s="3" t="str">
        <f>VLOOKUP(F978,'Customers (2)'!A:I,4,0)</f>
        <v>+1 (260) 735-9621</v>
      </c>
      <c r="J978" s="3" t="str">
        <f>VLOOKUP(F978,'Customers (2)'!A:I,6,0)</f>
        <v>Fort Wayne</v>
      </c>
      <c r="K978" s="3" t="str">
        <f>VLOOKUP(F978,'Customers (2)'!A:I,7,0)</f>
        <v>United States</v>
      </c>
      <c r="L978" s="3" t="str">
        <f>VLOOKUP(F978,'Customers (2)'!A:I,9,0)</f>
        <v>Yes</v>
      </c>
      <c r="M978" s="4" t="s">
        <v>10</v>
      </c>
      <c r="N978" s="4" t="str">
        <f>VLOOKUP(M978,'Products (2)'!A:G,2,0)</f>
        <v>Robusta</v>
      </c>
      <c r="O978" s="4" t="str">
        <f>VLOOKUP(M978,'Products (2)'!A:G,3,0)</f>
        <v>Light</v>
      </c>
      <c r="P978" s="4">
        <f>VLOOKUP(M978,'Products (2)'!A:G,7,0)</f>
        <v>1.6490999999999998</v>
      </c>
      <c r="Q978" s="3">
        <v>5</v>
      </c>
      <c r="R978" s="5">
        <f>INDEX([1]products!$A$1:$G$49,MATCH([1]orders!$D978,[1]products!$A$1:$A$49,0),MATCH([1]orders!K$1,[1]products!$A$1:$G$1,0))</f>
        <v>2.5</v>
      </c>
      <c r="S978" s="6">
        <f>INDEX([1]products!$A$1:$G$49,MATCH([1]orders!$D978,[1]products!$A$1:$A$49,0),MATCH([1]orders!L$1,[1]products!$A$1:$G$1,0))</f>
        <v>27.484999999999996</v>
      </c>
      <c r="T978" s="6">
        <f t="shared" si="90"/>
        <v>137.42499999999998</v>
      </c>
      <c r="U978" s="22">
        <f t="shared" si="94"/>
        <v>8.2454999999999998</v>
      </c>
      <c r="V978" s="22">
        <f t="shared" si="95"/>
        <v>6.0000000000000009</v>
      </c>
    </row>
    <row r="979" spans="1:22" x14ac:dyDescent="0.3">
      <c r="A979" s="1" t="s">
        <v>1877</v>
      </c>
      <c r="B979" s="2">
        <v>44026</v>
      </c>
      <c r="C979" s="2" t="str">
        <f t="shared" si="91"/>
        <v>Tuesday</v>
      </c>
      <c r="D979" s="2" t="str">
        <f t="shared" si="92"/>
        <v>July</v>
      </c>
      <c r="E979" s="2" t="str">
        <f t="shared" si="93"/>
        <v>2020</v>
      </c>
      <c r="F979" s="3" t="s">
        <v>1878</v>
      </c>
      <c r="G979" s="3" t="str">
        <f>VLOOKUP(F980,'Customers (2)'!A:I,2,0)</f>
        <v>Charlean Keave</v>
      </c>
      <c r="H979" s="3" t="str">
        <f>VLOOKUP(F979,'Customers (2)'!A:I,3,0)</f>
        <v>mblakemorer5@nsw.gov.au</v>
      </c>
      <c r="I979" s="3" t="str">
        <f>VLOOKUP(F979,'Customers (2)'!A:I,4,0)</f>
        <v>+1 (806) 227-6812</v>
      </c>
      <c r="J979" s="3" t="str">
        <f>VLOOKUP(F979,'Customers (2)'!A:I,6,0)</f>
        <v>Amarillo</v>
      </c>
      <c r="K979" s="3" t="str">
        <f>VLOOKUP(F979,'Customers (2)'!A:I,7,0)</f>
        <v>United States</v>
      </c>
      <c r="L979" s="3" t="str">
        <f>VLOOKUP(F979,'Customers (2)'!A:I,9,0)</f>
        <v>No</v>
      </c>
      <c r="M979" s="4" t="s">
        <v>189</v>
      </c>
      <c r="N979" s="4" t="str">
        <f>VLOOKUP(M979,'Products (2)'!A:G,2,0)</f>
        <v>Robusta</v>
      </c>
      <c r="O979" s="4" t="str">
        <f>VLOOKUP(M979,'Products (2)'!A:G,3,0)</f>
        <v>Light</v>
      </c>
      <c r="P979" s="4">
        <f>VLOOKUP(M979,'Products (2)'!A:G,7,0)</f>
        <v>0.71699999999999997</v>
      </c>
      <c r="Q979" s="3">
        <v>5</v>
      </c>
      <c r="R979" s="5">
        <f>INDEX([1]products!$A$1:$G$49,MATCH([1]orders!$D979,[1]products!$A$1:$A$49,0),MATCH([1]orders!K$1,[1]products!$A$1:$G$1,0))</f>
        <v>1</v>
      </c>
      <c r="S979" s="6">
        <f>INDEX([1]products!$A$1:$G$49,MATCH([1]orders!$D979,[1]products!$A$1:$A$49,0),MATCH([1]orders!L$1,[1]products!$A$1:$G$1,0))</f>
        <v>11.95</v>
      </c>
      <c r="T979" s="6">
        <f t="shared" si="90"/>
        <v>59.75</v>
      </c>
      <c r="U979" s="22">
        <f t="shared" si="94"/>
        <v>3.585</v>
      </c>
      <c r="V979" s="22">
        <f t="shared" si="95"/>
        <v>6</v>
      </c>
    </row>
    <row r="980" spans="1:22" x14ac:dyDescent="0.3">
      <c r="A980" s="1" t="s">
        <v>1879</v>
      </c>
      <c r="B980" s="2">
        <v>43913</v>
      </c>
      <c r="C980" s="2" t="str">
        <f t="shared" si="91"/>
        <v>Monday</v>
      </c>
      <c r="D980" s="2" t="str">
        <f t="shared" si="92"/>
        <v>March</v>
      </c>
      <c r="E980" s="2" t="str">
        <f t="shared" si="93"/>
        <v>2020</v>
      </c>
      <c r="F980" s="3" t="s">
        <v>1870</v>
      </c>
      <c r="G980" s="3" t="str">
        <f>VLOOKUP(F981,'Customers (2)'!A:I,2,0)</f>
        <v>Javier Causnett</v>
      </c>
      <c r="H980" s="3" t="str">
        <f>VLOOKUP(F980,'Customers (2)'!A:I,3,0)</f>
        <v>ckeaver1@ucoz.com</v>
      </c>
      <c r="I980" s="3" t="str">
        <f>VLOOKUP(F980,'Customers (2)'!A:I,4,0)</f>
        <v>+1 (850) 410-9647</v>
      </c>
      <c r="J980" s="3" t="str">
        <f>VLOOKUP(F980,'Customers (2)'!A:I,6,0)</f>
        <v>Pensacola</v>
      </c>
      <c r="K980" s="3" t="str">
        <f>VLOOKUP(F980,'Customers (2)'!A:I,7,0)</f>
        <v>United States</v>
      </c>
      <c r="L980" s="3" t="str">
        <f>VLOOKUP(F980,'Customers (2)'!A:I,9,0)</f>
        <v>No</v>
      </c>
      <c r="M980" s="4" t="s">
        <v>192</v>
      </c>
      <c r="N980" s="4" t="str">
        <f>VLOOKUP(M980,'Products (2)'!A:G,2,0)</f>
        <v>Arabica</v>
      </c>
      <c r="O980" s="4" t="str">
        <f>VLOOKUP(M980,'Products (2)'!A:G,3,0)</f>
        <v>Light</v>
      </c>
      <c r="P980" s="4">
        <f>VLOOKUP(M980,'Products (2)'!A:G,7,0)</f>
        <v>0.69929999999999992</v>
      </c>
      <c r="Q980" s="3">
        <v>3</v>
      </c>
      <c r="R980" s="5">
        <f>INDEX([1]products!$A$1:$G$49,MATCH([1]orders!$D980,[1]products!$A$1:$A$49,0),MATCH([1]orders!K$1,[1]products!$A$1:$G$1,0))</f>
        <v>0.5</v>
      </c>
      <c r="S980" s="6">
        <f>INDEX([1]products!$A$1:$G$49,MATCH([1]orders!$D980,[1]products!$A$1:$A$49,0),MATCH([1]orders!L$1,[1]products!$A$1:$G$1,0))</f>
        <v>7.77</v>
      </c>
      <c r="T980" s="6">
        <f t="shared" si="90"/>
        <v>23.31</v>
      </c>
      <c r="U980" s="22">
        <f t="shared" si="94"/>
        <v>2.0978999999999997</v>
      </c>
      <c r="V980" s="22">
        <f t="shared" si="95"/>
        <v>9</v>
      </c>
    </row>
    <row r="981" spans="1:22" x14ac:dyDescent="0.3">
      <c r="A981" s="1" t="s">
        <v>1880</v>
      </c>
      <c r="B981" s="2">
        <v>43856</v>
      </c>
      <c r="C981" s="2" t="str">
        <f t="shared" si="91"/>
        <v>Sunday</v>
      </c>
      <c r="D981" s="2" t="str">
        <f t="shared" si="92"/>
        <v>January</v>
      </c>
      <c r="E981" s="2" t="str">
        <f t="shared" si="93"/>
        <v>2020</v>
      </c>
      <c r="F981" s="3" t="s">
        <v>1881</v>
      </c>
      <c r="G981" s="3" t="str">
        <f>VLOOKUP(F982,'Customers (2)'!A:I,2,0)</f>
        <v>Demetris Micheli</v>
      </c>
      <c r="H981" s="3">
        <f>VLOOKUP(F981,'Customers (2)'!A:I,3,0)</f>
        <v>0</v>
      </c>
      <c r="I981" s="3" t="str">
        <f>VLOOKUP(F981,'Customers (2)'!A:I,4,0)</f>
        <v>+1 (301) 396-9701</v>
      </c>
      <c r="J981" s="3" t="str">
        <f>VLOOKUP(F981,'Customers (2)'!A:I,6,0)</f>
        <v>Silver Spring</v>
      </c>
      <c r="K981" s="3" t="str">
        <f>VLOOKUP(F981,'Customers (2)'!A:I,7,0)</f>
        <v>United States</v>
      </c>
      <c r="L981" s="3" t="str">
        <f>VLOOKUP(F981,'Customers (2)'!A:I,9,0)</f>
        <v>No</v>
      </c>
      <c r="M981" s="4" t="s">
        <v>146</v>
      </c>
      <c r="N981" s="4" t="str">
        <f>VLOOKUP(M981,'Products (2)'!A:G,2,0)</f>
        <v>Robusta</v>
      </c>
      <c r="O981" s="4" t="str">
        <f>VLOOKUP(M981,'Products (2)'!A:G,3,0)</f>
        <v>Dark</v>
      </c>
      <c r="P981" s="4">
        <f>VLOOKUP(M981,'Products (2)'!A:G,7,0)</f>
        <v>0.32219999999999993</v>
      </c>
      <c r="Q981" s="3">
        <v>2</v>
      </c>
      <c r="R981" s="5">
        <f>INDEX([1]products!$A$1:$G$49,MATCH([1]orders!$D981,[1]products!$A$1:$A$49,0),MATCH([1]orders!K$1,[1]products!$A$1:$G$1,0))</f>
        <v>0.5</v>
      </c>
      <c r="S981" s="6">
        <f>INDEX([1]products!$A$1:$G$49,MATCH([1]orders!$D981,[1]products!$A$1:$A$49,0),MATCH([1]orders!L$1,[1]products!$A$1:$G$1,0))</f>
        <v>5.3699999999999992</v>
      </c>
      <c r="T981" s="6">
        <f t="shared" si="90"/>
        <v>10.739999999999998</v>
      </c>
      <c r="U981" s="22">
        <f t="shared" si="94"/>
        <v>0.64439999999999986</v>
      </c>
      <c r="V981" s="22">
        <f t="shared" si="95"/>
        <v>6</v>
      </c>
    </row>
    <row r="982" spans="1:22" x14ac:dyDescent="0.3">
      <c r="A982" s="1" t="s">
        <v>1882</v>
      </c>
      <c r="B982" s="2">
        <v>43982</v>
      </c>
      <c r="C982" s="2" t="str">
        <f t="shared" si="91"/>
        <v>Sunday</v>
      </c>
      <c r="D982" s="2" t="str">
        <f t="shared" si="92"/>
        <v>May</v>
      </c>
      <c r="E982" s="2" t="str">
        <f t="shared" si="93"/>
        <v>2020</v>
      </c>
      <c r="F982" s="3" t="s">
        <v>1883</v>
      </c>
      <c r="G982" s="3" t="str">
        <f>VLOOKUP(F983,'Customers (2)'!A:I,2,0)</f>
        <v>Chloette Bernardot</v>
      </c>
      <c r="H982" s="3">
        <f>VLOOKUP(F982,'Customers (2)'!A:I,3,0)</f>
        <v>0</v>
      </c>
      <c r="I982" s="3" t="str">
        <f>VLOOKUP(F982,'Customers (2)'!A:I,4,0)</f>
        <v>+1 (608) 138-8374</v>
      </c>
      <c r="J982" s="3" t="str">
        <f>VLOOKUP(F982,'Customers (2)'!A:I,6,0)</f>
        <v>Madison</v>
      </c>
      <c r="K982" s="3" t="str">
        <f>VLOOKUP(F982,'Customers (2)'!A:I,7,0)</f>
        <v>United States</v>
      </c>
      <c r="L982" s="3" t="str">
        <f>VLOOKUP(F982,'Customers (2)'!A:I,9,0)</f>
        <v>Yes</v>
      </c>
      <c r="M982" s="4" t="s">
        <v>530</v>
      </c>
      <c r="N982" s="4" t="str">
        <f>VLOOKUP(M982,'Products (2)'!A:G,2,0)</f>
        <v>Excelsa</v>
      </c>
      <c r="O982" s="4" t="str">
        <f>VLOOKUP(M982,'Products (2)'!A:G,3,0)</f>
        <v>Dark</v>
      </c>
      <c r="P982" s="4">
        <f>VLOOKUP(M982,'Products (2)'!A:G,7,0)</f>
        <v>3.07395</v>
      </c>
      <c r="Q982" s="3">
        <v>6</v>
      </c>
      <c r="R982" s="5">
        <f>INDEX([1]products!$A$1:$G$49,MATCH([1]orders!$D982,[1]products!$A$1:$A$49,0),MATCH([1]orders!K$1,[1]products!$A$1:$G$1,0))</f>
        <v>2.5</v>
      </c>
      <c r="S982" s="6">
        <f>INDEX([1]products!$A$1:$G$49,MATCH([1]orders!$D982,[1]products!$A$1:$A$49,0),MATCH([1]orders!L$1,[1]products!$A$1:$G$1,0))</f>
        <v>27.945</v>
      </c>
      <c r="T982" s="6">
        <f t="shared" si="90"/>
        <v>167.67000000000002</v>
      </c>
      <c r="U982" s="22">
        <f t="shared" si="94"/>
        <v>18.4437</v>
      </c>
      <c r="V982" s="22">
        <f t="shared" si="95"/>
        <v>10.999999999999998</v>
      </c>
    </row>
    <row r="983" spans="1:22" x14ac:dyDescent="0.3">
      <c r="A983" s="1" t="s">
        <v>1884</v>
      </c>
      <c r="B983" s="2">
        <v>44397</v>
      </c>
      <c r="C983" s="2" t="str">
        <f t="shared" si="91"/>
        <v>Tuesday</v>
      </c>
      <c r="D983" s="2" t="str">
        <f t="shared" si="92"/>
        <v>July</v>
      </c>
      <c r="E983" s="2" t="str">
        <f t="shared" si="93"/>
        <v>2021</v>
      </c>
      <c r="F983" s="3" t="s">
        <v>1885</v>
      </c>
      <c r="G983" s="3" t="str">
        <f>VLOOKUP(F984,'Customers (2)'!A:I,2,0)</f>
        <v>Kim Kemery</v>
      </c>
      <c r="H983" s="3" t="str">
        <f>VLOOKUP(F983,'Customers (2)'!A:I,3,0)</f>
        <v>cbernardotr9@wix.com</v>
      </c>
      <c r="I983" s="3" t="str">
        <f>VLOOKUP(F983,'Customers (2)'!A:I,4,0)</f>
        <v>+1 (936) 783-5732</v>
      </c>
      <c r="J983" s="3" t="str">
        <f>VLOOKUP(F983,'Customers (2)'!A:I,6,0)</f>
        <v>Conroe</v>
      </c>
      <c r="K983" s="3" t="str">
        <f>VLOOKUP(F983,'Customers (2)'!A:I,7,0)</f>
        <v>United States</v>
      </c>
      <c r="L983" s="3" t="str">
        <f>VLOOKUP(F983,'Customers (2)'!A:I,9,0)</f>
        <v>Yes</v>
      </c>
      <c r="M983" s="4" t="s">
        <v>51</v>
      </c>
      <c r="N983" s="4" t="str">
        <f>VLOOKUP(M983,'Products (2)'!A:G,2,0)</f>
        <v>Excelsa</v>
      </c>
      <c r="O983" s="4" t="str">
        <f>VLOOKUP(M983,'Products (2)'!A:G,3,0)</f>
        <v>Dark</v>
      </c>
      <c r="P983" s="4">
        <f>VLOOKUP(M983,'Products (2)'!A:G,7,0)</f>
        <v>0.40095000000000003</v>
      </c>
      <c r="Q983" s="3">
        <v>6</v>
      </c>
      <c r="R983" s="5">
        <f>INDEX([1]products!$A$1:$G$49,MATCH([1]orders!$D983,[1]products!$A$1:$A$49,0),MATCH([1]orders!K$1,[1]products!$A$1:$G$1,0))</f>
        <v>0.2</v>
      </c>
      <c r="S983" s="6">
        <f>INDEX([1]products!$A$1:$G$49,MATCH([1]orders!$D983,[1]products!$A$1:$A$49,0),MATCH([1]orders!L$1,[1]products!$A$1:$G$1,0))</f>
        <v>3.645</v>
      </c>
      <c r="T983" s="6">
        <f t="shared" si="90"/>
        <v>21.87</v>
      </c>
      <c r="U983" s="22">
        <f t="shared" si="94"/>
        <v>2.4057000000000004</v>
      </c>
      <c r="V983" s="22">
        <f t="shared" si="95"/>
        <v>11.000000000000002</v>
      </c>
    </row>
    <row r="984" spans="1:22" x14ac:dyDescent="0.3">
      <c r="A984" s="1" t="s">
        <v>1886</v>
      </c>
      <c r="B984" s="2">
        <v>44785</v>
      </c>
      <c r="C984" s="2" t="str">
        <f t="shared" si="91"/>
        <v>Friday</v>
      </c>
      <c r="D984" s="2" t="str">
        <f t="shared" si="92"/>
        <v>August</v>
      </c>
      <c r="E984" s="2" t="str">
        <f t="shared" si="93"/>
        <v>2022</v>
      </c>
      <c r="F984" s="3" t="s">
        <v>1887</v>
      </c>
      <c r="G984" s="3" t="str">
        <f>VLOOKUP(F985,'Customers (2)'!A:I,2,0)</f>
        <v>Fanchette Parlot</v>
      </c>
      <c r="H984" s="3" t="str">
        <f>VLOOKUP(F984,'Customers (2)'!A:I,3,0)</f>
        <v>kkemeryra@t.co</v>
      </c>
      <c r="I984" s="3" t="str">
        <f>VLOOKUP(F984,'Customers (2)'!A:I,4,0)</f>
        <v>+1 (817) 407-3513</v>
      </c>
      <c r="J984" s="3" t="str">
        <f>VLOOKUP(F984,'Customers (2)'!A:I,6,0)</f>
        <v>Denton</v>
      </c>
      <c r="K984" s="3" t="str">
        <f>VLOOKUP(F984,'Customers (2)'!A:I,7,0)</f>
        <v>United States</v>
      </c>
      <c r="L984" s="3" t="str">
        <f>VLOOKUP(F984,'Customers (2)'!A:I,9,0)</f>
        <v>Yes</v>
      </c>
      <c r="M984" s="4" t="s">
        <v>189</v>
      </c>
      <c r="N984" s="4" t="str">
        <f>VLOOKUP(M984,'Products (2)'!A:G,2,0)</f>
        <v>Robusta</v>
      </c>
      <c r="O984" s="4" t="str">
        <f>VLOOKUP(M984,'Products (2)'!A:G,3,0)</f>
        <v>Light</v>
      </c>
      <c r="P984" s="4">
        <f>VLOOKUP(M984,'Products (2)'!A:G,7,0)</f>
        <v>0.71699999999999997</v>
      </c>
      <c r="Q984" s="3">
        <v>2</v>
      </c>
      <c r="R984" s="5">
        <f>INDEX([1]products!$A$1:$G$49,MATCH([1]orders!$D984,[1]products!$A$1:$A$49,0),MATCH([1]orders!K$1,[1]products!$A$1:$G$1,0))</f>
        <v>1</v>
      </c>
      <c r="S984" s="6">
        <f>INDEX([1]products!$A$1:$G$49,MATCH([1]orders!$D984,[1]products!$A$1:$A$49,0),MATCH([1]orders!L$1,[1]products!$A$1:$G$1,0))</f>
        <v>11.95</v>
      </c>
      <c r="T984" s="6">
        <f t="shared" si="90"/>
        <v>23.9</v>
      </c>
      <c r="U984" s="22">
        <f t="shared" si="94"/>
        <v>1.4339999999999999</v>
      </c>
      <c r="V984" s="22">
        <f t="shared" si="95"/>
        <v>6</v>
      </c>
    </row>
    <row r="985" spans="1:22" x14ac:dyDescent="0.3">
      <c r="A985" s="1" t="s">
        <v>1888</v>
      </c>
      <c r="B985" s="2">
        <v>43831</v>
      </c>
      <c r="C985" s="2" t="str">
        <f t="shared" si="91"/>
        <v>Wednesday</v>
      </c>
      <c r="D985" s="2" t="str">
        <f t="shared" si="92"/>
        <v>January</v>
      </c>
      <c r="E985" s="2" t="str">
        <f t="shared" si="93"/>
        <v>2020</v>
      </c>
      <c r="F985" s="3" t="s">
        <v>1889</v>
      </c>
      <c r="G985" s="3" t="str">
        <f>VLOOKUP(F986,'Customers (2)'!A:I,2,0)</f>
        <v>Ramon Cheak</v>
      </c>
      <c r="H985" s="3" t="str">
        <f>VLOOKUP(F985,'Customers (2)'!A:I,3,0)</f>
        <v>fparlotrb@forbes.com</v>
      </c>
      <c r="I985" s="3" t="str">
        <f>VLOOKUP(F985,'Customers (2)'!A:I,4,0)</f>
        <v>+1 (614) 706-1246</v>
      </c>
      <c r="J985" s="3" t="str">
        <f>VLOOKUP(F985,'Customers (2)'!A:I,6,0)</f>
        <v>Columbus</v>
      </c>
      <c r="K985" s="3" t="str">
        <f>VLOOKUP(F985,'Customers (2)'!A:I,7,0)</f>
        <v>United States</v>
      </c>
      <c r="L985" s="3" t="str">
        <f>VLOOKUP(F985,'Customers (2)'!A:I,9,0)</f>
        <v>Yes</v>
      </c>
      <c r="M985" s="4" t="s">
        <v>44</v>
      </c>
      <c r="N985" s="4" t="str">
        <f>VLOOKUP(M985,'Products (2)'!A:G,2,0)</f>
        <v>Arabica</v>
      </c>
      <c r="O985" s="4" t="str">
        <f>VLOOKUP(M985,'Products (2)'!A:G,3,0)</f>
        <v>Medium</v>
      </c>
      <c r="P985" s="4">
        <f>VLOOKUP(M985,'Products (2)'!A:G,7,0)</f>
        <v>0.30374999999999996</v>
      </c>
      <c r="Q985" s="3">
        <v>2</v>
      </c>
      <c r="R985" s="5">
        <f>INDEX([1]products!$A$1:$G$49,MATCH([1]orders!$D985,[1]products!$A$1:$A$49,0),MATCH([1]orders!K$1,[1]products!$A$1:$G$1,0))</f>
        <v>0.2</v>
      </c>
      <c r="S985" s="6">
        <f>INDEX([1]products!$A$1:$G$49,MATCH([1]orders!$D985,[1]products!$A$1:$A$49,0),MATCH([1]orders!L$1,[1]products!$A$1:$G$1,0))</f>
        <v>3.375</v>
      </c>
      <c r="T985" s="4">
        <f t="shared" si="90"/>
        <v>6.75</v>
      </c>
      <c r="U985" s="22">
        <f t="shared" si="94"/>
        <v>0.60749999999999993</v>
      </c>
      <c r="V985" s="22">
        <f t="shared" si="95"/>
        <v>8.9999999999999982</v>
      </c>
    </row>
    <row r="986" spans="1:22" x14ac:dyDescent="0.3">
      <c r="A986" s="1" t="s">
        <v>1890</v>
      </c>
      <c r="B986" s="2">
        <v>44214</v>
      </c>
      <c r="C986" s="2" t="str">
        <f t="shared" si="91"/>
        <v>Monday</v>
      </c>
      <c r="D986" s="2" t="str">
        <f t="shared" si="92"/>
        <v>January</v>
      </c>
      <c r="E986" s="2" t="str">
        <f t="shared" si="93"/>
        <v>2021</v>
      </c>
      <c r="F986" s="3" t="s">
        <v>1891</v>
      </c>
      <c r="G986" s="3" t="str">
        <f>VLOOKUP(F987,'Customers (2)'!A:I,2,0)</f>
        <v>Koressa O'Geneay</v>
      </c>
      <c r="H986" s="3" t="str">
        <f>VLOOKUP(F986,'Customers (2)'!A:I,3,0)</f>
        <v>rcheakrc@tripadvisor.com</v>
      </c>
      <c r="I986" s="3">
        <f>VLOOKUP(F986,'Customers (2)'!A:I,4,0)</f>
        <v>0</v>
      </c>
      <c r="J986" s="3" t="str">
        <f>VLOOKUP(F986,'Customers (2)'!A:I,6,0)</f>
        <v>Bundoran</v>
      </c>
      <c r="K986" s="3" t="str">
        <f>VLOOKUP(F986,'Customers (2)'!A:I,7,0)</f>
        <v>Ireland</v>
      </c>
      <c r="L986" s="3" t="str">
        <f>VLOOKUP(F986,'Customers (2)'!A:I,9,0)</f>
        <v>Yes</v>
      </c>
      <c r="M986" s="4" t="s">
        <v>112</v>
      </c>
      <c r="N986" s="4" t="str">
        <f>VLOOKUP(M986,'Products (2)'!A:G,2,0)</f>
        <v>Excelsa</v>
      </c>
      <c r="O986" s="4" t="str">
        <f>VLOOKUP(M986,'Products (2)'!A:G,3,0)</f>
        <v>Medium</v>
      </c>
      <c r="P986" s="4">
        <f>VLOOKUP(M986,'Products (2)'!A:G,7,0)</f>
        <v>3.4787499999999998</v>
      </c>
      <c r="Q986" s="3">
        <v>1</v>
      </c>
      <c r="R986" s="5">
        <f>INDEX([1]products!$A$1:$G$49,MATCH([1]orders!$D986,[1]products!$A$1:$A$49,0),MATCH([1]orders!K$1,[1]products!$A$1:$G$1,0))</f>
        <v>2.5</v>
      </c>
      <c r="S986" s="6">
        <f>INDEX([1]products!$A$1:$G$49,MATCH([1]orders!$D986,[1]products!$A$1:$A$49,0),MATCH([1]orders!L$1,[1]products!$A$1:$G$1,0))</f>
        <v>31.624999999999996</v>
      </c>
      <c r="T986" s="6">
        <f t="shared" si="90"/>
        <v>31.624999999999996</v>
      </c>
      <c r="U986" s="22">
        <f t="shared" si="94"/>
        <v>3.4787499999999998</v>
      </c>
      <c r="V986" s="22">
        <f t="shared" si="95"/>
        <v>11</v>
      </c>
    </row>
    <row r="987" spans="1:22" x14ac:dyDescent="0.3">
      <c r="A987" s="1" t="s">
        <v>1892</v>
      </c>
      <c r="B987" s="2">
        <v>44561</v>
      </c>
      <c r="C987" s="2" t="str">
        <f t="shared" si="91"/>
        <v>Friday</v>
      </c>
      <c r="D987" s="2" t="str">
        <f t="shared" si="92"/>
        <v>December</v>
      </c>
      <c r="E987" s="2" t="str">
        <f t="shared" si="93"/>
        <v>2021</v>
      </c>
      <c r="F987" s="3" t="s">
        <v>1893</v>
      </c>
      <c r="G987" s="3" t="str">
        <f>VLOOKUP(F988,'Customers (2)'!A:I,2,0)</f>
        <v>Claudell Ayre</v>
      </c>
      <c r="H987" s="3" t="str">
        <f>VLOOKUP(F987,'Customers (2)'!A:I,3,0)</f>
        <v>kogeneayrd@utexas.edu</v>
      </c>
      <c r="I987" s="3" t="str">
        <f>VLOOKUP(F987,'Customers (2)'!A:I,4,0)</f>
        <v>+1 (303) 637-0326</v>
      </c>
      <c r="J987" s="3" t="str">
        <f>VLOOKUP(F987,'Customers (2)'!A:I,6,0)</f>
        <v>Aurora</v>
      </c>
      <c r="K987" s="3" t="str">
        <f>VLOOKUP(F987,'Customers (2)'!A:I,7,0)</f>
        <v>United States</v>
      </c>
      <c r="L987" s="3" t="str">
        <f>VLOOKUP(F987,'Customers (2)'!A:I,9,0)</f>
        <v>No</v>
      </c>
      <c r="M987" s="4" t="s">
        <v>189</v>
      </c>
      <c r="N987" s="4" t="str">
        <f>VLOOKUP(M987,'Products (2)'!A:G,2,0)</f>
        <v>Robusta</v>
      </c>
      <c r="O987" s="4" t="str">
        <f>VLOOKUP(M987,'Products (2)'!A:G,3,0)</f>
        <v>Light</v>
      </c>
      <c r="P987" s="4">
        <f>VLOOKUP(M987,'Products (2)'!A:G,7,0)</f>
        <v>0.71699999999999997</v>
      </c>
      <c r="Q987" s="3">
        <v>4</v>
      </c>
      <c r="R987" s="5">
        <f>INDEX([1]products!$A$1:$G$49,MATCH([1]orders!$D987,[1]products!$A$1:$A$49,0),MATCH([1]orders!K$1,[1]products!$A$1:$G$1,0))</f>
        <v>1</v>
      </c>
      <c r="S987" s="6">
        <f>INDEX([1]products!$A$1:$G$49,MATCH([1]orders!$D987,[1]products!$A$1:$A$49,0),MATCH([1]orders!L$1,[1]products!$A$1:$G$1,0))</f>
        <v>11.95</v>
      </c>
      <c r="T987" s="6">
        <f t="shared" si="90"/>
        <v>47.8</v>
      </c>
      <c r="U987" s="22">
        <f t="shared" si="94"/>
        <v>2.8679999999999999</v>
      </c>
      <c r="V987" s="22">
        <f t="shared" si="95"/>
        <v>6</v>
      </c>
    </row>
    <row r="988" spans="1:22" x14ac:dyDescent="0.3">
      <c r="A988" s="1" t="s">
        <v>1894</v>
      </c>
      <c r="B988" s="2">
        <v>43955</v>
      </c>
      <c r="C988" s="2" t="str">
        <f t="shared" si="91"/>
        <v>Monday</v>
      </c>
      <c r="D988" s="2" t="str">
        <f t="shared" si="92"/>
        <v>May</v>
      </c>
      <c r="E988" s="2" t="str">
        <f t="shared" si="93"/>
        <v>2020</v>
      </c>
      <c r="F988" s="3" t="s">
        <v>1895</v>
      </c>
      <c r="G988" s="3" t="str">
        <f>VLOOKUP(F989,'Customers (2)'!A:I,2,0)</f>
        <v>Lorianne Kyneton</v>
      </c>
      <c r="H988" s="3" t="str">
        <f>VLOOKUP(F988,'Customers (2)'!A:I,3,0)</f>
        <v>cayrere@symantec.com</v>
      </c>
      <c r="I988" s="3" t="str">
        <f>VLOOKUP(F988,'Customers (2)'!A:I,4,0)</f>
        <v>+1 (386) 573-2575</v>
      </c>
      <c r="J988" s="3" t="str">
        <f>VLOOKUP(F988,'Customers (2)'!A:I,6,0)</f>
        <v>Daytona Beach</v>
      </c>
      <c r="K988" s="3" t="str">
        <f>VLOOKUP(F988,'Customers (2)'!A:I,7,0)</f>
        <v>United States</v>
      </c>
      <c r="L988" s="3" t="str">
        <f>VLOOKUP(F988,'Customers (2)'!A:I,9,0)</f>
        <v>No</v>
      </c>
      <c r="M988" s="4" t="s">
        <v>197</v>
      </c>
      <c r="N988" s="4" t="str">
        <f>VLOOKUP(M988,'Products (2)'!A:G,2,0)</f>
        <v>Liberica</v>
      </c>
      <c r="O988" s="4" t="str">
        <f>VLOOKUP(M988,'Products (2)'!A:G,3,0)</f>
        <v>Medium</v>
      </c>
      <c r="P988" s="4">
        <f>VLOOKUP(M988,'Products (2)'!A:G,7,0)</f>
        <v>4.3504499999999995</v>
      </c>
      <c r="Q988" s="3">
        <v>1</v>
      </c>
      <c r="R988" s="5">
        <f>INDEX([1]products!$A$1:$G$49,MATCH([1]orders!$D988,[1]products!$A$1:$A$49,0),MATCH([1]orders!K$1,[1]products!$A$1:$G$1,0))</f>
        <v>2.5</v>
      </c>
      <c r="S988" s="6">
        <f>INDEX([1]products!$A$1:$G$49,MATCH([1]orders!$D988,[1]products!$A$1:$A$49,0),MATCH([1]orders!L$1,[1]products!$A$1:$G$1,0))</f>
        <v>33.464999999999996</v>
      </c>
      <c r="T988" s="6">
        <f t="shared" si="90"/>
        <v>33.464999999999996</v>
      </c>
      <c r="U988" s="22">
        <f t="shared" si="94"/>
        <v>4.3504499999999995</v>
      </c>
      <c r="V988" s="22">
        <f t="shared" si="95"/>
        <v>13</v>
      </c>
    </row>
    <row r="989" spans="1:22" x14ac:dyDescent="0.3">
      <c r="A989" s="1" t="s">
        <v>1896</v>
      </c>
      <c r="B989" s="2">
        <v>44247</v>
      </c>
      <c r="C989" s="2" t="str">
        <f t="shared" si="91"/>
        <v>Saturday</v>
      </c>
      <c r="D989" s="2" t="str">
        <f t="shared" si="92"/>
        <v>February</v>
      </c>
      <c r="E989" s="2" t="str">
        <f t="shared" si="93"/>
        <v>2021</v>
      </c>
      <c r="F989" s="3" t="s">
        <v>1897</v>
      </c>
      <c r="G989" s="3" t="str">
        <f>VLOOKUP(F990,'Customers (2)'!A:I,2,0)</f>
        <v>Adele McFayden</v>
      </c>
      <c r="H989" s="3" t="str">
        <f>VLOOKUP(F989,'Customers (2)'!A:I,3,0)</f>
        <v>lkynetonrf@macromedia.com</v>
      </c>
      <c r="I989" s="3" t="str">
        <f>VLOOKUP(F989,'Customers (2)'!A:I,4,0)</f>
        <v>+44 (618) 634-9365</v>
      </c>
      <c r="J989" s="3" t="str">
        <f>VLOOKUP(F989,'Customers (2)'!A:I,6,0)</f>
        <v>Seaton</v>
      </c>
      <c r="K989" s="3" t="str">
        <f>VLOOKUP(F989,'Customers (2)'!A:I,7,0)</f>
        <v>United Kingdom</v>
      </c>
      <c r="L989" s="3" t="str">
        <f>VLOOKUP(F989,'Customers (2)'!A:I,9,0)</f>
        <v>Yes</v>
      </c>
      <c r="M989" s="4" t="s">
        <v>72</v>
      </c>
      <c r="N989" s="4" t="str">
        <f>VLOOKUP(M989,'Products (2)'!A:G,2,0)</f>
        <v>Arabica</v>
      </c>
      <c r="O989" s="4" t="str">
        <f>VLOOKUP(M989,'Products (2)'!A:G,3,0)</f>
        <v>Dark</v>
      </c>
      <c r="P989" s="4">
        <f>VLOOKUP(M989,'Products (2)'!A:G,7,0)</f>
        <v>0.5373</v>
      </c>
      <c r="Q989" s="3">
        <v>5</v>
      </c>
      <c r="R989" s="5">
        <f>INDEX([1]products!$A$1:$G$49,MATCH([1]orders!$D989,[1]products!$A$1:$A$49,0),MATCH([1]orders!K$1,[1]products!$A$1:$G$1,0))</f>
        <v>0.5</v>
      </c>
      <c r="S989" s="6">
        <f>INDEX([1]products!$A$1:$G$49,MATCH([1]orders!$D989,[1]products!$A$1:$A$49,0),MATCH([1]orders!L$1,[1]products!$A$1:$G$1,0))</f>
        <v>5.97</v>
      </c>
      <c r="T989" s="6">
        <f t="shared" si="90"/>
        <v>29.849999999999998</v>
      </c>
      <c r="U989" s="22">
        <f t="shared" si="94"/>
        <v>2.6865000000000001</v>
      </c>
      <c r="V989" s="22">
        <f t="shared" si="95"/>
        <v>9.0000000000000018</v>
      </c>
    </row>
    <row r="990" spans="1:22" x14ac:dyDescent="0.3">
      <c r="A990" s="1" t="s">
        <v>1898</v>
      </c>
      <c r="B990" s="2">
        <v>43897</v>
      </c>
      <c r="C990" s="2" t="str">
        <f t="shared" si="91"/>
        <v>Saturday</v>
      </c>
      <c r="D990" s="2" t="str">
        <f t="shared" si="92"/>
        <v>March</v>
      </c>
      <c r="E990" s="2" t="str">
        <f t="shared" si="93"/>
        <v>2020</v>
      </c>
      <c r="F990" s="3" t="s">
        <v>1899</v>
      </c>
      <c r="G990" s="3" t="str">
        <f>VLOOKUP(F991,'Customers (2)'!A:I,2,0)</f>
        <v>Herta Layne</v>
      </c>
      <c r="H990" s="3">
        <f>VLOOKUP(F990,'Customers (2)'!A:I,3,0)</f>
        <v>0</v>
      </c>
      <c r="I990" s="3" t="str">
        <f>VLOOKUP(F990,'Customers (2)'!A:I,4,0)</f>
        <v>+44 (123) 755-7484</v>
      </c>
      <c r="J990" s="3" t="str">
        <f>VLOOKUP(F990,'Customers (2)'!A:I,6,0)</f>
        <v>Wirral</v>
      </c>
      <c r="K990" s="3" t="str">
        <f>VLOOKUP(F990,'Customers (2)'!A:I,7,0)</f>
        <v>United Kingdom</v>
      </c>
      <c r="L990" s="3" t="str">
        <f>VLOOKUP(F990,'Customers (2)'!A:I,9,0)</f>
        <v>Yes</v>
      </c>
      <c r="M990" s="4" t="s">
        <v>2</v>
      </c>
      <c r="N990" s="4" t="str">
        <f>VLOOKUP(M990,'Products (2)'!A:G,2,0)</f>
        <v>Robusta</v>
      </c>
      <c r="O990" s="4" t="str">
        <f>VLOOKUP(M990,'Products (2)'!A:G,3,0)</f>
        <v>Medium</v>
      </c>
      <c r="P990" s="4">
        <f>VLOOKUP(M990,'Products (2)'!A:G,7,0)</f>
        <v>0.59699999999999998</v>
      </c>
      <c r="Q990" s="3">
        <v>3</v>
      </c>
      <c r="R990" s="5">
        <f>INDEX([1]products!$A$1:$G$49,MATCH([1]orders!$D990,[1]products!$A$1:$A$49,0),MATCH([1]orders!K$1,[1]products!$A$1:$G$1,0))</f>
        <v>1</v>
      </c>
      <c r="S990" s="6">
        <f>INDEX([1]products!$A$1:$G$49,MATCH([1]orders!$D990,[1]products!$A$1:$A$49,0),MATCH([1]orders!L$1,[1]products!$A$1:$G$1,0))</f>
        <v>9.9499999999999993</v>
      </c>
      <c r="T990" s="6">
        <f t="shared" si="90"/>
        <v>29.849999999999998</v>
      </c>
      <c r="U990" s="22">
        <f t="shared" si="94"/>
        <v>1.7909999999999999</v>
      </c>
      <c r="V990" s="22">
        <f t="shared" si="95"/>
        <v>6.0000000000000009</v>
      </c>
    </row>
    <row r="991" spans="1:22" x14ac:dyDescent="0.3">
      <c r="A991" s="1" t="s">
        <v>1900</v>
      </c>
      <c r="B991" s="2">
        <v>43560</v>
      </c>
      <c r="C991" s="2" t="str">
        <f t="shared" si="91"/>
        <v>Friday</v>
      </c>
      <c r="D991" s="2" t="str">
        <f t="shared" si="92"/>
        <v>April</v>
      </c>
      <c r="E991" s="2" t="str">
        <f t="shared" si="93"/>
        <v>2019</v>
      </c>
      <c r="F991" s="3" t="s">
        <v>1901</v>
      </c>
      <c r="G991" s="3" t="str">
        <f>VLOOKUP(F992,'Customers (2)'!A:I,2,0)</f>
        <v>Marguerite Graves</v>
      </c>
      <c r="H991" s="3">
        <f>VLOOKUP(F991,'Customers (2)'!A:I,3,0)</f>
        <v>0</v>
      </c>
      <c r="I991" s="3" t="str">
        <f>VLOOKUP(F991,'Customers (2)'!A:I,4,0)</f>
        <v>+1 (636) 143-8338</v>
      </c>
      <c r="J991" s="3" t="str">
        <f>VLOOKUP(F991,'Customers (2)'!A:I,6,0)</f>
        <v>Saint Louis</v>
      </c>
      <c r="K991" s="3" t="str">
        <f>VLOOKUP(F991,'Customers (2)'!A:I,7,0)</f>
        <v>United States</v>
      </c>
      <c r="L991" s="3" t="str">
        <f>VLOOKUP(F991,'Customers (2)'!A:I,9,0)</f>
        <v>Yes</v>
      </c>
      <c r="M991" s="4" t="s">
        <v>171</v>
      </c>
      <c r="N991" s="4" t="str">
        <f>VLOOKUP(M991,'Products (2)'!A:G,2,0)</f>
        <v>Arabica</v>
      </c>
      <c r="O991" s="4" t="str">
        <f>VLOOKUP(M991,'Products (2)'!A:G,3,0)</f>
        <v>Medium</v>
      </c>
      <c r="P991" s="4">
        <f>VLOOKUP(M991,'Products (2)'!A:G,7,0)</f>
        <v>2.3287499999999994</v>
      </c>
      <c r="Q991" s="3">
        <v>6</v>
      </c>
      <c r="R991" s="5">
        <f>INDEX([1]products!$A$1:$G$49,MATCH([1]orders!$D991,[1]products!$A$1:$A$49,0),MATCH([1]orders!K$1,[1]products!$A$1:$G$1,0))</f>
        <v>2.5</v>
      </c>
      <c r="S991" s="6">
        <f>INDEX([1]products!$A$1:$G$49,MATCH([1]orders!$D991,[1]products!$A$1:$A$49,0),MATCH([1]orders!L$1,[1]products!$A$1:$G$1,0))</f>
        <v>25.874999999999996</v>
      </c>
      <c r="T991" s="6">
        <f t="shared" si="90"/>
        <v>155.24999999999997</v>
      </c>
      <c r="U991" s="22">
        <f t="shared" si="94"/>
        <v>13.972499999999997</v>
      </c>
      <c r="V991" s="22">
        <f t="shared" si="95"/>
        <v>9</v>
      </c>
    </row>
    <row r="992" spans="1:22" x14ac:dyDescent="0.3">
      <c r="A992" s="1" t="s">
        <v>1902</v>
      </c>
      <c r="B992" s="2">
        <v>44718</v>
      </c>
      <c r="C992" s="2" t="str">
        <f t="shared" si="91"/>
        <v>Monday</v>
      </c>
      <c r="D992" s="2" t="str">
        <f t="shared" si="92"/>
        <v>June</v>
      </c>
      <c r="E992" s="2" t="str">
        <f t="shared" si="93"/>
        <v>2022</v>
      </c>
      <c r="F992" s="3" t="s">
        <v>1903</v>
      </c>
      <c r="G992" s="3" t="str">
        <f>VLOOKUP(F993,'Customers (2)'!A:I,2,0)</f>
        <v>Marguerite Graves</v>
      </c>
      <c r="H992" s="3">
        <f>VLOOKUP(F992,'Customers (2)'!A:I,3,0)</f>
        <v>0</v>
      </c>
      <c r="I992" s="3" t="str">
        <f>VLOOKUP(F992,'Customers (2)'!A:I,4,0)</f>
        <v>+1 (479) 204-9111</v>
      </c>
      <c r="J992" s="3" t="str">
        <f>VLOOKUP(F992,'Customers (2)'!A:I,6,0)</f>
        <v>Fort Smith</v>
      </c>
      <c r="K992" s="3" t="str">
        <f>VLOOKUP(F992,'Customers (2)'!A:I,7,0)</f>
        <v>United States</v>
      </c>
      <c r="L992" s="3" t="str">
        <f>VLOOKUP(F992,'Customers (2)'!A:I,9,0)</f>
        <v>No</v>
      </c>
      <c r="M992" s="4" t="s">
        <v>51</v>
      </c>
      <c r="N992" s="4" t="str">
        <f>VLOOKUP(M992,'Products (2)'!A:G,2,0)</f>
        <v>Excelsa</v>
      </c>
      <c r="O992" s="4" t="str">
        <f>VLOOKUP(M992,'Products (2)'!A:G,3,0)</f>
        <v>Dark</v>
      </c>
      <c r="P992" s="4">
        <f>VLOOKUP(M992,'Products (2)'!A:G,7,0)</f>
        <v>0.40095000000000003</v>
      </c>
      <c r="Q992" s="3">
        <v>5</v>
      </c>
      <c r="R992" s="5">
        <f>INDEX([1]products!$A$1:$G$49,MATCH([1]orders!$D992,[1]products!$A$1:$A$49,0),MATCH([1]orders!K$1,[1]products!$A$1:$G$1,0))</f>
        <v>0.2</v>
      </c>
      <c r="S992" s="6">
        <f>INDEX([1]products!$A$1:$G$49,MATCH([1]orders!$D992,[1]products!$A$1:$A$49,0),MATCH([1]orders!L$1,[1]products!$A$1:$G$1,0))</f>
        <v>3.645</v>
      </c>
      <c r="T992" s="6">
        <f t="shared" si="90"/>
        <v>18.225000000000001</v>
      </c>
      <c r="U992" s="22">
        <f t="shared" si="94"/>
        <v>2.00475</v>
      </c>
      <c r="V992" s="22">
        <f t="shared" si="95"/>
        <v>10.999999999999998</v>
      </c>
    </row>
    <row r="993" spans="1:22" x14ac:dyDescent="0.3">
      <c r="A993" s="1" t="s">
        <v>1902</v>
      </c>
      <c r="B993" s="2">
        <v>44718</v>
      </c>
      <c r="C993" s="2" t="str">
        <f t="shared" si="91"/>
        <v>Monday</v>
      </c>
      <c r="D993" s="2" t="str">
        <f t="shared" si="92"/>
        <v>June</v>
      </c>
      <c r="E993" s="2" t="str">
        <f t="shared" si="93"/>
        <v>2022</v>
      </c>
      <c r="F993" s="3" t="s">
        <v>1903</v>
      </c>
      <c r="G993" s="3" t="str">
        <f>VLOOKUP(F994,'Customers (2)'!A:I,2,0)</f>
        <v>Desdemona Eye</v>
      </c>
      <c r="H993" s="3">
        <f>VLOOKUP(F993,'Customers (2)'!A:I,3,0)</f>
        <v>0</v>
      </c>
      <c r="I993" s="3" t="str">
        <f>VLOOKUP(F993,'Customers (2)'!A:I,4,0)</f>
        <v>+1 (479) 204-9111</v>
      </c>
      <c r="J993" s="3" t="str">
        <f>VLOOKUP(F993,'Customers (2)'!A:I,6,0)</f>
        <v>Fort Smith</v>
      </c>
      <c r="K993" s="3" t="str">
        <f>VLOOKUP(F993,'Customers (2)'!A:I,7,0)</f>
        <v>United States</v>
      </c>
      <c r="L993" s="3" t="str">
        <f>VLOOKUP(F993,'Customers (2)'!A:I,9,0)</f>
        <v>No</v>
      </c>
      <c r="M993" s="4" t="s">
        <v>123</v>
      </c>
      <c r="N993" s="4" t="str">
        <f>VLOOKUP(M993,'Products (2)'!A:G,2,0)</f>
        <v>Liberica</v>
      </c>
      <c r="O993" s="4" t="str">
        <f>VLOOKUP(M993,'Products (2)'!A:G,3,0)</f>
        <v>Dark</v>
      </c>
      <c r="P993" s="4">
        <f>VLOOKUP(M993,'Products (2)'!A:G,7,0)</f>
        <v>1.0101</v>
      </c>
      <c r="Q993" s="3">
        <v>2</v>
      </c>
      <c r="R993" s="5">
        <f>INDEX([1]products!$A$1:$G$49,MATCH([1]orders!$D993,[1]products!$A$1:$A$49,0),MATCH([1]orders!K$1,[1]products!$A$1:$G$1,0))</f>
        <v>0.5</v>
      </c>
      <c r="S993" s="6">
        <f>INDEX([1]products!$A$1:$G$49,MATCH([1]orders!$D993,[1]products!$A$1:$A$49,0),MATCH([1]orders!L$1,[1]products!$A$1:$G$1,0))</f>
        <v>7.77</v>
      </c>
      <c r="T993" s="6">
        <f t="shared" si="90"/>
        <v>15.54</v>
      </c>
      <c r="U993" s="22">
        <f t="shared" si="94"/>
        <v>2.0202</v>
      </c>
      <c r="V993" s="22">
        <f t="shared" si="95"/>
        <v>13</v>
      </c>
    </row>
    <row r="994" spans="1:22" x14ac:dyDescent="0.3">
      <c r="A994" s="1" t="s">
        <v>1904</v>
      </c>
      <c r="B994" s="2">
        <v>44276</v>
      </c>
      <c r="C994" s="2" t="str">
        <f t="shared" si="91"/>
        <v>Sunday</v>
      </c>
      <c r="D994" s="2" t="str">
        <f t="shared" si="92"/>
        <v>March</v>
      </c>
      <c r="E994" s="2" t="str">
        <f t="shared" si="93"/>
        <v>2021</v>
      </c>
      <c r="F994" s="3" t="s">
        <v>1905</v>
      </c>
      <c r="G994" s="3" t="str">
        <f>VLOOKUP(F995,'Customers (2)'!A:I,2,0)</f>
        <v>Margarette Sterland</v>
      </c>
      <c r="H994" s="3">
        <f>VLOOKUP(F994,'Customers (2)'!A:I,3,0)</f>
        <v>0</v>
      </c>
      <c r="I994" s="3" t="str">
        <f>VLOOKUP(F994,'Customers (2)'!A:I,4,0)</f>
        <v>+353 (252) 896-2096</v>
      </c>
      <c r="J994" s="3" t="str">
        <f>VLOOKUP(F994,'Customers (2)'!A:I,6,0)</f>
        <v>Bagenalstown</v>
      </c>
      <c r="K994" s="3" t="str">
        <f>VLOOKUP(F994,'Customers (2)'!A:I,7,0)</f>
        <v>Ireland</v>
      </c>
      <c r="L994" s="3" t="str">
        <f>VLOOKUP(F994,'Customers (2)'!A:I,9,0)</f>
        <v>No</v>
      </c>
      <c r="M994" s="4" t="s">
        <v>104</v>
      </c>
      <c r="N994" s="4" t="str">
        <f>VLOOKUP(M994,'Products (2)'!A:G,2,0)</f>
        <v>Liberica</v>
      </c>
      <c r="O994" s="4" t="str">
        <f>VLOOKUP(M994,'Products (2)'!A:G,3,0)</f>
        <v>Light</v>
      </c>
      <c r="P994" s="4">
        <f>VLOOKUP(M994,'Products (2)'!A:G,7,0)</f>
        <v>4.7391499999999995</v>
      </c>
      <c r="Q994" s="3">
        <v>3</v>
      </c>
      <c r="R994" s="5">
        <f>INDEX([1]products!$A$1:$G$49,MATCH([1]orders!$D994,[1]products!$A$1:$A$49,0),MATCH([1]orders!K$1,[1]products!$A$1:$G$1,0))</f>
        <v>2.5</v>
      </c>
      <c r="S994" s="6">
        <f>INDEX([1]products!$A$1:$G$49,MATCH([1]orders!$D994,[1]products!$A$1:$A$49,0),MATCH([1]orders!L$1,[1]products!$A$1:$G$1,0))</f>
        <v>36.454999999999998</v>
      </c>
      <c r="T994" s="6">
        <f t="shared" si="90"/>
        <v>109.36499999999999</v>
      </c>
      <c r="U994" s="22">
        <f t="shared" si="94"/>
        <v>14.217449999999999</v>
      </c>
      <c r="V994" s="22">
        <f t="shared" si="95"/>
        <v>13</v>
      </c>
    </row>
    <row r="995" spans="1:22" x14ac:dyDescent="0.3">
      <c r="A995" s="1" t="s">
        <v>1906</v>
      </c>
      <c r="B995" s="2">
        <v>44549</v>
      </c>
      <c r="C995" s="2" t="str">
        <f t="shared" si="91"/>
        <v>Sunday</v>
      </c>
      <c r="D995" s="2" t="str">
        <f t="shared" si="92"/>
        <v>December</v>
      </c>
      <c r="E995" s="2" t="str">
        <f t="shared" si="93"/>
        <v>2021</v>
      </c>
      <c r="F995" s="3" t="s">
        <v>1907</v>
      </c>
      <c r="G995" s="3" t="str">
        <f>VLOOKUP(F996,'Customers (2)'!A:I,2,0)</f>
        <v>Catharine Scoines</v>
      </c>
      <c r="H995" s="3">
        <f>VLOOKUP(F995,'Customers (2)'!A:I,3,0)</f>
        <v>0</v>
      </c>
      <c r="I995" s="3" t="str">
        <f>VLOOKUP(F995,'Customers (2)'!A:I,4,0)</f>
        <v>+1 (215) 872-6809</v>
      </c>
      <c r="J995" s="3" t="str">
        <f>VLOOKUP(F995,'Customers (2)'!A:I,6,0)</f>
        <v>Philadelphia</v>
      </c>
      <c r="K995" s="3" t="str">
        <f>VLOOKUP(F995,'Customers (2)'!A:I,7,0)</f>
        <v>United States</v>
      </c>
      <c r="L995" s="3" t="str">
        <f>VLOOKUP(F995,'Customers (2)'!A:I,9,0)</f>
        <v>No</v>
      </c>
      <c r="M995" s="4" t="s">
        <v>6</v>
      </c>
      <c r="N995" s="4" t="str">
        <f>VLOOKUP(M995,'Products (2)'!A:G,2,0)</f>
        <v>Arabica</v>
      </c>
      <c r="O995" s="4" t="str">
        <f>VLOOKUP(M995,'Products (2)'!A:G,3,0)</f>
        <v>Light</v>
      </c>
      <c r="P995" s="4">
        <f>VLOOKUP(M995,'Products (2)'!A:G,7,0)</f>
        <v>1.1655</v>
      </c>
      <c r="Q995" s="3">
        <v>6</v>
      </c>
      <c r="R995" s="5">
        <f>INDEX([1]products!$A$1:$G$49,MATCH([1]orders!$D995,[1]products!$A$1:$A$49,0),MATCH([1]orders!K$1,[1]products!$A$1:$G$1,0))</f>
        <v>1</v>
      </c>
      <c r="S995" s="6">
        <f>INDEX([1]products!$A$1:$G$49,MATCH([1]orders!$D995,[1]products!$A$1:$A$49,0),MATCH([1]orders!L$1,[1]products!$A$1:$G$1,0))</f>
        <v>12.95</v>
      </c>
      <c r="T995" s="6">
        <f t="shared" si="90"/>
        <v>77.699999999999989</v>
      </c>
      <c r="U995" s="22">
        <f t="shared" si="94"/>
        <v>6.9930000000000003</v>
      </c>
      <c r="V995" s="22">
        <f t="shared" si="95"/>
        <v>9.0000000000000018</v>
      </c>
    </row>
    <row r="996" spans="1:22" x14ac:dyDescent="0.3">
      <c r="A996" s="1" t="s">
        <v>1908</v>
      </c>
      <c r="B996" s="2">
        <v>44244</v>
      </c>
      <c r="C996" s="2" t="str">
        <f t="shared" si="91"/>
        <v>Wednesday</v>
      </c>
      <c r="D996" s="2" t="str">
        <f t="shared" si="92"/>
        <v>February</v>
      </c>
      <c r="E996" s="2" t="str">
        <f t="shared" si="93"/>
        <v>2021</v>
      </c>
      <c r="F996" s="3" t="s">
        <v>1909</v>
      </c>
      <c r="G996" s="3" t="str">
        <f>VLOOKUP(F997,'Customers (2)'!A:I,2,0)</f>
        <v>Jennica Tewelson</v>
      </c>
      <c r="H996" s="3">
        <f>VLOOKUP(F996,'Customers (2)'!A:I,3,0)</f>
        <v>0</v>
      </c>
      <c r="I996" s="3" t="str">
        <f>VLOOKUP(F996,'Customers (2)'!A:I,4,0)</f>
        <v>+353 (693) 290-4775</v>
      </c>
      <c r="J996" s="3" t="str">
        <f>VLOOKUP(F996,'Customers (2)'!A:I,6,0)</f>
        <v>Watergrasshill</v>
      </c>
      <c r="K996" s="3" t="str">
        <f>VLOOKUP(F996,'Customers (2)'!A:I,7,0)</f>
        <v>Ireland</v>
      </c>
      <c r="L996" s="3" t="str">
        <f>VLOOKUP(F996,'Customers (2)'!A:I,9,0)</f>
        <v>No</v>
      </c>
      <c r="M996" s="4" t="s">
        <v>54</v>
      </c>
      <c r="N996" s="4" t="str">
        <f>VLOOKUP(M996,'Products (2)'!A:G,2,0)</f>
        <v>Arabica</v>
      </c>
      <c r="O996" s="4" t="str">
        <f>VLOOKUP(M996,'Products (2)'!A:G,3,0)</f>
        <v>Dark</v>
      </c>
      <c r="P996" s="4">
        <f>VLOOKUP(M996,'Products (2)'!A:G,7,0)</f>
        <v>0.26865</v>
      </c>
      <c r="Q996" s="3">
        <v>3</v>
      </c>
      <c r="R996" s="5">
        <f>INDEX([1]products!$A$1:$G$49,MATCH([1]orders!$D996,[1]products!$A$1:$A$49,0),MATCH([1]orders!K$1,[1]products!$A$1:$G$1,0))</f>
        <v>0.2</v>
      </c>
      <c r="S996" s="6">
        <f>INDEX([1]products!$A$1:$G$49,MATCH([1]orders!$D996,[1]products!$A$1:$A$49,0),MATCH([1]orders!L$1,[1]products!$A$1:$G$1,0))</f>
        <v>2.9849999999999999</v>
      </c>
      <c r="T996" s="6">
        <f t="shared" si="90"/>
        <v>8.9550000000000001</v>
      </c>
      <c r="U996" s="22">
        <f t="shared" si="94"/>
        <v>0.80594999999999994</v>
      </c>
      <c r="V996" s="22">
        <f t="shared" si="95"/>
        <v>9</v>
      </c>
    </row>
    <row r="997" spans="1:22" x14ac:dyDescent="0.3">
      <c r="A997" s="1" t="s">
        <v>1910</v>
      </c>
      <c r="B997" s="2">
        <v>43836</v>
      </c>
      <c r="C997" s="2" t="str">
        <f t="shared" si="91"/>
        <v>Monday</v>
      </c>
      <c r="D997" s="2" t="str">
        <f t="shared" si="92"/>
        <v>January</v>
      </c>
      <c r="E997" s="2" t="str">
        <f t="shared" si="93"/>
        <v>2020</v>
      </c>
      <c r="F997" s="3" t="s">
        <v>1911</v>
      </c>
      <c r="G997" s="3" t="str">
        <f>VLOOKUP(F998,'Customers (2)'!A:I,2,0)</f>
        <v>Marguerite Graves</v>
      </c>
      <c r="H997" s="3" t="str">
        <f>VLOOKUP(F997,'Customers (2)'!A:I,3,0)</f>
        <v>jtewelsonrn@samsung.com</v>
      </c>
      <c r="I997" s="3" t="str">
        <f>VLOOKUP(F997,'Customers (2)'!A:I,4,0)</f>
        <v>+1 (469) 573-8379</v>
      </c>
      <c r="J997" s="3" t="str">
        <f>VLOOKUP(F997,'Customers (2)'!A:I,6,0)</f>
        <v>Dallas</v>
      </c>
      <c r="K997" s="3" t="str">
        <f>VLOOKUP(F997,'Customers (2)'!A:I,7,0)</f>
        <v>United States</v>
      </c>
      <c r="L997" s="3" t="str">
        <f>VLOOKUP(F997,'Customers (2)'!A:I,9,0)</f>
        <v>No</v>
      </c>
      <c r="M997" s="4" t="s">
        <v>10</v>
      </c>
      <c r="N997" s="4" t="str">
        <f>VLOOKUP(M997,'Products (2)'!A:G,2,0)</f>
        <v>Robusta</v>
      </c>
      <c r="O997" s="4" t="str">
        <f>VLOOKUP(M997,'Products (2)'!A:G,3,0)</f>
        <v>Light</v>
      </c>
      <c r="P997" s="4">
        <f>VLOOKUP(M997,'Products (2)'!A:G,7,0)</f>
        <v>1.6490999999999998</v>
      </c>
      <c r="Q997" s="3">
        <v>1</v>
      </c>
      <c r="R997" s="5">
        <f>INDEX([1]products!$A$1:$G$49,MATCH([1]orders!$D997,[1]products!$A$1:$A$49,0),MATCH([1]orders!K$1,[1]products!$A$1:$G$1,0))</f>
        <v>2.5</v>
      </c>
      <c r="S997" s="6">
        <f>INDEX([1]products!$A$1:$G$49,MATCH([1]orders!$D997,[1]products!$A$1:$A$49,0),MATCH([1]orders!L$1,[1]products!$A$1:$G$1,0))</f>
        <v>27.484999999999996</v>
      </c>
      <c r="T997" s="6">
        <f t="shared" si="90"/>
        <v>27.484999999999996</v>
      </c>
      <c r="U997" s="22">
        <f t="shared" si="94"/>
        <v>1.6490999999999998</v>
      </c>
      <c r="V997" s="22">
        <f t="shared" si="95"/>
        <v>6.0000000000000009</v>
      </c>
    </row>
    <row r="998" spans="1:22" x14ac:dyDescent="0.3">
      <c r="A998" s="1" t="s">
        <v>1912</v>
      </c>
      <c r="B998" s="2">
        <v>44685</v>
      </c>
      <c r="C998" s="2" t="str">
        <f t="shared" si="91"/>
        <v>Wednesday</v>
      </c>
      <c r="D998" s="2" t="str">
        <f t="shared" si="92"/>
        <v>May</v>
      </c>
      <c r="E998" s="2" t="str">
        <f t="shared" si="93"/>
        <v>2022</v>
      </c>
      <c r="F998" s="3" t="s">
        <v>1903</v>
      </c>
      <c r="G998" s="3" t="str">
        <f>VLOOKUP(F999,'Customers (2)'!A:I,2,0)</f>
        <v>Marguerite Graves</v>
      </c>
      <c r="H998" s="3">
        <f>VLOOKUP(F998,'Customers (2)'!A:I,3,0)</f>
        <v>0</v>
      </c>
      <c r="I998" s="3" t="str">
        <f>VLOOKUP(F998,'Customers (2)'!A:I,4,0)</f>
        <v>+1 (479) 204-9111</v>
      </c>
      <c r="J998" s="3" t="str">
        <f>VLOOKUP(F998,'Customers (2)'!A:I,6,0)</f>
        <v>Fort Smith</v>
      </c>
      <c r="K998" s="3" t="str">
        <f>VLOOKUP(F998,'Customers (2)'!A:I,7,0)</f>
        <v>United States</v>
      </c>
      <c r="L998" s="3" t="str">
        <f>VLOOKUP(F998,'Customers (2)'!A:I,9,0)</f>
        <v>No</v>
      </c>
      <c r="M998" s="4" t="s">
        <v>22</v>
      </c>
      <c r="N998" s="4" t="str">
        <f>VLOOKUP(M998,'Products (2)'!A:G,2,0)</f>
        <v>Robusta</v>
      </c>
      <c r="O998" s="4" t="str">
        <f>VLOOKUP(M998,'Products (2)'!A:G,3,0)</f>
        <v>Medium</v>
      </c>
      <c r="P998" s="4">
        <f>VLOOKUP(M998,'Products (2)'!A:G,7,0)</f>
        <v>0.35819999999999996</v>
      </c>
      <c r="Q998" s="3">
        <v>5</v>
      </c>
      <c r="R998" s="5">
        <f>INDEX([1]products!$A$1:$G$49,MATCH([1]orders!$D998,[1]products!$A$1:$A$49,0),MATCH([1]orders!K$1,[1]products!$A$1:$G$1,0))</f>
        <v>0.5</v>
      </c>
      <c r="S998" s="6">
        <f>INDEX([1]products!$A$1:$G$49,MATCH([1]orders!$D998,[1]products!$A$1:$A$49,0),MATCH([1]orders!L$1,[1]products!$A$1:$G$1,0))</f>
        <v>5.97</v>
      </c>
      <c r="T998" s="6">
        <f t="shared" si="90"/>
        <v>29.849999999999998</v>
      </c>
      <c r="U998" s="22">
        <f t="shared" si="94"/>
        <v>1.7909999999999999</v>
      </c>
      <c r="V998" s="22">
        <f t="shared" si="95"/>
        <v>6.0000000000000009</v>
      </c>
    </row>
    <row r="999" spans="1:22" x14ac:dyDescent="0.3">
      <c r="A999" s="1" t="s">
        <v>1913</v>
      </c>
      <c r="B999" s="2">
        <v>43749</v>
      </c>
      <c r="C999" s="2" t="str">
        <f t="shared" si="91"/>
        <v>Friday</v>
      </c>
      <c r="D999" s="2" t="str">
        <f t="shared" si="92"/>
        <v>October</v>
      </c>
      <c r="E999" s="2" t="str">
        <f t="shared" si="93"/>
        <v>2019</v>
      </c>
      <c r="F999" s="3" t="s">
        <v>1903</v>
      </c>
      <c r="G999" s="3" t="str">
        <f>VLOOKUP(F1000,'Customers (2)'!A:I,2,0)</f>
        <v>Nicolina Jenny</v>
      </c>
      <c r="H999" s="3">
        <f>VLOOKUP(F999,'Customers (2)'!A:I,3,0)</f>
        <v>0</v>
      </c>
      <c r="I999" s="3" t="str">
        <f>VLOOKUP(F999,'Customers (2)'!A:I,4,0)</f>
        <v>+1 (479) 204-9111</v>
      </c>
      <c r="J999" s="3" t="str">
        <f>VLOOKUP(F999,'Customers (2)'!A:I,6,0)</f>
        <v>Fort Smith</v>
      </c>
      <c r="K999" s="3" t="str">
        <f>VLOOKUP(F999,'Customers (2)'!A:I,7,0)</f>
        <v>United States</v>
      </c>
      <c r="L999" s="3" t="str">
        <f>VLOOKUP(F999,'Customers (2)'!A:I,9,0)</f>
        <v>No</v>
      </c>
      <c r="M999" s="4" t="s">
        <v>67</v>
      </c>
      <c r="N999" s="4" t="str">
        <f>VLOOKUP(M999,'Products (2)'!A:G,2,0)</f>
        <v>Arabica</v>
      </c>
      <c r="O999" s="4" t="str">
        <f>VLOOKUP(M999,'Products (2)'!A:G,3,0)</f>
        <v>Medium</v>
      </c>
      <c r="P999" s="4">
        <f>VLOOKUP(M999,'Products (2)'!A:G,7,0)</f>
        <v>0.60749999999999993</v>
      </c>
      <c r="Q999" s="3">
        <v>4</v>
      </c>
      <c r="R999" s="5">
        <f>INDEX([1]products!$A$1:$G$49,MATCH([1]orders!$D999,[1]products!$A$1:$A$49,0),MATCH([1]orders!K$1,[1]products!$A$1:$G$1,0))</f>
        <v>0.5</v>
      </c>
      <c r="S999" s="6">
        <f>INDEX([1]products!$A$1:$G$49,MATCH([1]orders!$D999,[1]products!$A$1:$A$49,0),MATCH([1]orders!L$1,[1]products!$A$1:$G$1,0))</f>
        <v>6.75</v>
      </c>
      <c r="T999" s="6">
        <f t="shared" si="90"/>
        <v>27</v>
      </c>
      <c r="U999" s="22">
        <f t="shared" si="94"/>
        <v>2.4299999999999997</v>
      </c>
      <c r="V999" s="22">
        <f t="shared" si="95"/>
        <v>8.9999999999999982</v>
      </c>
    </row>
    <row r="1000" spans="1:22" x14ac:dyDescent="0.3">
      <c r="A1000" s="1" t="s">
        <v>1914</v>
      </c>
      <c r="B1000" s="2">
        <v>44411</v>
      </c>
      <c r="C1000" s="2" t="str">
        <f t="shared" si="91"/>
        <v>Tuesday</v>
      </c>
      <c r="D1000" s="2" t="str">
        <f t="shared" si="92"/>
        <v>August</v>
      </c>
      <c r="E1000" s="2" t="str">
        <f t="shared" si="93"/>
        <v>2021</v>
      </c>
      <c r="F1000" s="3" t="s">
        <v>1915</v>
      </c>
      <c r="G1000" s="3" t="str">
        <f>VLOOKUP(F1001,'Customers (2)'!A:I,2,0)</f>
        <v>Vidovic Antonelli</v>
      </c>
      <c r="H1000" s="3" t="str">
        <f>VLOOKUP(F1000,'Customers (2)'!A:I,3,0)</f>
        <v>njennyrq@bigcartel.com</v>
      </c>
      <c r="I1000" s="3" t="str">
        <f>VLOOKUP(F1000,'Customers (2)'!A:I,4,0)</f>
        <v>+1 (562) 679-4750</v>
      </c>
      <c r="J1000" s="3" t="str">
        <f>VLOOKUP(F1000,'Customers (2)'!A:I,6,0)</f>
        <v>Whittier</v>
      </c>
      <c r="K1000" s="3" t="str">
        <f>VLOOKUP(F1000,'Customers (2)'!A:I,7,0)</f>
        <v>United States</v>
      </c>
      <c r="L1000" s="3" t="str">
        <f>VLOOKUP(F1000,'Customers (2)'!A:I,9,0)</f>
        <v>No</v>
      </c>
      <c r="M1000" s="4" t="s">
        <v>27</v>
      </c>
      <c r="N1000" s="4" t="str">
        <f>VLOOKUP(M1000,'Products (2)'!A:G,2,0)</f>
        <v>Arabica</v>
      </c>
      <c r="O1000" s="4" t="str">
        <f>VLOOKUP(M1000,'Products (2)'!A:G,3,0)</f>
        <v>Dark</v>
      </c>
      <c r="P1000" s="4">
        <f>VLOOKUP(M1000,'Products (2)'!A:G,7,0)</f>
        <v>0.89549999999999985</v>
      </c>
      <c r="Q1000" s="3">
        <v>1</v>
      </c>
      <c r="R1000" s="5">
        <f>INDEX([1]products!$A$1:$G$49,MATCH([1]orders!$D1000,[1]products!$A$1:$A$49,0),MATCH([1]orders!K$1,[1]products!$A$1:$G$1,0))</f>
        <v>1</v>
      </c>
      <c r="S1000" s="6">
        <f>INDEX([1]products!$A$1:$G$49,MATCH([1]orders!$D1000,[1]products!$A$1:$A$49,0),MATCH([1]orders!L$1,[1]products!$A$1:$G$1,0))</f>
        <v>9.9499999999999993</v>
      </c>
      <c r="T1000" s="6">
        <f t="shared" si="90"/>
        <v>9.9499999999999993</v>
      </c>
      <c r="U1000" s="22">
        <f t="shared" si="94"/>
        <v>0.89549999999999985</v>
      </c>
      <c r="V1000" s="22">
        <f t="shared" si="95"/>
        <v>9</v>
      </c>
    </row>
    <row r="1001" spans="1:22" x14ac:dyDescent="0.3">
      <c r="A1001" s="7" t="s">
        <v>1916</v>
      </c>
      <c r="B1001" s="8">
        <v>44119</v>
      </c>
      <c r="C1001" s="2" t="str">
        <f t="shared" si="91"/>
        <v>Thursday</v>
      </c>
      <c r="D1001" s="2" t="str">
        <f t="shared" si="92"/>
        <v>October</v>
      </c>
      <c r="E1001" s="2" t="str">
        <f t="shared" si="93"/>
        <v>2020</v>
      </c>
      <c r="F1001" s="9" t="s">
        <v>1917</v>
      </c>
      <c r="G1001" s="3" t="e">
        <f>VLOOKUP(F1002,'Customers (2)'!A:I,2,0)</f>
        <v>#N/A</v>
      </c>
      <c r="H1001" s="3">
        <f>VLOOKUP(F1001,'Customers (2)'!A:I,3,0)</f>
        <v>0</v>
      </c>
      <c r="I1001" s="3" t="str">
        <f>VLOOKUP(F1001,'Customers (2)'!A:I,4,0)</f>
        <v>+44 (810) 927-9266</v>
      </c>
      <c r="J1001" s="3" t="str">
        <f>VLOOKUP(F1001,'Customers (2)'!A:I,6,0)</f>
        <v>London</v>
      </c>
      <c r="K1001" s="3" t="str">
        <f>VLOOKUP(F1001,'Customers (2)'!A:I,7,0)</f>
        <v>United Kingdom</v>
      </c>
      <c r="L1001" s="3" t="str">
        <f>VLOOKUP(F1001,'Customers (2)'!A:I,9,0)</f>
        <v>Yes</v>
      </c>
      <c r="M1001" s="10" t="s">
        <v>64</v>
      </c>
      <c r="N1001" s="4" t="str">
        <f>VLOOKUP(M1001,'Products (2)'!A:G,2,0)</f>
        <v>Excelsa</v>
      </c>
      <c r="O1001" s="4" t="str">
        <f>VLOOKUP(M1001,'Products (2)'!A:G,3,0)</f>
        <v>Medium</v>
      </c>
      <c r="P1001" s="4">
        <f>VLOOKUP(M1001,'Products (2)'!A:G,7,0)</f>
        <v>0.45374999999999999</v>
      </c>
      <c r="Q1001" s="9">
        <v>3</v>
      </c>
      <c r="R1001" s="11">
        <f>INDEX([1]products!$A$1:$G$49,MATCH([1]orders!$D1001,[1]products!$A$1:$A$49,0),MATCH([1]orders!K$1,[1]products!$A$1:$G$1,0))</f>
        <v>0.2</v>
      </c>
      <c r="S1001" s="12">
        <f>INDEX([1]products!$A$1:$G$49,MATCH([1]orders!$D1001,[1]products!$A$1:$A$49,0),MATCH([1]orders!L$1,[1]products!$A$1:$G$1,0))</f>
        <v>4.125</v>
      </c>
      <c r="T1001" s="12">
        <f t="shared" si="90"/>
        <v>12.375</v>
      </c>
      <c r="U1001" s="22">
        <f t="shared" si="94"/>
        <v>1.3612500000000001</v>
      </c>
      <c r="V1001" s="22">
        <f t="shared" si="95"/>
        <v>11</v>
      </c>
    </row>
  </sheetData>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Orders</vt:lpstr>
      <vt:lpstr>Customers</vt:lpstr>
      <vt:lpstr>Products</vt:lpstr>
      <vt:lpstr>Orders (2)</vt:lpstr>
      <vt:lpstr>Customers (2)</vt:lpstr>
      <vt:lpstr>Products (2)</vt:lpstr>
      <vt:lpstr>Sheet2</vt:lpstr>
      <vt:lpstr>DASHBOARD</vt:lpstr>
      <vt:lpstr>WORKSHEET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SINAN MANU</cp:lastModifiedBy>
  <dcterms:created xsi:type="dcterms:W3CDTF">2024-09-20T19:02:15Z</dcterms:created>
  <dcterms:modified xsi:type="dcterms:W3CDTF">2026-01-06T06:20:23Z</dcterms:modified>
</cp:coreProperties>
</file>